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04608f88d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판정요약" sheetId="1" r:id="Rd158c6d55f4843e2"/>
    <x:sheet xmlns:r="http://schemas.openxmlformats.org/officeDocument/2006/relationships" name="국가별 준비도" sheetId="2" r:id="R58c2823e4ef443ce"/>
    <x:sheet xmlns:r="http://schemas.openxmlformats.org/officeDocument/2006/relationships" name="A·B 우선사업" sheetId="3" r:id="Rf42718b5cf464b5e"/>
    <x:sheet xmlns:r="http://schemas.openxmlformats.org/officeDocument/2006/relationships" name="프로젝트 등급" sheetId="4" r:id="Ra85ca6c13d6e44e3"/>
    <x:sheet xmlns:r="http://schemas.openxmlformats.org/officeDocument/2006/relationships" name="127건 원기록" sheetId="5" r:id="R404233b92ef246e4"/>
    <x:sheet xmlns:r="http://schemas.openxmlformats.org/officeDocument/2006/relationships" name="첨부검사" sheetId="6" r:id="Rad834605360f4d43"/>
    <x:sheet xmlns:r="http://schemas.openxmlformats.org/officeDocument/2006/relationships" name="등급기준·한계" sheetId="7" r:id="R3814d0b02bd140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"/>
    <x:numFmt numFmtId="202" formatCode="&quot;$&quot;#,##0.00"/>
    <x:numFmt numFmtId="203" formatCode="0.000"/>
    <x:numFmt numFmtId="204" formatCode="0.0%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13D"/>
      <x:name val="Carlito"/>
    </x:font>
    <x:font>
      <x:b/>
      <x:sz val="9"/>
      <x:color rgb="FFFFFFFF"/>
      <x:name val="Carlito"/>
    </x:font>
    <x:font>
      <x:sz val="8"/>
      <x:color rgb="FF24313D"/>
      <x:name val="Carlito"/>
    </x:font>
    <x:font>
      <x:sz val="9"/>
      <x:color rgb="FF24313D"/>
      <x:name val="Carlito"/>
    </x:font>
    <x:font>
      <x:b/>
      <x:sz val="10"/>
      <x:color rgb="FFFFFFFF"/>
      <x:name val="Carlito"/>
    </x:font>
    <x:font>
      <x:b/>
      <x:sz val="17"/>
      <x:color rgb="FF17324D"/>
      <x:name val="Carlito"/>
    </x:font>
    <x:font>
      <x:sz val="10"/>
      <x:color rgb="FF24313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7"/>
      </x:patternFill>
    </x:fill>
    <x:fill>
      <x:patternFill patternType="solid">
        <x:fgColor rgb="FF285D7B"/>
      </x:patternFill>
    </x:fill>
    <x:fill>
      <x:patternFill patternType="solid">
        <x:fgColor rgb="FF0F6D73"/>
      </x:patternFill>
    </x:fill>
    <x:fill>
      <x:patternFill patternType="solid">
        <x:fgColor rgb="FFFFFFFF"/>
      </x:patternFill>
    </x:fill>
    <x:fill>
      <x:patternFill patternType="solid">
        <x:fgColor rgb="FF3D7D58"/>
      </x:patternFill>
    </x:fill>
    <x:fill>
      <x:patternFill patternType="solid">
        <x:fgColor rgb="FFB7791F"/>
      </x:patternFill>
    </x:fill>
    <x:fill>
      <x:patternFill patternType="solid">
        <x:fgColor rgb="FF657482"/>
      </x:patternFill>
    </x:fill>
    <x:fill>
      <x:patternFill patternType="solid">
        <x:fgColor rgb="FFB42318"/>
      </x:patternFill>
    </x:fill>
  </x:fills>
  <x:borders count="13">
    <x:border/>
    <x:border>
      <x:bottom style="medium">
        <x:color rgb="FF285D7B"/>
      </x:bottom>
    </x:border>
    <x:border>
      <x:bottom style="thin">
        <x:color rgb="FFE9EEF2"/>
      </x:bottom>
    </x:border>
    <x:border>
      <x:top style="thin">
        <x:color rgb="FFE9EEF2"/>
      </x:top>
      <x:bottom style="thin">
        <x:color rgb="FFE9EEF2"/>
      </x:bottom>
    </x:border>
    <x:border>
      <x:top style="thin">
        <x:color rgb="FFE9EEF2"/>
      </x:top>
    </x:border>
    <x:border>
      <x:left style="thin">
        <x:color rgb="FFD7E0E7"/>
      </x:left>
      <x:top style="thin">
        <x:color rgb="FFD7E0E7"/>
      </x:top>
    </x:border>
    <x:border>
      <x:top style="thin">
        <x:color rgb="FFD7E0E7"/>
      </x:top>
    </x:border>
    <x:border>
      <x:right style="thin">
        <x:color rgb="FFD7E0E7"/>
      </x:right>
      <x:top style="thin">
        <x:color rgb="FFD7E0E7"/>
      </x:top>
    </x:border>
    <x:border>
      <x:left style="thin">
        <x:color rgb="FFD7E0E7"/>
      </x:left>
    </x:border>
    <x:border>
      <x:right style="thin">
        <x:color rgb="FFD7E0E7"/>
      </x:right>
    </x:border>
    <x:border>
      <x:left style="thin">
        <x:color rgb="FFD7E0E7"/>
      </x:left>
      <x:bottom style="thin">
        <x:color rgb="FFD7E0E7"/>
      </x:bottom>
    </x:border>
    <x:border>
      <x:bottom style="thin">
        <x:color rgb="FFD7E0E7"/>
      </x:bottom>
    </x:border>
    <x:border>
      <x:right style="thin">
        <x:color rgb="FFD7E0E7"/>
      </x:right>
      <x:bottom style="thin">
        <x:color rgb="FFD7E0E7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0"/>
    </x:xf>
    <x:xf numFmtId="0" fontId="4" fillId="0" borderId="3" xfId="0" applyNumberFormat="1" applyFont="1" applyFill="1" applyBorder="1" applyAlignment="1">
      <x:alignment wrapText="0"/>
    </x:xf>
    <x:xf numFmtId="0" fontId="4" fillId="0" borderId="4" xfId="0" applyNumberFormat="1" applyFont="1" applyFill="1" applyBorder="1" applyAlignment="1">
      <x:alignment wrapText="0"/>
    </x:xf>
    <x:xf numFmtId="0" fontId="4" fillId="0" borderId="2" xfId="0" applyNumberFormat="1" applyFont="1" applyFill="1" applyBorder="1" applyAlignment="1">
      <x:alignment vertical="top" wrapText="0"/>
    </x:xf>
    <x:xf numFmtId="0" fontId="4" fillId="0" borderId="3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0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0"/>
    </x:xf>
    <x:xf numFmtId="200" fontId="4" fillId="0" borderId="3" xfId="0" applyNumberFormat="1" applyFont="1" applyFill="1" applyBorder="1" applyAlignment="1">
      <x:alignment vertical="top" wrapText="0"/>
    </x:xf>
    <x:xf numFmtId="200" fontId="4" fillId="0" borderId="4" xfId="0" applyNumberFormat="1" applyFont="1" applyFill="1" applyBorder="1" applyAlignment="1">
      <x:alignment vertical="top" wrapText="0"/>
    </x:xf>
    <x:xf numFmtId="201" fontId="4" fillId="0" borderId="2" xfId="0" applyNumberFormat="1" applyFont="1" applyFill="1" applyBorder="1" applyAlignment="1">
      <x:alignment vertical="top" wrapText="0"/>
    </x:xf>
    <x:xf numFmtId="201" fontId="4" fillId="0" borderId="3" xfId="0" applyNumberFormat="1" applyFont="1" applyFill="1" applyBorder="1" applyAlignment="1">
      <x:alignment vertical="top" wrapText="0"/>
    </x:xf>
    <x:xf numFmtId="201" fontId="4" fillId="0" borderId="4" xfId="0" applyNumberFormat="1" applyFont="1" applyFill="1" applyBorder="1" applyAlignment="1">
      <x:alignment vertical="top" wrapText="0"/>
    </x:xf>
    <x:xf numFmtId="202" fontId="4" fillId="0" borderId="2" xfId="0" applyNumberFormat="1" applyFont="1" applyFill="1" applyBorder="1" applyAlignment="1">
      <x:alignment vertical="top" wrapText="0"/>
    </x:xf>
    <x:xf numFmtId="202" fontId="4" fillId="0" borderId="3" xfId="0" applyNumberFormat="1" applyFont="1" applyFill="1" applyBorder="1" applyAlignment="1">
      <x:alignment vertical="top" wrapText="0"/>
    </x:xf>
    <x:xf numFmtId="202" fontId="4" fillId="0" borderId="4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0"/>
    </x:xf>
    <x:xf numFmtId="0" fontId="5" fillId="0" borderId="3" xfId="0" applyNumberFormat="1" applyFont="1" applyFill="1" applyBorder="1" applyAlignment="1">
      <x:alignment wrapText="0"/>
    </x:xf>
    <x:xf numFmtId="0" fontId="5" fillId="0" borderId="4" xfId="0" applyNumberFormat="1" applyFont="1" applyFill="1" applyBorder="1" applyAlignment="1">
      <x:alignment wrapText="0"/>
    </x:xf>
    <x:xf numFmtId="0" fontId="5" fillId="0" borderId="2" xfId="0" applyNumberFormat="1" applyFont="1" applyFill="1" applyBorder="1" applyAlignment="1">
      <x:alignment vertical="top" wrapText="0"/>
    </x:xf>
    <x:xf numFmtId="0" fontId="5" fillId="0" borderId="3" xfId="0" applyNumberFormat="1" applyFont="1" applyFill="1" applyBorder="1" applyAlignment="1">
      <x:alignment vertical="top" wrapText="0"/>
    </x:xf>
    <x:xf numFmtId="0" fontId="5" fillId="0" borderId="4" xfId="0" applyNumberFormat="1" applyFont="1" applyFill="1" applyBorder="1" applyAlignment="1">
      <x:alignment vertical="top" wrapText="0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0"/>
    </x:xf>
    <x:xf numFmtId="200" fontId="5" fillId="0" borderId="3" xfId="0" applyNumberFormat="1" applyFont="1" applyFill="1" applyBorder="1" applyAlignment="1">
      <x:alignment vertical="top" wrapText="0"/>
    </x:xf>
    <x:xf numFmtId="200" fontId="5" fillId="0" borderId="4" xfId="0" applyNumberFormat="1" applyFont="1" applyFill="1" applyBorder="1" applyAlignment="1">
      <x:alignment vertical="top" wrapText="0"/>
    </x:xf>
    <x:xf numFmtId="201" fontId="5" fillId="0" borderId="2" xfId="0" applyNumberFormat="1" applyFont="1" applyFill="1" applyBorder="1" applyAlignment="1">
      <x:alignment vertical="top" wrapText="0"/>
    </x:xf>
    <x:xf numFmtId="201" fontId="5" fillId="0" borderId="3" xfId="0" applyNumberFormat="1" applyFont="1" applyFill="1" applyBorder="1" applyAlignment="1">
      <x:alignment vertical="top" wrapText="0"/>
    </x:xf>
    <x:xf numFmtId="201" fontId="5" fillId="0" borderId="4" xfId="0" applyNumberFormat="1" applyFont="1" applyFill="1" applyBorder="1" applyAlignment="1">
      <x:alignment vertical="top" wrapText="0"/>
    </x:xf>
    <x:xf numFmtId="202" fontId="5" fillId="0" borderId="2" xfId="0" applyNumberFormat="1" applyFont="1" applyFill="1" applyBorder="1" applyAlignment="1">
      <x:alignment vertical="top" wrapText="0"/>
    </x:xf>
    <x:xf numFmtId="202" fontId="5" fillId="0" borderId="3" xfId="0" applyNumberFormat="1" applyFont="1" applyFill="1" applyBorder="1" applyAlignment="1">
      <x:alignment vertical="top" wrapText="0"/>
    </x:xf>
    <x:xf numFmtId="202" fontId="5" fillId="0" borderId="4" xfId="0" applyNumberFormat="1" applyFont="1" applyFill="1" applyBorder="1" applyAlignment="1">
      <x:alignment vertical="top" wrapText="0"/>
    </x:xf>
    <x:xf numFmtId="203" fontId="4" fillId="0" borderId="2" xfId="0" applyNumberFormat="1" applyFont="1" applyFill="1" applyBorder="1" applyAlignment="1">
      <x:alignment vertical="top" wrapText="0"/>
    </x:xf>
    <x:xf numFmtId="203" fontId="4" fillId="0" borderId="3" xfId="0" applyNumberFormat="1" applyFont="1" applyFill="1" applyBorder="1" applyAlignment="1">
      <x:alignment vertical="top" wrapText="0"/>
    </x:xf>
    <x:xf numFmtId="203" fontId="4" fillId="0" borderId="4" xfId="0" applyNumberFormat="1" applyFont="1" applyFill="1" applyBorder="1" applyAlignment="1">
      <x:alignment vertical="top" wrapText="0"/>
    </x:xf>
    <x:xf numFmtId="204" fontId="4" fillId="0" borderId="2" xfId="0" applyNumberFormat="1" applyFont="1" applyFill="1" applyBorder="1" applyAlignment="1">
      <x:alignment vertical="top" wrapText="0"/>
    </x:xf>
    <x:xf numFmtId="204" fontId="4" fillId="0" borderId="3" xfId="0" applyNumberFormat="1" applyFont="1" applyFill="1" applyBorder="1" applyAlignment="1">
      <x:alignment vertical="top" wrapText="0"/>
    </x:xf>
    <x:xf numFmtId="204" fontId="4" fillId="0" borderId="4" xfId="0" applyNumberFormat="1" applyFont="1" applyFill="1" applyBorder="1" applyAlignment="1">
      <x:alignment vertical="top" wrapText="0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200" fontId="7" fillId="6" borderId="5" xfId="0" applyNumberFormat="1" applyFont="1" applyFill="1" applyBorder="1"/>
    <x:xf numFmtId="200" fontId="7" fillId="6" borderId="6" xfId="0" applyNumberFormat="1" applyFont="1" applyFill="1" applyBorder="1"/>
    <x:xf numFmtId="200" fontId="7" fillId="6" borderId="7" xfId="0" applyNumberFormat="1" applyFont="1" applyFill="1" applyBorder="1"/>
    <x:xf numFmtId="200" fontId="7" fillId="6" borderId="8" xfId="0" applyNumberFormat="1" applyFont="1" applyFill="1" applyBorder="1"/>
    <x:xf numFmtId="200" fontId="7" fillId="6" borderId="0" xfId="0" applyNumberFormat="1" applyFont="1" applyFill="1" applyBorder="1"/>
    <x:xf numFmtId="200" fontId="7" fillId="6" borderId="9" xfId="0" applyNumberFormat="1" applyFont="1" applyFill="1" applyBorder="1"/>
    <x:xf numFmtId="200" fontId="7" fillId="6" borderId="10" xfId="0" applyNumberFormat="1" applyFont="1" applyFill="1" applyBorder="1"/>
    <x:xf numFmtId="200" fontId="7" fillId="6" borderId="11" xfId="0" applyNumberFormat="1" applyFont="1" applyFill="1" applyBorder="1"/>
    <x:xf numFmtId="200" fontId="7" fillId="6" borderId="12" xfId="0" applyNumberFormat="1" applyFont="1" applyFill="1" applyBorder="1"/>
    <x:xf numFmtId="200" fontId="7" fillId="6" borderId="5" xfId="0" applyNumberFormat="1" applyFont="1" applyFill="1" applyBorder="1" applyAlignment="1">
      <x:alignment horizontal="center"/>
    </x:xf>
    <x:xf numFmtId="200" fontId="7" fillId="6" borderId="6" xfId="0" applyNumberFormat="1" applyFont="1" applyFill="1" applyBorder="1" applyAlignment="1">
      <x:alignment horizontal="center"/>
    </x:xf>
    <x:xf numFmtId="200" fontId="7" fillId="6" borderId="7" xfId="0" applyNumberFormat="1" applyFont="1" applyFill="1" applyBorder="1" applyAlignment="1">
      <x:alignment horizontal="center"/>
    </x:xf>
    <x:xf numFmtId="200" fontId="7" fillId="6" borderId="8" xfId="0" applyNumberFormat="1" applyFont="1" applyFill="1" applyBorder="1" applyAlignment="1">
      <x:alignment horizontal="center"/>
    </x:xf>
    <x:xf numFmtId="200" fontId="7" fillId="6" borderId="0" xfId="0" applyNumberFormat="1" applyFont="1" applyFill="1" applyBorder="1" applyAlignment="1">
      <x:alignment horizontal="center"/>
    </x:xf>
    <x:xf numFmtId="200" fontId="7" fillId="6" borderId="9" xfId="0" applyNumberFormat="1" applyFont="1" applyFill="1" applyBorder="1" applyAlignment="1">
      <x:alignment horizontal="center"/>
    </x:xf>
    <x:xf numFmtId="200" fontId="7" fillId="6" borderId="10" xfId="0" applyNumberFormat="1" applyFont="1" applyFill="1" applyBorder="1" applyAlignment="1">
      <x:alignment horizontal="center"/>
    </x:xf>
    <x:xf numFmtId="200" fontId="7" fillId="6" borderId="11" xfId="0" applyNumberFormat="1" applyFont="1" applyFill="1" applyBorder="1" applyAlignment="1">
      <x:alignment horizontal="center"/>
    </x:xf>
    <x:xf numFmtId="200" fontId="7" fillId="6" borderId="12" xfId="0" applyNumberFormat="1" applyFont="1" applyFill="1" applyBorder="1" applyAlignment="1">
      <x:alignment horizontal="center"/>
    </x:xf>
    <x:xf numFmtId="200" fontId="7" fillId="6" borderId="5" xfId="0" applyNumberFormat="1" applyFont="1" applyFill="1" applyBorder="1" applyAlignment="1">
      <x:alignment horizontal="center" vertical="center"/>
    </x:xf>
    <x:xf numFmtId="200" fontId="7" fillId="6" borderId="6" xfId="0" applyNumberFormat="1" applyFont="1" applyFill="1" applyBorder="1" applyAlignment="1">
      <x:alignment horizontal="center" vertical="center"/>
    </x:xf>
    <x:xf numFmtId="200" fontId="7" fillId="6" borderId="7" xfId="0" applyNumberFormat="1" applyFont="1" applyFill="1" applyBorder="1" applyAlignment="1">
      <x:alignment horizontal="center" vertical="center"/>
    </x:xf>
    <x:xf numFmtId="200" fontId="7" fillId="6" borderId="8" xfId="0" applyNumberFormat="1" applyFont="1" applyFill="1" applyBorder="1" applyAlignment="1">
      <x:alignment horizontal="center" vertical="center"/>
    </x:xf>
    <x:xf numFmtId="200" fontId="7" fillId="6" borderId="0" xfId="0" applyNumberFormat="1" applyFont="1" applyFill="1" applyBorder="1" applyAlignment="1">
      <x:alignment horizontal="center" vertical="center"/>
    </x:xf>
    <x:xf numFmtId="200" fontId="7" fillId="6" borderId="9" xfId="0" applyNumberFormat="1" applyFont="1" applyFill="1" applyBorder="1" applyAlignment="1">
      <x:alignment horizontal="center" vertical="center"/>
    </x:xf>
    <x:xf numFmtId="200" fontId="7" fillId="6" borderId="10" xfId="0" applyNumberFormat="1" applyFont="1" applyFill="1" applyBorder="1" applyAlignment="1">
      <x:alignment horizontal="center" vertical="center"/>
    </x:xf>
    <x:xf numFmtId="200" fontId="7" fillId="6" borderId="11" xfId="0" applyNumberFormat="1" applyFont="1" applyFill="1" applyBorder="1" applyAlignment="1">
      <x:alignment horizontal="center" vertical="center"/>
    </x:xf>
    <x:xf numFmtId="200" fontId="7" fillId="6" borderId="12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0"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B7791F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57482"/>
      </x:font>
      <x:fill>
        <x:patternFill patternType="solid">
          <x:bgColor rgb="FFF4F6F8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B7791F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57482"/>
      </x:font>
      <x:fill>
        <x:patternFill patternType="solid">
          <x:bgColor rgb="FFF4F6F8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B7791F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57482"/>
      </x:font>
      <x:fill>
        <x:patternFill patternType="solid">
          <x:bgColor rgb="FFF4F6F8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B7791F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57482"/>
      </x:font>
      <x:fill>
        <x:patternFill patternType="solid">
          <x:bgColor rgb="FFF4F6F8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B7791F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57482"/>
      </x:font>
      <x:fill>
        <x:patternFill patternType="solid">
          <x:bgColor rgb="FFF4F6F8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  <x:dxf>
      <x:font>
        <x:b/>
        <x:color rgb="FF3D7D58"/>
      </x:font>
      <x:fill>
        <x:patternFill patternType="solid">
          <x:bgColor rgb="FFEAF4EC"/>
        </x:patternFill>
      </x:fill>
    </x:dxf>
    <x:dxf>
      <x:font>
        <x:b/>
        <x:color rgb="FFB7791F"/>
      </x:font>
      <x:fill>
        <x:patternFill patternType="solid">
          <x:bgColor rgb="FFFFF3D6"/>
        </x:patternFill>
      </x:fill>
    </x:dxf>
    <x:dxf>
      <x:font>
        <x:b/>
        <x:color rgb="FF285D7B"/>
      </x:font>
      <x:fill>
        <x:patternFill patternType="solid">
          <x:bgColor rgb="FFEAF2F7"/>
        </x:patternFill>
      </x:fill>
    </x:dxf>
    <x:dxf>
      <x:font>
        <x:b/>
        <x:color rgb="FF657482"/>
      </x:font>
      <x:fill>
        <x:patternFill patternType="solid">
          <x:bgColor rgb="FFF4F6F8"/>
        </x:patternFill>
      </x:fill>
    </x:dxf>
    <x:dxf>
      <x:font>
        <x:b/>
        <x:color rgb="FFB42318"/>
      </x:font>
      <x:fill>
        <x:patternFill patternType="solid">
          <x:bgColor rgb="FFFDEB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21994c6544d41" /><Relationship Type="http://schemas.openxmlformats.org/officeDocument/2006/relationships/theme" Target="/xl/theme/theme1.xml" Id="Rf55b7c3f5cf541dc" /><Relationship Type="http://schemas.openxmlformats.org/officeDocument/2006/relationships/sharedStrings" Target="/xl/sharedStrings.xml" Id="R1cea47ec11344090" /><Relationship Type="http://schemas.openxmlformats.org/officeDocument/2006/relationships/worksheet" Target="/xl/worksheets/sheet1.xml" Id="Rd158c6d55f4843e2" /><Relationship Type="http://schemas.openxmlformats.org/officeDocument/2006/relationships/worksheet" Target="/xl/worksheets/sheet2.xml" Id="R58c2823e4ef443ce" /><Relationship Type="http://schemas.openxmlformats.org/officeDocument/2006/relationships/worksheet" Target="/xl/worksheets/sheet3.xml" Id="Rf42718b5cf464b5e" /><Relationship Type="http://schemas.openxmlformats.org/officeDocument/2006/relationships/worksheet" Target="/xl/worksheets/sheet4.xml" Id="Ra85ca6c13d6e44e3" /><Relationship Type="http://schemas.openxmlformats.org/officeDocument/2006/relationships/worksheet" Target="/xl/worksheets/sheet5.xml" Id="R404233b92ef246e4" /><Relationship Type="http://schemas.openxmlformats.org/officeDocument/2006/relationships/worksheet" Target="/xl/worksheets/sheet6.xml" Id="Rad834605360f4d43" /><Relationship Type="http://schemas.openxmlformats.org/officeDocument/2006/relationships/worksheet" Target="/xl/worksheets/sheet7.xml" Id="R3814d0b02bd140d9" /><Relationship Type="http://schemas.microsoft.com/office/2017/10/relationships/person" Target="/xl/persons/person.xml" Id="Rf365f32c553645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b47c7c3c3e4c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국가별 최고 사업등급 (국가수)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국가수</c:v>
          </c:tx>
          <c:cat>
            <c:strRef>
              <c:f>'판정요약'!$A$15:$A$17</c:f>
              <c:strCache>
                <c:ptCount val="0"/>
              </c:strCache>
            </c:strRef>
          </c:cat>
          <c:val>
            <c:numRef>
              <c:f>'판정요약'!$B$15:$B$17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b47c7c3c3e4c5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1C1B3092-77BE-4CB2-8F06-46C1AC202FCC}"/>
</xltc:personList>
</file>

<file path=xl/tables/table1.xml><?xml version="1.0" encoding="utf-8"?>
<x:table xmlns:x="http://schemas.openxmlformats.org/spreadsheetml/2006/main" id="2" name="KOICACountryReadiness" displayName="KOICACountryReadiness" ref="A4:L43" headerRowCount="1" totalsRowCount="0" totalsRowShown="0">
  <x:tableColumns count="12">
    <x:tableColumn id="1" name="국가"/>
    <x:tableColumn id="2" name="최고 사업등급"/>
    <x:tableColumn id="3" name="프로젝트수"/>
    <x:tableColumn id="4" name="A"/>
    <x:tableColumn id="5" name="B"/>
    <x:tableColumn id="6" name="C묶음"/>
    <x:tableColumn id="7" name="C잠정"/>
    <x:tableColumn id="8" name="U"/>
    <x:tableColumn id="9" name="연결공고"/>
    <x:tableColumn id="10" name="색인첨부"/>
    <x:tableColumn id="11" name="표본충분성"/>
    <x:tableColumn id="12" name="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KOICAPriorityProjects" displayName="KOICAPriorityProjects" ref="A4:L12" headerRowCount="1" totalsRowCount="0" totalsRowShown="0">
  <x:tableColumns count="12">
    <x:tableColumn id="1" name="등급"/>
    <x:tableColumn id="2" name="기술상태"/>
    <x:tableColumn id="3" name="국가"/>
    <x:tableColumn id="4" name="사업번호"/>
    <x:tableColumn id="5" name="사업명"/>
    <x:tableColumn id="6" name="범위"/>
    <x:tableColumn id="7" name="가격단계"/>
    <x:tableColumn id="8" name="검증금액"/>
    <x:tableColumn id="9" name="통화"/>
    <x:tableColumn id="10" name="검증금액/㎡"/>
    <x:tableColumn id="11" name="차단요인"/>
    <x:tableColumn id="12" name="다음조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KOICAProjectGrades" displayName="KOICAProjectGrades" ref="A4:AJ100" headerRowCount="1" totalsRowCount="0" totalsRowShown="0">
  <x:tableColumns count="36">
    <x:tableColumn id="1" name="프로젝트 최고등급"/>
    <x:tableColumn id="2" name="기술상태"/>
    <x:tableColumn id="3" name="국가"/>
    <x:tableColumn id="4" name="사업번호"/>
    <x:tableColumn id="5" name="대표 공식기록명"/>
    <x:tableColumn id="6" name="대표 공사공고명"/>
    <x:tableColumn id="7" name="공사범위"/>
    <x:tableColumn id="8" name="가격단계"/>
    <x:tableColumn id="9" name="검증수준"/>
    <x:tableColumn id="10" name="후보레코드수"/>
    <x:tableColumn id="11" name="연결공고수"/>
    <x:tableColumn id="12" name="색인첨부수"/>
    <x:tableColumn id="13" name="공사첨부수"/>
    <x:tableColumn id="14" name="고유첨부수"/>
    <x:tableColumn id="15" name="스프레드시트수"/>
    <x:tableColumn id="16" name="BOQ명칭파일수"/>
    <x:tableColumn id="17" name="수량표파일수"/>
    <x:tableColumn id="18" name="가격표파일수"/>
    <x:tableColumn id="19" name="최대수량행"/>
    <x:tableColumn id="20" name="최대가격행"/>
    <x:tableColumn id="21" name="GFA 값"/>
    <x:tableColumn id="22" name="직접산정"/>
    <x:tableColumn id="23" name="현지단가필요"/>
    <x:tableColumn id="24" name="스크리닝만"/>
    <x:tableColumn id="25" name="표본가중치"/>
    <x:tableColumn id="26" name="검증금액"/>
    <x:tableColumn id="27" name="통화"/>
    <x:tableColumn id="28" name="검증금액/㎡"/>
    <x:tableColumn id="29" name="검증 품목메모"/>
    <x:tableColumn id="30" name="근거파일"/>
    <x:tableColumn id="31" name="근거위치"/>
    <x:tableColumn id="32" name="차단요인"/>
    <x:tableColumn id="33" name="다음조치"/>
    <x:tableColumn id="34" name="검토상태"/>
    <x:tableColumn id="35" name="연결공고번호"/>
    <x:tableColumn id="36" name="해석경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OICAOfficial127Audit" displayName="KOICAOfficial127Audit" ref="A4:AF131" headerRowCount="1" totalsRowCount="0" totalsRowShown="0">
  <x:tableColumns count="32">
    <x:tableColumn id="1" name="순번"/>
    <x:tableColumn id="2" name="프로젝트등급"/>
    <x:tableColumn id="3" name="기술상태"/>
    <x:tableColumn id="4" name="기록비용상태"/>
    <x:tableColumn id="5" name="국가"/>
    <x:tableColumn id="6" name="원천데이터"/>
    <x:tableColumn id="7" name="원천레코드ID"/>
    <x:tableColumn id="8" name="원사업번호"/>
    <x:tableColumn id="9" name="유효사업번호"/>
    <x:tableColumn id="10" name="연결방법"/>
    <x:tableColumn id="11" name="연결점수"/>
    <x:tableColumn id="12" name="조달구분"/>
    <x:tableColumn id="13" name="기록명"/>
    <x:tableColumn id="14" name="공사범위"/>
    <x:tableColumn id="15" name="금액통화"/>
    <x:tableColumn id="16" name="금액"/>
    <x:tableColumn id="17" name="금액역할"/>
    <x:tableColumn id="18" name="연면적㎡"/>
    <x:tableColumn id="19" name="계획원단위 KRW/㎡"/>
    <x:tableColumn id="20" name="연결공고수"/>
    <x:tableColumn id="21" name="연결공고"/>
    <x:tableColumn id="22" name="색인첨부수"/>
    <x:tableColumn id="23" name="스프레드시트수"/>
    <x:tableColumn id="24" name="BOQ명칭파일수"/>
    <x:tableColumn id="25" name="수량표파일수"/>
    <x:tableColumn id="26" name="가격표파일수"/>
    <x:tableColumn id="27" name="검증금액"/>
    <x:tableColumn id="28" name="검증통화"/>
    <x:tableColumn id="29" name="검증금액/㎡"/>
    <x:tableColumn id="30" name="근거파일"/>
    <x:tableColumn id="31" name="차단요인"/>
    <x:tableColumn id="32" name="공식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OICAAttachmentAudit" displayName="KOICAAttachmentAudit" ref="A4:T1646" headerRowCount="1" totalsRowCount="0" totalsRowShown="0">
  <x:tableColumns count="20">
    <x:tableColumn id="1" name="사업키"/>
    <x:tableColumn id="2" name="공고번호"/>
    <x:tableColumn id="3" name="계약구분"/>
    <x:tableColumn id="4" name="공고명"/>
    <x:tableColumn id="5" name="공사비관련공고"/>
    <x:tableColumn id="6" name="확장자"/>
    <x:tableColumn id="7" name="원본파일"/>
    <x:tableColumn id="8" name="바이트"/>
    <x:tableColumn id="9" name="SHA-256"/>
    <x:tableColumn id="10" name="중복스캔재사용"/>
    <x:tableColumn id="11" name="BOQ명칭후보"/>
    <x:tableColumn id="12" name="blank/unpriced"/>
    <x:tableColumn id="13" name="검출표수"/>
    <x:tableColumn id="14" name="최대수량행"/>
    <x:tableColumn id="15" name="최대가격행"/>
    <x:tableColumn id="16" name="가격행비율"/>
    <x:tableColumn id="17" name="강한가격표"/>
    <x:tableColumn id="18" name="대표시트"/>
    <x:tableColumn id="19" name="시트상태"/>
    <x:tableColumn id="20" name="스캔오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ef78b5509c42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95d4ee45e049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5233db98094c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785d118a1e43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d6c31798ca48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55d9510ee849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0" hidden="0" customWidth="1"/>
    <x:col min="12" max="12" width="22" hidden="0" customWidth="1"/>
  </x:cols>
  <x:sheetData>
    <x:row r="1" ht="34" customHeight="1">
      <x:c r="A1" s="3" t="str">
        <x:v>KOICA 건축후보 127건 일괄검사 판정</x:v>
      </x:c>
    </x:row>
    <x:row r="2" ht="38" customHeight="1">
      <x:c r="A2" s="7" t="str">
        <x:v>결론: KOICA-only 직접 설계견적 A는 2사업, 수량 BOQ B는 6사업입니다. 127행을 127개 비용표본으로 세면 안 되며, 국가단가를 만들기에는 A 표본이 부족합니다.</x:v>
      </x:c>
    </x:row>
    <x:row r="4">
      <x:c r="A4" s="72" t="str">
        <x:v>공식 후보 레코드</x:v>
      </x:c>
      <x:c r="B4" s="72"/>
      <x:c r="C4" s="72"/>
      <x:c r="D4" s="113" t="str">
        <x:v>고유 프로젝트 묶음</x:v>
      </x:c>
      <x:c r="E4" s="113"/>
      <x:c r="F4" s="113"/>
      <x:c r="G4" s="118" t="str">
        <x:v>A 직접설계견적</x:v>
      </x:c>
      <x:c r="H4" s="118"/>
      <x:c r="I4" s="118"/>
      <x:c r="J4" s="123" t="str">
        <x:v>B 수량BOQ</x:v>
      </x:c>
      <x:c r="K4" s="123"/>
      <x:c r="L4" s="123"/>
    </x:row>
    <x:row r="5">
      <x:c r="A5" s="101" t="n">
        <x:f>COUNTA('127건 원기록'!$G$5:$G$131)</x:f>
        <x:v>127</x:v>
      </x:c>
      <x:c r="B5" s="102"/>
      <x:c r="C5" s="103"/>
      <x:c r="D5" s="101" t="n">
        <x:f>COUNTA('프로젝트 등급'!$A$5:$A$100)</x:f>
        <x:v>96</x:v>
      </x:c>
      <x:c r="E5" s="102"/>
      <x:c r="F5" s="103"/>
      <x:c r="G5" s="101" t="n">
        <x:f>COUNTIF('프로젝트 등급'!$A$5:$A$100,"A")</x:f>
        <x:v>2</x:v>
      </x:c>
      <x:c r="H5" s="102"/>
      <x:c r="I5" s="103"/>
      <x:c r="J5" s="101" t="n">
        <x:f>COUNTIF('프로젝트 등급'!$A$5:$A$100,"B")</x:f>
        <x:v>6</x:v>
      </x:c>
      <x:c r="K5" s="102"/>
      <x:c r="L5" s="103"/>
    </x:row>
    <x:row r="6">
      <x:c r="A6" s="104"/>
      <x:c r="B6" s="105"/>
      <x:c r="C6" s="106"/>
      <x:c r="D6" s="104"/>
      <x:c r="E6" s="105"/>
      <x:c r="F6" s="106"/>
      <x:c r="G6" s="104"/>
      <x:c r="H6" s="105"/>
      <x:c r="I6" s="106"/>
      <x:c r="J6" s="104"/>
      <x:c r="K6" s="105"/>
      <x:c r="L6" s="106"/>
    </x:row>
    <x:row r="7">
      <x:c r="A7" s="107"/>
      <x:c r="B7" s="108"/>
      <x:c r="C7" s="109"/>
      <x:c r="D7" s="107"/>
      <x:c r="E7" s="108"/>
      <x:c r="F7" s="109"/>
      <x:c r="G7" s="107"/>
      <x:c r="H7" s="108"/>
      <x:c r="I7" s="109"/>
      <x:c r="J7" s="107"/>
      <x:c r="K7" s="108"/>
      <x:c r="L7" s="109"/>
    </x:row>
    <x:row r="9">
      <x:c r="A9" s="72" t="str">
        <x:v>C 잠정 원단위</x:v>
      </x:c>
      <x:c r="B9" s="72"/>
      <x:c r="C9" s="72"/>
      <x:c r="D9" s="128" t="str">
        <x:v>U 직접근거 부족</x:v>
      </x:c>
      <x:c r="E9" s="128"/>
      <x:c r="F9" s="128"/>
      <x:c r="G9" s="113" t="str">
        <x:v>현재 연결공고</x:v>
      </x:c>
      <x:c r="H9" s="113"/>
      <x:c r="I9" s="113"/>
      <x:c r="J9" s="132" t="str">
        <x:v>첨부·중첩 색인파일</x:v>
      </x:c>
      <x:c r="K9" s="132"/>
      <x:c r="L9" s="132"/>
    </x:row>
    <x:row r="10">
      <x:c r="A10" s="101" t="n">
        <x:f>COUNTIF('프로젝트 등급'!$B$5:$B$100,"C?")</x:f>
        <x:v>3</x:v>
      </x:c>
      <x:c r="B10" s="102"/>
      <x:c r="C10" s="103"/>
      <x:c r="D10" s="101" t="n">
        <x:f>COUNTIF('프로젝트 등급'!$B$5:$B$100,"U")</x:f>
        <x:v>85</x:v>
      </x:c>
      <x:c r="E10" s="102"/>
      <x:c r="F10" s="103"/>
      <x:c r="G10" s="101" t="n">
        <x:f>'등급기준·한계'!B40</x:f>
        <x:v>98</x:v>
      </x:c>
      <x:c r="H10" s="102"/>
      <x:c r="I10" s="103"/>
      <x:c r="J10" s="101" t="n">
        <x:f>COUNTA('첨부검사'!$G$5:$G$1646)</x:f>
        <x:v>1642</x:v>
      </x:c>
      <x:c r="K10" s="102"/>
      <x:c r="L10" s="103"/>
    </x:row>
    <x:row r="11">
      <x:c r="A11" s="104"/>
      <x:c r="B11" s="105"/>
      <x:c r="C11" s="106"/>
      <x:c r="D11" s="104"/>
      <x:c r="E11" s="105"/>
      <x:c r="F11" s="106"/>
      <x:c r="G11" s="104"/>
      <x:c r="H11" s="105"/>
      <x:c r="I11" s="106"/>
      <x:c r="J11" s="104"/>
      <x:c r="K11" s="105"/>
      <x:c r="L11" s="106"/>
    </x:row>
    <x:row r="12">
      <x:c r="A12" s="107"/>
      <x:c r="B12" s="108"/>
      <x:c r="C12" s="109"/>
      <x:c r="D12" s="107"/>
      <x:c r="E12" s="108"/>
      <x:c r="F12" s="109"/>
      <x:c r="G12" s="107"/>
      <x:c r="H12" s="108"/>
      <x:c r="I12" s="109"/>
      <x:c r="J12" s="107"/>
      <x:c r="K12" s="108"/>
      <x:c r="L12" s="109"/>
    </x:row>
    <x:row r="14" ht="30" customHeight="1">
      <x:c r="A14" s="13" t="str">
        <x:v>국가 최고등급</x:v>
      </x:c>
      <x:c r="B14" s="13" t="str">
        <x:v>국가수</x:v>
      </x:c>
      <x:c r="J14" s="13" t="str">
        <x:v>프로젝트 상태</x:v>
      </x:c>
      <x:c r="K14" s="13" t="str">
        <x:v>수</x:v>
      </x:c>
      <x:c r="L14" s="13" t="str">
        <x:v>뜻</x:v>
      </x:c>
    </x:row>
    <x:row r="15">
      <x:c r="A15" s="43" t="str">
        <x:v>A</x:v>
      </x:c>
      <x:c r="B15" s="43" t="n">
        <x:f>COUNTIF('국가별 준비도'!$B$5:$B$43,A15)</x:f>
        <x:v>2</x:v>
      </x:c>
      <x:c r="J15" s="46" t="str">
        <x:v>A</x:v>
      </x:c>
      <x:c r="K15" s="46" t="n">
        <x:f>COUNTIF('프로젝트 등급'!$A$5:$A$100,"A")</x:f>
        <x:v>2</x:v>
      </x:c>
      <x:c r="L15" s="46" t="str">
        <x:v>직접 설계견적</x:v>
      </x:c>
    </x:row>
    <x:row r="16">
      <x:c r="A16" s="44" t="str">
        <x:v>B</x:v>
      </x:c>
      <x:c r="B16" s="44" t="n">
        <x:f>COUNTIF('국가별 준비도'!$B$5:$B$43,A16)</x:f>
        <x:v>5</x:v>
      </x:c>
      <x:c r="J16" s="47" t="str">
        <x:v>B</x:v>
      </x:c>
      <x:c r="K16" s="47" t="n">
        <x:f>COUNTIF('프로젝트 등급'!$A$5:$A$100,"B")</x:f>
        <x:v>6</x:v>
      </x:c>
      <x:c r="L16" s="47" t="str">
        <x:v>현지단가 필요</x:v>
      </x:c>
    </x:row>
    <x:row r="17">
      <x:c r="A17" s="45" t="str">
        <x:v>C</x:v>
      </x:c>
      <x:c r="B17" s="45" t="n">
        <x:f>COUNTIF('국가별 준비도'!$B$5:$B$43,A17)</x:f>
        <x:v>32</x:v>
      </x:c>
      <x:c r="J17" s="47" t="str">
        <x:v>C?</x:v>
      </x:c>
      <x:c r="K17" s="47" t="n">
        <x:f>COUNTIF('프로젝트 등급'!$B$5:$B$100,"C?")</x:f>
        <x:v>3</x:v>
      </x:c>
      <x:c r="L17" s="47" t="str">
        <x:v>초기 원단위</x:v>
      </x:c>
    </x:row>
    <x:row r="18">
      <x:c r="J18" s="48" t="str">
        <x:v>U</x:v>
      </x:c>
      <x:c r="K18" s="48" t="n">
        <x:f>COUNTIF('프로젝트 등급'!$B$5:$B$100,"U")</x:f>
        <x:v>85</x:v>
      </x:c>
      <x:c r="L18" s="48" t="str">
        <x:v>추가확인</x:v>
      </x:c>
    </x:row>
    <x:row r="29" ht="25" customHeight="1">
      <x:c r="A29" s="66" t="str">
        <x:v>핵심 판정</x:v>
      </x:c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</x:row>
    <x:row r="30" ht="28" customHeight="1">
      <x:c r="A30" s="140" t="str">
        <x:v>• A 2사업: 가나 설계·집행예산 USD 4.333m(전체), 이라크 IKHCC USD 8.373m(건축 Bill 부분)</x:v>
      </x:c>
      <x:c r="B30" s="140"/>
      <x:c r="C30" s="140"/>
      <x:c r="D30" s="140"/>
      <x:c r="E30" s="140"/>
      <x:c r="F30" s="140"/>
      <x:c r="G30" s="140"/>
      <x:c r="H30" s="140"/>
      <x:c r="I30" s="140"/>
      <x:c r="J30" s="140"/>
      <x:c r="K30" s="140"/>
      <x:c r="L30" s="140"/>
    </x:row>
    <x:row r="31" ht="28" customHeight="1">
      <x:c r="A31" s="141" t="str">
        <x:v>• B 6사업: 볼리비아·도미니카공화국·우즈베키스탄·이라크 자이툰·캄보디아·피지</x:v>
      </x:c>
      <x:c r="B31" s="141"/>
      <x:c r="C31" s="141"/>
      <x:c r="D31" s="141"/>
      <x:c r="E31" s="141"/>
      <x:c r="F31" s="141"/>
      <x:c r="G31" s="141"/>
      <x:c r="H31" s="141"/>
      <x:c r="I31" s="141"/>
      <x:c r="J31" s="141"/>
      <x:c r="K31" s="141"/>
      <x:c r="L31" s="141"/>
    </x:row>
    <x:row r="32" ht="28" customHeight="1">
      <x:c r="A32" s="141" t="str">
        <x:v>• C 잠정 3사업: 인도네시아 2개와 키르기스스탄 1개; BOQ 확인 전 계획한도÷GFA 스크리닝만</x:v>
      </x:c>
      <x:c r="B32" s="141"/>
      <x:c r="C32" s="141"/>
      <x:c r="D32" s="141"/>
      <x:c r="E32" s="141"/>
      <x:c r="F32" s="141"/>
      <x:c r="G32" s="141"/>
      <x:c r="H32" s="141"/>
      <x:c r="I32" s="141"/>
      <x:c r="J32" s="141"/>
      <x:c r="K32" s="141"/>
      <x:c r="L32" s="141"/>
    </x:row>
    <x:row r="33" ht="28" customHeight="1">
      <x:c r="A33" s="141" t="str">
        <x:v>• 가나와 이라크도 가격 있는 고유 프로젝트가 각 1개뿐이므로 국가 대표단가를 만들기에는 부족</x:v>
      </x:c>
      <x:c r="B33" s="141"/>
      <x:c r="C33" s="141"/>
      <x:c r="D33" s="141"/>
      <x:c r="E33" s="141"/>
      <x:c r="F33" s="141"/>
      <x:c r="G33" s="141"/>
      <x:c r="H33" s="141"/>
      <x:c r="I33" s="141"/>
      <x:c r="J33" s="141"/>
      <x:c r="K33" s="141"/>
      <x:c r="L33" s="141"/>
    </x:row>
    <x:row r="34" ht="28" customHeight="1">
      <x:c r="A34" s="142" t="str">
        <x:v>• 우간다 기존 B 사례 2019-00005는 공식 127행 밖이므로 이번 집계에서 제외</x:v>
      </x:c>
      <x:c r="B34" s="142"/>
      <x:c r="C34" s="142"/>
      <x:c r="D34" s="142"/>
      <x:c r="E34" s="142"/>
      <x:c r="F34" s="142"/>
      <x:c r="G34" s="142"/>
      <x:c r="H34" s="142"/>
      <x:c r="I34" s="142"/>
      <x:c r="J34" s="142"/>
      <x:c r="K34" s="142"/>
      <x:c r="L34" s="142"/>
    </x:row>
    <x:row r="36" ht="25" customHeight="1">
      <x:c r="A36" s="13" t="str">
        <x:v>첨부 도달 단계</x:v>
      </x:c>
      <x:c r="B36" s="13" t="str">
        <x:v>레코드</x:v>
      </x:c>
      <x:c r="C36" s="13" t="str">
        <x:v>프로젝트</x:v>
      </x:c>
      <x:c r="D36" s="13" t="str">
        <x:v>국가</x:v>
      </x:c>
      <x:c r="E36" s="13" t="str">
        <x:v>공고</x:v>
      </x:c>
      <x:c r="F36" s="13" t="str">
        <x:v>파일</x:v>
      </x:c>
      <x:c r="H36" s="145" t="str">
        <x:v>해석 경계</x:v>
      </x:c>
      <x:c r="I36" s="145"/>
      <x:c r="J36" s="145"/>
      <x:c r="K36" s="145"/>
      <x:c r="L36" s="145"/>
    </x:row>
    <x:row r="37" ht="28" customHeight="1">
      <x:c r="A37" s="43" t="str">
        <x:v>공식 후보</x:v>
      </x:c>
      <x:c r="B37" s="49" t="n">
        <x:f>'등급기준·한계'!B34</x:f>
        <x:v>127</x:v>
      </x:c>
      <x:c r="C37" s="49" t="n">
        <x:f>'등급기준·한계'!B35</x:f>
        <x:v>96</x:v>
      </x:c>
      <x:c r="D37" s="49" t="n">
        <x:f>'등급기준·한계'!B36</x:f>
        <x:v>39</x:v>
      </x:c>
      <x:c r="E37" s="49"/>
      <x:c r="F37" s="49"/>
      <x:c r="H37" s="46" t="str">
        <x:v>A는 설계견적 산정능력이며 계약·준공 실적을 뜻하지 않습니다.</x:v>
      </x:c>
      <x:c r="I37" s="46"/>
      <x:c r="J37" s="46"/>
      <x:c r="K37" s="46"/>
      <x:c r="L37" s="46"/>
    </x:row>
    <x:row r="38" ht="28" customHeight="1">
      <x:c r="A38" s="44" t="str">
        <x:v>현재 공고 연결</x:v>
      </x:c>
      <x:c r="B38" s="50" t="n">
        <x:f>'등급기준·한계'!B37</x:f>
        <x:v>66</x:v>
      </x:c>
      <x:c r="C38" s="50" t="n">
        <x:f>'등급기준·한계'!B38</x:f>
        <x:v>40</x:v>
      </x:c>
      <x:c r="D38" s="50" t="n">
        <x:f>'등급기준·한계'!B39</x:f>
        <x:v>21</x:v>
      </x:c>
      <x:c r="E38" s="50" t="n">
        <x:f>'등급기준·한계'!B40</x:f>
        <x:v>98</x:v>
      </x:c>
      <x:c r="F38" s="50"/>
      <x:c r="H38" s="47" t="str">
        <x:v>B는 수량 기반 템플릿으로, 현지단가 없이는 금액을 확정할 수 없습니다.</x:v>
      </x:c>
      <x:c r="I38" s="47"/>
      <x:c r="J38" s="47"/>
      <x:c r="K38" s="47"/>
      <x:c r="L38" s="47"/>
    </x:row>
    <x:row r="39" ht="28" customHeight="1">
      <x:c r="A39" s="45" t="str">
        <x:v>실제 첨부·색인</x:v>
      </x:c>
      <x:c r="B39" s="51" t="n">
        <x:f>'등급기준·한계'!B41</x:f>
        <x:v>57</x:v>
      </x:c>
      <x:c r="C39" s="51" t="n">
        <x:f>'등급기준·한계'!B42</x:f>
        <x:v>34</x:v>
      </x:c>
      <x:c r="D39" s="51" t="n">
        <x:f>'등급기준·한계'!B43</x:f>
        <x:v>19</x:v>
      </x:c>
      <x:c r="E39" s="51" t="n">
        <x:f>'등급기준·한계'!B44</x:f>
        <x:v>72</x:v>
      </x:c>
      <x:c r="F39" s="51" t="n">
        <x:f>'등급기준·한계'!B45</x:f>
        <x:v>1642</x:v>
      </x:c>
      <x:c r="H39" s="47" t="str">
        <x:v>C/U/X를 0원 또는 저비용으로 해석하지 않습니다.</x:v>
      </x:c>
      <x:c r="I39" s="47"/>
      <x:c r="J39" s="47"/>
      <x:c r="K39" s="47"/>
      <x:c r="L39" s="47"/>
    </x:row>
    <x:row r="40" ht="28" customHeight="1">
      <x:c r="H40" s="48" t="str">
        <x:v>국가 최고등급은 시설유형·지역·가격시점 전체를 대표하지 않습니다.</x:v>
      </x:c>
      <x:c r="I40" s="48"/>
      <x:c r="J40" s="48"/>
      <x:c r="K40" s="48"/>
      <x:c r="L40" s="48"/>
    </x:row>
  </x:sheetData>
  <x:mergeCells>
    <x:mergeCell ref="A1:L1"/>
    <x:mergeCell ref="A2:L2"/>
    <x:mergeCell ref="A4:C4"/>
    <x:mergeCell ref="A5:C7"/>
    <x:mergeCell ref="D4:F4"/>
    <x:mergeCell ref="D5:F7"/>
    <x:mergeCell ref="G4:I4"/>
    <x:mergeCell ref="G5:I7"/>
    <x:mergeCell ref="J4:L4"/>
    <x:mergeCell ref="J5:L7"/>
    <x:mergeCell ref="A9:C9"/>
    <x:mergeCell ref="A10:C12"/>
    <x:mergeCell ref="D9:F9"/>
    <x:mergeCell ref="D10:F12"/>
    <x:mergeCell ref="G9:I9"/>
    <x:mergeCell ref="G10:I12"/>
    <x:mergeCell ref="J9:L9"/>
    <x:mergeCell ref="J10:L12"/>
    <x:mergeCell ref="A29:L29"/>
    <x:mergeCell ref="A30:L30"/>
    <x:mergeCell ref="A31:L31"/>
    <x:mergeCell ref="A32:L32"/>
    <x:mergeCell ref="A33:L33"/>
    <x:mergeCell ref="A34:L34"/>
    <x:mergeCell ref="H36:L36"/>
    <x:mergeCell ref="H37:L37"/>
    <x:mergeCell ref="H38:L38"/>
    <x:mergeCell ref="H39:L39"/>
    <x:mergeCell ref="H40:L40"/>
  </x:mergeCells>
  <x:conditionalFormatting sqref="A15:A17">
    <x:cfRule type="beginsWith" dxfId="20" priority="1" operator="beginsWith" text="A"/>
    <x:cfRule type="beginsWith" dxfId="21" priority="2" operator="beginsWith" text="B"/>
    <x:cfRule type="beginsWith" dxfId="22" priority="3" operator="beginsWith" text="C"/>
    <x:cfRule type="beginsWith" dxfId="23" priority="4" operator="beginsWith" text="U"/>
    <x:cfRule type="beginsWith" dxfId="24" priority="5" operator="beginsWith" text="X"/>
  </x:conditionalFormatting>
  <x:conditionalFormatting sqref="J15:J18">
    <x:cfRule type="beginsWith" dxfId="25" priority="6" operator="beginsWith" text="A"/>
    <x:cfRule type="beginsWith" dxfId="26" priority="7" operator="beginsWith" text="B"/>
    <x:cfRule type="beginsWith" dxfId="27" priority="8" operator="beginsWith" text="C"/>
    <x:cfRule type="beginsWith" dxfId="28" priority="9" operator="beginsWith" text="U"/>
    <x:cfRule type="beginsWith" dxfId="29" priority="10" operator="beginsWith" text="X"/>
  </x:conditionalFormatting>
  <x:pageMargins left="0.7" right="0.7" top="0.75" bottom="0.75" header="0.3" footer="0.3"/>
  <x:drawing xmlns:r="http://schemas.openxmlformats.org/officeDocument/2006/relationships" r:id="Rfdef78b5509c42b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1" hidden="0" customWidth="1"/>
    <x:col min="4" max="4" width="8" hidden="0" customWidth="1"/>
    <x:col min="5" max="5" width="8" hidden="0" customWidth="1"/>
    <x:col min="6" max="6" width="10" hidden="0" customWidth="1"/>
    <x:col min="7" max="7" width="10" hidden="0" customWidth="1"/>
    <x:col min="8" max="8" width="8" hidden="0" customWidth="1"/>
    <x:col min="9" max="9" width="11" hidden="0" customWidth="1"/>
    <x:col min="10" max="10" width="11" hidden="0" customWidth="1"/>
    <x:col min="11" max="11" width="34" hidden="0" customWidth="1"/>
    <x:col min="12" max="12" width="38" hidden="0" customWidth="1"/>
  </x:cols>
  <x:sheetData>
    <x:row r="1" ht="34" customHeight="1">
      <x:c r="A1" s="3" t="str">
        <x:v>국가별 건축비 산정 준비도</x:v>
      </x:c>
    </x:row>
    <x:row r="2" ht="38" customHeight="1">
      <x:c r="A2" s="7" t="str">
        <x:v>최고등급은 그 국가에서 확인된 최소 1개 사업의 준비도입니다. 국가 대표단가 또는 충분한 국가표본을 뜻하지 않습니다.</x:v>
      </x:c>
    </x:row>
    <x:row r="4" ht="30" customHeight="1">
      <x:c r="A4" s="13" t="str">
        <x:v>국가</x:v>
      </x:c>
      <x:c r="B4" s="13" t="str">
        <x:v>최고 사업등급</x:v>
      </x:c>
      <x:c r="C4" s="13" t="str">
        <x:v>프로젝트수</x:v>
      </x:c>
      <x:c r="D4" s="13" t="str">
        <x:v>A</x:v>
      </x:c>
      <x:c r="E4" s="13" t="str">
        <x:v>B</x:v>
      </x:c>
      <x:c r="F4" s="13" t="str">
        <x:v>C묶음</x:v>
      </x:c>
      <x:c r="G4" s="13" t="str">
        <x:v>C잠정</x:v>
      </x:c>
      <x:c r="H4" s="13" t="str">
        <x:v>U</x:v>
      </x:c>
      <x:c r="I4" s="13" t="str">
        <x:v>연결공고</x:v>
      </x:c>
      <x:c r="J4" s="13" t="str">
        <x:v>색인첨부</x:v>
      </x:c>
      <x:c r="K4" s="13" t="str">
        <x:v>표본충분성</x:v>
      </x:c>
      <x:c r="L4" s="13" t="str">
        <x:v>해석</x:v>
      </x:c>
    </x:row>
    <x:row r="5">
      <x:c r="A5" s="43" t="str">
        <x:v>가나</x:v>
      </x:c>
      <x:c r="B5" s="43" t="str">
        <x:f>IF(D5&gt;0,"A",IF(E5&gt;0,"B","C"))</x:f>
        <x:v>A</x:v>
      </x:c>
      <x:c r="C5" s="49" t="n">
        <x:f>COUNTIF('프로젝트 등급'!$C$5:$C$100,A5)</x:f>
        <x:v>2</x:v>
      </x:c>
      <x:c r="D5" s="49" t="n">
        <x:f>COUNTIFS('프로젝트 등급'!$C$5:$C$100,A5,'프로젝트 등급'!$A$5:$A$100,"A")</x:f>
        <x:v>1</x:v>
      </x:c>
      <x:c r="E5" s="49" t="n">
        <x:f>COUNTIFS('프로젝트 등급'!$C$5:$C$100,A5,'프로젝트 등급'!$A$5:$A$100,"B")</x:f>
        <x:v>0</x:v>
      </x:c>
      <x:c r="F5" s="49" t="n">
        <x:f>COUNTIFS('프로젝트 등급'!$C$5:$C$100,A5,'프로젝트 등급'!$A$5:$A$100,"C")</x:f>
        <x:v>1</x:v>
      </x:c>
      <x:c r="G5" s="49" t="n">
        <x:f>COUNTIFS('프로젝트 등급'!$C$5:$C$100,A5,'프로젝트 등급'!$B$5:$B$100,"C?")</x:f>
        <x:v>0</x:v>
      </x:c>
      <x:c r="H5" s="49" t="n">
        <x:f>COUNTIFS('프로젝트 등급'!$C$5:$C$100,A5,'프로젝트 등급'!$B$5:$B$100,"U")</x:f>
        <x:v>1</x:v>
      </x:c>
      <x:c r="I5" s="49" t="n">
        <x:f>SUMIF('프로젝트 등급'!$C$5:$C$100,A5,'프로젝트 등급'!$K$5:$K$100)</x:f>
        <x:v>5</x:v>
      </x:c>
      <x:c r="J5" s="49" t="n">
        <x:f>SUMIF('프로젝트 등급'!$C$5:$C$100,A5,'프로젝트 등급'!$L$5:$L$100)</x:f>
        <x:v>20</x:v>
      </x:c>
      <x:c r="K5" s="46" t="str">
        <x:f>IF(D5&gt;=3,"초기 국가모형 가능(독립성 추가검증)",IF(D5&gt;0,"가격사례 부족: 사업별 기준점",IF(E5&gt;0,"수량사례만: 현지단가 필요","직접 산정근거 없음")))</x:f>
        <x:v>가격사례 부족: 사업별 기준점</x:v>
      </x:c>
      <x:c r="L5" s="46" t="str">
        <x:v>최고등급은 해당 국가의 최소 1개 사업 근거이며 국가 대표단가가 아님</x:v>
      </x:c>
    </x:row>
    <x:row r="6">
      <x:c r="A6" s="44" t="str">
        <x:v>이라크</x:v>
      </x:c>
      <x:c r="B6" s="44" t="str">
        <x:f>IF(D6&gt;0,"A",IF(E6&gt;0,"B","C"))</x:f>
        <x:v>A</x:v>
      </x:c>
      <x:c r="C6" s="50" t="n">
        <x:f>COUNTIF('프로젝트 등급'!$C$5:$C$100,A6)</x:f>
        <x:v>2</x:v>
      </x:c>
      <x:c r="D6" s="50" t="n">
        <x:f>COUNTIFS('프로젝트 등급'!$C$5:$C$100,A6,'프로젝트 등급'!$A$5:$A$100,"A")</x:f>
        <x:v>1</x:v>
      </x:c>
      <x:c r="E6" s="50" t="n">
        <x:f>COUNTIFS('프로젝트 등급'!$C$5:$C$100,A6,'프로젝트 등급'!$A$5:$A$100,"B")</x:f>
        <x:v>1</x:v>
      </x:c>
      <x:c r="F6" s="50" t="n">
        <x:f>COUNTIFS('프로젝트 등급'!$C$5:$C$100,A6,'프로젝트 등급'!$A$5:$A$100,"C")</x:f>
        <x:v>0</x:v>
      </x:c>
      <x:c r="G6" s="50" t="n">
        <x:f>COUNTIFS('프로젝트 등급'!$C$5:$C$100,A6,'프로젝트 등급'!$B$5:$B$100,"C?")</x:f>
        <x:v>0</x:v>
      </x:c>
      <x:c r="H6" s="50" t="n">
        <x:f>COUNTIFS('프로젝트 등급'!$C$5:$C$100,A6,'프로젝트 등급'!$B$5:$B$100,"U")</x:f>
        <x:v>0</x:v>
      </x:c>
      <x:c r="I6" s="50" t="n">
        <x:f>SUMIF('프로젝트 등급'!$C$5:$C$100,A6,'프로젝트 등급'!$K$5:$K$100)</x:f>
        <x:v>7</x:v>
      </x:c>
      <x:c r="J6" s="50" t="n">
        <x:f>SUMIF('프로젝트 등급'!$C$5:$C$100,A6,'프로젝트 등급'!$L$5:$L$100)</x:f>
        <x:v>175</x:v>
      </x:c>
      <x:c r="K6" s="47" t="str">
        <x:f>IF(D6&gt;=3,"초기 국가모형 가능(독립성 추가검증)",IF(D6&gt;0,"가격사례 부족: 사업별 기준점",IF(E6&gt;0,"수량사례만: 현지단가 필요","직접 산정근거 없음")))</x:f>
        <x:v>가격사례 부족: 사업별 기준점</x:v>
      </x:c>
      <x:c r="L6" s="47" t="str">
        <x:v>최고등급은 해당 국가의 최소 1개 사업 근거이며 국가 대표단가가 아님</x:v>
      </x:c>
    </x:row>
    <x:row r="7">
      <x:c r="A7" s="44" t="str">
        <x:v>도미니카공화국</x:v>
      </x:c>
      <x:c r="B7" s="44" t="str">
        <x:f>IF(D7&gt;0,"A",IF(E7&gt;0,"B","C"))</x:f>
        <x:v>B</x:v>
      </x:c>
      <x:c r="C7" s="50" t="n">
        <x:f>COUNTIF('프로젝트 등급'!$C$5:$C$100,A7)</x:f>
        <x:v>1</x:v>
      </x:c>
      <x:c r="D7" s="50" t="n">
        <x:f>COUNTIFS('프로젝트 등급'!$C$5:$C$100,A7,'프로젝트 등급'!$A$5:$A$100,"A")</x:f>
        <x:v>0</x:v>
      </x:c>
      <x:c r="E7" s="50" t="n">
        <x:f>COUNTIFS('프로젝트 등급'!$C$5:$C$100,A7,'프로젝트 등급'!$A$5:$A$100,"B")</x:f>
        <x:v>1</x:v>
      </x:c>
      <x:c r="F7" s="50" t="n">
        <x:f>COUNTIFS('프로젝트 등급'!$C$5:$C$100,A7,'프로젝트 등급'!$A$5:$A$100,"C")</x:f>
        <x:v>0</x:v>
      </x:c>
      <x:c r="G7" s="50" t="n">
        <x:f>COUNTIFS('프로젝트 등급'!$C$5:$C$100,A7,'프로젝트 등급'!$B$5:$B$100,"C?")</x:f>
        <x:v>0</x:v>
      </x:c>
      <x:c r="H7" s="50" t="n">
        <x:f>COUNTIFS('프로젝트 등급'!$C$5:$C$100,A7,'프로젝트 등급'!$B$5:$B$100,"U")</x:f>
        <x:v>0</x:v>
      </x:c>
      <x:c r="I7" s="50" t="n">
        <x:f>SUMIF('프로젝트 등급'!$C$5:$C$100,A7,'프로젝트 등급'!$K$5:$K$100)</x:f>
        <x:v>7</x:v>
      </x:c>
      <x:c r="J7" s="50" t="n">
        <x:f>SUMIF('프로젝트 등급'!$C$5:$C$100,A7,'프로젝트 등급'!$L$5:$L$100)</x:f>
        <x:v>94</x:v>
      </x:c>
      <x:c r="K7" s="47" t="str">
        <x:f>IF(D7&gt;=3,"초기 국가모형 가능(독립성 추가검증)",IF(D7&gt;0,"가격사례 부족: 사업별 기준점",IF(E7&gt;0,"수량사례만: 현지단가 필요","직접 산정근거 없음")))</x:f>
        <x:v>수량사례만: 현지단가 필요</x:v>
      </x:c>
      <x:c r="L7" s="47" t="str">
        <x:v>최고등급은 해당 국가의 최소 1개 사업 근거이며 국가 대표단가가 아님</x:v>
      </x:c>
    </x:row>
    <x:row r="8">
      <x:c r="A8" s="44" t="str">
        <x:v>볼리비아</x:v>
      </x:c>
      <x:c r="B8" s="44" t="str">
        <x:f>IF(D8&gt;0,"A",IF(E8&gt;0,"B","C"))</x:f>
        <x:v>B</x:v>
      </x:c>
      <x:c r="C8" s="50" t="n">
        <x:f>COUNTIF('프로젝트 등급'!$C$5:$C$100,A8)</x:f>
        <x:v>6</x:v>
      </x:c>
      <x:c r="D8" s="50" t="n">
        <x:f>COUNTIFS('프로젝트 등급'!$C$5:$C$100,A8,'프로젝트 등급'!$A$5:$A$100,"A")</x:f>
        <x:v>0</x:v>
      </x:c>
      <x:c r="E8" s="50" t="n">
        <x:f>COUNTIFS('프로젝트 등급'!$C$5:$C$100,A8,'프로젝트 등급'!$A$5:$A$100,"B")</x:f>
        <x:v>1</x:v>
      </x:c>
      <x:c r="F8" s="50" t="n">
        <x:f>COUNTIFS('프로젝트 등급'!$C$5:$C$100,A8,'프로젝트 등급'!$A$5:$A$100,"C")</x:f>
        <x:v>5</x:v>
      </x:c>
      <x:c r="G8" s="50" t="n">
        <x:f>COUNTIFS('프로젝트 등급'!$C$5:$C$100,A8,'프로젝트 등급'!$B$5:$B$100,"C?")</x:f>
        <x:v>0</x:v>
      </x:c>
      <x:c r="H8" s="50" t="n">
        <x:f>COUNTIFS('프로젝트 등급'!$C$5:$C$100,A8,'프로젝트 등급'!$B$5:$B$100,"U")</x:f>
        <x:v>5</x:v>
      </x:c>
      <x:c r="I8" s="50" t="n">
        <x:f>SUMIF('프로젝트 등급'!$C$5:$C$100,A8,'프로젝트 등급'!$K$5:$K$100)</x:f>
        <x:v>13</x:v>
      </x:c>
      <x:c r="J8" s="50" t="n">
        <x:f>SUMIF('프로젝트 등급'!$C$5:$C$100,A8,'프로젝트 등급'!$L$5:$L$100)</x:f>
        <x:v>194</x:v>
      </x:c>
      <x:c r="K8" s="47" t="str">
        <x:f>IF(D8&gt;=3,"초기 국가모형 가능(독립성 추가검증)",IF(D8&gt;0,"가격사례 부족: 사업별 기준점",IF(E8&gt;0,"수량사례만: 현지단가 필요","직접 산정근거 없음")))</x:f>
        <x:v>수량사례만: 현지단가 필요</x:v>
      </x:c>
      <x:c r="L8" s="47" t="str">
        <x:v>최고등급은 해당 국가의 최소 1개 사업 근거이며 국가 대표단가가 아님</x:v>
      </x:c>
    </x:row>
    <x:row r="9">
      <x:c r="A9" s="44" t="str">
        <x:v>우즈베키스탄</x:v>
      </x:c>
      <x:c r="B9" s="44" t="str">
        <x:f>IF(D9&gt;0,"A",IF(E9&gt;0,"B","C"))</x:f>
        <x:v>B</x:v>
      </x:c>
      <x:c r="C9" s="50" t="n">
        <x:f>COUNTIF('프로젝트 등급'!$C$5:$C$100,A9)</x:f>
        <x:v>3</x:v>
      </x:c>
      <x:c r="D9" s="50" t="n">
        <x:f>COUNTIFS('프로젝트 등급'!$C$5:$C$100,A9,'프로젝트 등급'!$A$5:$A$100,"A")</x:f>
        <x:v>0</x:v>
      </x:c>
      <x:c r="E9" s="50" t="n">
        <x:f>COUNTIFS('프로젝트 등급'!$C$5:$C$100,A9,'프로젝트 등급'!$A$5:$A$100,"B")</x:f>
        <x:v>1</x:v>
      </x:c>
      <x:c r="F9" s="50" t="n">
        <x:f>COUNTIFS('프로젝트 등급'!$C$5:$C$100,A9,'프로젝트 등급'!$A$5:$A$100,"C")</x:f>
        <x:v>2</x:v>
      </x:c>
      <x:c r="G9" s="50" t="n">
        <x:f>COUNTIFS('프로젝트 등급'!$C$5:$C$100,A9,'프로젝트 등급'!$B$5:$B$100,"C?")</x:f>
        <x:v>0</x:v>
      </x:c>
      <x:c r="H9" s="50" t="n">
        <x:f>COUNTIFS('프로젝트 등급'!$C$5:$C$100,A9,'프로젝트 등급'!$B$5:$B$100,"U")</x:f>
        <x:v>2</x:v>
      </x:c>
      <x:c r="I9" s="50" t="n">
        <x:f>SUMIF('프로젝트 등급'!$C$5:$C$100,A9,'프로젝트 등급'!$K$5:$K$100)</x:f>
        <x:v>5</x:v>
      </x:c>
      <x:c r="J9" s="50" t="n">
        <x:f>SUMIF('프로젝트 등급'!$C$5:$C$100,A9,'프로젝트 등급'!$L$5:$L$100)</x:f>
        <x:v>623</x:v>
      </x:c>
      <x:c r="K9" s="47" t="str">
        <x:f>IF(D9&gt;=3,"초기 국가모형 가능(독립성 추가검증)",IF(D9&gt;0,"가격사례 부족: 사업별 기준점",IF(E9&gt;0,"수량사례만: 현지단가 필요","직접 산정근거 없음")))</x:f>
        <x:v>수량사례만: 현지단가 필요</x:v>
      </x:c>
      <x:c r="L9" s="47" t="str">
        <x:v>최고등급은 해당 국가의 최소 1개 사업 근거이며 국가 대표단가가 아님</x:v>
      </x:c>
    </x:row>
    <x:row r="10">
      <x:c r="A10" s="44" t="str">
        <x:v>캄보디아</x:v>
      </x:c>
      <x:c r="B10" s="44" t="str">
        <x:f>IF(D10&gt;0,"A",IF(E10&gt;0,"B","C"))</x:f>
        <x:v>B</x:v>
      </x:c>
      <x:c r="C10" s="50" t="n">
        <x:f>COUNTIF('프로젝트 등급'!$C$5:$C$100,A10)</x:f>
        <x:v>3</x:v>
      </x:c>
      <x:c r="D10" s="50" t="n">
        <x:f>COUNTIFS('프로젝트 등급'!$C$5:$C$100,A10,'프로젝트 등급'!$A$5:$A$100,"A")</x:f>
        <x:v>0</x:v>
      </x:c>
      <x:c r="E10" s="50" t="n">
        <x:f>COUNTIFS('프로젝트 등급'!$C$5:$C$100,A10,'프로젝트 등급'!$A$5:$A$100,"B")</x:f>
        <x:v>1</x:v>
      </x:c>
      <x:c r="F10" s="50" t="n">
        <x:f>COUNTIFS('프로젝트 등급'!$C$5:$C$100,A10,'프로젝트 등급'!$A$5:$A$100,"C")</x:f>
        <x:v>2</x:v>
      </x:c>
      <x:c r="G10" s="50" t="n">
        <x:f>COUNTIFS('프로젝트 등급'!$C$5:$C$100,A10,'프로젝트 등급'!$B$5:$B$100,"C?")</x:f>
        <x:v>0</x:v>
      </x:c>
      <x:c r="H10" s="50" t="n">
        <x:f>COUNTIFS('프로젝트 등급'!$C$5:$C$100,A10,'프로젝트 등급'!$B$5:$B$100,"U")</x:f>
        <x:v>2</x:v>
      </x:c>
      <x:c r="I10" s="50" t="n">
        <x:f>SUMIF('프로젝트 등급'!$C$5:$C$100,A10,'프로젝트 등급'!$K$5:$K$100)</x:f>
        <x:v>2</x:v>
      </x:c>
      <x:c r="J10" s="50" t="n">
        <x:f>SUMIF('프로젝트 등급'!$C$5:$C$100,A10,'프로젝트 등급'!$L$5:$L$100)</x:f>
        <x:v>28</x:v>
      </x:c>
      <x:c r="K10" s="47" t="str">
        <x:f>IF(D10&gt;=3,"초기 국가모형 가능(독립성 추가검증)",IF(D10&gt;0,"가격사례 부족: 사업별 기준점",IF(E10&gt;0,"수량사례만: 현지단가 필요","직접 산정근거 없음")))</x:f>
        <x:v>수량사례만: 현지단가 필요</x:v>
      </x:c>
      <x:c r="L10" s="47" t="str">
        <x:v>최고등급은 해당 국가의 최소 1개 사업 근거이며 국가 대표단가가 아님</x:v>
      </x:c>
    </x:row>
    <x:row r="11">
      <x:c r="A11" s="44" t="str">
        <x:v>피지</x:v>
      </x:c>
      <x:c r="B11" s="44" t="str">
        <x:f>IF(D11&gt;0,"A",IF(E11&gt;0,"B","C"))</x:f>
        <x:v>B</x:v>
      </x:c>
      <x:c r="C11" s="50" t="n">
        <x:f>COUNTIF('프로젝트 등급'!$C$5:$C$100,A11)</x:f>
        <x:v>2</x:v>
      </x:c>
      <x:c r="D11" s="50" t="n">
        <x:f>COUNTIFS('프로젝트 등급'!$C$5:$C$100,A11,'프로젝트 등급'!$A$5:$A$100,"A")</x:f>
        <x:v>0</x:v>
      </x:c>
      <x:c r="E11" s="50" t="n">
        <x:f>COUNTIFS('프로젝트 등급'!$C$5:$C$100,A11,'프로젝트 등급'!$A$5:$A$100,"B")</x:f>
        <x:v>1</x:v>
      </x:c>
      <x:c r="F11" s="50" t="n">
        <x:f>COUNTIFS('프로젝트 등급'!$C$5:$C$100,A11,'프로젝트 등급'!$A$5:$A$100,"C")</x:f>
        <x:v>1</x:v>
      </x:c>
      <x:c r="G11" s="50" t="n">
        <x:f>COUNTIFS('프로젝트 등급'!$C$5:$C$100,A11,'프로젝트 등급'!$B$5:$B$100,"C?")</x:f>
        <x:v>0</x:v>
      </x:c>
      <x:c r="H11" s="50" t="n">
        <x:f>COUNTIFS('프로젝트 등급'!$C$5:$C$100,A11,'프로젝트 등급'!$B$5:$B$100,"U")</x:f>
        <x:v>1</x:v>
      </x:c>
      <x:c r="I11" s="50" t="n">
        <x:f>SUMIF('프로젝트 등급'!$C$5:$C$100,A11,'프로젝트 등급'!$K$5:$K$100)</x:f>
        <x:v>7</x:v>
      </x:c>
      <x:c r="J11" s="50" t="n">
        <x:f>SUMIF('프로젝트 등급'!$C$5:$C$100,A11,'프로젝트 등급'!$L$5:$L$100)</x:f>
        <x:v>48</x:v>
      </x:c>
      <x:c r="K11" s="47" t="str">
        <x:f>IF(D11&gt;=3,"초기 국가모형 가능(독립성 추가검증)",IF(D11&gt;0,"가격사례 부족: 사업별 기준점",IF(E11&gt;0,"수량사례만: 현지단가 필요","직접 산정근거 없음")))</x:f>
        <x:v>수량사례만: 현지단가 필요</x:v>
      </x:c>
      <x:c r="L11" s="47" t="str">
        <x:v>최고등급은 해당 국가의 최소 1개 사업 근거이며 국가 대표단가가 아님</x:v>
      </x:c>
    </x:row>
    <x:row r="12">
      <x:c r="A12" s="44" t="str">
        <x:v>DR콩고</x:v>
      </x:c>
      <x:c r="B12" s="44" t="str">
        <x:f>IF(D12&gt;0,"A",IF(E12&gt;0,"B","C"))</x:f>
        <x:v>C</x:v>
      </x:c>
      <x:c r="C12" s="50" t="n">
        <x:f>COUNTIF('프로젝트 등급'!$C$5:$C$100,A12)</x:f>
        <x:v>2</x:v>
      </x:c>
      <x:c r="D12" s="50" t="n">
        <x:f>COUNTIFS('프로젝트 등급'!$C$5:$C$100,A12,'프로젝트 등급'!$A$5:$A$100,"A")</x:f>
        <x:v>0</x:v>
      </x:c>
      <x:c r="E12" s="50" t="n">
        <x:f>COUNTIFS('프로젝트 등급'!$C$5:$C$100,A12,'프로젝트 등급'!$A$5:$A$100,"B")</x:f>
        <x:v>0</x:v>
      </x:c>
      <x:c r="F12" s="50" t="n">
        <x:f>COUNTIFS('프로젝트 등급'!$C$5:$C$100,A12,'프로젝트 등급'!$A$5:$A$100,"C")</x:f>
        <x:v>2</x:v>
      </x:c>
      <x:c r="G12" s="50" t="n">
        <x:f>COUNTIFS('프로젝트 등급'!$C$5:$C$100,A12,'프로젝트 등급'!$B$5:$B$100,"C?")</x:f>
        <x:v>0</x:v>
      </x:c>
      <x:c r="H12" s="50" t="n">
        <x:f>COUNTIFS('프로젝트 등급'!$C$5:$C$100,A12,'프로젝트 등급'!$B$5:$B$100,"U")</x:f>
        <x:v>2</x:v>
      </x:c>
      <x:c r="I12" s="50" t="n">
        <x:f>SUMIF('프로젝트 등급'!$C$5:$C$100,A12,'프로젝트 등급'!$K$5:$K$100)</x:f>
        <x:v>0</x:v>
      </x:c>
      <x:c r="J12" s="50" t="n">
        <x:f>SUMIF('프로젝트 등급'!$C$5:$C$100,A12,'프로젝트 등급'!$L$5:$L$100)</x:f>
        <x:v>0</x:v>
      </x:c>
      <x:c r="K12" s="47" t="str">
        <x:f>IF(D12&gt;=3,"초기 국가모형 가능(독립성 추가검증)",IF(D12&gt;0,"가격사례 부족: 사업별 기준점",IF(E12&gt;0,"수량사례만: 현지단가 필요","직접 산정근거 없음")))</x:f>
        <x:v>직접 산정근거 없음</x:v>
      </x:c>
      <x:c r="L12" s="47" t="str">
        <x:v>최고등급은 해당 국가의 최소 1개 사업 근거이며 국가 대표단가가 아님</x:v>
      </x:c>
    </x:row>
    <x:row r="13">
      <x:c r="A13" s="44" t="str">
        <x:v>과테말라</x:v>
      </x:c>
      <x:c r="B13" s="44" t="str">
        <x:f>IF(D13&gt;0,"A",IF(E13&gt;0,"B","C"))</x:f>
        <x:v>C</x:v>
      </x:c>
      <x:c r="C13" s="50" t="n">
        <x:f>COUNTIF('프로젝트 등급'!$C$5:$C$100,A13)</x:f>
        <x:v>1</x:v>
      </x:c>
      <x:c r="D13" s="50" t="n">
        <x:f>COUNTIFS('프로젝트 등급'!$C$5:$C$100,A13,'프로젝트 등급'!$A$5:$A$100,"A")</x:f>
        <x:v>0</x:v>
      </x:c>
      <x:c r="E13" s="50" t="n">
        <x:f>COUNTIFS('프로젝트 등급'!$C$5:$C$100,A13,'프로젝트 등급'!$A$5:$A$100,"B")</x:f>
        <x:v>0</x:v>
      </x:c>
      <x:c r="F13" s="50" t="n">
        <x:f>COUNTIFS('프로젝트 등급'!$C$5:$C$100,A13,'프로젝트 등급'!$A$5:$A$100,"C")</x:f>
        <x:v>1</x:v>
      </x:c>
      <x:c r="G13" s="50" t="n">
        <x:f>COUNTIFS('프로젝트 등급'!$C$5:$C$100,A13,'프로젝트 등급'!$B$5:$B$100,"C?")</x:f>
        <x:v>0</x:v>
      </x:c>
      <x:c r="H13" s="50" t="n">
        <x:f>COUNTIFS('프로젝트 등급'!$C$5:$C$100,A13,'프로젝트 등급'!$B$5:$B$100,"U")</x:f>
        <x:v>1</x:v>
      </x:c>
      <x:c r="I13" s="50" t="n">
        <x:f>SUMIF('프로젝트 등급'!$C$5:$C$100,A13,'프로젝트 등급'!$K$5:$K$100)</x:f>
        <x:v>0</x:v>
      </x:c>
      <x:c r="J13" s="50" t="n">
        <x:f>SUMIF('프로젝트 등급'!$C$5:$C$100,A13,'프로젝트 등급'!$L$5:$L$100)</x:f>
        <x:v>0</x:v>
      </x:c>
      <x:c r="K13" s="47" t="str">
        <x:f>IF(D13&gt;=3,"초기 국가모형 가능(독립성 추가검증)",IF(D13&gt;0,"가격사례 부족: 사업별 기준점",IF(E13&gt;0,"수량사례만: 현지단가 필요","직접 산정근거 없음")))</x:f>
        <x:v>직접 산정근거 없음</x:v>
      </x:c>
      <x:c r="L13" s="47" t="str">
        <x:v>최고등급은 해당 국가의 최소 1개 사업 근거이며 국가 대표단가가 아님</x:v>
      </x:c>
    </x:row>
    <x:row r="14">
      <x:c r="A14" s="44" t="str">
        <x:v>나이지리아</x:v>
      </x:c>
      <x:c r="B14" s="44" t="str">
        <x:f>IF(D14&gt;0,"A",IF(E14&gt;0,"B","C"))</x:f>
        <x:v>C</x:v>
      </x:c>
      <x:c r="C14" s="50" t="n">
        <x:f>COUNTIF('프로젝트 등급'!$C$5:$C$100,A14)</x:f>
        <x:v>1</x:v>
      </x:c>
      <x:c r="D14" s="50" t="n">
        <x:f>COUNTIFS('프로젝트 등급'!$C$5:$C$100,A14,'프로젝트 등급'!$A$5:$A$100,"A")</x:f>
        <x:v>0</x:v>
      </x:c>
      <x:c r="E14" s="50" t="n">
        <x:f>COUNTIFS('프로젝트 등급'!$C$5:$C$100,A14,'프로젝트 등급'!$A$5:$A$100,"B")</x:f>
        <x:v>0</x:v>
      </x:c>
      <x:c r="F14" s="50" t="n">
        <x:f>COUNTIFS('프로젝트 등급'!$C$5:$C$100,A14,'프로젝트 등급'!$A$5:$A$100,"C")</x:f>
        <x:v>1</x:v>
      </x:c>
      <x:c r="G14" s="50" t="n">
        <x:f>COUNTIFS('프로젝트 등급'!$C$5:$C$100,A14,'프로젝트 등급'!$B$5:$B$100,"C?")</x:f>
        <x:v>0</x:v>
      </x:c>
      <x:c r="H14" s="50" t="n">
        <x:f>COUNTIFS('프로젝트 등급'!$C$5:$C$100,A14,'프로젝트 등급'!$B$5:$B$100,"U")</x:f>
        <x:v>1</x:v>
      </x:c>
      <x:c r="I14" s="50" t="n">
        <x:f>SUMIF('프로젝트 등급'!$C$5:$C$100,A14,'프로젝트 등급'!$K$5:$K$100)</x:f>
        <x:v>1</x:v>
      </x:c>
      <x:c r="J14" s="50" t="n">
        <x:f>SUMIF('프로젝트 등급'!$C$5:$C$100,A14,'프로젝트 등급'!$L$5:$L$100)</x:f>
        <x:v>0</x:v>
      </x:c>
      <x:c r="K14" s="47" t="str">
        <x:f>IF(D14&gt;=3,"초기 국가모형 가능(독립성 추가검증)",IF(D14&gt;0,"가격사례 부족: 사업별 기준점",IF(E14&gt;0,"수량사례만: 현지단가 필요","직접 산정근거 없음")))</x:f>
        <x:v>직접 산정근거 없음</x:v>
      </x:c>
      <x:c r="L14" s="47" t="str">
        <x:v>최고등급은 해당 국가의 최소 1개 사업 근거이며 국가 대표단가가 아님</x:v>
      </x:c>
    </x:row>
    <x:row r="15">
      <x:c r="A15" s="44" t="str">
        <x:v>네팔</x:v>
      </x:c>
      <x:c r="B15" s="44" t="str">
        <x:f>IF(D15&gt;0,"A",IF(E15&gt;0,"B","C"))</x:f>
        <x:v>C</x:v>
      </x:c>
      <x:c r="C15" s="50" t="n">
        <x:f>COUNTIF('프로젝트 등급'!$C$5:$C$100,A15)</x:f>
        <x:v>1</x:v>
      </x:c>
      <x:c r="D15" s="50" t="n">
        <x:f>COUNTIFS('프로젝트 등급'!$C$5:$C$100,A15,'프로젝트 등급'!$A$5:$A$100,"A")</x:f>
        <x:v>0</x:v>
      </x:c>
      <x:c r="E15" s="50" t="n">
        <x:f>COUNTIFS('프로젝트 등급'!$C$5:$C$100,A15,'프로젝트 등급'!$A$5:$A$100,"B")</x:f>
        <x:v>0</x:v>
      </x:c>
      <x:c r="F15" s="50" t="n">
        <x:f>COUNTIFS('프로젝트 등급'!$C$5:$C$100,A15,'프로젝트 등급'!$A$5:$A$100,"C")</x:f>
        <x:v>1</x:v>
      </x:c>
      <x:c r="G15" s="50" t="n">
        <x:f>COUNTIFS('프로젝트 등급'!$C$5:$C$100,A15,'프로젝트 등급'!$B$5:$B$100,"C?")</x:f>
        <x:v>0</x:v>
      </x:c>
      <x:c r="H15" s="50" t="n">
        <x:f>COUNTIFS('프로젝트 등급'!$C$5:$C$100,A15,'프로젝트 등급'!$B$5:$B$100,"U")</x:f>
        <x:v>1</x:v>
      </x:c>
      <x:c r="I15" s="50" t="n">
        <x:f>SUMIF('프로젝트 등급'!$C$5:$C$100,A15,'프로젝트 등급'!$K$5:$K$100)</x:f>
        <x:v>1</x:v>
      </x:c>
      <x:c r="J15" s="50" t="n">
        <x:f>SUMIF('프로젝트 등급'!$C$5:$C$100,A15,'프로젝트 등급'!$L$5:$L$100)</x:f>
        <x:v>0</x:v>
      </x:c>
      <x:c r="K15" s="47" t="str">
        <x:f>IF(D15&gt;=3,"초기 국가모형 가능(독립성 추가검증)",IF(D15&gt;0,"가격사례 부족: 사업별 기준점",IF(E15&gt;0,"수량사례만: 현지단가 필요","직접 산정근거 없음")))</x:f>
        <x:v>직접 산정근거 없음</x:v>
      </x:c>
      <x:c r="L15" s="47" t="str">
        <x:v>최고등급은 해당 국가의 최소 1개 사업 근거이며 국가 대표단가가 아님</x:v>
      </x:c>
    </x:row>
    <x:row r="16">
      <x:c r="A16" s="44" t="str">
        <x:v>동티모르</x:v>
      </x:c>
      <x:c r="B16" s="44" t="str">
        <x:f>IF(D16&gt;0,"A",IF(E16&gt;0,"B","C"))</x:f>
        <x:v>C</x:v>
      </x:c>
      <x:c r="C16" s="50" t="n">
        <x:f>COUNTIF('프로젝트 등급'!$C$5:$C$100,A16)</x:f>
        <x:v>1</x:v>
      </x:c>
      <x:c r="D16" s="50" t="n">
        <x:f>COUNTIFS('프로젝트 등급'!$C$5:$C$100,A16,'프로젝트 등급'!$A$5:$A$100,"A")</x:f>
        <x:v>0</x:v>
      </x:c>
      <x:c r="E16" s="50" t="n">
        <x:f>COUNTIFS('프로젝트 등급'!$C$5:$C$100,A16,'프로젝트 등급'!$A$5:$A$100,"B")</x:f>
        <x:v>0</x:v>
      </x:c>
      <x:c r="F16" s="50" t="n">
        <x:f>COUNTIFS('프로젝트 등급'!$C$5:$C$100,A16,'프로젝트 등급'!$A$5:$A$100,"C")</x:f>
        <x:v>1</x:v>
      </x:c>
      <x:c r="G16" s="50" t="n">
        <x:f>COUNTIFS('프로젝트 등급'!$C$5:$C$100,A16,'프로젝트 등급'!$B$5:$B$100,"C?")</x:f>
        <x:v>0</x:v>
      </x:c>
      <x:c r="H16" s="50" t="n">
        <x:f>COUNTIFS('프로젝트 등급'!$C$5:$C$100,A16,'프로젝트 등급'!$B$5:$B$100,"U")</x:f>
        <x:v>1</x:v>
      </x:c>
      <x:c r="I16" s="50" t="n">
        <x:f>SUMIF('프로젝트 등급'!$C$5:$C$100,A16,'프로젝트 등급'!$K$5:$K$100)</x:f>
        <x:v>0</x:v>
      </x:c>
      <x:c r="J16" s="50" t="n">
        <x:f>SUMIF('프로젝트 등급'!$C$5:$C$100,A16,'프로젝트 등급'!$L$5:$L$100)</x:f>
        <x:v>0</x:v>
      </x:c>
      <x:c r="K16" s="47" t="str">
        <x:f>IF(D16&gt;=3,"초기 국가모형 가능(독립성 추가검증)",IF(D16&gt;0,"가격사례 부족: 사업별 기준점",IF(E16&gt;0,"수량사례만: 현지단가 필요","직접 산정근거 없음")))</x:f>
        <x:v>직접 산정근거 없음</x:v>
      </x:c>
      <x:c r="L16" s="47" t="str">
        <x:v>최고등급은 해당 국가의 최소 1개 사업 근거이며 국가 대표단가가 아님</x:v>
      </x:c>
    </x:row>
    <x:row r="17">
      <x:c r="A17" s="44" t="str">
        <x:v>모잠비크</x:v>
      </x:c>
      <x:c r="B17" s="44" t="str">
        <x:f>IF(D17&gt;0,"A",IF(E17&gt;0,"B","C"))</x:f>
        <x:v>C</x:v>
      </x:c>
      <x:c r="C17" s="50" t="n">
        <x:f>COUNTIF('프로젝트 등급'!$C$5:$C$100,A17)</x:f>
        <x:v>3</x:v>
      </x:c>
      <x:c r="D17" s="50" t="n">
        <x:f>COUNTIFS('프로젝트 등급'!$C$5:$C$100,A17,'프로젝트 등급'!$A$5:$A$100,"A")</x:f>
        <x:v>0</x:v>
      </x:c>
      <x:c r="E17" s="50" t="n">
        <x:f>COUNTIFS('프로젝트 등급'!$C$5:$C$100,A17,'프로젝트 등급'!$A$5:$A$100,"B")</x:f>
        <x:v>0</x:v>
      </x:c>
      <x:c r="F17" s="50" t="n">
        <x:f>COUNTIFS('프로젝트 등급'!$C$5:$C$100,A17,'프로젝트 등급'!$A$5:$A$100,"C")</x:f>
        <x:v>3</x:v>
      </x:c>
      <x:c r="G17" s="50" t="n">
        <x:f>COUNTIFS('프로젝트 등급'!$C$5:$C$100,A17,'프로젝트 등급'!$B$5:$B$100,"C?")</x:f>
        <x:v>0</x:v>
      </x:c>
      <x:c r="H17" s="50" t="n">
        <x:f>COUNTIFS('프로젝트 등급'!$C$5:$C$100,A17,'프로젝트 등급'!$B$5:$B$100,"U")</x:f>
        <x:v>3</x:v>
      </x:c>
      <x:c r="I17" s="50" t="n">
        <x:f>SUMIF('프로젝트 등급'!$C$5:$C$100,A17,'프로젝트 등급'!$K$5:$K$100)</x:f>
        <x:v>0</x:v>
      </x:c>
      <x:c r="J17" s="50" t="n">
        <x:f>SUMIF('프로젝트 등급'!$C$5:$C$100,A17,'프로젝트 등급'!$L$5:$L$100)</x:f>
        <x:v>0</x:v>
      </x:c>
      <x:c r="K17" s="47" t="str">
        <x:f>IF(D17&gt;=3,"초기 국가모형 가능(독립성 추가검증)",IF(D17&gt;0,"가격사례 부족: 사업별 기준점",IF(E17&gt;0,"수량사례만: 현지단가 필요","직접 산정근거 없음")))</x:f>
        <x:v>직접 산정근거 없음</x:v>
      </x:c>
      <x:c r="L17" s="47" t="str">
        <x:v>최고등급은 해당 국가의 최소 1개 사업 근거이며 국가 대표단가가 아님</x:v>
      </x:c>
    </x:row>
    <x:row r="18">
      <x:c r="A18" s="44" t="str">
        <x:v>몽골</x:v>
      </x:c>
      <x:c r="B18" s="44" t="str">
        <x:f>IF(D18&gt;0,"A",IF(E18&gt;0,"B","C"))</x:f>
        <x:v>C</x:v>
      </x:c>
      <x:c r="C18" s="50" t="n">
        <x:f>COUNTIF('프로젝트 등급'!$C$5:$C$100,A18)</x:f>
        <x:v>2</x:v>
      </x:c>
      <x:c r="D18" s="50" t="n">
        <x:f>COUNTIFS('프로젝트 등급'!$C$5:$C$100,A18,'프로젝트 등급'!$A$5:$A$100,"A")</x:f>
        <x:v>0</x:v>
      </x:c>
      <x:c r="E18" s="50" t="n">
        <x:f>COUNTIFS('프로젝트 등급'!$C$5:$C$100,A18,'프로젝트 등급'!$A$5:$A$100,"B")</x:f>
        <x:v>0</x:v>
      </x:c>
      <x:c r="F18" s="50" t="n">
        <x:f>COUNTIFS('프로젝트 등급'!$C$5:$C$100,A18,'프로젝트 등급'!$A$5:$A$100,"C")</x:f>
        <x:v>2</x:v>
      </x:c>
      <x:c r="G18" s="50" t="n">
        <x:f>COUNTIFS('프로젝트 등급'!$C$5:$C$100,A18,'프로젝트 등급'!$B$5:$B$100,"C?")</x:f>
        <x:v>0</x:v>
      </x:c>
      <x:c r="H18" s="50" t="n">
        <x:f>COUNTIFS('프로젝트 등급'!$C$5:$C$100,A18,'프로젝트 등급'!$B$5:$B$100,"U")</x:f>
        <x:v>2</x:v>
      </x:c>
      <x:c r="I18" s="50" t="n">
        <x:f>SUMIF('프로젝트 등급'!$C$5:$C$100,A18,'프로젝트 등급'!$K$5:$K$100)</x:f>
        <x:v>2</x:v>
      </x:c>
      <x:c r="J18" s="50" t="n">
        <x:f>SUMIF('프로젝트 등급'!$C$5:$C$100,A18,'프로젝트 등급'!$L$5:$L$100)</x:f>
        <x:v>6</x:v>
      </x:c>
      <x:c r="K18" s="47" t="str">
        <x:f>IF(D18&gt;=3,"초기 국가모형 가능(독립성 추가검증)",IF(D18&gt;0,"가격사례 부족: 사업별 기준점",IF(E18&gt;0,"수량사례만: 현지단가 필요","직접 산정근거 없음")))</x:f>
        <x:v>직접 산정근거 없음</x:v>
      </x:c>
      <x:c r="L18" s="47" t="str">
        <x:v>최고등급은 해당 국가의 최소 1개 사업 근거이며 국가 대표단가가 아님</x:v>
      </x:c>
    </x:row>
    <x:row r="19">
      <x:c r="A19" s="44" t="str">
        <x:v>미상</x:v>
      </x:c>
      <x:c r="B19" s="44" t="str">
        <x:f>IF(D19&gt;0,"A",IF(E19&gt;0,"B","C"))</x:f>
        <x:v>C</x:v>
      </x:c>
      <x:c r="C19" s="50" t="n">
        <x:f>COUNTIF('프로젝트 등급'!$C$5:$C$100,A19)</x:f>
        <x:v>3</x:v>
      </x:c>
      <x:c r="D19" s="50" t="n">
        <x:f>COUNTIFS('프로젝트 등급'!$C$5:$C$100,A19,'프로젝트 등급'!$A$5:$A$100,"A")</x:f>
        <x:v>0</x:v>
      </x:c>
      <x:c r="E19" s="50" t="n">
        <x:f>COUNTIFS('프로젝트 등급'!$C$5:$C$100,A19,'프로젝트 등급'!$A$5:$A$100,"B")</x:f>
        <x:v>0</x:v>
      </x:c>
      <x:c r="F19" s="50" t="n">
        <x:f>COUNTIFS('프로젝트 등급'!$C$5:$C$100,A19,'프로젝트 등급'!$A$5:$A$100,"C")</x:f>
        <x:v>3</x:v>
      </x:c>
      <x:c r="G19" s="50" t="n">
        <x:f>COUNTIFS('프로젝트 등급'!$C$5:$C$100,A19,'프로젝트 등급'!$B$5:$B$100,"C?")</x:f>
        <x:v>0</x:v>
      </x:c>
      <x:c r="H19" s="50" t="n">
        <x:f>COUNTIFS('프로젝트 등급'!$C$5:$C$100,A19,'프로젝트 등급'!$B$5:$B$100,"U")</x:f>
        <x:v>3</x:v>
      </x:c>
      <x:c r="I19" s="50" t="n">
        <x:f>SUMIF('프로젝트 등급'!$C$5:$C$100,A19,'프로젝트 등급'!$K$5:$K$100)</x:f>
        <x:v>0</x:v>
      </x:c>
      <x:c r="J19" s="50" t="n">
        <x:f>SUMIF('프로젝트 등급'!$C$5:$C$100,A19,'프로젝트 등급'!$L$5:$L$100)</x:f>
        <x:v>0</x:v>
      </x:c>
      <x:c r="K19" s="47" t="str">
        <x:f>IF(D19&gt;=3,"초기 국가모형 가능(독립성 추가검증)",IF(D19&gt;0,"가격사례 부족: 사업별 기준점",IF(E19&gt;0,"수량사례만: 현지단가 필요","직접 산정근거 없음")))</x:f>
        <x:v>직접 산정근거 없음</x:v>
      </x:c>
      <x:c r="L19" s="47" t="str">
        <x:v>최고등급은 해당 국가의 최소 1개 사업 근거이며 국가 대표단가가 아님</x:v>
      </x:c>
    </x:row>
    <x:row r="20">
      <x:c r="A20" s="44" t="str">
        <x:v>방글라데시</x:v>
      </x:c>
      <x:c r="B20" s="44" t="str">
        <x:f>IF(D20&gt;0,"A",IF(E20&gt;0,"B","C"))</x:f>
        <x:v>C</x:v>
      </x:c>
      <x:c r="C20" s="50" t="n">
        <x:f>COUNTIF('프로젝트 등급'!$C$5:$C$100,A20)</x:f>
        <x:v>1</x:v>
      </x:c>
      <x:c r="D20" s="50" t="n">
        <x:f>COUNTIFS('프로젝트 등급'!$C$5:$C$100,A20,'프로젝트 등급'!$A$5:$A$100,"A")</x:f>
        <x:v>0</x:v>
      </x:c>
      <x:c r="E20" s="50" t="n">
        <x:f>COUNTIFS('프로젝트 등급'!$C$5:$C$100,A20,'프로젝트 등급'!$A$5:$A$100,"B")</x:f>
        <x:v>0</x:v>
      </x:c>
      <x:c r="F20" s="50" t="n">
        <x:f>COUNTIFS('프로젝트 등급'!$C$5:$C$100,A20,'프로젝트 등급'!$A$5:$A$100,"C")</x:f>
        <x:v>1</x:v>
      </x:c>
      <x:c r="G20" s="50" t="n">
        <x:f>COUNTIFS('프로젝트 등급'!$C$5:$C$100,A20,'프로젝트 등급'!$B$5:$B$100,"C?")</x:f>
        <x:v>0</x:v>
      </x:c>
      <x:c r="H20" s="50" t="n">
        <x:f>COUNTIFS('프로젝트 등급'!$C$5:$C$100,A20,'프로젝트 등급'!$B$5:$B$100,"U")</x:f>
        <x:v>1</x:v>
      </x:c>
      <x:c r="I20" s="50" t="n">
        <x:f>SUMIF('프로젝트 등급'!$C$5:$C$100,A20,'프로젝트 등급'!$K$5:$K$100)</x:f>
        <x:v>0</x:v>
      </x:c>
      <x:c r="J20" s="50" t="n">
        <x:f>SUMIF('프로젝트 등급'!$C$5:$C$100,A20,'프로젝트 등급'!$L$5:$L$100)</x:f>
        <x:v>0</x:v>
      </x:c>
      <x:c r="K20" s="47" t="str">
        <x:f>IF(D20&gt;=3,"초기 국가모형 가능(독립성 추가검증)",IF(D20&gt;0,"가격사례 부족: 사업별 기준점",IF(E20&gt;0,"수량사례만: 현지단가 필요","직접 산정근거 없음")))</x:f>
        <x:v>직접 산정근거 없음</x:v>
      </x:c>
      <x:c r="L20" s="47" t="str">
        <x:v>최고등급은 해당 국가의 최소 1개 사업 근거이며 국가 대표단가가 아님</x:v>
      </x:c>
    </x:row>
    <x:row r="21">
      <x:c r="A21" s="44" t="str">
        <x:v>베트남</x:v>
      </x:c>
      <x:c r="B21" s="44" t="str">
        <x:f>IF(D21&gt;0,"A",IF(E21&gt;0,"B","C"))</x:f>
        <x:v>C</x:v>
      </x:c>
      <x:c r="C21" s="50" t="n">
        <x:f>COUNTIF('프로젝트 등급'!$C$5:$C$100,A21)</x:f>
        <x:v>5</x:v>
      </x:c>
      <x:c r="D21" s="50" t="n">
        <x:f>COUNTIFS('프로젝트 등급'!$C$5:$C$100,A21,'프로젝트 등급'!$A$5:$A$100,"A")</x:f>
        <x:v>0</x:v>
      </x:c>
      <x:c r="E21" s="50" t="n">
        <x:f>COUNTIFS('프로젝트 등급'!$C$5:$C$100,A21,'프로젝트 등급'!$A$5:$A$100,"B")</x:f>
        <x:v>0</x:v>
      </x:c>
      <x:c r="F21" s="50" t="n">
        <x:f>COUNTIFS('프로젝트 등급'!$C$5:$C$100,A21,'프로젝트 등급'!$A$5:$A$100,"C")</x:f>
        <x:v>5</x:v>
      </x:c>
      <x:c r="G21" s="50" t="n">
        <x:f>COUNTIFS('프로젝트 등급'!$C$5:$C$100,A21,'프로젝트 등급'!$B$5:$B$100,"C?")</x:f>
        <x:v>0</x:v>
      </x:c>
      <x:c r="H21" s="50" t="n">
        <x:f>COUNTIFS('프로젝트 등급'!$C$5:$C$100,A21,'프로젝트 등급'!$B$5:$B$100,"U")</x:f>
        <x:v>5</x:v>
      </x:c>
      <x:c r="I21" s="50" t="n">
        <x:f>SUMIF('프로젝트 등급'!$C$5:$C$100,A21,'프로젝트 등급'!$K$5:$K$100)</x:f>
        <x:v>0</x:v>
      </x:c>
      <x:c r="J21" s="50" t="n">
        <x:f>SUMIF('프로젝트 등급'!$C$5:$C$100,A21,'프로젝트 등급'!$L$5:$L$100)</x:f>
        <x:v>0</x:v>
      </x:c>
      <x:c r="K21" s="47" t="str">
        <x:f>IF(D21&gt;=3,"초기 국가모형 가능(독립성 추가검증)",IF(D21&gt;0,"가격사례 부족: 사업별 기준점",IF(E21&gt;0,"수량사례만: 현지단가 필요","직접 산정근거 없음")))</x:f>
        <x:v>직접 산정근거 없음</x:v>
      </x:c>
      <x:c r="L21" s="47" t="str">
        <x:v>최고등급은 해당 국가의 최소 1개 사업 근거이며 국가 대표단가가 아님</x:v>
      </x:c>
    </x:row>
    <x:row r="22">
      <x:c r="A22" s="44" t="str">
        <x:v>세네갈</x:v>
      </x:c>
      <x:c r="B22" s="44" t="str">
        <x:f>IF(D22&gt;0,"A",IF(E22&gt;0,"B","C"))</x:f>
        <x:v>C</x:v>
      </x:c>
      <x:c r="C22" s="50" t="n">
        <x:f>COUNTIF('프로젝트 등급'!$C$5:$C$100,A22)</x:f>
        <x:v>5</x:v>
      </x:c>
      <x:c r="D22" s="50" t="n">
        <x:f>COUNTIFS('프로젝트 등급'!$C$5:$C$100,A22,'프로젝트 등급'!$A$5:$A$100,"A")</x:f>
        <x:v>0</x:v>
      </x:c>
      <x:c r="E22" s="50" t="n">
        <x:f>COUNTIFS('프로젝트 등급'!$C$5:$C$100,A22,'프로젝트 등급'!$A$5:$A$100,"B")</x:f>
        <x:v>0</x:v>
      </x:c>
      <x:c r="F22" s="50" t="n">
        <x:f>COUNTIFS('프로젝트 등급'!$C$5:$C$100,A22,'프로젝트 등급'!$A$5:$A$100,"C")</x:f>
        <x:v>5</x:v>
      </x:c>
      <x:c r="G22" s="50" t="n">
        <x:f>COUNTIFS('프로젝트 등급'!$C$5:$C$100,A22,'프로젝트 등급'!$B$5:$B$100,"C?")</x:f>
        <x:v>0</x:v>
      </x:c>
      <x:c r="H22" s="50" t="n">
        <x:f>COUNTIFS('프로젝트 등급'!$C$5:$C$100,A22,'프로젝트 등급'!$B$5:$B$100,"U")</x:f>
        <x:v>5</x:v>
      </x:c>
      <x:c r="I22" s="50" t="n">
        <x:f>SUMIF('프로젝트 등급'!$C$5:$C$100,A22,'프로젝트 등급'!$K$5:$K$100)</x:f>
        <x:v>8</x:v>
      </x:c>
      <x:c r="J22" s="50" t="n">
        <x:f>SUMIF('프로젝트 등급'!$C$5:$C$100,A22,'프로젝트 등급'!$L$5:$L$100)</x:f>
        <x:v>24</x:v>
      </x:c>
      <x:c r="K22" s="47" t="str">
        <x:f>IF(D22&gt;=3,"초기 국가모형 가능(독립성 추가검증)",IF(D22&gt;0,"가격사례 부족: 사업별 기준점",IF(E22&gt;0,"수량사례만: 현지단가 필요","직접 산정근거 없음")))</x:f>
        <x:v>직접 산정근거 없음</x:v>
      </x:c>
      <x:c r="L22" s="47" t="str">
        <x:v>최고등급은 해당 국가의 최소 1개 사업 근거이며 국가 대표단가가 아님</x:v>
      </x:c>
    </x:row>
    <x:row r="23">
      <x:c r="A23" s="44" t="str">
        <x:v>솔로몬군도</x:v>
      </x:c>
      <x:c r="B23" s="44" t="str">
        <x:f>IF(D23&gt;0,"A",IF(E23&gt;0,"B","C"))</x:f>
        <x:v>C</x:v>
      </x:c>
      <x:c r="C23" s="50" t="n">
        <x:f>COUNTIF('프로젝트 등급'!$C$5:$C$100,A23)</x:f>
        <x:v>1</x:v>
      </x:c>
      <x:c r="D23" s="50" t="n">
        <x:f>COUNTIFS('프로젝트 등급'!$C$5:$C$100,A23,'프로젝트 등급'!$A$5:$A$100,"A")</x:f>
        <x:v>0</x:v>
      </x:c>
      <x:c r="E23" s="50" t="n">
        <x:f>COUNTIFS('프로젝트 등급'!$C$5:$C$100,A23,'프로젝트 등급'!$A$5:$A$100,"B")</x:f>
        <x:v>0</x:v>
      </x:c>
      <x:c r="F23" s="50" t="n">
        <x:f>COUNTIFS('프로젝트 등급'!$C$5:$C$100,A23,'프로젝트 등급'!$A$5:$A$100,"C")</x:f>
        <x:v>1</x:v>
      </x:c>
      <x:c r="G23" s="50" t="n">
        <x:f>COUNTIFS('프로젝트 등급'!$C$5:$C$100,A23,'프로젝트 등급'!$B$5:$B$100,"C?")</x:f>
        <x:v>0</x:v>
      </x:c>
      <x:c r="H23" s="50" t="n">
        <x:f>COUNTIFS('프로젝트 등급'!$C$5:$C$100,A23,'프로젝트 등급'!$B$5:$B$100,"U")</x:f>
        <x:v>1</x:v>
      </x:c>
      <x:c r="I23" s="50" t="n">
        <x:f>SUMIF('프로젝트 등급'!$C$5:$C$100,A23,'프로젝트 등급'!$K$5:$K$100)</x:f>
        <x:v>0</x:v>
      </x:c>
      <x:c r="J23" s="50" t="n">
        <x:f>SUMIF('프로젝트 등급'!$C$5:$C$100,A23,'프로젝트 등급'!$L$5:$L$100)</x:f>
        <x:v>0</x:v>
      </x:c>
      <x:c r="K23" s="47" t="str">
        <x:f>IF(D23&gt;=3,"초기 국가모형 가능(독립성 추가검증)",IF(D23&gt;0,"가격사례 부족: 사업별 기준점",IF(E23&gt;0,"수량사례만: 현지단가 필요","직접 산정근거 없음")))</x:f>
        <x:v>직접 산정근거 없음</x:v>
      </x:c>
      <x:c r="L23" s="47" t="str">
        <x:v>최고등급은 해당 국가의 최소 1개 사업 근거이며 국가 대표단가가 아님</x:v>
      </x:c>
    </x:row>
    <x:row r="24">
      <x:c r="A24" s="44" t="str">
        <x:v>알제리</x:v>
      </x:c>
      <x:c r="B24" s="44" t="str">
        <x:f>IF(D24&gt;0,"A",IF(E24&gt;0,"B","C"))</x:f>
        <x:v>C</x:v>
      </x:c>
      <x:c r="C24" s="50" t="n">
        <x:f>COUNTIF('프로젝트 등급'!$C$5:$C$100,A24)</x:f>
        <x:v>1</x:v>
      </x:c>
      <x:c r="D24" s="50" t="n">
        <x:f>COUNTIFS('프로젝트 등급'!$C$5:$C$100,A24,'프로젝트 등급'!$A$5:$A$100,"A")</x:f>
        <x:v>0</x:v>
      </x:c>
      <x:c r="E24" s="50" t="n">
        <x:f>COUNTIFS('프로젝트 등급'!$C$5:$C$100,A24,'프로젝트 등급'!$A$5:$A$100,"B")</x:f>
        <x:v>0</x:v>
      </x:c>
      <x:c r="F24" s="50" t="n">
        <x:f>COUNTIFS('프로젝트 등급'!$C$5:$C$100,A24,'프로젝트 등급'!$A$5:$A$100,"C")</x:f>
        <x:v>1</x:v>
      </x:c>
      <x:c r="G24" s="50" t="n">
        <x:f>COUNTIFS('프로젝트 등급'!$C$5:$C$100,A24,'프로젝트 등급'!$B$5:$B$100,"C?")</x:f>
        <x:v>0</x:v>
      </x:c>
      <x:c r="H24" s="50" t="n">
        <x:f>COUNTIFS('프로젝트 등급'!$C$5:$C$100,A24,'프로젝트 등급'!$B$5:$B$100,"U")</x:f>
        <x:v>1</x:v>
      </x:c>
      <x:c r="I24" s="50" t="n">
        <x:f>SUMIF('프로젝트 등급'!$C$5:$C$100,A24,'프로젝트 등급'!$K$5:$K$100)</x:f>
        <x:v>1</x:v>
      </x:c>
      <x:c r="J24" s="50" t="n">
        <x:f>SUMIF('프로젝트 등급'!$C$5:$C$100,A24,'프로젝트 등급'!$L$5:$L$100)</x:f>
        <x:v>1</x:v>
      </x:c>
      <x:c r="K24" s="47" t="str">
        <x:f>IF(D24&gt;=3,"초기 국가모형 가능(독립성 추가검증)",IF(D24&gt;0,"가격사례 부족: 사업별 기준점",IF(E24&gt;0,"수량사례만: 현지단가 필요","직접 산정근거 없음")))</x:f>
        <x:v>직접 산정근거 없음</x:v>
      </x:c>
      <x:c r="L24" s="47" t="str">
        <x:v>최고등급은 해당 국가의 최소 1개 사업 근거이며 국가 대표단가가 아님</x:v>
      </x:c>
    </x:row>
    <x:row r="25">
      <x:c r="A25" s="44" t="str">
        <x:v>에콰도르</x:v>
      </x:c>
      <x:c r="B25" s="44" t="str">
        <x:f>IF(D25&gt;0,"A",IF(E25&gt;0,"B","C"))</x:f>
        <x:v>C</x:v>
      </x:c>
      <x:c r="C25" s="50" t="n">
        <x:f>COUNTIF('프로젝트 등급'!$C$5:$C$100,A25)</x:f>
        <x:v>4</x:v>
      </x:c>
      <x:c r="D25" s="50" t="n">
        <x:f>COUNTIFS('프로젝트 등급'!$C$5:$C$100,A25,'프로젝트 등급'!$A$5:$A$100,"A")</x:f>
        <x:v>0</x:v>
      </x:c>
      <x:c r="E25" s="50" t="n">
        <x:f>COUNTIFS('프로젝트 등급'!$C$5:$C$100,A25,'프로젝트 등급'!$A$5:$A$100,"B")</x:f>
        <x:v>0</x:v>
      </x:c>
      <x:c r="F25" s="50" t="n">
        <x:f>COUNTIFS('프로젝트 등급'!$C$5:$C$100,A25,'프로젝트 등급'!$A$5:$A$100,"C")</x:f>
        <x:v>4</x:v>
      </x:c>
      <x:c r="G25" s="50" t="n">
        <x:f>COUNTIFS('프로젝트 등급'!$C$5:$C$100,A25,'프로젝트 등급'!$B$5:$B$100,"C?")</x:f>
        <x:v>0</x:v>
      </x:c>
      <x:c r="H25" s="50" t="n">
        <x:f>COUNTIFS('프로젝트 등급'!$C$5:$C$100,A25,'프로젝트 등급'!$B$5:$B$100,"U")</x:f>
        <x:v>4</x:v>
      </x:c>
      <x:c r="I25" s="50" t="n">
        <x:f>SUMIF('프로젝트 등급'!$C$5:$C$100,A25,'프로젝트 등급'!$K$5:$K$100)</x:f>
        <x:v>2</x:v>
      </x:c>
      <x:c r="J25" s="50" t="n">
        <x:f>SUMIF('프로젝트 등급'!$C$5:$C$100,A25,'프로젝트 등급'!$L$5:$L$100)</x:f>
        <x:v>8</x:v>
      </x:c>
      <x:c r="K25" s="47" t="str">
        <x:f>IF(D25&gt;=3,"초기 국가모형 가능(독립성 추가검증)",IF(D25&gt;0,"가격사례 부족: 사업별 기준점",IF(E25&gt;0,"수량사례만: 현지단가 필요","직접 산정근거 없음")))</x:f>
        <x:v>직접 산정근거 없음</x:v>
      </x:c>
      <x:c r="L25" s="47" t="str">
        <x:v>최고등급은 해당 국가의 최소 1개 사업 근거이며 국가 대표단가가 아님</x:v>
      </x:c>
    </x:row>
    <x:row r="26">
      <x:c r="A26" s="44" t="str">
        <x:v>에티오피아</x:v>
      </x:c>
      <x:c r="B26" s="44" t="str">
        <x:f>IF(D26&gt;0,"A",IF(E26&gt;0,"B","C"))</x:f>
        <x:v>C</x:v>
      </x:c>
      <x:c r="C26" s="50" t="n">
        <x:f>COUNTIF('프로젝트 등급'!$C$5:$C$100,A26)</x:f>
        <x:v>3</x:v>
      </x:c>
      <x:c r="D26" s="50" t="n">
        <x:f>COUNTIFS('프로젝트 등급'!$C$5:$C$100,A26,'프로젝트 등급'!$A$5:$A$100,"A")</x:f>
        <x:v>0</x:v>
      </x:c>
      <x:c r="E26" s="50" t="n">
        <x:f>COUNTIFS('프로젝트 등급'!$C$5:$C$100,A26,'프로젝트 등급'!$A$5:$A$100,"B")</x:f>
        <x:v>0</x:v>
      </x:c>
      <x:c r="F26" s="50" t="n">
        <x:f>COUNTIFS('프로젝트 등급'!$C$5:$C$100,A26,'프로젝트 등급'!$A$5:$A$100,"C")</x:f>
        <x:v>3</x:v>
      </x:c>
      <x:c r="G26" s="50" t="n">
        <x:f>COUNTIFS('프로젝트 등급'!$C$5:$C$100,A26,'프로젝트 등급'!$B$5:$B$100,"C?")</x:f>
        <x:v>0</x:v>
      </x:c>
      <x:c r="H26" s="50" t="n">
        <x:f>COUNTIFS('프로젝트 등급'!$C$5:$C$100,A26,'프로젝트 등급'!$B$5:$B$100,"U")</x:f>
        <x:v>3</x:v>
      </x:c>
      <x:c r="I26" s="50" t="n">
        <x:f>SUMIF('프로젝트 등급'!$C$5:$C$100,A26,'프로젝트 등급'!$K$5:$K$100)</x:f>
        <x:v>0</x:v>
      </x:c>
      <x:c r="J26" s="50" t="n">
        <x:f>SUMIF('프로젝트 등급'!$C$5:$C$100,A26,'프로젝트 등급'!$L$5:$L$100)</x:f>
        <x:v>0</x:v>
      </x:c>
      <x:c r="K26" s="47" t="str">
        <x:f>IF(D26&gt;=3,"초기 국가모형 가능(독립성 추가검증)",IF(D26&gt;0,"가격사례 부족: 사업별 기준점",IF(E26&gt;0,"수량사례만: 현지단가 필요","직접 산정근거 없음")))</x:f>
        <x:v>직접 산정근거 없음</x:v>
      </x:c>
      <x:c r="L26" s="47" t="str">
        <x:v>최고등급은 해당 국가의 최소 1개 사업 근거이며 국가 대표단가가 아님</x:v>
      </x:c>
    </x:row>
    <x:row r="27">
      <x:c r="A27" s="44" t="str">
        <x:v>엘살바도르</x:v>
      </x:c>
      <x:c r="B27" s="44" t="str">
        <x:f>IF(D27&gt;0,"A",IF(E27&gt;0,"B","C"))</x:f>
        <x:v>C</x:v>
      </x:c>
      <x:c r="C27" s="50" t="n">
        <x:f>COUNTIF('프로젝트 등급'!$C$5:$C$100,A27)</x:f>
        <x:v>2</x:v>
      </x:c>
      <x:c r="D27" s="50" t="n">
        <x:f>COUNTIFS('프로젝트 등급'!$C$5:$C$100,A27,'프로젝트 등급'!$A$5:$A$100,"A")</x:f>
        <x:v>0</x:v>
      </x:c>
      <x:c r="E27" s="50" t="n">
        <x:f>COUNTIFS('프로젝트 등급'!$C$5:$C$100,A27,'프로젝트 등급'!$A$5:$A$100,"B")</x:f>
        <x:v>0</x:v>
      </x:c>
      <x:c r="F27" s="50" t="n">
        <x:f>COUNTIFS('프로젝트 등급'!$C$5:$C$100,A27,'프로젝트 등급'!$A$5:$A$100,"C")</x:f>
        <x:v>2</x:v>
      </x:c>
      <x:c r="G27" s="50" t="n">
        <x:f>COUNTIFS('프로젝트 등급'!$C$5:$C$100,A27,'프로젝트 등급'!$B$5:$B$100,"C?")</x:f>
        <x:v>0</x:v>
      </x:c>
      <x:c r="H27" s="50" t="n">
        <x:f>COUNTIFS('프로젝트 등급'!$C$5:$C$100,A27,'프로젝트 등급'!$B$5:$B$100,"U")</x:f>
        <x:v>2</x:v>
      </x:c>
      <x:c r="I27" s="50" t="n">
        <x:f>SUMIF('프로젝트 등급'!$C$5:$C$100,A27,'프로젝트 등급'!$K$5:$K$100)</x:f>
        <x:v>0</x:v>
      </x:c>
      <x:c r="J27" s="50" t="n">
        <x:f>SUMIF('프로젝트 등급'!$C$5:$C$100,A27,'프로젝트 등급'!$L$5:$L$100)</x:f>
        <x:v>0</x:v>
      </x:c>
      <x:c r="K27" s="47" t="str">
        <x:f>IF(D27&gt;=3,"초기 국가모형 가능(독립성 추가검증)",IF(D27&gt;0,"가격사례 부족: 사업별 기준점",IF(E27&gt;0,"수량사례만: 현지단가 필요","직접 산정근거 없음")))</x:f>
        <x:v>직접 산정근거 없음</x:v>
      </x:c>
      <x:c r="L27" s="47" t="str">
        <x:v>최고등급은 해당 국가의 최소 1개 사업 근거이며 국가 대표단가가 아님</x:v>
      </x:c>
    </x:row>
    <x:row r="28">
      <x:c r="A28" s="44" t="str">
        <x:v>요르단</x:v>
      </x:c>
      <x:c r="B28" s="44" t="str">
        <x:f>IF(D28&gt;0,"A",IF(E28&gt;0,"B","C"))</x:f>
        <x:v>C</x:v>
      </x:c>
      <x:c r="C28" s="50" t="n">
        <x:f>COUNTIF('프로젝트 등급'!$C$5:$C$100,A28)</x:f>
        <x:v>3</x:v>
      </x:c>
      <x:c r="D28" s="50" t="n">
        <x:f>COUNTIFS('프로젝트 등급'!$C$5:$C$100,A28,'프로젝트 등급'!$A$5:$A$100,"A")</x:f>
        <x:v>0</x:v>
      </x:c>
      <x:c r="E28" s="50" t="n">
        <x:f>COUNTIFS('프로젝트 등급'!$C$5:$C$100,A28,'프로젝트 등급'!$A$5:$A$100,"B")</x:f>
        <x:v>0</x:v>
      </x:c>
      <x:c r="F28" s="50" t="n">
        <x:f>COUNTIFS('프로젝트 등급'!$C$5:$C$100,A28,'프로젝트 등급'!$A$5:$A$100,"C")</x:f>
        <x:v>3</x:v>
      </x:c>
      <x:c r="G28" s="50" t="n">
        <x:f>COUNTIFS('프로젝트 등급'!$C$5:$C$100,A28,'프로젝트 등급'!$B$5:$B$100,"C?")</x:f>
        <x:v>0</x:v>
      </x:c>
      <x:c r="H28" s="50" t="n">
        <x:f>COUNTIFS('프로젝트 등급'!$C$5:$C$100,A28,'프로젝트 등급'!$B$5:$B$100,"U")</x:f>
        <x:v>3</x:v>
      </x:c>
      <x:c r="I28" s="50" t="n">
        <x:f>SUMIF('프로젝트 등급'!$C$5:$C$100,A28,'프로젝트 등급'!$K$5:$K$100)</x:f>
        <x:v>4</x:v>
      </x:c>
      <x:c r="J28" s="50" t="n">
        <x:f>SUMIF('프로젝트 등급'!$C$5:$C$100,A28,'프로젝트 등급'!$L$5:$L$100)</x:f>
        <x:v>0</x:v>
      </x:c>
      <x:c r="K28" s="47" t="str">
        <x:f>IF(D28&gt;=3,"초기 국가모형 가능(독립성 추가검증)",IF(D28&gt;0,"가격사례 부족: 사업별 기준점",IF(E28&gt;0,"수량사례만: 현지단가 필요","직접 산정근거 없음")))</x:f>
        <x:v>직접 산정근거 없음</x:v>
      </x:c>
      <x:c r="L28" s="47" t="str">
        <x:v>최고등급은 해당 국가의 최소 1개 사업 근거이며 국가 대표단가가 아님</x:v>
      </x:c>
    </x:row>
    <x:row r="29">
      <x:c r="A29" s="44" t="str">
        <x:v>우간다</x:v>
      </x:c>
      <x:c r="B29" s="44" t="str">
        <x:f>IF(D29&gt;0,"A",IF(E29&gt;0,"B","C"))</x:f>
        <x:v>C</x:v>
      </x:c>
      <x:c r="C29" s="50" t="n">
        <x:f>COUNTIF('프로젝트 등급'!$C$5:$C$100,A29)</x:f>
        <x:v>6</x:v>
      </x:c>
      <x:c r="D29" s="50" t="n">
        <x:f>COUNTIFS('프로젝트 등급'!$C$5:$C$100,A29,'프로젝트 등급'!$A$5:$A$100,"A")</x:f>
        <x:v>0</x:v>
      </x:c>
      <x:c r="E29" s="50" t="n">
        <x:f>COUNTIFS('프로젝트 등급'!$C$5:$C$100,A29,'프로젝트 등급'!$A$5:$A$100,"B")</x:f>
        <x:v>0</x:v>
      </x:c>
      <x:c r="F29" s="50" t="n">
        <x:f>COUNTIFS('프로젝트 등급'!$C$5:$C$100,A29,'프로젝트 등급'!$A$5:$A$100,"C")</x:f>
        <x:v>6</x:v>
      </x:c>
      <x:c r="G29" s="50" t="n">
        <x:f>COUNTIFS('프로젝트 등급'!$C$5:$C$100,A29,'프로젝트 등급'!$B$5:$B$100,"C?")</x:f>
        <x:v>0</x:v>
      </x:c>
      <x:c r="H29" s="50" t="n">
        <x:f>COUNTIFS('프로젝트 등급'!$C$5:$C$100,A29,'프로젝트 등급'!$B$5:$B$100,"U")</x:f>
        <x:v>6</x:v>
      </x:c>
      <x:c r="I29" s="50" t="n">
        <x:f>SUMIF('프로젝트 등급'!$C$5:$C$100,A29,'프로젝트 등급'!$K$5:$K$100)</x:f>
        <x:v>5</x:v>
      </x:c>
      <x:c r="J29" s="50" t="n">
        <x:f>SUMIF('프로젝트 등급'!$C$5:$C$100,A29,'프로젝트 등급'!$L$5:$L$100)</x:f>
        <x:v>67</x:v>
      </x:c>
      <x:c r="K29" s="47" t="str">
        <x:f>IF(D29&gt;=3,"초기 국가모형 가능(독립성 추가검증)",IF(D29&gt;0,"가격사례 부족: 사업별 기준점",IF(E29&gt;0,"수량사례만: 현지단가 필요","직접 산정근거 없음")))</x:f>
        <x:v>직접 산정근거 없음</x:v>
      </x:c>
      <x:c r="L29" s="47" t="str">
        <x:v>최고등급은 해당 국가의 최소 1개 사업 근거이며 국가 대표단가가 아님</x:v>
      </x:c>
    </x:row>
    <x:row r="30">
      <x:c r="A30" s="44" t="str">
        <x:v>우크라이나</x:v>
      </x:c>
      <x:c r="B30" s="44" t="str">
        <x:f>IF(D30&gt;0,"A",IF(E30&gt;0,"B","C"))</x:f>
        <x:v>C</x:v>
      </x:c>
      <x:c r="C30" s="50" t="n">
        <x:f>COUNTIF('프로젝트 등급'!$C$5:$C$100,A30)</x:f>
        <x:v>2</x:v>
      </x:c>
      <x:c r="D30" s="50" t="n">
        <x:f>COUNTIFS('프로젝트 등급'!$C$5:$C$100,A30,'프로젝트 등급'!$A$5:$A$100,"A")</x:f>
        <x:v>0</x:v>
      </x:c>
      <x:c r="E30" s="50" t="n">
        <x:f>COUNTIFS('프로젝트 등급'!$C$5:$C$100,A30,'프로젝트 등급'!$A$5:$A$100,"B")</x:f>
        <x:v>0</x:v>
      </x:c>
      <x:c r="F30" s="50" t="n">
        <x:f>COUNTIFS('프로젝트 등급'!$C$5:$C$100,A30,'프로젝트 등급'!$A$5:$A$100,"C")</x:f>
        <x:v>2</x:v>
      </x:c>
      <x:c r="G30" s="50" t="n">
        <x:f>COUNTIFS('프로젝트 등급'!$C$5:$C$100,A30,'프로젝트 등급'!$B$5:$B$100,"C?")</x:f>
        <x:v>0</x:v>
      </x:c>
      <x:c r="H30" s="50" t="n">
        <x:f>COUNTIFS('프로젝트 등급'!$C$5:$C$100,A30,'프로젝트 등급'!$B$5:$B$100,"U")</x:f>
        <x:v>2</x:v>
      </x:c>
      <x:c r="I30" s="50" t="n">
        <x:f>SUMIF('프로젝트 등급'!$C$5:$C$100,A30,'프로젝트 등급'!$K$5:$K$100)</x:f>
        <x:v>2</x:v>
      </x:c>
      <x:c r="J30" s="50" t="n">
        <x:f>SUMIF('프로젝트 등급'!$C$5:$C$100,A30,'프로젝트 등급'!$L$5:$L$100)</x:f>
        <x:v>2</x:v>
      </x:c>
      <x:c r="K30" s="47" t="str">
        <x:f>IF(D30&gt;=3,"초기 국가모형 가능(독립성 추가검증)",IF(D30&gt;0,"가격사례 부족: 사업별 기준점",IF(E30&gt;0,"수량사례만: 현지단가 필요","직접 산정근거 없음")))</x:f>
        <x:v>직접 산정근거 없음</x:v>
      </x:c>
      <x:c r="L30" s="47" t="str">
        <x:v>최고등급은 해당 국가의 최소 1개 사업 근거이며 국가 대표단가가 아님</x:v>
      </x:c>
    </x:row>
    <x:row r="31">
      <x:c r="A31" s="44" t="str">
        <x:v>인도네시아</x:v>
      </x:c>
      <x:c r="B31" s="44" t="str">
        <x:f>IF(D31&gt;0,"A",IF(E31&gt;0,"B","C"))</x:f>
        <x:v>C</x:v>
      </x:c>
      <x:c r="C31" s="50" t="n">
        <x:f>COUNTIF('프로젝트 등급'!$C$5:$C$100,A31)</x:f>
        <x:v>4</x:v>
      </x:c>
      <x:c r="D31" s="50" t="n">
        <x:f>COUNTIFS('프로젝트 등급'!$C$5:$C$100,A31,'프로젝트 등급'!$A$5:$A$100,"A")</x:f>
        <x:v>0</x:v>
      </x:c>
      <x:c r="E31" s="50" t="n">
        <x:f>COUNTIFS('프로젝트 등급'!$C$5:$C$100,A31,'프로젝트 등급'!$A$5:$A$100,"B")</x:f>
        <x:v>0</x:v>
      </x:c>
      <x:c r="F31" s="50" t="n">
        <x:f>COUNTIFS('프로젝트 등급'!$C$5:$C$100,A31,'프로젝트 등급'!$A$5:$A$100,"C")</x:f>
        <x:v>4</x:v>
      </x:c>
      <x:c r="G31" s="50" t="n">
        <x:f>COUNTIFS('프로젝트 등급'!$C$5:$C$100,A31,'프로젝트 등급'!$B$5:$B$100,"C?")</x:f>
        <x:v>2</x:v>
      </x:c>
      <x:c r="H31" s="50" t="n">
        <x:f>COUNTIFS('프로젝트 등급'!$C$5:$C$100,A31,'프로젝트 등급'!$B$5:$B$100,"U")</x:f>
        <x:v>2</x:v>
      </x:c>
      <x:c r="I31" s="50" t="n">
        <x:f>SUMIF('프로젝트 등급'!$C$5:$C$100,A31,'프로젝트 등급'!$K$5:$K$100)</x:f>
        <x:v>9</x:v>
      </x:c>
      <x:c r="J31" s="50" t="n">
        <x:f>SUMIF('프로젝트 등급'!$C$5:$C$100,A31,'프로젝트 등급'!$L$5:$L$100)</x:f>
        <x:v>40</x:v>
      </x:c>
      <x:c r="K31" s="47" t="str">
        <x:f>IF(D31&gt;=3,"초기 국가모형 가능(독립성 추가검증)",IF(D31&gt;0,"가격사례 부족: 사업별 기준점",IF(E31&gt;0,"수량사례만: 현지단가 필요","직접 산정근거 없음")))</x:f>
        <x:v>직접 산정근거 없음</x:v>
      </x:c>
      <x:c r="L31" s="47" t="str">
        <x:v>최고등급은 해당 국가의 최소 1개 사업 근거이며 국가 대표단가가 아님</x:v>
      </x:c>
    </x:row>
    <x:row r="32">
      <x:c r="A32" s="44" t="str">
        <x:v>카메룬</x:v>
      </x:c>
      <x:c r="B32" s="44" t="str">
        <x:f>IF(D32&gt;0,"A",IF(E32&gt;0,"B","C"))</x:f>
        <x:v>C</x:v>
      </x:c>
      <x:c r="C32" s="50" t="n">
        <x:f>COUNTIF('프로젝트 등급'!$C$5:$C$100,A32)</x:f>
        <x:v>3</x:v>
      </x:c>
      <x:c r="D32" s="50" t="n">
        <x:f>COUNTIFS('프로젝트 등급'!$C$5:$C$100,A32,'프로젝트 등급'!$A$5:$A$100,"A")</x:f>
        <x:v>0</x:v>
      </x:c>
      <x:c r="E32" s="50" t="n">
        <x:f>COUNTIFS('프로젝트 등급'!$C$5:$C$100,A32,'프로젝트 등급'!$A$5:$A$100,"B")</x:f>
        <x:v>0</x:v>
      </x:c>
      <x:c r="F32" s="50" t="n">
        <x:f>COUNTIFS('프로젝트 등급'!$C$5:$C$100,A32,'프로젝트 등급'!$A$5:$A$100,"C")</x:f>
        <x:v>3</x:v>
      </x:c>
      <x:c r="G32" s="50" t="n">
        <x:f>COUNTIFS('프로젝트 등급'!$C$5:$C$100,A32,'프로젝트 등급'!$B$5:$B$100,"C?")</x:f>
        <x:v>0</x:v>
      </x:c>
      <x:c r="H32" s="50" t="n">
        <x:f>COUNTIFS('프로젝트 등급'!$C$5:$C$100,A32,'프로젝트 등급'!$B$5:$B$100,"U")</x:f>
        <x:v>3</x:v>
      </x:c>
      <x:c r="I32" s="50" t="n">
        <x:f>SUMIF('프로젝트 등급'!$C$5:$C$100,A32,'프로젝트 등급'!$K$5:$K$100)</x:f>
        <x:v>4</x:v>
      </x:c>
      <x:c r="J32" s="50" t="n">
        <x:f>SUMIF('프로젝트 등급'!$C$5:$C$100,A32,'프로젝트 등급'!$L$5:$L$100)</x:f>
        <x:v>0</x:v>
      </x:c>
      <x:c r="K32" s="47" t="str">
        <x:f>IF(D32&gt;=3,"초기 국가모형 가능(독립성 추가검증)",IF(D32&gt;0,"가격사례 부족: 사업별 기준점",IF(E32&gt;0,"수량사례만: 현지단가 필요","직접 산정근거 없음")))</x:f>
        <x:v>직접 산정근거 없음</x:v>
      </x:c>
      <x:c r="L32" s="47" t="str">
        <x:v>최고등급은 해당 국가의 최소 1개 사업 근거이며 국가 대표단가가 아님</x:v>
      </x:c>
    </x:row>
    <x:row r="33">
      <x:c r="A33" s="44" t="str">
        <x:v>케냐</x:v>
      </x:c>
      <x:c r="B33" s="44" t="str">
        <x:f>IF(D33&gt;0,"A",IF(E33&gt;0,"B","C"))</x:f>
        <x:v>C</x:v>
      </x:c>
      <x:c r="C33" s="50" t="n">
        <x:f>COUNTIF('프로젝트 등급'!$C$5:$C$100,A33)</x:f>
        <x:v>2</x:v>
      </x:c>
      <x:c r="D33" s="50" t="n">
        <x:f>COUNTIFS('프로젝트 등급'!$C$5:$C$100,A33,'프로젝트 등급'!$A$5:$A$100,"A")</x:f>
        <x:v>0</x:v>
      </x:c>
      <x:c r="E33" s="50" t="n">
        <x:f>COUNTIFS('프로젝트 등급'!$C$5:$C$100,A33,'프로젝트 등급'!$A$5:$A$100,"B")</x:f>
        <x:v>0</x:v>
      </x:c>
      <x:c r="F33" s="50" t="n">
        <x:f>COUNTIFS('프로젝트 등급'!$C$5:$C$100,A33,'프로젝트 등급'!$A$5:$A$100,"C")</x:f>
        <x:v>2</x:v>
      </x:c>
      <x:c r="G33" s="50" t="n">
        <x:f>COUNTIFS('프로젝트 등급'!$C$5:$C$100,A33,'프로젝트 등급'!$B$5:$B$100,"C?")</x:f>
        <x:v>0</x:v>
      </x:c>
      <x:c r="H33" s="50" t="n">
        <x:f>COUNTIFS('프로젝트 등급'!$C$5:$C$100,A33,'프로젝트 등급'!$B$5:$B$100,"U")</x:f>
        <x:v>2</x:v>
      </x:c>
      <x:c r="I33" s="50" t="n">
        <x:f>SUMIF('프로젝트 등급'!$C$5:$C$100,A33,'프로젝트 등급'!$K$5:$K$100)</x:f>
        <x:v>0</x:v>
      </x:c>
      <x:c r="J33" s="50" t="n">
        <x:f>SUMIF('프로젝트 등급'!$C$5:$C$100,A33,'프로젝트 등급'!$L$5:$L$100)</x:f>
        <x:v>0</x:v>
      </x:c>
      <x:c r="K33" s="47" t="str">
        <x:f>IF(D33&gt;=3,"초기 국가모형 가능(독립성 추가검증)",IF(D33&gt;0,"가격사례 부족: 사업별 기준점",IF(E33&gt;0,"수량사례만: 현지단가 필요","직접 산정근거 없음")))</x:f>
        <x:v>직접 산정근거 없음</x:v>
      </x:c>
      <x:c r="L33" s="47" t="str">
        <x:v>최고등급은 해당 국가의 최소 1개 사업 근거이며 국가 대표단가가 아님</x:v>
      </x:c>
    </x:row>
    <x:row r="34">
      <x:c r="A34" s="44" t="str">
        <x:v>코트디부아르</x:v>
      </x:c>
      <x:c r="B34" s="44" t="str">
        <x:f>IF(D34&gt;0,"A",IF(E34&gt;0,"B","C"))</x:f>
        <x:v>C</x:v>
      </x:c>
      <x:c r="C34" s="50" t="n">
        <x:f>COUNTIF('프로젝트 등급'!$C$5:$C$100,A34)</x:f>
        <x:v>3</x:v>
      </x:c>
      <x:c r="D34" s="50" t="n">
        <x:f>COUNTIFS('프로젝트 등급'!$C$5:$C$100,A34,'프로젝트 등급'!$A$5:$A$100,"A")</x:f>
        <x:v>0</x:v>
      </x:c>
      <x:c r="E34" s="50" t="n">
        <x:f>COUNTIFS('프로젝트 등급'!$C$5:$C$100,A34,'프로젝트 등급'!$A$5:$A$100,"B")</x:f>
        <x:v>0</x:v>
      </x:c>
      <x:c r="F34" s="50" t="n">
        <x:f>COUNTIFS('프로젝트 등급'!$C$5:$C$100,A34,'프로젝트 등급'!$A$5:$A$100,"C")</x:f>
        <x:v>3</x:v>
      </x:c>
      <x:c r="G34" s="50" t="n">
        <x:f>COUNTIFS('프로젝트 등급'!$C$5:$C$100,A34,'프로젝트 등급'!$B$5:$B$100,"C?")</x:f>
        <x:v>0</x:v>
      </x:c>
      <x:c r="H34" s="50" t="n">
        <x:f>COUNTIFS('프로젝트 등급'!$C$5:$C$100,A34,'프로젝트 등급'!$B$5:$B$100,"U")</x:f>
        <x:v>3</x:v>
      </x:c>
      <x:c r="I34" s="50" t="n">
        <x:f>SUMIF('프로젝트 등급'!$C$5:$C$100,A34,'프로젝트 등급'!$K$5:$K$100)</x:f>
        <x:v>7</x:v>
      </x:c>
      <x:c r="J34" s="50" t="n">
        <x:f>SUMIF('프로젝트 등급'!$C$5:$C$100,A34,'프로젝트 등급'!$L$5:$L$100)</x:f>
        <x:v>113</x:v>
      </x:c>
      <x:c r="K34" s="47" t="str">
        <x:f>IF(D34&gt;=3,"초기 국가모형 가능(독립성 추가검증)",IF(D34&gt;0,"가격사례 부족: 사업별 기준점",IF(E34&gt;0,"수량사례만: 현지단가 필요","직접 산정근거 없음")))</x:f>
        <x:v>직접 산정근거 없음</x:v>
      </x:c>
      <x:c r="L34" s="47" t="str">
        <x:v>최고등급은 해당 국가의 최소 1개 사업 근거이며 국가 대표단가가 아님</x:v>
      </x:c>
    </x:row>
    <x:row r="35">
      <x:c r="A35" s="44" t="str">
        <x:v>콜롬비아</x:v>
      </x:c>
      <x:c r="B35" s="44" t="str">
        <x:f>IF(D35&gt;0,"A",IF(E35&gt;0,"B","C"))</x:f>
        <x:v>C</x:v>
      </x:c>
      <x:c r="C35" s="50" t="n">
        <x:f>COUNTIF('프로젝트 등급'!$C$5:$C$100,A35)</x:f>
        <x:v>2</x:v>
      </x:c>
      <x:c r="D35" s="50" t="n">
        <x:f>COUNTIFS('프로젝트 등급'!$C$5:$C$100,A35,'프로젝트 등급'!$A$5:$A$100,"A")</x:f>
        <x:v>0</x:v>
      </x:c>
      <x:c r="E35" s="50" t="n">
        <x:f>COUNTIFS('프로젝트 등급'!$C$5:$C$100,A35,'프로젝트 등급'!$A$5:$A$100,"B")</x:f>
        <x:v>0</x:v>
      </x:c>
      <x:c r="F35" s="50" t="n">
        <x:f>COUNTIFS('프로젝트 등급'!$C$5:$C$100,A35,'프로젝트 등급'!$A$5:$A$100,"C")</x:f>
        <x:v>2</x:v>
      </x:c>
      <x:c r="G35" s="50" t="n">
        <x:f>COUNTIFS('프로젝트 등급'!$C$5:$C$100,A35,'프로젝트 등급'!$B$5:$B$100,"C?")</x:f>
        <x:v>0</x:v>
      </x:c>
      <x:c r="H35" s="50" t="n">
        <x:f>COUNTIFS('프로젝트 등급'!$C$5:$C$100,A35,'프로젝트 등급'!$B$5:$B$100,"U")</x:f>
        <x:v>2</x:v>
      </x:c>
      <x:c r="I35" s="50" t="n">
        <x:f>SUMIF('프로젝트 등급'!$C$5:$C$100,A35,'프로젝트 등급'!$K$5:$K$100)</x:f>
        <x:v>0</x:v>
      </x:c>
      <x:c r="J35" s="50" t="n">
        <x:f>SUMIF('프로젝트 등급'!$C$5:$C$100,A35,'프로젝트 등급'!$L$5:$L$100)</x:f>
        <x:v>0</x:v>
      </x:c>
      <x:c r="K35" s="47" t="str">
        <x:f>IF(D35&gt;=3,"초기 국가모형 가능(독립성 추가검증)",IF(D35&gt;0,"가격사례 부족: 사업별 기준점",IF(E35&gt;0,"수량사례만: 현지단가 필요","직접 산정근거 없음")))</x:f>
        <x:v>직접 산정근거 없음</x:v>
      </x:c>
      <x:c r="L35" s="47" t="str">
        <x:v>최고등급은 해당 국가의 최소 1개 사업 근거이며 국가 대표단가가 아님</x:v>
      </x:c>
    </x:row>
    <x:row r="36">
      <x:c r="A36" s="44" t="str">
        <x:v>키르기스스탄</x:v>
      </x:c>
      <x:c r="B36" s="44" t="str">
        <x:f>IF(D36&gt;0,"A",IF(E36&gt;0,"B","C"))</x:f>
        <x:v>C</x:v>
      </x:c>
      <x:c r="C36" s="50" t="n">
        <x:f>COUNTIF('프로젝트 등급'!$C$5:$C$100,A36)</x:f>
        <x:v>4</x:v>
      </x:c>
      <x:c r="D36" s="50" t="n">
        <x:f>COUNTIFS('프로젝트 등급'!$C$5:$C$100,A36,'프로젝트 등급'!$A$5:$A$100,"A")</x:f>
        <x:v>0</x:v>
      </x:c>
      <x:c r="E36" s="50" t="n">
        <x:f>COUNTIFS('프로젝트 등급'!$C$5:$C$100,A36,'프로젝트 등급'!$A$5:$A$100,"B")</x:f>
        <x:v>0</x:v>
      </x:c>
      <x:c r="F36" s="50" t="n">
        <x:f>COUNTIFS('프로젝트 등급'!$C$5:$C$100,A36,'프로젝트 등급'!$A$5:$A$100,"C")</x:f>
        <x:v>4</x:v>
      </x:c>
      <x:c r="G36" s="50" t="n">
        <x:f>COUNTIFS('프로젝트 등급'!$C$5:$C$100,A36,'프로젝트 등급'!$B$5:$B$100,"C?")</x:f>
        <x:v>1</x:v>
      </x:c>
      <x:c r="H36" s="50" t="n">
        <x:f>COUNTIFS('프로젝트 등급'!$C$5:$C$100,A36,'프로젝트 등급'!$B$5:$B$100,"U")</x:f>
        <x:v>3</x:v>
      </x:c>
      <x:c r="I36" s="50" t="n">
        <x:f>SUMIF('프로젝트 등급'!$C$5:$C$100,A36,'프로젝트 등급'!$K$5:$K$100)</x:f>
        <x:v>8</x:v>
      </x:c>
      <x:c r="J36" s="50" t="n">
        <x:f>SUMIF('프로젝트 등급'!$C$5:$C$100,A36,'프로젝트 등급'!$L$5:$L$100)</x:f>
        <x:v>137</x:v>
      </x:c>
      <x:c r="K36" s="47" t="str">
        <x:f>IF(D36&gt;=3,"초기 국가모형 가능(독립성 추가검증)",IF(D36&gt;0,"가격사례 부족: 사업별 기준점",IF(E36&gt;0,"수량사례만: 현지단가 필요","직접 산정근거 없음")))</x:f>
        <x:v>직접 산정근거 없음</x:v>
      </x:c>
      <x:c r="L36" s="47" t="str">
        <x:v>최고등급은 해당 국가의 최소 1개 사업 근거이며 국가 대표단가가 아님</x:v>
      </x:c>
    </x:row>
    <x:row r="37">
      <x:c r="A37" s="44" t="str">
        <x:v>타지키스탄</x:v>
      </x:c>
      <x:c r="B37" s="44" t="str">
        <x:f>IF(D37&gt;0,"A",IF(E37&gt;0,"B","C"))</x:f>
        <x:v>C</x:v>
      </x:c>
      <x:c r="C37" s="50" t="n">
        <x:f>COUNTIF('프로젝트 등급'!$C$5:$C$100,A37)</x:f>
        <x:v>1</x:v>
      </x:c>
      <x:c r="D37" s="50" t="n">
        <x:f>COUNTIFS('프로젝트 등급'!$C$5:$C$100,A37,'프로젝트 등급'!$A$5:$A$100,"A")</x:f>
        <x:v>0</x:v>
      </x:c>
      <x:c r="E37" s="50" t="n">
        <x:f>COUNTIFS('프로젝트 등급'!$C$5:$C$100,A37,'프로젝트 등급'!$A$5:$A$100,"B")</x:f>
        <x:v>0</x:v>
      </x:c>
      <x:c r="F37" s="50" t="n">
        <x:f>COUNTIFS('프로젝트 등급'!$C$5:$C$100,A37,'프로젝트 등급'!$A$5:$A$100,"C")</x:f>
        <x:v>1</x:v>
      </x:c>
      <x:c r="G37" s="50" t="n">
        <x:f>COUNTIFS('프로젝트 등급'!$C$5:$C$100,A37,'프로젝트 등급'!$B$5:$B$100,"C?")</x:f>
        <x:v>0</x:v>
      </x:c>
      <x:c r="H37" s="50" t="n">
        <x:f>COUNTIFS('프로젝트 등급'!$C$5:$C$100,A37,'프로젝트 등급'!$B$5:$B$100,"U")</x:f>
        <x:v>1</x:v>
      </x:c>
      <x:c r="I37" s="50" t="n">
        <x:f>SUMIF('프로젝트 등급'!$C$5:$C$100,A37,'프로젝트 등급'!$K$5:$K$100)</x:f>
        <x:v>0</x:v>
      </x:c>
      <x:c r="J37" s="50" t="n">
        <x:f>SUMIF('프로젝트 등급'!$C$5:$C$100,A37,'프로젝트 등급'!$L$5:$L$100)</x:f>
        <x:v>0</x:v>
      </x:c>
      <x:c r="K37" s="47" t="str">
        <x:f>IF(D37&gt;=3,"초기 국가모형 가능(독립성 추가검증)",IF(D37&gt;0,"가격사례 부족: 사업별 기준점",IF(E37&gt;0,"수량사례만: 현지단가 필요","직접 산정근거 없음")))</x:f>
        <x:v>직접 산정근거 없음</x:v>
      </x:c>
      <x:c r="L37" s="47" t="str">
        <x:v>최고등급은 해당 국가의 최소 1개 사업 근거이며 국가 대표단가가 아님</x:v>
      </x:c>
    </x:row>
    <x:row r="38">
      <x:c r="A38" s="44" t="str">
        <x:v>탄자니아</x:v>
      </x:c>
      <x:c r="B38" s="44" t="str">
        <x:f>IF(D38&gt;0,"A",IF(E38&gt;0,"B","C"))</x:f>
        <x:v>C</x:v>
      </x:c>
      <x:c r="C38" s="50" t="n">
        <x:f>COUNTIF('프로젝트 등급'!$C$5:$C$100,A38)</x:f>
        <x:v>3</x:v>
      </x:c>
      <x:c r="D38" s="50" t="n">
        <x:f>COUNTIFS('프로젝트 등급'!$C$5:$C$100,A38,'프로젝트 등급'!$A$5:$A$100,"A")</x:f>
        <x:v>0</x:v>
      </x:c>
      <x:c r="E38" s="50" t="n">
        <x:f>COUNTIFS('프로젝트 등급'!$C$5:$C$100,A38,'프로젝트 등급'!$A$5:$A$100,"B")</x:f>
        <x:v>0</x:v>
      </x:c>
      <x:c r="F38" s="50" t="n">
        <x:f>COUNTIFS('프로젝트 등급'!$C$5:$C$100,A38,'프로젝트 등급'!$A$5:$A$100,"C")</x:f>
        <x:v>3</x:v>
      </x:c>
      <x:c r="G38" s="50" t="n">
        <x:f>COUNTIFS('프로젝트 등급'!$C$5:$C$100,A38,'프로젝트 등급'!$B$5:$B$100,"C?")</x:f>
        <x:v>0</x:v>
      </x:c>
      <x:c r="H38" s="50" t="n">
        <x:f>COUNTIFS('프로젝트 등급'!$C$5:$C$100,A38,'프로젝트 등급'!$B$5:$B$100,"U")</x:f>
        <x:v>3</x:v>
      </x:c>
      <x:c r="I38" s="50" t="n">
        <x:f>SUMIF('프로젝트 등급'!$C$5:$C$100,A38,'프로젝트 등급'!$K$5:$K$100)</x:f>
        <x:v>1</x:v>
      </x:c>
      <x:c r="J38" s="50" t="n">
        <x:f>SUMIF('프로젝트 등급'!$C$5:$C$100,A38,'프로젝트 등급'!$L$5:$L$100)</x:f>
        <x:v>17</x:v>
      </x:c>
      <x:c r="K38" s="47" t="str">
        <x:f>IF(D38&gt;=3,"초기 국가모형 가능(독립성 추가검증)",IF(D38&gt;0,"가격사례 부족: 사업별 기준점",IF(E38&gt;0,"수량사례만: 현지단가 필요","직접 산정근거 없음")))</x:f>
        <x:v>직접 산정근거 없음</x:v>
      </x:c>
      <x:c r="L38" s="47" t="str">
        <x:v>최고등급은 해당 국가의 최소 1개 사업 근거이며 국가 대표단가가 아님</x:v>
      </x:c>
    </x:row>
    <x:row r="39">
      <x:c r="A39" s="44" t="str">
        <x:v>튀니지</x:v>
      </x:c>
      <x:c r="B39" s="44" t="str">
        <x:f>IF(D39&gt;0,"A",IF(E39&gt;0,"B","C"))</x:f>
        <x:v>C</x:v>
      </x:c>
      <x:c r="C39" s="50" t="n">
        <x:f>COUNTIF('프로젝트 등급'!$C$5:$C$100,A39)</x:f>
        <x:v>1</x:v>
      </x:c>
      <x:c r="D39" s="50" t="n">
        <x:f>COUNTIFS('프로젝트 등급'!$C$5:$C$100,A39,'프로젝트 등급'!$A$5:$A$100,"A")</x:f>
        <x:v>0</x:v>
      </x:c>
      <x:c r="E39" s="50" t="n">
        <x:f>COUNTIFS('프로젝트 등급'!$C$5:$C$100,A39,'프로젝트 등급'!$A$5:$A$100,"B")</x:f>
        <x:v>0</x:v>
      </x:c>
      <x:c r="F39" s="50" t="n">
        <x:f>COUNTIFS('프로젝트 등급'!$C$5:$C$100,A39,'프로젝트 등급'!$A$5:$A$100,"C")</x:f>
        <x:v>1</x:v>
      </x:c>
      <x:c r="G39" s="50" t="n">
        <x:f>COUNTIFS('프로젝트 등급'!$C$5:$C$100,A39,'프로젝트 등급'!$B$5:$B$100,"C?")</x:f>
        <x:v>0</x:v>
      </x:c>
      <x:c r="H39" s="50" t="n">
        <x:f>COUNTIFS('프로젝트 등급'!$C$5:$C$100,A39,'프로젝트 등급'!$B$5:$B$100,"U")</x:f>
        <x:v>1</x:v>
      </x:c>
      <x:c r="I39" s="50" t="n">
        <x:f>SUMIF('프로젝트 등급'!$C$5:$C$100,A39,'프로젝트 등급'!$K$5:$K$100)</x:f>
        <x:v>0</x:v>
      </x:c>
      <x:c r="J39" s="50" t="n">
        <x:f>SUMIF('프로젝트 등급'!$C$5:$C$100,A39,'프로젝트 등급'!$L$5:$L$100)</x:f>
        <x:v>0</x:v>
      </x:c>
      <x:c r="K39" s="47" t="str">
        <x:f>IF(D39&gt;=3,"초기 국가모형 가능(독립성 추가검증)",IF(D39&gt;0,"가격사례 부족: 사업별 기준점",IF(E39&gt;0,"수량사례만: 현지단가 필요","직접 산정근거 없음")))</x:f>
        <x:v>직접 산정근거 없음</x:v>
      </x:c>
      <x:c r="L39" s="47" t="str">
        <x:v>최고등급은 해당 국가의 최소 1개 사업 근거이며 국가 대표단가가 아님</x:v>
      </x:c>
    </x:row>
    <x:row r="40">
      <x:c r="A40" s="44" t="str">
        <x:v>파라과이</x:v>
      </x:c>
      <x:c r="B40" s="44" t="str">
        <x:f>IF(D40&gt;0,"A",IF(E40&gt;0,"B","C"))</x:f>
        <x:v>C</x:v>
      </x:c>
      <x:c r="C40" s="50" t="n">
        <x:f>COUNTIF('프로젝트 등급'!$C$5:$C$100,A40)</x:f>
        <x:v>1</x:v>
      </x:c>
      <x:c r="D40" s="50" t="n">
        <x:f>COUNTIFS('프로젝트 등급'!$C$5:$C$100,A40,'프로젝트 등급'!$A$5:$A$100,"A")</x:f>
        <x:v>0</x:v>
      </x:c>
      <x:c r="E40" s="50" t="n">
        <x:f>COUNTIFS('프로젝트 등급'!$C$5:$C$100,A40,'프로젝트 등급'!$A$5:$A$100,"B")</x:f>
        <x:v>0</x:v>
      </x:c>
      <x:c r="F40" s="50" t="n">
        <x:f>COUNTIFS('프로젝트 등급'!$C$5:$C$100,A40,'프로젝트 등급'!$A$5:$A$100,"C")</x:f>
        <x:v>1</x:v>
      </x:c>
      <x:c r="G40" s="50" t="n">
        <x:f>COUNTIFS('프로젝트 등급'!$C$5:$C$100,A40,'프로젝트 등급'!$B$5:$B$100,"C?")</x:f>
        <x:v>0</x:v>
      </x:c>
      <x:c r="H40" s="50" t="n">
        <x:f>COUNTIFS('프로젝트 등급'!$C$5:$C$100,A40,'프로젝트 등급'!$B$5:$B$100,"U")</x:f>
        <x:v>1</x:v>
      </x:c>
      <x:c r="I40" s="50" t="n">
        <x:f>SUMIF('프로젝트 등급'!$C$5:$C$100,A40,'프로젝트 등급'!$K$5:$K$100)</x:f>
        <x:v>0</x:v>
      </x:c>
      <x:c r="J40" s="50" t="n">
        <x:f>SUMIF('프로젝트 등급'!$C$5:$C$100,A40,'프로젝트 등급'!$L$5:$L$100)</x:f>
        <x:v>0</x:v>
      </x:c>
      <x:c r="K40" s="47" t="str">
        <x:f>IF(D40&gt;=3,"초기 국가모형 가능(독립성 추가검증)",IF(D40&gt;0,"가격사례 부족: 사업별 기준점",IF(E40&gt;0,"수량사례만: 현지단가 필요","직접 산정근거 없음")))</x:f>
        <x:v>직접 산정근거 없음</x:v>
      </x:c>
      <x:c r="L40" s="47" t="str">
        <x:v>최고등급은 해당 국가의 최소 1개 사업 근거이며 국가 대표단가가 아님</x:v>
      </x:c>
    </x:row>
    <x:row r="41">
      <x:c r="A41" s="44" t="str">
        <x:v>파키스탄</x:v>
      </x:c>
      <x:c r="B41" s="44" t="str">
        <x:f>IF(D41&gt;0,"A",IF(E41&gt;0,"B","C"))</x:f>
        <x:v>C</x:v>
      </x:c>
      <x:c r="C41" s="50" t="n">
        <x:f>COUNTIF('프로젝트 등급'!$C$5:$C$100,A41)</x:f>
        <x:v>2</x:v>
      </x:c>
      <x:c r="D41" s="50" t="n">
        <x:f>COUNTIFS('프로젝트 등급'!$C$5:$C$100,A41,'프로젝트 등급'!$A$5:$A$100,"A")</x:f>
        <x:v>0</x:v>
      </x:c>
      <x:c r="E41" s="50" t="n">
        <x:f>COUNTIFS('프로젝트 등급'!$C$5:$C$100,A41,'프로젝트 등급'!$A$5:$A$100,"B")</x:f>
        <x:v>0</x:v>
      </x:c>
      <x:c r="F41" s="50" t="n">
        <x:f>COUNTIFS('프로젝트 등급'!$C$5:$C$100,A41,'프로젝트 등급'!$A$5:$A$100,"C")</x:f>
        <x:v>2</x:v>
      </x:c>
      <x:c r="G41" s="50" t="n">
        <x:f>COUNTIFS('프로젝트 등급'!$C$5:$C$100,A41,'프로젝트 등급'!$B$5:$B$100,"C?")</x:f>
        <x:v>0</x:v>
      </x:c>
      <x:c r="H41" s="50" t="n">
        <x:f>COUNTIFS('프로젝트 등급'!$C$5:$C$100,A41,'프로젝트 등급'!$B$5:$B$100,"U")</x:f>
        <x:v>2</x:v>
      </x:c>
      <x:c r="I41" s="50" t="n">
        <x:f>SUMIF('프로젝트 등급'!$C$5:$C$100,A41,'프로젝트 등급'!$K$5:$K$100)</x:f>
        <x:v>1</x:v>
      </x:c>
      <x:c r="J41" s="50" t="n">
        <x:f>SUMIF('프로젝트 등급'!$C$5:$C$100,A41,'프로젝트 등급'!$L$5:$L$100)</x:f>
        <x:v>16</x:v>
      </x:c>
      <x:c r="K41" s="47" t="str">
        <x:f>IF(D41&gt;=3,"초기 국가모형 가능(독립성 추가검증)",IF(D41&gt;0,"가격사례 부족: 사업별 기준점",IF(E41&gt;0,"수량사례만: 현지단가 필요","직접 산정근거 없음")))</x:f>
        <x:v>직접 산정근거 없음</x:v>
      </x:c>
      <x:c r="L41" s="47" t="str">
        <x:v>최고등급은 해당 국가의 최소 1개 사업 근거이며 국가 대표단가가 아님</x:v>
      </x:c>
    </x:row>
    <x:row r="42">
      <x:c r="A42" s="44" t="str">
        <x:v>팔레스타인</x:v>
      </x:c>
      <x:c r="B42" s="44" t="str">
        <x:f>IF(D42&gt;0,"A",IF(E42&gt;0,"B","C"))</x:f>
        <x:v>C</x:v>
      </x:c>
      <x:c r="C42" s="50" t="n">
        <x:f>COUNTIF('프로젝트 등급'!$C$5:$C$100,A42)</x:f>
        <x:v>1</x:v>
      </x:c>
      <x:c r="D42" s="50" t="n">
        <x:f>COUNTIFS('프로젝트 등급'!$C$5:$C$100,A42,'프로젝트 등급'!$A$5:$A$100,"A")</x:f>
        <x:v>0</x:v>
      </x:c>
      <x:c r="E42" s="50" t="n">
        <x:f>COUNTIFS('프로젝트 등급'!$C$5:$C$100,A42,'프로젝트 등급'!$A$5:$A$100,"B")</x:f>
        <x:v>0</x:v>
      </x:c>
      <x:c r="F42" s="50" t="n">
        <x:f>COUNTIFS('프로젝트 등급'!$C$5:$C$100,A42,'프로젝트 등급'!$A$5:$A$100,"C")</x:f>
        <x:v>1</x:v>
      </x:c>
      <x:c r="G42" s="50" t="n">
        <x:f>COUNTIFS('프로젝트 등급'!$C$5:$C$100,A42,'프로젝트 등급'!$B$5:$B$100,"C?")</x:f>
        <x:v>0</x:v>
      </x:c>
      <x:c r="H42" s="50" t="n">
        <x:f>COUNTIFS('프로젝트 등급'!$C$5:$C$100,A42,'프로젝트 등급'!$B$5:$B$100,"U")</x:f>
        <x:v>1</x:v>
      </x:c>
      <x:c r="I42" s="50" t="n">
        <x:f>SUMIF('프로젝트 등급'!$C$5:$C$100,A42,'프로젝트 등급'!$K$5:$K$100)</x:f>
        <x:v>0</x:v>
      </x:c>
      <x:c r="J42" s="50" t="n">
        <x:f>SUMIF('프로젝트 등급'!$C$5:$C$100,A42,'프로젝트 등급'!$L$5:$L$100)</x:f>
        <x:v>0</x:v>
      </x:c>
      <x:c r="K42" s="47" t="str">
        <x:f>IF(D42&gt;=3,"초기 국가모형 가능(독립성 추가검증)",IF(D42&gt;0,"가격사례 부족: 사업별 기준점",IF(E42&gt;0,"수량사례만: 현지단가 필요","직접 산정근거 없음")))</x:f>
        <x:v>직접 산정근거 없음</x:v>
      </x:c>
      <x:c r="L42" s="47" t="str">
        <x:v>최고등급은 해당 국가의 최소 1개 사업 근거이며 국가 대표단가가 아님</x:v>
      </x:c>
    </x:row>
    <x:row r="43">
      <x:c r="A43" s="45" t="str">
        <x:v>필리핀</x:v>
      </x:c>
      <x:c r="B43" s="45" t="str">
        <x:f>IF(D43&gt;0,"A",IF(E43&gt;0,"B","C"))</x:f>
        <x:v>C</x:v>
      </x:c>
      <x:c r="C43" s="51" t="n">
        <x:f>COUNTIF('프로젝트 등급'!$C$5:$C$100,A43)</x:f>
        <x:v>3</x:v>
      </x:c>
      <x:c r="D43" s="51" t="n">
        <x:f>COUNTIFS('프로젝트 등급'!$C$5:$C$100,A43,'프로젝트 등급'!$A$5:$A$100,"A")</x:f>
        <x:v>0</x:v>
      </x:c>
      <x:c r="E43" s="51" t="n">
        <x:f>COUNTIFS('프로젝트 등급'!$C$5:$C$100,A43,'프로젝트 등급'!$A$5:$A$100,"B")</x:f>
        <x:v>0</x:v>
      </x:c>
      <x:c r="F43" s="51" t="n">
        <x:f>COUNTIFS('프로젝트 등급'!$C$5:$C$100,A43,'프로젝트 등급'!$A$5:$A$100,"C")</x:f>
        <x:v>3</x:v>
      </x:c>
      <x:c r="G43" s="51" t="n">
        <x:f>COUNTIFS('프로젝트 등급'!$C$5:$C$100,A43,'프로젝트 등급'!$B$5:$B$100,"C?")</x:f>
        <x:v>0</x:v>
      </x:c>
      <x:c r="H43" s="51" t="n">
        <x:f>COUNTIFS('프로젝트 등급'!$C$5:$C$100,A43,'프로젝트 등급'!$B$5:$B$100,"U")</x:f>
        <x:v>3</x:v>
      </x:c>
      <x:c r="I43" s="51" t="n">
        <x:f>SUMIF('프로젝트 등급'!$C$5:$C$100,A43,'프로젝트 등급'!$K$5:$K$100)</x:f>
        <x:v>3</x:v>
      </x:c>
      <x:c r="J43" s="51" t="n">
        <x:f>SUMIF('프로젝트 등급'!$C$5:$C$100,A43,'프로젝트 등급'!$L$5:$L$100)</x:f>
        <x:v>29</x:v>
      </x:c>
      <x:c r="K43" s="48" t="str">
        <x:f>IF(D43&gt;=3,"초기 국가모형 가능(독립성 추가검증)",IF(D43&gt;0,"가격사례 부족: 사업별 기준점",IF(E43&gt;0,"수량사례만: 현지단가 필요","직접 산정근거 없음")))</x:f>
        <x:v>직접 산정근거 없음</x:v>
      </x:c>
      <x:c r="L43" s="48" t="str">
        <x:v>최고등급은 해당 국가의 최소 1개 사업 근거이며 국가 대표단가가 아님</x:v>
      </x:c>
    </x:row>
  </x:sheetData>
  <x:mergeCells>
    <x:mergeCell ref="A1:L1"/>
    <x:mergeCell ref="A2:L2"/>
  </x:mergeCells>
  <x:conditionalFormatting sqref="B5:B43">
    <x:cfRule type="beginsWith" dxfId="5" priority="1" operator="beginsWith" text="A"/>
    <x:cfRule type="beginsWith" dxfId="6" priority="2" operator="beginsWith" text="B"/>
    <x:cfRule type="beginsWith" dxfId="7" priority="3" operator="beginsWith" text="C"/>
    <x:cfRule type="beginsWith" dxfId="8" priority="4" operator="beginsWith" text="U"/>
    <x:cfRule type="beginsWith" dxfId="9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5695d4ee45e049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16" hidden="0" customWidth="1"/>
    <x:col min="4" max="4" width="14" hidden="0" customWidth="1"/>
    <x:col min="5" max="5" width="42" hidden="0" customWidth="1"/>
    <x:col min="6" max="6" width="18" hidden="0" customWidth="1"/>
    <x:col min="7" max="7" width="18" hidden="0" customWidth="1"/>
    <x:col min="8" max="8" width="16" hidden="0" customWidth="1"/>
    <x:col min="9" max="9" width="8" hidden="0" customWidth="1"/>
    <x:col min="10" max="10" width="16" hidden="0" customWidth="1"/>
    <x:col min="11" max="11" width="34" hidden="0" customWidth="1"/>
    <x:col min="12" max="12" width="34" hidden="0" customWidth="1"/>
  </x:cols>
  <x:sheetData>
    <x:row r="1" ht="34" customHeight="1">
      <x:c r="A1" s="3" t="str">
        <x:v>검증된 A·B 우선사업 8개</x:v>
      </x:c>
    </x:row>
    <x:row r="2" ht="38" customHeight="1">
      <x:c r="A2" s="7" t="str">
        <x:v>A 2개는 KOICA-only 직접 설계견적 기준점, B 6개는 현지단가 결합 즉시 수량기반 견적으로 전환할 수 있는 우선사업입니다.</x:v>
      </x:c>
    </x:row>
    <x:row r="4" ht="30" customHeight="1">
      <x:c r="A4" s="13" t="str">
        <x:v>등급</x:v>
      </x:c>
      <x:c r="B4" s="13" t="str">
        <x:v>기술상태</x:v>
      </x:c>
      <x:c r="C4" s="13" t="str">
        <x:v>국가</x:v>
      </x:c>
      <x:c r="D4" s="13" t="str">
        <x:v>사업번호</x:v>
      </x:c>
      <x:c r="E4" s="13" t="str">
        <x:v>사업명</x:v>
      </x:c>
      <x:c r="F4" s="13" t="str">
        <x:v>범위</x:v>
      </x:c>
      <x:c r="G4" s="13" t="str">
        <x:v>가격단계</x:v>
      </x:c>
      <x:c r="H4" s="13" t="str">
        <x:v>검증금액</x:v>
      </x:c>
      <x:c r="I4" s="13" t="str">
        <x:v>통화</x:v>
      </x:c>
      <x:c r="J4" s="13" t="str">
        <x:v>검증금액/㎡</x:v>
      </x:c>
      <x:c r="K4" s="13" t="str">
        <x:v>차단요인</x:v>
      </x:c>
      <x:c r="L4" s="13" t="str">
        <x:v>다음조치</x:v>
      </x:c>
    </x:row>
    <x:row r="5" ht="38" customHeight="1">
      <x:c r="A5" s="43" t="str">
        <x:f>'프로젝트 등급'!A7</x:f>
        <x:v>A</x:v>
      </x:c>
      <x:c r="B5" s="43" t="str">
        <x:f>'프로젝트 등급'!B7</x:f>
        <x:v>A</x:v>
      </x:c>
      <x:c r="C5" s="43" t="str">
        <x:f>'프로젝트 등급'!C7</x:f>
        <x:v>가나</x:v>
      </x:c>
      <x:c r="D5" s="43" t="str">
        <x:f>'프로젝트 등급'!D7</x:f>
        <x:v>2021-00016</x:v>
      </x:c>
      <x:c r="E5" s="46" t="str">
        <x:f>'프로젝트 등급'!E7</x:f>
        <x:v>가나대학교 연구 및 ICT 혁신센터 건립 사업('21·'26/900만불)</x:v>
      </x:c>
      <x:c r="F5" s="46" t="str">
        <x:f>'프로젝트 등급'!G7</x:f>
        <x:v>FULL</x:v>
      </x:c>
      <x:c r="G5" s="46" t="str">
        <x:f>'프로젝트 등급'!H7</x:f>
        <x:v>DESIGN_ESTIMATE</x:v>
      </x:c>
      <x:c r="H5" s="52" t="n">
        <x:f>IF('프로젝트 등급'!Z7="","",'프로젝트 등급'!Z7)</x:f>
        <x:v>4333426.767765368</x:v>
      </x:c>
      <x:c r="I5" s="43" t="str">
        <x:f>IF('프로젝트 등급'!AA7="","",'프로젝트 등급'!AA7)</x:f>
        <x:v>USD</x:v>
      </x:c>
      <x:c r="J5" s="55" t="n">
        <x:f>IF('프로젝트 등급'!AB7="","",'프로젝트 등급'!AB7)</x:f>
        <x:v>1666.70260298668</x:v>
      </x:c>
      <x:c r="K5" s="46" t="str">
        <x:f>'프로젝트 등급'!AF7</x:f>
        <x:v>설계예산이며 낙찰·계약·준공가 아님; 가격시점·세금·환율 재확인</x:v>
      </x:c>
      <x:c r="L5" s="46" t="str">
        <x:f>'프로젝트 등급'!AG7</x:f>
        <x:v>계약·준공 금액 확보 후 설계예산 대비율 산정</x:v>
      </x:c>
    </x:row>
    <x:row r="6" ht="38" customHeight="1">
      <x:c r="A6" s="44" t="str">
        <x:f>'프로젝트 등급'!A64</x:f>
        <x:v>A</x:v>
      </x:c>
      <x:c r="B6" s="44" t="str">
        <x:f>'프로젝트 등급'!B64</x:f>
        <x:v>A-부분</x:v>
      </x:c>
      <x:c r="C6" s="44" t="str">
        <x:f>'프로젝트 등급'!C64</x:f>
        <x:v>이라크</x:v>
      </x:c>
      <x:c r="D6" s="44" t="str">
        <x:f>'프로젝트 등급'!D64</x:f>
        <x:v>2020-00119</x:v>
      </x:c>
      <x:c r="E6" s="47" t="str">
        <x:f>'프로젝트 등급'!E64</x:f>
        <x:v>이라크 한·이라크 심장병 어린이 전문 병원 건립사업('20·'30/2,793만불)</x:v>
      </x:c>
      <x:c r="F6" s="47" t="str">
        <x:f>'프로젝트 등급'!G64</x:f>
        <x:v>PARTIAL_BOUNDED</x:v>
      </x:c>
      <x:c r="G6" s="47" t="str">
        <x:f>'프로젝트 등급'!H64</x:f>
        <x:v>DESIGN_ESTIMATE</x:v>
      </x:c>
      <x:c r="H6" s="53" t="n">
        <x:f>IF('프로젝트 등급'!Z64="","",'프로젝트 등급'!Z64)</x:f>
        <x:v>8372712.422776788</x:v>
      </x:c>
      <x:c r="I6" s="44" t="str">
        <x:f>IF('프로젝트 등급'!AA64="","",'프로젝트 등급'!AA64)</x:f>
        <x:v>USD</x:v>
      </x:c>
      <x:c r="J6" s="56" t="n">
        <x:f>IF('프로젝트 등급'!AB64="","",'프로젝트 등급'!AB64)</x:f>
        <x:v>1526.196212682608</x:v>
      </x:c>
      <x:c r="K6" s="47" t="str">
        <x:f>'프로젝트 등급'!AF64</x:f>
        <x:v>건축 Bill No.01만 포함; 토목·기계·전기·통신·소방 등 제외</x:v>
      </x:c>
      <x:c r="L6" s="47" t="str">
        <x:f>'프로젝트 등급'!AG64</x:f>
        <x:v>나머지 Bill을 동일 방식으로 복원하고 계약·준공가 확보</x:v>
      </x:c>
    </x:row>
    <x:row r="7" ht="38" customHeight="1">
      <x:c r="A7" s="44" t="str">
        <x:f>'프로젝트 등급'!A12</x:f>
        <x:v>B</x:v>
      </x:c>
      <x:c r="B7" s="44" t="str">
        <x:f>'프로젝트 등급'!B12</x:f>
        <x:v>B-부분</x:v>
      </x:c>
      <x:c r="C7" s="44" t="str">
        <x:f>'프로젝트 등급'!C12</x:f>
        <x:v>도미니카공화국</x:v>
      </x:c>
      <x:c r="D7" s="44" t="str">
        <x:f>'프로젝트 등급'!D12</x:f>
        <x:v>2020-00070</x:v>
      </x:c>
      <x:c r="E7" s="47" t="str">
        <x:f>'프로젝트 등급'!E12</x:f>
        <x:v>도미니카공화국 여성 중심 취약계층 사회.경제적 역량강화사업 몬테 크리스티 직업훈련센터 (MVC) 시공사 선정 현지입찰</x:v>
      </x:c>
      <x:c r="F7" s="47" t="str">
        <x:f>'프로젝트 등급'!G12</x:f>
        <x:v>PARTIAL_BOUNDED</x:v>
      </x:c>
      <x:c r="G7" s="47" t="str">
        <x:f>'프로젝트 등급'!H12</x:f>
        <x:v>NONE</x:v>
      </x:c>
      <x:c r="H7" s="53" t="str">
        <x:f>IF('프로젝트 등급'!Z12="","",'프로젝트 등급'!Z12)</x:f>
      </x:c>
      <x:c r="I7" s="44" t="str">
        <x:f>IF('프로젝트 등급'!AA12="","",'프로젝트 등급'!AA12)</x:f>
      </x:c>
      <x:c r="J7" s="56" t="str">
        <x:f>IF('프로젝트 등급'!AB12="","",'프로젝트 등급'!AB12)</x:f>
      </x:c>
      <x:c r="K7" s="47" t="str">
        <x:f>'프로젝트 등급'!AF12</x:f>
        <x:v>몬테크리스티 시설 부분자료이며 현지 단가 부재</x:v>
      </x:c>
      <x:c r="L7" s="47" t="str">
        <x:f>'프로젝트 등급'!AG12</x:f>
        <x:v>도미니카 현지단가 결합 및 하이나 시설과 범위 분리</x:v>
      </x:c>
    </x:row>
    <x:row r="8" ht="38" customHeight="1">
      <x:c r="A8" s="44" t="str">
        <x:f>'프로젝트 등급'!A28</x:f>
        <x:v>B</x:v>
      </x:c>
      <x:c r="B8" s="44" t="str">
        <x:f>'프로젝트 등급'!B28</x:f>
        <x:v>B</x:v>
      </x:c>
      <x:c r="C8" s="44" t="str">
        <x:f>'프로젝트 등급'!C28</x:f>
        <x:v>볼리비아</x:v>
      </x:c>
      <x:c r="D8" s="44" t="str">
        <x:f>'프로젝트 등급'!D28</x:f>
        <x:v>2013-00064</x:v>
      </x:c>
      <x:c r="E8" s="47" t="str">
        <x:f>'프로젝트 등급'!E28</x:f>
        <x:v>볼리비아 고원 지역 농업 기계화 및 농민역량 강화를 통한 생산성 증대 사업 퀴노아 연구센터 차칼라 건립 공사 시공사 선정 현지 입찰</x:v>
      </x:c>
      <x:c r="F8" s="47" t="str">
        <x:f>'프로젝트 등급'!G28</x:f>
        <x:v>FULL</x:v>
      </x:c>
      <x:c r="G8" s="47" t="str">
        <x:f>'프로젝트 등급'!H28</x:f>
        <x:v>NONE</x:v>
      </x:c>
      <x:c r="H8" s="53" t="str">
        <x:f>IF('프로젝트 등급'!Z28="","",'프로젝트 등급'!Z28)</x:f>
      </x:c>
      <x:c r="I8" s="44" t="str">
        <x:f>IF('프로젝트 등급'!AA28="","",'프로젝트 등급'!AA28)</x:f>
      </x:c>
      <x:c r="J8" s="56" t="str">
        <x:f>IF('프로젝트 등급'!AB28="","",'프로젝트 등급'!AB28)</x:f>
      </x:c>
      <x:c r="K8" s="47" t="str">
        <x:f>'프로젝트 등급'!AF28</x:f>
        <x:v>품목별 현지 단가 부재</x:v>
      </x:c>
      <x:c r="L8" s="47" t="str">
        <x:f>'프로젝트 등급'!AG28</x:f>
        <x:v>볼리비아 현지 재료·노무·장비 단가 결합</x:v>
      </x:c>
    </x:row>
    <x:row r="9" ht="38" customHeight="1">
      <x:c r="A9" s="44" t="str">
        <x:f>'프로젝트 등급'!A59</x:f>
        <x:v>B</x:v>
      </x:c>
      <x:c r="B9" s="44" t="str">
        <x:f>'프로젝트 등급'!B59</x:f>
        <x:v>B</x:v>
      </x:c>
      <x:c r="C9" s="44" t="str">
        <x:f>'프로젝트 등급'!C59</x:f>
        <x:v>우즈베키스탄</x:v>
      </x:c>
      <x:c r="D9" s="44" t="str">
        <x:f>'프로젝트 등급'!D59</x:f>
        <x:v>2020-00086</x:v>
      </x:c>
      <x:c r="E9" s="47" t="str">
        <x:f>'프로젝트 등급'!E59</x:f>
        <x:v>우즈베키스탄 우르겐치 직업훈련원 건립 및 직업훈련 제도역량 공고화 지원 사업(20·25/1,400만불) 기자재 공급 및 설치</x:v>
      </x:c>
      <x:c r="F9" s="47" t="str">
        <x:f>'프로젝트 등급'!G59</x:f>
        <x:v>FULL</x:v>
      </x:c>
      <x:c r="G9" s="47" t="str">
        <x:f>'프로젝트 등급'!H59</x:f>
        <x:v>NONE</x:v>
      </x:c>
      <x:c r="H9" s="53" t="str">
        <x:f>IF('프로젝트 등급'!Z59="","",'프로젝트 등급'!Z59)</x:f>
      </x:c>
      <x:c r="I9" s="44" t="str">
        <x:f>IF('프로젝트 등급'!AA59="","",'프로젝트 등급'!AA59)</x:f>
      </x:c>
      <x:c r="J9" s="56" t="str">
        <x:f>IF('프로젝트 등급'!AB59="","",'프로젝트 등급'!AB59)</x:f>
      </x:c>
      <x:c r="K9" s="47" t="str">
        <x:f>'프로젝트 등급'!AF59</x:f>
        <x:v>품목별 현지 단가 부재; 재공고 파일 중복 제거 필요</x:v>
      </x:c>
      <x:c r="L9" s="47" t="str">
        <x:f>'프로젝트 등급'!AG59</x:f>
        <x:v>고유 SHA 기준 수량 통합 후 우즈베키스탄 현지단가 결합</x:v>
      </x:c>
    </x:row>
    <x:row r="10" ht="38" customHeight="1">
      <x:c r="A10" s="44" t="str">
        <x:f>'프로젝트 등급'!A65</x:f>
        <x:v>B</x:v>
      </x:c>
      <x:c r="B10" s="44" t="str">
        <x:f>'프로젝트 등급'!B65</x:f>
        <x:v>B-부분</x:v>
      </x:c>
      <x:c r="C10" s="44" t="str">
        <x:f>'프로젝트 등급'!C65</x:f>
        <x:v>이라크</x:v>
      </x:c>
      <x:c r="D10" s="44" t="str">
        <x:f>'프로젝트 등급'!D65</x:f>
        <x:v>2023-00087</x:v>
      </x:c>
      <x:c r="E10" s="47" t="str">
        <x:f>'프로젝트 등급'!E65</x:f>
        <x:v>이라크 쿠르드 지역학교 내 난민통합교육 강화사업 (23·28/1,200만불) 설계</x:v>
      </x:c>
      <x:c r="F10" s="47" t="str">
        <x:f>'프로젝트 등급'!G65</x:f>
        <x:v>PARTIAL_BOUNDED</x:v>
      </x:c>
      <x:c r="G10" s="47" t="str">
        <x:f>'프로젝트 등급'!H65</x:f>
        <x:v>NONE</x:v>
      </x:c>
      <x:c r="H10" s="53" t="str">
        <x:f>IF('프로젝트 등급'!Z65="","",'프로젝트 등급'!Z65)</x:f>
      </x:c>
      <x:c r="I10" s="44" t="str">
        <x:f>IF('프로젝트 등급'!AA65="","",'프로젝트 등급'!AA65)</x:f>
      </x:c>
      <x:c r="J10" s="56" t="str">
        <x:f>IF('프로젝트 등급'!AB65="","",'프로젝트 등급'!AB65)</x:f>
      </x:c>
      <x:c r="K10" s="47" t="str">
        <x:f>'프로젝트 등급'!AF65</x:f>
        <x:v>도서관 부분자료이며 품목별 현지 단가 부재</x:v>
      </x:c>
      <x:c r="L10" s="47" t="str">
        <x:f>'프로젝트 등급'!AG65</x:f>
        <x:v>이라크 단가 라이브러리와 품목·시점·지역 적합성 검토 후 결합</x:v>
      </x:c>
    </x:row>
    <x:row r="11" ht="38" customHeight="1">
      <x:c r="A11" s="44" t="str">
        <x:f>'프로젝트 등급'!A73</x:f>
        <x:v>B</x:v>
      </x:c>
      <x:c r="B11" s="44" t="str">
        <x:f>'프로젝트 등급'!B73</x:f>
        <x:v>B</x:v>
      </x:c>
      <x:c r="C11" s="44" t="str">
        <x:f>'프로젝트 등급'!C73</x:f>
        <x:v>캄보디아</x:v>
      </x:c>
      <x:c r="D11" s="44" t="str">
        <x:f>'프로젝트 등급'!D73</x:f>
        <x:v>2022-00027</x:v>
      </x:c>
      <x:c r="E11" s="47" t="str">
        <x:f>'프로젝트 등급'!E73</x:f>
        <x:v>캄보디아 국립소아병원 내과계 병동건립 및 의료인력 역량강화사업(22·27/1,600만불) 시공입찰</x:v>
      </x:c>
      <x:c r="F11" s="47" t="str">
        <x:f>'프로젝트 등급'!G73</x:f>
        <x:v>FULL</x:v>
      </x:c>
      <x:c r="G11" s="47" t="str">
        <x:f>'프로젝트 등급'!H73</x:f>
        <x:v>NONE</x:v>
      </x:c>
      <x:c r="H11" s="53" t="str">
        <x:f>IF('프로젝트 등급'!Z73="","",'프로젝트 등급'!Z73)</x:f>
      </x:c>
      <x:c r="I11" s="44" t="str">
        <x:f>IF('프로젝트 등급'!AA73="","",'프로젝트 등급'!AA73)</x:f>
      </x:c>
      <x:c r="J11" s="56" t="str">
        <x:f>IF('프로젝트 등급'!AB73="","",'프로젝트 등급'!AB73)</x:f>
      </x:c>
      <x:c r="K11" s="47" t="str">
        <x:f>'프로젝트 등급'!AF73</x:f>
        <x:v>품목별 캄보디아 현지 단가 부재</x:v>
      </x:c>
      <x:c r="L11" s="47" t="str">
        <x:f>'프로젝트 등급'!AG73</x:f>
        <x:v>공종별 BOQ 통합 후 현지단가 결합</x:v>
      </x:c>
    </x:row>
    <x:row r="12" ht="38" customHeight="1">
      <x:c r="A12" s="45" t="str">
        <x:f>'프로젝트 등급'!A96</x:f>
        <x:v>B</x:v>
      </x:c>
      <x:c r="B12" s="45" t="str">
        <x:f>'프로젝트 등급'!B96</x:f>
        <x:v>B</x:v>
      </x:c>
      <x:c r="C12" s="45" t="str">
        <x:f>'프로젝트 등급'!C96</x:f>
        <x:v>피지</x:v>
      </x:c>
      <x:c r="D12" s="45" t="str">
        <x:f>'프로젝트 등급'!D96</x:f>
        <x:v>2022-00076</x:v>
      </x:c>
      <x:c r="E12" s="48" t="str">
        <x:f>'프로젝트 등급'!E96</x:f>
        <x:v>피지 국립재활센터 건립사업(22·27/1,000만불) 시공 용역</x:v>
      </x:c>
      <x:c r="F12" s="48" t="str">
        <x:f>'프로젝트 등급'!G96</x:f>
        <x:v>FULL</x:v>
      </x:c>
      <x:c r="G12" s="48" t="str">
        <x:f>'프로젝트 등급'!H96</x:f>
        <x:v>NONE</x:v>
      </x:c>
      <x:c r="H12" s="54" t="str">
        <x:f>IF('프로젝트 등급'!Z96="","",'프로젝트 등급'!Z96)</x:f>
      </x:c>
      <x:c r="I12" s="45" t="str">
        <x:f>IF('프로젝트 등급'!AA96="","",'프로젝트 등급'!AA96)</x:f>
      </x:c>
      <x:c r="J12" s="57" t="str">
        <x:f>IF('프로젝트 등급'!AB96="","",'프로젝트 등급'!AB96)</x:f>
      </x:c>
      <x:c r="K12" s="48" t="str">
        <x:f>'프로젝트 등급'!AF96</x:f>
        <x:v>품목별 피지 현지 단가 부재; 재공고 파일 해시 동일</x:v>
      </x:c>
      <x:c r="L12" s="48" t="str">
        <x:f>'프로젝트 등급'!AG96</x:f>
        <x:v>고유 BOQ 1건으로 처리하고 피지 현지단가 결합</x:v>
      </x:c>
    </x:row>
  </x:sheetData>
  <x:mergeCells>
    <x:mergeCell ref="A1:L1"/>
    <x:mergeCell ref="A2:L2"/>
  </x:mergeCells>
  <x:conditionalFormatting sqref="A5:B12">
    <x:cfRule type="beginsWith" dxfId="10" priority="1" operator="beginsWith" text="A"/>
    <x:cfRule type="beginsWith" dxfId="11" priority="2" operator="beginsWith" text="B"/>
    <x:cfRule type="beginsWith" dxfId="12" priority="3" operator="beginsWith" text="C"/>
    <x:cfRule type="beginsWith" dxfId="13" priority="4" operator="beginsWith" text="U"/>
    <x:cfRule type="beginsWith" dxfId="14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745233db98094c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4" hidden="0" customWidth="1"/>
    <x:col min="5" max="5" width="34" hidden="0" customWidth="1"/>
    <x:col min="6" max="6" width="34" hidden="0" customWidth="1"/>
    <x:col min="7" max="7" width="16" hidden="0" customWidth="1"/>
    <x:col min="8" max="8" width="17" hidden="0" customWidth="1"/>
    <x:col min="9" max="9" width="10" hidden="0" customWidth="1"/>
    <x:col min="10" max="10" width="10" hidden="0" customWidth="1"/>
    <x:col min="11" max="11" width="10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6" hidden="0" customWidth="1"/>
    <x:col min="22" max="22" width="9" hidden="0" customWidth="1"/>
    <x:col min="23" max="23" width="11" hidden="0" customWidth="1"/>
    <x:col min="24" max="24" width="11" hidden="0" customWidth="1"/>
    <x:col min="25" max="25" width="10" hidden="0" customWidth="1"/>
    <x:col min="26" max="26" width="15" hidden="0" customWidth="1"/>
    <x:col min="27" max="27" width="8" hidden="0" customWidth="1"/>
    <x:col min="28" max="28" width="15" hidden="0" customWidth="1"/>
    <x:col min="29" max="29" width="34" hidden="0" customWidth="1"/>
    <x:col min="30" max="30" width="46" hidden="0" customWidth="1"/>
    <x:col min="31" max="31" width="34" hidden="0" customWidth="1"/>
    <x:col min="32" max="32" width="32" hidden="0" customWidth="1"/>
    <x:col min="33" max="33" width="32" hidden="0" customWidth="1"/>
    <x:col min="34" max="34" width="16" hidden="0" customWidth="1"/>
    <x:col min="35" max="35" width="34" hidden="0" customWidth="1"/>
    <x:col min="36" max="36" width="38" hidden="0" customWidth="1"/>
  </x:cols>
  <x:sheetData>
    <x:row r="1" ht="34" customHeight="1">
      <x:c r="A1" s="3" t="str">
        <x:v>KOICA 건축후보 고유 프로젝트 등급</x:v>
      </x:c>
    </x:row>
    <x:row r="2" ht="38" customHeight="1">
      <x:c r="A2" s="7" t="str">
        <x:v>127개 공식 레코드를 사업번호·검증 별칭으로 96개 프로젝트 묶음으로 정리했습니다. A/B/C는 산정능력이고 가격단계·공사범위·검증수준은 별도 축입니다.</x:v>
      </x:c>
    </x:row>
    <x:row r="4" ht="30" customHeight="1">
      <x:c r="A4" s="13" t="str">
        <x:v>프로젝트 최고등급</x:v>
      </x:c>
      <x:c r="B4" s="13" t="str">
        <x:v>기술상태</x:v>
      </x:c>
      <x:c r="C4" s="13" t="str">
        <x:v>국가</x:v>
      </x:c>
      <x:c r="D4" s="13" t="str">
        <x:v>사업번호</x:v>
      </x:c>
      <x:c r="E4" s="13" t="str">
        <x:v>대표 공식기록명</x:v>
      </x:c>
      <x:c r="F4" s="13" t="str">
        <x:v>대표 공사공고명</x:v>
      </x:c>
      <x:c r="G4" s="13" t="str">
        <x:v>공사범위</x:v>
      </x:c>
      <x:c r="H4" s="13" t="str">
        <x:v>가격단계</x:v>
      </x:c>
      <x:c r="I4" s="13" t="str">
        <x:v>검증수준</x:v>
      </x:c>
      <x:c r="J4" s="13" t="str">
        <x:v>후보레코드수</x:v>
      </x:c>
      <x:c r="K4" s="13" t="str">
        <x:v>연결공고수</x:v>
      </x:c>
      <x:c r="L4" s="13" t="str">
        <x:v>색인첨부수</x:v>
      </x:c>
      <x:c r="M4" s="13" t="str">
        <x:v>공사첨부수</x:v>
      </x:c>
      <x:c r="N4" s="13" t="str">
        <x:v>고유첨부수</x:v>
      </x:c>
      <x:c r="O4" s="13" t="str">
        <x:v>스프레드시트수</x:v>
      </x:c>
      <x:c r="P4" s="13" t="str">
        <x:v>BOQ명칭파일수</x:v>
      </x:c>
      <x:c r="Q4" s="13" t="str">
        <x:v>수량표파일수</x:v>
      </x:c>
      <x:c r="R4" s="13" t="str">
        <x:v>가격표파일수</x:v>
      </x:c>
      <x:c r="S4" s="13" t="str">
        <x:v>최대수량행</x:v>
      </x:c>
      <x:c r="T4" s="13" t="str">
        <x:v>최대가격행</x:v>
      </x:c>
      <x:c r="U4" s="13" t="str">
        <x:v>GFA 값</x:v>
      </x:c>
      <x:c r="V4" s="13" t="str">
        <x:v>직접산정</x:v>
      </x:c>
      <x:c r="W4" s="13" t="str">
        <x:v>현지단가필요</x:v>
      </x:c>
      <x:c r="X4" s="13" t="str">
        <x:v>스크리닝만</x:v>
      </x:c>
      <x:c r="Y4" s="13" t="str">
        <x:v>표본가중치</x:v>
      </x:c>
      <x:c r="Z4" s="13" t="str">
        <x:v>검증금액</x:v>
      </x:c>
      <x:c r="AA4" s="13" t="str">
        <x:v>통화</x:v>
      </x:c>
      <x:c r="AB4" s="13" t="str">
        <x:v>검증금액/㎡</x:v>
      </x:c>
      <x:c r="AC4" s="13" t="str">
        <x:v>검증 품목메모</x:v>
      </x:c>
      <x:c r="AD4" s="13" t="str">
        <x:v>근거파일</x:v>
      </x:c>
      <x:c r="AE4" s="13" t="str">
        <x:v>근거위치</x:v>
      </x:c>
      <x:c r="AF4" s="13" t="str">
        <x:v>차단요인</x:v>
      </x:c>
      <x:c r="AG4" s="13" t="str">
        <x:v>다음조치</x:v>
      </x:c>
      <x:c r="AH4" s="13" t="str">
        <x:v>검토상태</x:v>
      </x:c>
      <x:c r="AI4" s="13" t="str">
        <x:v>연결공고번호</x:v>
      </x:c>
      <x:c r="AJ4" s="13" t="str">
        <x:v>해석경계</x:v>
      </x:c>
    </x:row>
    <x:row r="5">
      <x:c r="A5" s="21" t="str">
        <x:v>C</x:v>
      </x:c>
      <x:c r="B5" s="21" t="str">
        <x:v>U</x:v>
      </x:c>
      <x:c r="C5" s="21" t="str">
        <x:v>DR콩고</x:v>
      </x:c>
      <x:c r="D5" s="21" t="str">
        <x:v>2016-00042</x:v>
      </x:c>
      <x:c r="E5" s="24" t="str">
        <x:v>DR콩고 국립박물관 건립사업('12-'20/2,100만불)...</x:v>
      </x:c>
      <x:c r="F5" s="24" t="str"/>
      <x:c r="G5" s="21" t="str">
        <x:v>UNKNOWN</x:v>
      </x:c>
      <x:c r="H5" s="21" t="str">
        <x:v>NONE_UNKNOWN</x:v>
      </x:c>
      <x:c r="I5" s="21" t="str">
        <x:v>V0</x:v>
      </x:c>
      <x:c r="J5" s="27" t="n">
        <x:v>1</x:v>
      </x:c>
      <x:c r="K5" s="27" t="n">
        <x:v>0</x:v>
      </x:c>
      <x:c r="L5" s="27" t="n">
        <x:v>0</x:v>
      </x:c>
      <x:c r="M5" s="27" t="n">
        <x:v>0</x:v>
      </x:c>
      <x:c r="N5" s="27" t="n">
        <x:v>0</x:v>
      </x:c>
      <x:c r="O5" s="27" t="n">
        <x:v>0</x:v>
      </x:c>
      <x:c r="P5" s="27" t="n">
        <x:v>0</x:v>
      </x:c>
      <x:c r="Q5" s="27" t="n">
        <x:v>0</x:v>
      </x:c>
      <x:c r="R5" s="27" t="n">
        <x:v>0</x:v>
      </x:c>
      <x:c r="S5" s="27" t="n">
        <x:v>0</x:v>
      </x:c>
      <x:c r="T5" s="27" t="n">
        <x:v>0</x:v>
      </x:c>
      <x:c r="U5" s="21" t="str"/>
      <x:c r="V5" s="27" t="n">
        <x:v>0</x:v>
      </x:c>
      <x:c r="W5" s="27" t="n">
        <x:v>0</x:v>
      </x:c>
      <x:c r="X5" s="27" t="n">
        <x:v>1</x:v>
      </x:c>
      <x:c r="Y5" s="27" t="n">
        <x:v>0</x:v>
      </x:c>
      <x:c r="Z5" s="30"/>
      <x:c r="AA5" s="21" t="str"/>
      <x:c r="AB5" s="33"/>
      <x:c r="AC5" s="24" t="str"/>
      <x:c r="AD5" s="24" t="str"/>
      <x:c r="AE5" s="24" t="str"/>
      <x:c r="AF5" s="24" t="str">
        <x:v>품목 수량·단가 또는 범위 일치 GFA·공사금액 부족</x:v>
      </x:c>
      <x:c r="AG5" s="24" t="str">
        <x:v>첨부 추가수집·OCR·수동검토 또는 설계/계약 BOQ 확보</x:v>
      </x:c>
      <x:c r="AH5" s="24" t="str">
        <x:v>자동판정(V2)</x:v>
      </x:c>
      <x:c r="AI5" s="24" t="str"/>
      <x:c r="AJ5" s="24" t="str">
        <x:v>A도 첨부 가격단계 범위의 사업별 추정만 가능; 국가단가·계약가·준공가를 의미하지 않음</x:v>
      </x:c>
    </x:row>
    <x:row r="6">
      <x:c r="A6" s="22" t="str">
        <x:v>C</x:v>
      </x:c>
      <x:c r="B6" s="22" t="str">
        <x:v>U</x:v>
      </x:c>
      <x:c r="C6" s="22" t="str">
        <x:v>DR콩고</x:v>
      </x:c>
      <x:c r="D6" s="22" t="str">
        <x:v>2024-00089</x:v>
      </x:c>
      <x:c r="E6" s="25" t="str">
        <x:v>DR콩고 북카탕가주 감염병 감시 역량 강화사업('24·'27/600만불)</x:v>
      </x:c>
      <x:c r="F6" s="25" t="str"/>
      <x:c r="G6" s="22" t="str">
        <x:v>UNKNOWN</x:v>
      </x:c>
      <x:c r="H6" s="22" t="str">
        <x:v>NONE_UNKNOWN</x:v>
      </x:c>
      <x:c r="I6" s="22" t="str">
        <x:v>V0</x:v>
      </x:c>
      <x:c r="J6" s="28" t="n">
        <x:v>1</x:v>
      </x:c>
      <x:c r="K6" s="28" t="n">
        <x:v>0</x:v>
      </x:c>
      <x:c r="L6" s="28" t="n">
        <x:v>0</x:v>
      </x:c>
      <x:c r="M6" s="28" t="n">
        <x:v>0</x:v>
      </x:c>
      <x:c r="N6" s="28" t="n">
        <x:v>0</x:v>
      </x:c>
      <x:c r="O6" s="28" t="n">
        <x:v>0</x:v>
      </x:c>
      <x:c r="P6" s="28" t="n">
        <x:v>0</x:v>
      </x:c>
      <x:c r="Q6" s="28" t="n">
        <x:v>0</x:v>
      </x:c>
      <x:c r="R6" s="28" t="n">
        <x:v>0</x:v>
      </x:c>
      <x:c r="S6" s="28" t="n">
        <x:v>0</x:v>
      </x:c>
      <x:c r="T6" s="28" t="n">
        <x:v>0</x:v>
      </x:c>
      <x:c r="U6" s="22" t="str"/>
      <x:c r="V6" s="28" t="n">
        <x:v>0</x:v>
      </x:c>
      <x:c r="W6" s="28" t="n">
        <x:v>0</x:v>
      </x:c>
      <x:c r="X6" s="28" t="n">
        <x:v>1</x:v>
      </x:c>
      <x:c r="Y6" s="28" t="n">
        <x:v>0</x:v>
      </x:c>
      <x:c r="Z6" s="31"/>
      <x:c r="AA6" s="22" t="str"/>
      <x:c r="AB6" s="34"/>
      <x:c r="AC6" s="25" t="str"/>
      <x:c r="AD6" s="25" t="str"/>
      <x:c r="AE6" s="25" t="str"/>
      <x:c r="AF6" s="25" t="str">
        <x:v>품목 수량·단가 또는 범위 일치 GFA·공사금액 부족</x:v>
      </x:c>
      <x:c r="AG6" s="25" t="str">
        <x:v>첨부 추가수집·OCR·수동검토 또는 설계/계약 BOQ 확보</x:v>
      </x:c>
      <x:c r="AH6" s="25" t="str">
        <x:v>자동판정(V2)</x:v>
      </x:c>
      <x:c r="AI6" s="25" t="str"/>
      <x:c r="AJ6" s="25" t="str">
        <x:v>A도 첨부 가격단계 범위의 사업별 추정만 가능; 국가단가·계약가·준공가를 의미하지 않음</x:v>
      </x:c>
    </x:row>
    <x:row r="7">
      <x:c r="A7" s="22" t="str">
        <x:v>A</x:v>
      </x:c>
      <x:c r="B7" s="22" t="str">
        <x:v>A</x:v>
      </x:c>
      <x:c r="C7" s="22" t="str">
        <x:v>가나</x:v>
      </x:c>
      <x:c r="D7" s="22" t="str">
        <x:v>2021-00016</x:v>
      </x:c>
      <x:c r="E7" s="25" t="str">
        <x:v>가나대학교 연구 및 ICT 혁신센터 건립 사업('21·'26/900만불)</x:v>
      </x:c>
      <x:c r="F7" s="25" t="str">
        <x:v>가나대학교 한-가나 연구 및 ICT 혁신센터 건립사업 공사</x:v>
      </x:c>
      <x:c r="G7" s="22" t="str">
        <x:v>FULL</x:v>
      </x:c>
      <x:c r="H7" s="22" t="str">
        <x:v>DESIGN_ESTIMATE</x:v>
      </x:c>
      <x:c r="I7" s="22" t="str">
        <x:v>V3</x:v>
      </x:c>
      <x:c r="J7" s="28" t="n">
        <x:v>3</x:v>
      </x:c>
      <x:c r="K7" s="28" t="n">
        <x:v>3</x:v>
      </x:c>
      <x:c r="L7" s="28" t="n">
        <x:v>20</x:v>
      </x:c>
      <x:c r="M7" s="28" t="n">
        <x:v>4</x:v>
      </x:c>
      <x:c r="N7" s="28" t="n">
        <x:v>19</x:v>
      </x:c>
      <x:c r="O7" s="28" t="n">
        <x:v>1</x:v>
      </x:c>
      <x:c r="P7" s="28" t="n">
        <x:v>0</x:v>
      </x:c>
      <x:c r="Q7" s="28" t="n">
        <x:v>1</x:v>
      </x:c>
      <x:c r="R7" s="28" t="n">
        <x:v>1</x:v>
      </x:c>
      <x:c r="S7" s="28" t="n">
        <x:v>208</x:v>
      </x:c>
      <x:c r="T7" s="28" t="n">
        <x:v>208</x:v>
      </x:c>
      <x:c r="U7" s="22" t="str">
        <x:v>2600</x:v>
      </x:c>
      <x:c r="V7" s="28" t="n">
        <x:v>1</x:v>
      </x:c>
      <x:c r="W7" s="28" t="n">
        <x:v>0</x:v>
      </x:c>
      <x:c r="X7" s="28" t="n">
        <x:v>0</x:v>
      </x:c>
      <x:c r="Y7" s="28" t="n">
        <x:v>1</x:v>
      </x:c>
      <x:c r="Z7" s="31" t="n">
        <x:v>4333426.767765368</x:v>
      </x:c>
      <x:c r="AA7" s="22" t="str">
        <x:v>USD</x:v>
      </x:c>
      <x:c r="AB7" s="34" t="n">
        <x:v>1666.70260298668</x:v>
      </x:c>
      <x:c r="AC7" s="25" t="str">
        <x:v>주건물 208행; 6개 시설시트 자동검출 합계 320행(수동 품목 정제 필요)</x:v>
      </x:c>
      <x:c r="AD7" s="25" t="str">
        <x:v>L2025-00018-1/3. 집행한도금액 예산(안).xlsx</x:v>
      </x:c>
      <x:c r="AE7" s="25" t="str">
        <x:v>MAIN BUILDING!A3:H277 및 Grand Summary!A1:G18</x:v>
      </x:c>
      <x:c r="AF7" s="25" t="str">
        <x:v>설계예산이며 낙찰·계약·준공가 아님; 가격시점·세금·환율 재확인</x:v>
      </x:c>
      <x:c r="AG7" s="25" t="str">
        <x:v>계약·준공 금액 확보 후 설계예산 대비율 산정</x:v>
      </x:c>
      <x:c r="AH7" s="25" t="str">
        <x:v>수동검증완료</x:v>
      </x:c>
      <x:c r="AI7" s="25" t="str">
        <x:v>L2025-00018-1;L2025-00048-1;L2025-00063-1</x:v>
      </x:c>
      <x:c r="AJ7" s="25" t="str">
        <x:v>A도 첨부 가격단계 범위의 사업별 추정만 가능; 국가단가·계약가·준공가를 의미하지 않음</x:v>
      </x:c>
    </x:row>
    <x:row r="8">
      <x:c r="A8" s="22" t="str">
        <x:v>C</x:v>
      </x:c>
      <x:c r="B8" s="22" t="str">
        <x:v>U</x:v>
      </x:c>
      <x:c r="C8" s="22" t="str">
        <x:v>가나</x:v>
      </x:c>
      <x:c r="D8" s="22" t="str">
        <x:v>2017-07115</x:v>
      </x:c>
      <x:c r="E8" s="25" t="str">
        <x:v>우즈벡 페르가나 직업훈련원 건립사업('18-'22/983만불)  ...</x:v>
      </x:c>
      <x:c r="F8" s="25" t="str"/>
      <x:c r="G8" s="22" t="str">
        <x:v>UNKNOWN</x:v>
      </x:c>
      <x:c r="H8" s="22" t="str">
        <x:v>NONE_UNKNOWN</x:v>
      </x:c>
      <x:c r="I8" s="22" t="str">
        <x:v>V0</x:v>
      </x:c>
      <x:c r="J8" s="28" t="n">
        <x:v>1</x:v>
      </x:c>
      <x:c r="K8" s="28" t="n">
        <x:v>2</x:v>
      </x:c>
      <x:c r="L8" s="28" t="n">
        <x:v>0</x:v>
      </x:c>
      <x:c r="M8" s="28" t="n">
        <x:v>0</x:v>
      </x:c>
      <x:c r="N8" s="28" t="n">
        <x:v>0</x:v>
      </x:c>
      <x:c r="O8" s="28" t="n">
        <x:v>0</x:v>
      </x:c>
      <x:c r="P8" s="28" t="n">
        <x:v>0</x:v>
      </x:c>
      <x:c r="Q8" s="28" t="n">
        <x:v>0</x:v>
      </x:c>
      <x:c r="R8" s="28" t="n">
        <x:v>0</x:v>
      </x:c>
      <x:c r="S8" s="28" t="n">
        <x:v>0</x:v>
      </x:c>
      <x:c r="T8" s="28" t="n">
        <x:v>0</x:v>
      </x:c>
      <x:c r="U8" s="22" t="str"/>
      <x:c r="V8" s="28" t="n">
        <x:v>0</x:v>
      </x:c>
      <x:c r="W8" s="28" t="n">
        <x:v>0</x:v>
      </x:c>
      <x:c r="X8" s="28" t="n">
        <x:v>1</x:v>
      </x:c>
      <x:c r="Y8" s="28" t="n">
        <x:v>0</x:v>
      </x:c>
      <x:c r="Z8" s="31"/>
      <x:c r="AA8" s="22" t="str"/>
      <x:c r="AB8" s="34"/>
      <x:c r="AC8" s="25" t="str"/>
      <x:c r="AD8" s="25" t="str"/>
      <x:c r="AE8" s="25" t="str"/>
      <x:c r="AF8" s="25" t="str">
        <x:v>품목 수량·단가 또는 범위 일치 GFA·공사금액 부족</x:v>
      </x:c>
      <x:c r="AG8" s="25" t="str">
        <x:v>첨부 추가수집·OCR·수동검토 또는 설계/계약 BOQ 확보</x:v>
      </x:c>
      <x:c r="AH8" s="25" t="str">
        <x:v>자동판정(V2)</x:v>
      </x:c>
      <x:c r="AI8" s="25" t="str">
        <x:v>L2018-00015-1;L2019-00021-1</x:v>
      </x:c>
      <x:c r="AJ8" s="25" t="str">
        <x:v>A도 첨부 가격단계 범위의 사업별 추정만 가능; 국가단가·계약가·준공가를 의미하지 않음</x:v>
      </x:c>
    </x:row>
    <x:row r="9">
      <x:c r="A9" s="22" t="str">
        <x:v>C</x:v>
      </x:c>
      <x:c r="B9" s="22" t="str">
        <x:v>U</x:v>
      </x:c>
      <x:c r="C9" s="22" t="str">
        <x:v>과테말라</x:v>
      </x:c>
      <x:c r="D9" s="22" t="str"/>
      <x:c r="E9" s="25" t="str">
        <x:v>과테말라 경찰 치안역량 강화를 위한 경찰고등교육원 개선 사업('24·'29/800만불)</x:v>
      </x:c>
      <x:c r="F9" s="25" t="str"/>
      <x:c r="G9" s="22" t="str">
        <x:v>UNKNOWN</x:v>
      </x:c>
      <x:c r="H9" s="22" t="str">
        <x:v>NONE_UNKNOWN</x:v>
      </x:c>
      <x:c r="I9" s="22" t="str">
        <x:v>V0</x:v>
      </x:c>
      <x:c r="J9" s="28" t="n">
        <x:v>1</x:v>
      </x:c>
      <x:c r="K9" s="28" t="n">
        <x:v>0</x:v>
      </x:c>
      <x:c r="L9" s="28" t="n">
        <x:v>0</x:v>
      </x:c>
      <x:c r="M9" s="28" t="n">
        <x:v>0</x:v>
      </x:c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</x:v>
      </x:c>
      <x:c r="U9" s="22" t="str"/>
      <x:c r="V9" s="28" t="n">
        <x:v>0</x:v>
      </x:c>
      <x:c r="W9" s="28" t="n">
        <x:v>0</x:v>
      </x:c>
      <x:c r="X9" s="28" t="n">
        <x:v>1</x:v>
      </x:c>
      <x:c r="Y9" s="28" t="n">
        <x:v>0</x:v>
      </x:c>
      <x:c r="Z9" s="31"/>
      <x:c r="AA9" s="22" t="str"/>
      <x:c r="AB9" s="34"/>
      <x:c r="AC9" s="25" t="str"/>
      <x:c r="AD9" s="25" t="str"/>
      <x:c r="AE9" s="25" t="str"/>
      <x:c r="AF9" s="25" t="str">
        <x:v>품목 수량·단가 또는 범위 일치 GFA·공사금액 부족</x:v>
      </x:c>
      <x:c r="AG9" s="25" t="str">
        <x:v>첨부 추가수집·OCR·수동검토 또는 설계/계약 BOQ 확보</x:v>
      </x:c>
      <x:c r="AH9" s="25" t="str">
        <x:v>자동판정(V2)</x:v>
      </x:c>
      <x:c r="AI9" s="25" t="str"/>
      <x:c r="AJ9" s="25" t="str">
        <x:v>A도 첨부 가격단계 범위의 사업별 추정만 가능; 국가단가·계약가·준공가를 의미하지 않음</x:v>
      </x:c>
    </x:row>
    <x:row r="10">
      <x:c r="A10" s="22" t="str">
        <x:v>C</x:v>
      </x:c>
      <x:c r="B10" s="22" t="str">
        <x:v>U</x:v>
      </x:c>
      <x:c r="C10" s="22" t="str">
        <x:v>나이지리아</x:v>
      </x:c>
      <x:c r="D10" s="22" t="str">
        <x:v>2016-00021</x:v>
      </x:c>
      <x:c r="E10" s="25" t="str">
        <x:v>나이지리아 초중등시범학교단지 건립사업('13-'19/1,500만불)...</x:v>
      </x:c>
      <x:c r="F10" s="25" t="str"/>
      <x:c r="G10" s="22" t="str">
        <x:v>UNKNOWN</x:v>
      </x:c>
      <x:c r="H10" s="22" t="str">
        <x:v>NONE_UNKNOWN</x:v>
      </x:c>
      <x:c r="I10" s="22" t="str">
        <x:v>V0</x:v>
      </x:c>
      <x:c r="J10" s="28" t="n">
        <x:v>1</x:v>
      </x:c>
      <x:c r="K10" s="28" t="n">
        <x:v>1</x:v>
      </x:c>
      <x:c r="L10" s="28" t="n">
        <x:v>0</x:v>
      </x:c>
      <x:c r="M10" s="28" t="n">
        <x:v>0</x:v>
      </x:c>
      <x:c r="N10" s="28" t="n">
        <x:v>0</x:v>
      </x:c>
      <x:c r="O10" s="28" t="n">
        <x:v>0</x:v>
      </x:c>
      <x:c r="P10" s="28" t="n">
        <x:v>0</x:v>
      </x:c>
      <x:c r="Q10" s="28" t="n">
        <x:v>0</x:v>
      </x:c>
      <x:c r="R10" s="28" t="n">
        <x:v>0</x:v>
      </x:c>
      <x:c r="S10" s="28" t="n">
        <x:v>0</x:v>
      </x:c>
      <x:c r="T10" s="28" t="n">
        <x:v>0</x:v>
      </x:c>
      <x:c r="U10" s="22" t="str"/>
      <x:c r="V10" s="28" t="n">
        <x:v>0</x:v>
      </x:c>
      <x:c r="W10" s="28" t="n">
        <x:v>0</x:v>
      </x:c>
      <x:c r="X10" s="28" t="n">
        <x:v>1</x:v>
      </x:c>
      <x:c r="Y10" s="28" t="n">
        <x:v>0</x:v>
      </x:c>
      <x:c r="Z10" s="31"/>
      <x:c r="AA10" s="22" t="str"/>
      <x:c r="AB10" s="34"/>
      <x:c r="AC10" s="25" t="str"/>
      <x:c r="AD10" s="25" t="str"/>
      <x:c r="AE10" s="25" t="str"/>
      <x:c r="AF10" s="25" t="str">
        <x:v>품목 수량·단가 또는 범위 일치 GFA·공사금액 부족</x:v>
      </x:c>
      <x:c r="AG10" s="25" t="str">
        <x:v>첨부 추가수집·OCR·수동검토 또는 설계/계약 BOQ 확보</x:v>
      </x:c>
      <x:c r="AH10" s="25" t="str">
        <x:v>자동판정(V2)</x:v>
      </x:c>
      <x:c r="AI10" s="25" t="str">
        <x:v>L2018-00009-1</x:v>
      </x:c>
      <x:c r="AJ10" s="25" t="str">
        <x:v>A도 첨부 가격단계 범위의 사업별 추정만 가능; 국가단가·계약가·준공가를 의미하지 않음</x:v>
      </x:c>
    </x:row>
    <x:row r="11">
      <x:c r="A11" s="22" t="str">
        <x:v>C</x:v>
      </x:c>
      <x:c r="B11" s="22" t="str">
        <x:v>U</x:v>
      </x:c>
      <x:c r="C11" s="22" t="str">
        <x:v>네팔</x:v>
      </x:c>
      <x:c r="D11" s="22" t="str">
        <x:v>2024-00053</x:v>
      </x:c>
      <x:c r="E11" s="25" t="str">
        <x:v>네팔 간다키 지역 기술교육학교 건립사업(2024·2030/900만불) 사업수행용역자(PMC) 선정을 위한 입찰</x:v>
      </x:c>
      <x:c r="F11" s="25" t="str"/>
      <x:c r="G11" s="22" t="str">
        <x:v>UNKNOWN</x:v>
      </x:c>
      <x:c r="H11" s="22" t="str">
        <x:v>NONE_UNKNOWN</x:v>
      </x:c>
      <x:c r="I11" s="22" t="str">
        <x:v>V0</x:v>
      </x:c>
      <x:c r="J11" s="28" t="n">
        <x:v>3</x:v>
      </x:c>
      <x:c r="K11" s="28" t="n">
        <x:v>1</x:v>
      </x:c>
      <x:c r="L11" s="28" t="n">
        <x:v>0</x:v>
      </x:c>
      <x:c r="M11" s="28" t="n">
        <x:v>0</x:v>
      </x:c>
      <x:c r="N11" s="28" t="n">
        <x:v>0</x:v>
      </x:c>
      <x:c r="O11" s="28" t="n">
        <x:v>0</x:v>
      </x:c>
      <x:c r="P11" s="28" t="n">
        <x:v>0</x:v>
      </x:c>
      <x:c r="Q11" s="28" t="n">
        <x:v>0</x:v>
      </x:c>
      <x:c r="R11" s="28" t="n">
        <x:v>0</x:v>
      </x:c>
      <x:c r="S11" s="28" t="n">
        <x:v>0</x:v>
      </x:c>
      <x:c r="T11" s="28" t="n">
        <x:v>0</x:v>
      </x:c>
      <x:c r="U11" s="22" t="str">
        <x:v>4631</x:v>
      </x:c>
      <x:c r="V11" s="28" t="n">
        <x:v>0</x:v>
      </x:c>
      <x:c r="W11" s="28" t="n">
        <x:v>0</x:v>
      </x:c>
      <x:c r="X11" s="28" t="n">
        <x:v>1</x:v>
      </x:c>
      <x:c r="Y11" s="28" t="n">
        <x:v>0</x:v>
      </x:c>
      <x:c r="Z11" s="31"/>
      <x:c r="AA11" s="22" t="str"/>
      <x:c r="AB11" s="34"/>
      <x:c r="AC11" s="25" t="str"/>
      <x:c r="AD11" s="25" t="str"/>
      <x:c r="AE11" s="25" t="str"/>
      <x:c r="AF11" s="25" t="str">
        <x:v>품목 수량·단가 또는 범위 일치 GFA·공사금액 부족</x:v>
      </x:c>
      <x:c r="AG11" s="25" t="str">
        <x:v>첨부 추가수집·OCR·수동검토 또는 설계/계약 BOQ 확보</x:v>
      </x:c>
      <x:c r="AH11" s="25" t="str">
        <x:v>자동판정(V2)</x:v>
      </x:c>
      <x:c r="AI11" s="25" t="str">
        <x:v>L2025-00086-1</x:v>
      </x:c>
      <x:c r="AJ11" s="25" t="str">
        <x:v>A도 첨부 가격단계 범위의 사업별 추정만 가능; 국가단가·계약가·준공가를 의미하지 않음</x:v>
      </x:c>
    </x:row>
    <x:row r="12">
      <x:c r="A12" s="22" t="str">
        <x:v>B</x:v>
      </x:c>
      <x:c r="B12" s="22" t="str">
        <x:v>B-부분</x:v>
      </x:c>
      <x:c r="C12" s="22" t="str">
        <x:v>도미니카공화국</x:v>
      </x:c>
      <x:c r="D12" s="22" t="str">
        <x:v>2020-00070</x:v>
      </x:c>
      <x:c r="E12" s="25" t="str">
        <x:v>도미니카공화국 여성 중심 취약계층 사회.경제적 역량강화사업 몬테 크리스티 직업훈련센터 (MVC) 시공사 선정 현지입찰</x:v>
      </x:c>
      <x:c r="F12" s="25" t="str">
        <x:v>도미니카공화국 몬테 크리스티 직업훈련센터 (MVC) 시공사 선정</x:v>
      </x:c>
      <x:c r="G12" s="22" t="str">
        <x:v>PARTIAL_BOUNDED</x:v>
      </x:c>
      <x:c r="H12" s="22" t="str">
        <x:v>NONE</x:v>
      </x:c>
      <x:c r="I12" s="22" t="str">
        <x:v>V3</x:v>
      </x:c>
      <x:c r="J12" s="28" t="n">
        <x:v>5</x:v>
      </x:c>
      <x:c r="K12" s="28" t="n">
        <x:v>7</x:v>
      </x:c>
      <x:c r="L12" s="28" t="n">
        <x:v>94</x:v>
      </x:c>
      <x:c r="M12" s="28" t="n">
        <x:v>24</x:v>
      </x:c>
      <x:c r="N12" s="28" t="n">
        <x:v>84</x:v>
      </x:c>
      <x:c r="O12" s="28" t="n">
        <x:v>1</x:v>
      </x:c>
      <x:c r="P12" s="28" t="n">
        <x:v>0</x:v>
      </x:c>
      <x:c r="Q12" s="28" t="n">
        <x:v>1</x:v>
      </x:c>
      <x:c r="R12" s="28" t="n">
        <x:v>0</x:v>
      </x:c>
      <x:c r="S12" s="28" t="n">
        <x:v>408</x:v>
      </x:c>
      <x:c r="T12" s="28" t="n">
        <x:v>0</x:v>
      </x:c>
      <x:c r="U12" s="22" t="str"/>
      <x:c r="V12" s="28" t="n">
        <x:v>0</x:v>
      </x:c>
      <x:c r="W12" s="28" t="n">
        <x:v>1</x:v>
      </x:c>
      <x:c r="X12" s="28" t="n">
        <x:v>0</x:v>
      </x:c>
      <x:c r="Y12" s="28" t="n">
        <x:v>1</x:v>
      </x:c>
      <x:c r="Z12" s="31"/>
      <x:c r="AA12" s="22" t="str"/>
      <x:c r="AB12" s="34"/>
      <x:c r="AC12" s="25" t="str"/>
      <x:c r="AD12" s="25" t="str">
        <x:v>L2024-00078-1/Section 4_BOQ (BLANK sin PRICE)- MVC PROJECT_fin.xlsx</x:v>
      </x:c>
      <x:c r="AE12" s="25" t="str">
        <x:v>BOQ Code/Unit/Description/Quantity/Unit Cost/Total 표</x:v>
      </x:c>
      <x:c r="AF12" s="25" t="str">
        <x:v>몬테크리스티 시설 부분자료이며 현지 단가 부재</x:v>
      </x:c>
      <x:c r="AG12" s="25" t="str">
        <x:v>도미니카 현지단가 결합 및 하이나 시설과 범위 분리</x:v>
      </x:c>
      <x:c r="AH12" s="25" t="str">
        <x:v>수동검증완료</x:v>
      </x:c>
      <x:c r="AI12" s="25" t="str">
        <x:v>L2022-00059-1;L2023-00040-1;L2024-00078-1;L2025-00007-1;L2025-00007-2;L2025-00010-1;L2025-00038-1</x:v>
      </x:c>
      <x:c r="AJ12" s="25" t="str">
        <x:v>A도 첨부 가격단계 범위의 사업별 추정만 가능; 국가단가·계약가·준공가를 의미하지 않음</x:v>
      </x:c>
    </x:row>
    <x:row r="13">
      <x:c r="A13" s="22" t="str">
        <x:v>C</x:v>
      </x:c>
      <x:c r="B13" s="22" t="str">
        <x:v>U</x:v>
      </x:c>
      <x:c r="C13" s="22" t="str">
        <x:v>동티모르</x:v>
      </x:c>
      <x:c r="D13" s="22" t="str">
        <x:v>2016-00024</x:v>
      </x:c>
      <x:c r="E13" s="25" t="str">
        <x:v>동티모르 베코라 기술고등학교 지원사업 사후지원 사업수행용역(PMC) 수행자 선정 입찰</x:v>
      </x:c>
      <x:c r="F13" s="25" t="str"/>
      <x:c r="G13" s="22" t="str">
        <x:v>UNKNOWN</x:v>
      </x:c>
      <x:c r="H13" s="22" t="str">
        <x:v>NONE_UNKNOWN</x:v>
      </x:c>
      <x:c r="I13" s="22" t="str">
        <x:v>V0</x:v>
      </x:c>
      <x:c r="J13" s="28" t="n">
        <x:v>1</x:v>
      </x:c>
      <x:c r="K13" s="28" t="n">
        <x:v>0</x:v>
      </x:c>
      <x:c r="L13" s="28" t="n">
        <x:v>0</x:v>
      </x:c>
      <x:c r="M13" s="28" t="n">
        <x:v>0</x:v>
      </x:c>
      <x:c r="N13" s="28" t="n">
        <x:v>0</x:v>
      </x:c>
      <x:c r="O13" s="28" t="n">
        <x:v>0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</x:v>
      </x:c>
      <x:c r="U13" s="22" t="str"/>
      <x:c r="V13" s="28" t="n">
        <x:v>0</x:v>
      </x:c>
      <x:c r="W13" s="28" t="n">
        <x:v>0</x:v>
      </x:c>
      <x:c r="X13" s="28" t="n">
        <x:v>1</x:v>
      </x:c>
      <x:c r="Y13" s="28" t="n">
        <x:v>0</x:v>
      </x:c>
      <x:c r="Z13" s="31"/>
      <x:c r="AA13" s="22" t="str"/>
      <x:c r="AB13" s="34"/>
      <x:c r="AC13" s="25" t="str"/>
      <x:c r="AD13" s="25" t="str"/>
      <x:c r="AE13" s="25" t="str"/>
      <x:c r="AF13" s="25" t="str">
        <x:v>품목 수량·단가 또는 범위 일치 GFA·공사금액 부족</x:v>
      </x:c>
      <x:c r="AG13" s="25" t="str">
        <x:v>첨부 추가수집·OCR·수동검토 또는 설계/계약 BOQ 확보</x:v>
      </x:c>
      <x:c r="AH13" s="25" t="str">
        <x:v>자동판정(V2)</x:v>
      </x:c>
      <x:c r="AI13" s="25" t="str"/>
      <x:c r="AJ13" s="25" t="str">
        <x:v>A도 첨부 가격단계 범위의 사업별 추정만 가능; 국가단가·계약가·준공가를 의미하지 않음</x:v>
      </x:c>
    </x:row>
    <x:row r="14">
      <x:c r="A14" s="22" t="str">
        <x:v>C</x:v>
      </x:c>
      <x:c r="B14" s="22" t="str">
        <x:v>U</x:v>
      </x:c>
      <x:c r="C14" s="22" t="str">
        <x:v>모잠비크</x:v>
      </x:c>
      <x:c r="D14" s="22" t="str">
        <x:v>2013-00029</x:v>
      </x:c>
      <x:c r="E14" s="25" t="str">
        <x:v>모잠비크 마톨라 산업학교 역량강화사업 사후지원 보수 공사</x:v>
      </x:c>
      <x:c r="F14" s="25" t="str"/>
      <x:c r="G14" s="22" t="str">
        <x:v>UNKNOWN</x:v>
      </x:c>
      <x:c r="H14" s="22" t="str">
        <x:v>NONE_UNKNOWN</x:v>
      </x:c>
      <x:c r="I14" s="22" t="str">
        <x:v>V0</x:v>
      </x:c>
      <x:c r="J14" s="28" t="n">
        <x:v>1</x:v>
      </x:c>
      <x:c r="K14" s="28" t="n">
        <x:v>0</x:v>
      </x:c>
      <x:c r="L14" s="28" t="n">
        <x:v>0</x:v>
      </x:c>
      <x:c r="M14" s="28" t="n">
        <x:v>0</x:v>
      </x:c>
      <x:c r="N14" s="28" t="n">
        <x:v>0</x:v>
      </x:c>
      <x:c r="O14" s="28" t="n">
        <x:v>0</x:v>
      </x:c>
      <x:c r="P14" s="28" t="n">
        <x:v>0</x:v>
      </x:c>
      <x:c r="Q14" s="28" t="n">
        <x:v>0</x:v>
      </x:c>
      <x:c r="R14" s="28" t="n">
        <x:v>0</x:v>
      </x:c>
      <x:c r="S14" s="28" t="n">
        <x:v>0</x:v>
      </x:c>
      <x:c r="T14" s="28" t="n">
        <x:v>0</x:v>
      </x:c>
      <x:c r="U14" s="22" t="str"/>
      <x:c r="V14" s="28" t="n">
        <x:v>0</x:v>
      </x:c>
      <x:c r="W14" s="28" t="n">
        <x:v>0</x:v>
      </x:c>
      <x:c r="X14" s="28" t="n">
        <x:v>1</x:v>
      </x:c>
      <x:c r="Y14" s="28" t="n">
        <x:v>0</x:v>
      </x:c>
      <x:c r="Z14" s="31"/>
      <x:c r="AA14" s="22" t="str"/>
      <x:c r="AB14" s="34"/>
      <x:c r="AC14" s="25" t="str"/>
      <x:c r="AD14" s="25" t="str"/>
      <x:c r="AE14" s="25" t="str"/>
      <x:c r="AF14" s="25" t="str">
        <x:v>품목 수량·단가 또는 범위 일치 GFA·공사금액 부족</x:v>
      </x:c>
      <x:c r="AG14" s="25" t="str">
        <x:v>첨부 추가수집·OCR·수동검토 또는 설계/계약 BOQ 확보</x:v>
      </x:c>
      <x:c r="AH14" s="25" t="str">
        <x:v>자동판정(V2)</x:v>
      </x:c>
      <x:c r="AI14" s="25" t="str"/>
      <x:c r="AJ14" s="25" t="str">
        <x:v>A도 첨부 가격단계 범위의 사업별 추정만 가능; 국가단가·계약가·준공가를 의미하지 않음</x:v>
      </x:c>
    </x:row>
    <x:row r="15">
      <x:c r="A15" s="22" t="str">
        <x:v>C</x:v>
      </x:c>
      <x:c r="B15" s="22" t="str">
        <x:v>U</x:v>
      </x:c>
      <x:c r="C15" s="22" t="str">
        <x:v>모잠비크</x:v>
      </x:c>
      <x:c r="D15" s="22" t="str">
        <x:v>2026-00044</x:v>
      </x:c>
      <x:c r="E15" s="25" t="str">
        <x:v>모잠비크 마푸토 카템베 지역병원 건립사업('26-'30/1,340만불)</x:v>
      </x:c>
      <x:c r="F15" s="25" t="str"/>
      <x:c r="G15" s="22" t="str">
        <x:v>UNKNOWN</x:v>
      </x:c>
      <x:c r="H15" s="22" t="str">
        <x:v>NONE_UNKNOWN</x:v>
      </x:c>
      <x:c r="I15" s="22" t="str">
        <x:v>V0</x:v>
      </x:c>
      <x:c r="J15" s="28" t="n">
        <x:v>1</x:v>
      </x:c>
      <x:c r="K15" s="28" t="n">
        <x:v>0</x:v>
      </x:c>
      <x:c r="L15" s="28" t="n">
        <x:v>0</x:v>
      </x:c>
      <x:c r="M15" s="28" t="n">
        <x:v>0</x:v>
      </x:c>
      <x:c r="N15" s="28" t="n">
        <x:v>0</x:v>
      </x:c>
      <x:c r="O15" s="28" t="n">
        <x:v>0</x:v>
      </x:c>
      <x:c r="P15" s="28" t="n">
        <x:v>0</x:v>
      </x:c>
      <x:c r="Q15" s="28" t="n">
        <x:v>0</x:v>
      </x:c>
      <x:c r="R15" s="28" t="n">
        <x:v>0</x:v>
      </x:c>
      <x:c r="S15" s="28" t="n">
        <x:v>0</x:v>
      </x:c>
      <x:c r="T15" s="28" t="n">
        <x:v>0</x:v>
      </x:c>
      <x:c r="U15" s="22" t="str"/>
      <x:c r="V15" s="28" t="n">
        <x:v>0</x:v>
      </x:c>
      <x:c r="W15" s="28" t="n">
        <x:v>0</x:v>
      </x:c>
      <x:c r="X15" s="28" t="n">
        <x:v>1</x:v>
      </x:c>
      <x:c r="Y15" s="28" t="n">
        <x:v>0</x:v>
      </x:c>
      <x:c r="Z15" s="31"/>
      <x:c r="AA15" s="22" t="str"/>
      <x:c r="AB15" s="34"/>
      <x:c r="AC15" s="25" t="str"/>
      <x:c r="AD15" s="25" t="str"/>
      <x:c r="AE15" s="25" t="str"/>
      <x:c r="AF15" s="25" t="str">
        <x:v>품목 수량·단가 또는 범위 일치 GFA·공사금액 부족</x:v>
      </x:c>
      <x:c r="AG15" s="25" t="str">
        <x:v>첨부 추가수집·OCR·수동검토 또는 설계/계약 BOQ 확보</x:v>
      </x:c>
      <x:c r="AH15" s="25" t="str">
        <x:v>자동판정(V2)</x:v>
      </x:c>
      <x:c r="AI15" s="25" t="str"/>
      <x:c r="AJ15" s="25" t="str">
        <x:v>A도 첨부 가격단계 범위의 사업별 추정만 가능; 국가단가·계약가·준공가를 의미하지 않음</x:v>
      </x:c>
    </x:row>
    <x:row r="16">
      <x:c r="A16" s="22" t="str">
        <x:v>C</x:v>
      </x:c>
      <x:c r="B16" s="22" t="str">
        <x:v>U</x:v>
      </x:c>
      <x:c r="C16" s="22" t="str">
        <x:v>모잠비크</x:v>
      </x:c>
      <x:c r="D16" s="22" t="str"/>
      <x:c r="E16" s="25" t="str">
        <x:v>모잠비크 마푸투 주 초중통합학교 건립 및 역량강화 사업 PMC 용역</x:v>
      </x:c>
      <x:c r="F16" s="25" t="str"/>
      <x:c r="G16" s="22" t="str">
        <x:v>UNKNOWN</x:v>
      </x:c>
      <x:c r="H16" s="22" t="str">
        <x:v>NONE_UNKNOWN</x:v>
      </x:c>
      <x:c r="I16" s="22" t="str">
        <x:v>V0</x:v>
      </x:c>
      <x:c r="J16" s="28" t="n">
        <x:v>1</x:v>
      </x:c>
      <x:c r="K16" s="28" t="n">
        <x:v>0</x:v>
      </x:c>
      <x:c r="L16" s="28" t="n">
        <x:v>0</x:v>
      </x:c>
      <x:c r="M16" s="28" t="n">
        <x:v>0</x:v>
      </x:c>
      <x:c r="N16" s="28" t="n">
        <x:v>0</x:v>
      </x:c>
      <x:c r="O16" s="28" t="n">
        <x:v>0</x:v>
      </x:c>
      <x:c r="P16" s="28" t="n">
        <x:v>0</x:v>
      </x:c>
      <x:c r="Q16" s="28" t="n">
        <x:v>0</x:v>
      </x:c>
      <x:c r="R16" s="28" t="n">
        <x:v>0</x:v>
      </x:c>
      <x:c r="S16" s="28" t="n">
        <x:v>0</x:v>
      </x:c>
      <x:c r="T16" s="28" t="n">
        <x:v>0</x:v>
      </x:c>
      <x:c r="U16" s="22" t="str"/>
      <x:c r="V16" s="28" t="n">
        <x:v>0</x:v>
      </x:c>
      <x:c r="W16" s="28" t="n">
        <x:v>0</x:v>
      </x:c>
      <x:c r="X16" s="28" t="n">
        <x:v>1</x:v>
      </x:c>
      <x:c r="Y16" s="28" t="n">
        <x:v>0</x:v>
      </x:c>
      <x:c r="Z16" s="31"/>
      <x:c r="AA16" s="22" t="str"/>
      <x:c r="AB16" s="34"/>
      <x:c r="AC16" s="25" t="str"/>
      <x:c r="AD16" s="25" t="str"/>
      <x:c r="AE16" s="25" t="str"/>
      <x:c r="AF16" s="25" t="str">
        <x:v>품목 수량·단가 또는 범위 일치 GFA·공사금액 부족</x:v>
      </x:c>
      <x:c r="AG16" s="25" t="str">
        <x:v>첨부 추가수집·OCR·수동검토 또는 설계/계약 BOQ 확보</x:v>
      </x:c>
      <x:c r="AH16" s="25" t="str">
        <x:v>자동판정(V2)</x:v>
      </x:c>
      <x:c r="AI16" s="25" t="str"/>
      <x:c r="AJ16" s="25" t="str">
        <x:v>A도 첨부 가격단계 범위의 사업별 추정만 가능; 국가단가·계약가·준공가를 의미하지 않음</x:v>
      </x:c>
    </x:row>
    <x:row r="17">
      <x:c r="A17" s="22" t="str">
        <x:v>C</x:v>
      </x:c>
      <x:c r="B17" s="22" t="str">
        <x:v>U</x:v>
      </x:c>
      <x:c r="C17" s="22" t="str">
        <x:v>몽골</x:v>
      </x:c>
      <x:c r="D17" s="22" t="str">
        <x:v>2021-00018</x:v>
      </x:c>
      <x:c r="E17" s="25" t="str">
        <x:v>몽골 철도교통관제센터 건립 및  운영 역량강화를 통한 철도교통 경쟁력 강...</x:v>
      </x:c>
      <x:c r="F17" s="25" t="str">
        <x:v>몽골 철도교통관제센터(RTCC) 건립 시공 입찰</x:v>
      </x:c>
      <x:c r="G17" s="22" t="str">
        <x:v>UNKNOWN</x:v>
      </x:c>
      <x:c r="H17" s="22" t="str">
        <x:v>NONE_UNKNOWN</x:v>
      </x:c>
      <x:c r="I17" s="22" t="str">
        <x:v>V2</x:v>
      </x:c>
      <x:c r="J17" s="28" t="n">
        <x:v>1</x:v>
      </x:c>
      <x:c r="K17" s="28" t="n">
        <x:v>2</x:v>
      </x:c>
      <x:c r="L17" s="28" t="n">
        <x:v>6</x:v>
      </x:c>
      <x:c r="M17" s="28" t="n">
        <x:v>3</x:v>
      </x:c>
      <x:c r="N17" s="28" t="n">
        <x:v>6</x:v>
      </x:c>
      <x:c r="O17" s="28" t="n">
        <x:v>0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0</x:v>
      </x:c>
      <x:c r="U17" s="22" t="str"/>
      <x:c r="V17" s="28" t="n">
        <x:v>0</x:v>
      </x:c>
      <x:c r="W17" s="28" t="n">
        <x:v>0</x:v>
      </x:c>
      <x:c r="X17" s="28" t="n">
        <x:v>1</x:v>
      </x:c>
      <x:c r="Y17" s="28" t="n">
        <x:v>0</x:v>
      </x:c>
      <x:c r="Z17" s="31"/>
      <x:c r="AA17" s="22" t="str"/>
      <x:c r="AB17" s="34"/>
      <x:c r="AC17" s="25" t="str"/>
      <x:c r="AD17" s="25" t="str"/>
      <x:c r="AE17" s="25" t="str"/>
      <x:c r="AF17" s="25" t="str">
        <x:v>품목 수량·단가 또는 범위 일치 GFA·공사금액 부족</x:v>
      </x:c>
      <x:c r="AG17" s="25" t="str">
        <x:v>첨부 추가수집·OCR·수동검토 또는 설계/계약 BOQ 확보</x:v>
      </x:c>
      <x:c r="AH17" s="25" t="str">
        <x:v>자동판정(V2)</x:v>
      </x:c>
      <x:c r="AI17" s="25" t="str">
        <x:v>L2023-00050-1;L2023-00075-1</x:v>
      </x:c>
      <x:c r="AJ17" s="25" t="str">
        <x:v>A도 첨부 가격단계 범위의 사업별 추정만 가능; 국가단가·계약가·준공가를 의미하지 않음</x:v>
      </x:c>
    </x:row>
    <x:row r="18">
      <x:c r="A18" s="22" t="str">
        <x:v>C</x:v>
      </x:c>
      <x:c r="B18" s="22" t="str">
        <x:v>U</x:v>
      </x:c>
      <x:c r="C18" s="22" t="str">
        <x:v>몽골</x:v>
      </x:c>
      <x:c r="D18" s="22" t="str">
        <x:v>2023-00098</x:v>
      </x:c>
      <x:c r="E18" s="25" t="str">
        <x:v>몽골 자동차 검사역량 제고 및 시설 개선을 통한 교통안전 강화 사업('23·'27/1,300만불)</x:v>
      </x:c>
      <x:c r="F18" s="25" t="str"/>
      <x:c r="G18" s="22" t="str">
        <x:v>UNKNOWN</x:v>
      </x:c>
      <x:c r="H18" s="22" t="str">
        <x:v>NONE_UNKNOWN</x:v>
      </x:c>
      <x:c r="I18" s="22" t="str">
        <x:v>V0</x:v>
      </x:c>
      <x:c r="J18" s="28" t="n">
        <x:v>3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n">
        <x:v>0</x:v>
      </x:c>
      <x:c r="P18" s="28" t="n">
        <x:v>0</x:v>
      </x:c>
      <x:c r="Q18" s="28" t="n">
        <x:v>0</x:v>
      </x:c>
      <x:c r="R18" s="28" t="n">
        <x:v>0</x:v>
      </x:c>
      <x:c r="S18" s="28" t="n">
        <x:v>0</x:v>
      </x:c>
      <x:c r="T18" s="28" t="n">
        <x:v>0</x:v>
      </x:c>
      <x:c r="U18" s="22" t="str"/>
      <x:c r="V18" s="28" t="n">
        <x:v>0</x:v>
      </x:c>
      <x:c r="W18" s="28" t="n">
        <x:v>0</x:v>
      </x:c>
      <x:c r="X18" s="28" t="n">
        <x:v>1</x:v>
      </x:c>
      <x:c r="Y18" s="28" t="n">
        <x:v>0</x:v>
      </x:c>
      <x:c r="Z18" s="31"/>
      <x:c r="AA18" s="22" t="str"/>
      <x:c r="AB18" s="34"/>
      <x:c r="AC18" s="25" t="str"/>
      <x:c r="AD18" s="25" t="str"/>
      <x:c r="AE18" s="25" t="str"/>
      <x:c r="AF18" s="25" t="str">
        <x:v>품목 수량·단가 또는 범위 일치 GFA·공사금액 부족</x:v>
      </x:c>
      <x:c r="AG18" s="25" t="str">
        <x:v>첨부 추가수집·OCR·수동검토 또는 설계/계약 BOQ 확보</x:v>
      </x:c>
      <x:c r="AH18" s="25" t="str">
        <x:v>자동판정(V2)</x:v>
      </x:c>
      <x:c r="AI18" s="25" t="str"/>
      <x:c r="AJ18" s="25" t="str">
        <x:v>A도 첨부 가격단계 범위의 사업별 추정만 가능; 국가단가·계약가·준공가를 의미하지 않음</x:v>
      </x:c>
    </x:row>
    <x:row r="19">
      <x:c r="A19" s="22" t="str">
        <x:v>C</x:v>
      </x:c>
      <x:c r="B19" s="22" t="str">
        <x:v>U</x:v>
      </x:c>
      <x:c r="C19" s="22" t="str">
        <x:v>미상</x:v>
      </x:c>
      <x:c r="D19" s="22" t="str">
        <x:v>2011-00050</x:v>
      </x:c>
      <x:c r="E19" s="25" t="str">
        <x:v>수단 농업기술훈련원 건립사업('11-'18/666만불)...</x:v>
      </x:c>
      <x:c r="F19" s="25" t="str"/>
      <x:c r="G19" s="22" t="str">
        <x:v>UNKNOWN</x:v>
      </x:c>
      <x:c r="H19" s="22" t="str">
        <x:v>NONE_UNKNOWN</x:v>
      </x:c>
      <x:c r="I19" s="22" t="str">
        <x:v>V0</x:v>
      </x:c>
      <x:c r="J19" s="28" t="n">
        <x:v>1</x:v>
      </x:c>
      <x:c r="K19" s="28" t="n">
        <x:v>0</x:v>
      </x:c>
      <x:c r="L19" s="28" t="n">
        <x:v>0</x:v>
      </x:c>
      <x:c r="M19" s="28" t="n">
        <x:v>0</x:v>
      </x:c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</x:v>
      </x:c>
      <x:c r="U19" s="22" t="str"/>
      <x:c r="V19" s="28" t="n">
        <x:v>0</x:v>
      </x:c>
      <x:c r="W19" s="28" t="n">
        <x:v>0</x:v>
      </x:c>
      <x:c r="X19" s="28" t="n">
        <x:v>1</x:v>
      </x:c>
      <x:c r="Y19" s="28" t="n">
        <x:v>0</x:v>
      </x:c>
      <x:c r="Z19" s="31"/>
      <x:c r="AA19" s="22" t="str"/>
      <x:c r="AB19" s="34"/>
      <x:c r="AC19" s="25" t="str"/>
      <x:c r="AD19" s="25" t="str"/>
      <x:c r="AE19" s="25" t="str"/>
      <x:c r="AF19" s="25" t="str">
        <x:v>품목 수량·단가 또는 범위 일치 GFA·공사금액 부족</x:v>
      </x:c>
      <x:c r="AG19" s="25" t="str">
        <x:v>첨부 추가수집·OCR·수동검토 또는 설계/계약 BOQ 확보</x:v>
      </x:c>
      <x:c r="AH19" s="25" t="str">
        <x:v>자동판정(V2)</x:v>
      </x:c>
      <x:c r="AI19" s="25" t="str"/>
      <x:c r="AJ19" s="25" t="str">
        <x:v>A도 첨부 가격단계 범위의 사업별 추정만 가능; 국가단가·계약가·준공가를 의미하지 않음</x:v>
      </x:c>
    </x:row>
    <x:row r="20">
      <x:c r="A20" s="22" t="str">
        <x:v>C</x:v>
      </x:c>
      <x:c r="B20" s="22" t="str">
        <x:v>U</x:v>
      </x:c>
      <x:c r="C20" s="22" t="str">
        <x:v>미상</x:v>
      </x:c>
      <x:c r="D20" s="22" t="str">
        <x:v>2013-00020</x:v>
      </x:c>
      <x:c r="E20" s="25" t="str">
        <x:v>아이티 까라꼴 의류기술 훈련원 건립사업('13-'17/373만불)...</x:v>
      </x:c>
      <x:c r="F20" s="25" t="str"/>
      <x:c r="G20" s="22" t="str">
        <x:v>UNKNOWN</x:v>
      </x:c>
      <x:c r="H20" s="22" t="str">
        <x:v>NONE_UNKNOWN</x:v>
      </x:c>
      <x:c r="I20" s="22" t="str">
        <x:v>V0</x:v>
      </x:c>
      <x:c r="J20" s="28" t="n">
        <x:v>1</x:v>
      </x:c>
      <x:c r="K20" s="28" t="n">
        <x:v>0</x:v>
      </x:c>
      <x:c r="L20" s="28" t="n">
        <x:v>0</x:v>
      </x:c>
      <x:c r="M20" s="28" t="n">
        <x:v>0</x:v>
      </x:c>
      <x:c r="N20" s="28" t="n">
        <x:v>0</x:v>
      </x:c>
      <x:c r="O20" s="28" t="n">
        <x:v>0</x:v>
      </x:c>
      <x:c r="P20" s="28" t="n">
        <x:v>0</x:v>
      </x:c>
      <x:c r="Q20" s="28" t="n">
        <x:v>0</x:v>
      </x:c>
      <x:c r="R20" s="28" t="n">
        <x:v>0</x:v>
      </x:c>
      <x:c r="S20" s="28" t="n">
        <x:v>0</x:v>
      </x:c>
      <x:c r="T20" s="28" t="n">
        <x:v>0</x:v>
      </x:c>
      <x:c r="U20" s="22" t="str"/>
      <x:c r="V20" s="28" t="n">
        <x:v>0</x:v>
      </x:c>
      <x:c r="W20" s="28" t="n">
        <x:v>0</x:v>
      </x:c>
      <x:c r="X20" s="28" t="n">
        <x:v>1</x:v>
      </x:c>
      <x:c r="Y20" s="28" t="n">
        <x:v>0</x:v>
      </x:c>
      <x:c r="Z20" s="31"/>
      <x:c r="AA20" s="22" t="str"/>
      <x:c r="AB20" s="34"/>
      <x:c r="AC20" s="25" t="str"/>
      <x:c r="AD20" s="25" t="str"/>
      <x:c r="AE20" s="25" t="str"/>
      <x:c r="AF20" s="25" t="str">
        <x:v>품목 수량·단가 또는 범위 일치 GFA·공사금액 부족</x:v>
      </x:c>
      <x:c r="AG20" s="25" t="str">
        <x:v>첨부 추가수집·OCR·수동검토 또는 설계/계약 BOQ 확보</x:v>
      </x:c>
      <x:c r="AH20" s="25" t="str">
        <x:v>자동판정(V2)</x:v>
      </x:c>
      <x:c r="AI20" s="25" t="str"/>
      <x:c r="AJ20" s="25" t="str">
        <x:v>A도 첨부 가격단계 범위의 사업별 추정만 가능; 국가단가·계약가·준공가를 의미하지 않음</x:v>
      </x:c>
    </x:row>
    <x:row r="21">
      <x:c r="A21" s="22" t="str">
        <x:v>C</x:v>
      </x:c>
      <x:c r="B21" s="22" t="str">
        <x:v>U</x:v>
      </x:c>
      <x:c r="C21" s="22" t="str">
        <x:v>미상</x:v>
      </x:c>
      <x:c r="D21" s="22" t="str">
        <x:v>2021-00070</x:v>
      </x:c>
      <x:c r="E21" s="25" t="str">
        <x:v>한-메콩 생물다양성 센터 건립 및 역량강화사업('21-'26/1,000만...</x:v>
      </x:c>
      <x:c r="F21" s="25" t="str"/>
      <x:c r="G21" s="22" t="str">
        <x:v>UNKNOWN</x:v>
      </x:c>
      <x:c r="H21" s="22" t="str">
        <x:v>NONE_UNKNOWN</x:v>
      </x:c>
      <x:c r="I21" s="22" t="str">
        <x:v>V0</x:v>
      </x:c>
      <x:c r="J21" s="28" t="n">
        <x:v>1</x:v>
      </x:c>
      <x:c r="K21" s="28" t="n">
        <x:v>0</x:v>
      </x:c>
      <x:c r="L21" s="28" t="n">
        <x:v>0</x:v>
      </x:c>
      <x:c r="M21" s="28" t="n">
        <x:v>0</x:v>
      </x:c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</x:v>
      </x:c>
      <x:c r="U21" s="22" t="str"/>
      <x:c r="V21" s="28" t="n">
        <x:v>0</x:v>
      </x:c>
      <x:c r="W21" s="28" t="n">
        <x:v>0</x:v>
      </x:c>
      <x:c r="X21" s="28" t="n">
        <x:v>1</x:v>
      </x:c>
      <x:c r="Y21" s="28" t="n">
        <x:v>0</x:v>
      </x:c>
      <x:c r="Z21" s="31"/>
      <x:c r="AA21" s="22" t="str"/>
      <x:c r="AB21" s="34"/>
      <x:c r="AC21" s="25" t="str"/>
      <x:c r="AD21" s="25" t="str"/>
      <x:c r="AE21" s="25" t="str"/>
      <x:c r="AF21" s="25" t="str">
        <x:v>품목 수량·단가 또는 범위 일치 GFA·공사금액 부족</x:v>
      </x:c>
      <x:c r="AG21" s="25" t="str">
        <x:v>첨부 추가수집·OCR·수동검토 또는 설계/계약 BOQ 확보</x:v>
      </x:c>
      <x:c r="AH21" s="25" t="str">
        <x:v>자동판정(V2)</x:v>
      </x:c>
      <x:c r="AI21" s="25" t="str"/>
      <x:c r="AJ21" s="25" t="str">
        <x:v>A도 첨부 가격단계 범위의 사업별 추정만 가능; 국가단가·계약가·준공가를 의미하지 않음</x:v>
      </x:c>
    </x:row>
    <x:row r="22">
      <x:c r="A22" s="22" t="str">
        <x:v>C</x:v>
      </x:c>
      <x:c r="B22" s="22" t="str">
        <x:v>U</x:v>
      </x:c>
      <x:c r="C22" s="22" t="str">
        <x:v>방글라데시</x:v>
      </x:c>
      <x:c r="D22" s="22" t="str"/>
      <x:c r="E22" s="25" t="str">
        <x:v>방글라데시 선진시장형 기술인력 양성을 위한 차토그램 한방직업훈련원 직업훈련체계 현대화('24·'27/1,000만불)</x:v>
      </x:c>
      <x:c r="F22" s="25" t="str"/>
      <x:c r="G22" s="22" t="str">
        <x:v>UNKNOWN</x:v>
      </x:c>
      <x:c r="H22" s="22" t="str">
        <x:v>NONE_UNKNOWN</x:v>
      </x:c>
      <x:c r="I22" s="22" t="str">
        <x:v>V0</x:v>
      </x:c>
      <x:c r="J22" s="28" t="n">
        <x:v>1</x:v>
      </x:c>
      <x:c r="K22" s="28" t="n">
        <x:v>0</x:v>
      </x:c>
      <x:c r="L22" s="28" t="n">
        <x:v>0</x:v>
      </x:c>
      <x:c r="M22" s="28" t="n">
        <x:v>0</x:v>
      </x:c>
      <x:c r="N22" s="28" t="n">
        <x:v>0</x:v>
      </x:c>
      <x:c r="O22" s="28" t="n">
        <x:v>0</x:v>
      </x:c>
      <x:c r="P22" s="28" t="n">
        <x:v>0</x:v>
      </x:c>
      <x:c r="Q22" s="28" t="n">
        <x:v>0</x:v>
      </x:c>
      <x:c r="R22" s="28" t="n">
        <x:v>0</x:v>
      </x:c>
      <x:c r="S22" s="28" t="n">
        <x:v>0</x:v>
      </x:c>
      <x:c r="T22" s="28" t="n">
        <x:v>0</x:v>
      </x:c>
      <x:c r="U22" s="22" t="str"/>
      <x:c r="V22" s="28" t="n">
        <x:v>0</x:v>
      </x:c>
      <x:c r="W22" s="28" t="n">
        <x:v>0</x:v>
      </x:c>
      <x:c r="X22" s="28" t="n">
        <x:v>1</x:v>
      </x:c>
      <x:c r="Y22" s="28" t="n">
        <x:v>0</x:v>
      </x:c>
      <x:c r="Z22" s="31"/>
      <x:c r="AA22" s="22" t="str"/>
      <x:c r="AB22" s="34"/>
      <x:c r="AC22" s="25" t="str"/>
      <x:c r="AD22" s="25" t="str"/>
      <x:c r="AE22" s="25" t="str"/>
      <x:c r="AF22" s="25" t="str">
        <x:v>품목 수량·단가 또는 범위 일치 GFA·공사금액 부족</x:v>
      </x:c>
      <x:c r="AG22" s="25" t="str">
        <x:v>첨부 추가수집·OCR·수동검토 또는 설계/계약 BOQ 확보</x:v>
      </x:c>
      <x:c r="AH22" s="25" t="str">
        <x:v>자동판정(V2)</x:v>
      </x:c>
      <x:c r="AI22" s="25" t="str"/>
      <x:c r="AJ22" s="25" t="str">
        <x:v>A도 첨부 가격단계 범위의 사업별 추정만 가능; 국가단가·계약가·준공가를 의미하지 않음</x:v>
      </x:c>
    </x:row>
    <x:row r="23">
      <x:c r="A23" s="22" t="str">
        <x:v>C</x:v>
      </x:c>
      <x:c r="B23" s="22" t="str">
        <x:v>U</x:v>
      </x:c>
      <x:c r="C23" s="22" t="str">
        <x:v>베트남</x:v>
      </x:c>
      <x:c r="D23" s="22" t="str">
        <x:v>2022-00097</x:v>
      </x:c>
      <x:c r="E23" s="25" t="str">
        <x:v>베트남 한베 ICT 대학교 교육역량 강화 지원사업 스마트 캠퍼스 구축 물품(소프트웨어) 현지구매 계약</x:v>
      </x:c>
      <x:c r="F23" s="25" t="str"/>
      <x:c r="G23" s="22" t="str">
        <x:v>UNKNOWN</x:v>
      </x:c>
      <x:c r="H23" s="22" t="str">
        <x:v>NONE_UNKNOWN</x:v>
      </x:c>
      <x:c r="I23" s="22" t="str">
        <x:v>V0</x:v>
      </x:c>
      <x:c r="J23" s="28" t="n">
        <x:v>1</x:v>
      </x:c>
      <x:c r="K23" s="28" t="n">
        <x:v>0</x:v>
      </x:c>
      <x:c r="L23" s="28" t="n">
        <x:v>0</x:v>
      </x:c>
      <x:c r="M23" s="28" t="n">
        <x:v>0</x:v>
      </x:c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</x:v>
      </x:c>
      <x:c r="U23" s="22" t="str"/>
      <x:c r="V23" s="28" t="n">
        <x:v>0</x:v>
      </x:c>
      <x:c r="W23" s="28" t="n">
        <x:v>0</x:v>
      </x:c>
      <x:c r="X23" s="28" t="n">
        <x:v>1</x:v>
      </x:c>
      <x:c r="Y23" s="28" t="n">
        <x:v>0</x:v>
      </x:c>
      <x:c r="Z23" s="31"/>
      <x:c r="AA23" s="22" t="str"/>
      <x:c r="AB23" s="34"/>
      <x:c r="AC23" s="25" t="str"/>
      <x:c r="AD23" s="25" t="str"/>
      <x:c r="AE23" s="25" t="str"/>
      <x:c r="AF23" s="25" t="str">
        <x:v>품목 수량·단가 또는 범위 일치 GFA·공사금액 부족</x:v>
      </x:c>
      <x:c r="AG23" s="25" t="str">
        <x:v>첨부 추가수집·OCR·수동검토 또는 설계/계약 BOQ 확보</x:v>
      </x:c>
      <x:c r="AH23" s="25" t="str">
        <x:v>자동판정(V2)</x:v>
      </x:c>
      <x:c r="AI23" s="25" t="str"/>
      <x:c r="AJ23" s="25" t="str">
        <x:v>A도 첨부 가격단계 범위의 사업별 추정만 가능; 국가단가·계약가·준공가를 의미하지 않음</x:v>
      </x:c>
    </x:row>
    <x:row r="24">
      <x:c r="A24" s="22" t="str">
        <x:v>C</x:v>
      </x:c>
      <x:c r="B24" s="22" t="str">
        <x:v>U</x:v>
      </x:c>
      <x:c r="C24" s="22" t="str">
        <x:v>베트남</x:v>
      </x:c>
      <x:c r="D24" s="22" t="str"/>
      <x:c r="E24" s="25" t="str">
        <x:v>베트남 후에시 문화관광 스마트시티 조성 지원사업의 다비엔섬 스마트 복합문화공간 및 보행교량 건축시공</x:v>
      </x:c>
      <x:c r="F24" s="25" t="str"/>
      <x:c r="G24" s="22" t="str">
        <x:v>UNKNOWN</x:v>
      </x:c>
      <x:c r="H24" s="22" t="str">
        <x:v>NONE_UNKNOWN</x:v>
      </x:c>
      <x:c r="I24" s="22" t="str">
        <x:v>V0</x:v>
      </x:c>
      <x:c r="J24" s="28" t="n">
        <x:v>1</x:v>
      </x:c>
      <x:c r="K24" s="28" t="n">
        <x:v>0</x:v>
      </x:c>
      <x:c r="L24" s="28" t="n">
        <x:v>0</x:v>
      </x:c>
      <x:c r="M24" s="28" t="n">
        <x:v>0</x:v>
      </x:c>
      <x:c r="N24" s="28" t="n">
        <x:v>0</x:v>
      </x:c>
      <x:c r="O24" s="28" t="n">
        <x:v>0</x:v>
      </x:c>
      <x:c r="P24" s="28" t="n">
        <x:v>0</x:v>
      </x:c>
      <x:c r="Q24" s="28" t="n">
        <x:v>0</x:v>
      </x:c>
      <x:c r="R24" s="28" t="n">
        <x:v>0</x:v>
      </x:c>
      <x:c r="S24" s="28" t="n">
        <x:v>0</x:v>
      </x:c>
      <x:c r="T24" s="28" t="n">
        <x:v>0</x:v>
      </x:c>
      <x:c r="U24" s="22" t="str"/>
      <x:c r="V24" s="28" t="n">
        <x:v>0</x:v>
      </x:c>
      <x:c r="W24" s="28" t="n">
        <x:v>0</x:v>
      </x:c>
      <x:c r="X24" s="28" t="n">
        <x:v>1</x:v>
      </x:c>
      <x:c r="Y24" s="28" t="n">
        <x:v>0</x:v>
      </x:c>
      <x:c r="Z24" s="31"/>
      <x:c r="AA24" s="22" t="str"/>
      <x:c r="AB24" s="34"/>
      <x:c r="AC24" s="25" t="str"/>
      <x:c r="AD24" s="25" t="str"/>
      <x:c r="AE24" s="25" t="str"/>
      <x:c r="AF24" s="25" t="str">
        <x:v>품목 수량·단가 또는 범위 일치 GFA·공사금액 부족</x:v>
      </x:c>
      <x:c r="AG24" s="25" t="str">
        <x:v>첨부 추가수집·OCR·수동검토 또는 설계/계약 BOQ 확보</x:v>
      </x:c>
      <x:c r="AH24" s="25" t="str">
        <x:v>자동판정(V2)</x:v>
      </x:c>
      <x:c r="AI24" s="25" t="str"/>
      <x:c r="AJ24" s="25" t="str">
        <x:v>A도 첨부 가격단계 범위의 사업별 추정만 가능; 국가단가·계약가·준공가를 의미하지 않음</x:v>
      </x:c>
    </x:row>
    <x:row r="25">
      <x:c r="A25" s="22" t="str">
        <x:v>C</x:v>
      </x:c>
      <x:c r="B25" s="22" t="str">
        <x:v>U</x:v>
      </x:c>
      <x:c r="C25" s="22" t="str">
        <x:v>베트남</x:v>
      </x:c>
      <x:c r="D25" s="22" t="str"/>
      <x:c r="E25" s="25" t="str">
        <x:v>베트남 메콩유역 롱안성 생활폐기물 분리배출 및 자원순환 촉진 사업('24·'28/1,083만불) 감리 용역</x:v>
      </x:c>
      <x:c r="F25" s="25" t="str"/>
      <x:c r="G25" s="22" t="str">
        <x:v>UNKNOWN</x:v>
      </x:c>
      <x:c r="H25" s="22" t="str">
        <x:v>NONE_UNKNOWN</x:v>
      </x:c>
      <x:c r="I25" s="22" t="str">
        <x:v>V0</x:v>
      </x:c>
      <x:c r="J25" s="28" t="n">
        <x:v>1</x:v>
      </x:c>
      <x:c r="K25" s="28" t="n">
        <x:v>0</x:v>
      </x:c>
      <x:c r="L25" s="28" t="n">
        <x:v>0</x:v>
      </x:c>
      <x:c r="M25" s="28" t="n">
        <x:v>0</x:v>
      </x:c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</x:v>
      </x:c>
      <x:c r="S25" s="28" t="n">
        <x:v>0</x:v>
      </x:c>
      <x:c r="T25" s="28" t="n">
        <x:v>0</x:v>
      </x:c>
      <x:c r="U25" s="22" t="str"/>
      <x:c r="V25" s="28" t="n">
        <x:v>0</x:v>
      </x:c>
      <x:c r="W25" s="28" t="n">
        <x:v>0</x:v>
      </x:c>
      <x:c r="X25" s="28" t="n">
        <x:v>1</x:v>
      </x:c>
      <x:c r="Y25" s="28" t="n">
        <x:v>0</x:v>
      </x:c>
      <x:c r="Z25" s="31"/>
      <x:c r="AA25" s="22" t="str"/>
      <x:c r="AB25" s="34"/>
      <x:c r="AC25" s="25" t="str"/>
      <x:c r="AD25" s="25" t="str"/>
      <x:c r="AE25" s="25" t="str"/>
      <x:c r="AF25" s="25" t="str">
        <x:v>품목 수량·단가 또는 범위 일치 GFA·공사금액 부족</x:v>
      </x:c>
      <x:c r="AG25" s="25" t="str">
        <x:v>첨부 추가수집·OCR·수동검토 또는 설계/계약 BOQ 확보</x:v>
      </x:c>
      <x:c r="AH25" s="25" t="str">
        <x:v>자동판정(V2)</x:v>
      </x:c>
      <x:c r="AI25" s="25" t="str"/>
      <x:c r="AJ25" s="25" t="str">
        <x:v>A도 첨부 가격단계 범위의 사업별 추정만 가능; 국가단가·계약가·준공가를 의미하지 않음</x:v>
      </x:c>
    </x:row>
    <x:row r="26">
      <x:c r="A26" s="22" t="str">
        <x:v>C</x:v>
      </x:c>
      <x:c r="B26" s="22" t="str">
        <x:v>U</x:v>
      </x:c>
      <x:c r="C26" s="22" t="str">
        <x:v>베트남</x:v>
      </x:c>
      <x:c r="D26" s="22" t="str"/>
      <x:c r="E26" s="25" t="str">
        <x:v>베트남 메콩유역 롱안성 생활폐기물 분리배출 및 자원순환 촉진 사업('24·'28/1,083만불) 시공 용역</x:v>
      </x:c>
      <x:c r="F26" s="25" t="str"/>
      <x:c r="G26" s="22" t="str">
        <x:v>UNKNOWN</x:v>
      </x:c>
      <x:c r="H26" s="22" t="str">
        <x:v>NONE_UNKNOWN</x:v>
      </x:c>
      <x:c r="I26" s="22" t="str">
        <x:v>V0</x:v>
      </x:c>
      <x:c r="J26" s="28" t="n">
        <x:v>1</x:v>
      </x:c>
      <x:c r="K26" s="28" t="n">
        <x:v>0</x:v>
      </x:c>
      <x:c r="L26" s="28" t="n">
        <x:v>0</x:v>
      </x:c>
      <x:c r="M26" s="28" t="n">
        <x:v>0</x:v>
      </x:c>
      <x:c r="N26" s="28" t="n">
        <x:v>0</x:v>
      </x:c>
      <x:c r="O26" s="28" t="n">
        <x:v>0</x:v>
      </x:c>
      <x:c r="P26" s="28" t="n">
        <x:v>0</x:v>
      </x:c>
      <x:c r="Q26" s="28" t="n">
        <x:v>0</x:v>
      </x:c>
      <x:c r="R26" s="28" t="n">
        <x:v>0</x:v>
      </x:c>
      <x:c r="S26" s="28" t="n">
        <x:v>0</x:v>
      </x:c>
      <x:c r="T26" s="28" t="n">
        <x:v>0</x:v>
      </x:c>
      <x:c r="U26" s="22" t="str"/>
      <x:c r="V26" s="28" t="n">
        <x:v>0</x:v>
      </x:c>
      <x:c r="W26" s="28" t="n">
        <x:v>0</x:v>
      </x:c>
      <x:c r="X26" s="28" t="n">
        <x:v>1</x:v>
      </x:c>
      <x:c r="Y26" s="28" t="n">
        <x:v>0</x:v>
      </x:c>
      <x:c r="Z26" s="31"/>
      <x:c r="AA26" s="22" t="str"/>
      <x:c r="AB26" s="34"/>
      <x:c r="AC26" s="25" t="str"/>
      <x:c r="AD26" s="25" t="str"/>
      <x:c r="AE26" s="25" t="str"/>
      <x:c r="AF26" s="25" t="str">
        <x:v>품목 수량·단가 또는 범위 일치 GFA·공사금액 부족</x:v>
      </x:c>
      <x:c r="AG26" s="25" t="str">
        <x:v>첨부 추가수집·OCR·수동검토 또는 설계/계약 BOQ 확보</x:v>
      </x:c>
      <x:c r="AH26" s="25" t="str">
        <x:v>자동판정(V2)</x:v>
      </x:c>
      <x:c r="AI26" s="25" t="str"/>
      <x:c r="AJ26" s="25" t="str">
        <x:v>A도 첨부 가격단계 범위의 사업별 추정만 가능; 국가단가·계약가·준공가를 의미하지 않음</x:v>
      </x:c>
    </x:row>
    <x:row r="27">
      <x:c r="A27" s="22" t="str">
        <x:v>C</x:v>
      </x:c>
      <x:c r="B27" s="22" t="str">
        <x:v>U</x:v>
      </x:c>
      <x:c r="C27" s="22" t="str">
        <x:v>베트남</x:v>
      </x:c>
      <x:c r="D27" s="22" t="str"/>
      <x:c r="E27" s="25" t="str">
        <x:v>베트남 메콩유역 롱안성 생활폐기물 분리배출 및 자원순환 촉진 사업('24·'28/1,083만불) 건축 및 토목 시공 용역</x:v>
      </x:c>
      <x:c r="F27" s="25" t="str"/>
      <x:c r="G27" s="22" t="str">
        <x:v>UNKNOWN</x:v>
      </x:c>
      <x:c r="H27" s="22" t="str">
        <x:v>NONE_UNKNOWN</x:v>
      </x:c>
      <x:c r="I27" s="22" t="str">
        <x:v>V0</x:v>
      </x:c>
      <x:c r="J27" s="28" t="n">
        <x:v>1</x:v>
      </x:c>
      <x:c r="K27" s="28" t="n">
        <x:v>0</x:v>
      </x:c>
      <x:c r="L27" s="28" t="n">
        <x:v>0</x:v>
      </x:c>
      <x:c r="M27" s="28" t="n">
        <x:v>0</x:v>
      </x:c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</x:v>
      </x:c>
      <x:c r="U27" s="22" t="str"/>
      <x:c r="V27" s="28" t="n">
        <x:v>0</x:v>
      </x:c>
      <x:c r="W27" s="28" t="n">
        <x:v>0</x:v>
      </x:c>
      <x:c r="X27" s="28" t="n">
        <x:v>1</x:v>
      </x:c>
      <x:c r="Y27" s="28" t="n">
        <x:v>0</x:v>
      </x:c>
      <x:c r="Z27" s="31"/>
      <x:c r="AA27" s="22" t="str"/>
      <x:c r="AB27" s="34"/>
      <x:c r="AC27" s="25" t="str"/>
      <x:c r="AD27" s="25" t="str"/>
      <x:c r="AE27" s="25" t="str"/>
      <x:c r="AF27" s="25" t="str">
        <x:v>품목 수량·단가 또는 범위 일치 GFA·공사금액 부족</x:v>
      </x:c>
      <x:c r="AG27" s="25" t="str">
        <x:v>첨부 추가수집·OCR·수동검토 또는 설계/계약 BOQ 확보</x:v>
      </x:c>
      <x:c r="AH27" s="25" t="str">
        <x:v>자동판정(V2)</x:v>
      </x:c>
      <x:c r="AI27" s="25" t="str"/>
      <x:c r="AJ27" s="25" t="str">
        <x:v>A도 첨부 가격단계 범위의 사업별 추정만 가능; 국가단가·계약가·준공가를 의미하지 않음</x:v>
      </x:c>
    </x:row>
    <x:row r="28">
      <x:c r="A28" s="22" t="str">
        <x:v>B</x:v>
      </x:c>
      <x:c r="B28" s="22" t="str">
        <x:v>B</x:v>
      </x:c>
      <x:c r="C28" s="22" t="str">
        <x:v>볼리비아</x:v>
      </x:c>
      <x:c r="D28" s="22" t="str">
        <x:v>2013-00064</x:v>
      </x:c>
      <x:c r="E28" s="25" t="str">
        <x:v>볼리비아 고원 지역 농업 기계화 및 농민역량 강화를 통한 생산성 증대 사업 퀴노아 연구센터 차칼라 건립 공사 시공사 선정 현지 입찰</x:v>
      </x:c>
      <x:c r="F28" s="25" t="str">
        <x:v>볼리비아 고원 지역 농업 기계화 및 농민역량 강화를 통한 생산성 증대 사업 퀴노아 연구센터 차칼라 건립 공사 시공사 선정 현지 입찰 재공고</x:v>
      </x:c>
      <x:c r="G28" s="22" t="str">
        <x:v>FULL</x:v>
      </x:c>
      <x:c r="H28" s="22" t="str">
        <x:v>NONE</x:v>
      </x:c>
      <x:c r="I28" s="22" t="str">
        <x:v>V3</x:v>
      </x:c>
      <x:c r="J28" s="28" t="n">
        <x:v>1</x:v>
      </x:c>
      <x:c r="K28" s="28" t="n">
        <x:v>7</x:v>
      </x:c>
      <x:c r="L28" s="28" t="n">
        <x:v>145</x:v>
      </x:c>
      <x:c r="M28" s="28" t="n">
        <x:v>127</x:v>
      </x:c>
      <x:c r="N28" s="28" t="n">
        <x:v>87</x:v>
      </x:c>
      <x:c r="O28" s="28" t="n">
        <x:v>12</x:v>
      </x:c>
      <x:c r="P28" s="28" t="n">
        <x:v>0</x:v>
      </x:c>
      <x:c r="Q28" s="28" t="n">
        <x:v>3</x:v>
      </x:c>
      <x:c r="R28" s="28" t="n">
        <x:v>0</x:v>
      </x:c>
      <x:c r="S28" s="28" t="n">
        <x:v>191</x:v>
      </x:c>
      <x:c r="T28" s="28" t="n">
        <x:v>0</x:v>
      </x:c>
      <x:c r="U28" s="22" t="str"/>
      <x:c r="V28" s="28" t="n">
        <x:v>0</x:v>
      </x:c>
      <x:c r="W28" s="28" t="n">
        <x:v>1</x:v>
      </x:c>
      <x:c r="X28" s="28" t="n">
        <x:v>0</x:v>
      </x:c>
      <x:c r="Y28" s="28" t="n">
        <x:v>1</x:v>
      </x:c>
      <x:c r="Z28" s="31"/>
      <x:c r="AA28" s="22" t="str"/>
      <x:c r="AB28" s="34"/>
      <x:c r="AC28" s="25" t="str"/>
      <x:c r="AD28" s="25" t="str">
        <x:v>L2025-00012-1/.../Section 4. Q-Lab_Chacala_BOQ_blanked/</x:v>
      </x:c>
      <x:c r="AE28" s="25" t="str">
        <x:v>A1 ARCHITECTURE, A2/A3 STRUCTURE, B ELECTRIC, F HYDRO, G LANDSCAPE</x:v>
      </x:c>
      <x:c r="AF28" s="25" t="str">
        <x:v>품목별 현지 단가 부재</x:v>
      </x:c>
      <x:c r="AG28" s="25" t="str">
        <x:v>볼리비아 현지 재료·노무·장비 단가 결합</x:v>
      </x:c>
      <x:c r="AH28" s="25" t="str">
        <x:v>수동검증완료</x:v>
      </x:c>
      <x:c r="AI28" s="25" t="str">
        <x:v>L2021-00005-1;L2023-00012-1;L2023-00015-1;L2023-00031-1;L2023-00031-2;L2025-00012-1;L2025-00012-2</x:v>
      </x:c>
      <x:c r="AJ28" s="25" t="str">
        <x:v>A도 첨부 가격단계 범위의 사업별 추정만 가능; 국가단가·계약가·준공가를 의미하지 않음</x:v>
      </x:c>
    </x:row>
    <x:row r="29">
      <x:c r="A29" s="22" t="str">
        <x:v>C</x:v>
      </x:c>
      <x:c r="B29" s="22" t="str">
        <x:v>U</x:v>
      </x:c>
      <x:c r="C29" s="22" t="str">
        <x:v>볼리비아</x:v>
      </x:c>
      <x:c r="D29" s="22" t="str">
        <x:v>2022-00038</x:v>
      </x:c>
      <x:c r="E29" s="25" t="str">
        <x:v>볼리비아 라파스주 임상병리검사실체계 강화사업 감염의학연구소 구축 감리사 선정</x:v>
      </x:c>
      <x:c r="F29" s="25" t="str"/>
      <x:c r="G29" s="22" t="str">
        <x:v>UNKNOWN</x:v>
      </x:c>
      <x:c r="H29" s="22" t="str">
        <x:v>NONE_UNKNOWN</x:v>
      </x:c>
      <x:c r="I29" s="22" t="str">
        <x:v>V0</x:v>
      </x:c>
      <x:c r="J29" s="28" t="n">
        <x:v>1</x:v>
      </x:c>
      <x:c r="K29" s="28" t="n">
        <x:v>4</x:v>
      </x:c>
      <x:c r="L29" s="28" t="n">
        <x:v>42</x:v>
      </x:c>
      <x:c r="M29" s="28" t="n">
        <x:v>0</x:v>
      </x:c>
      <x:c r="N29" s="28" t="n">
        <x:v>27</x:v>
      </x:c>
      <x:c r="O29" s="28" t="n">
        <x:v>0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</x:v>
      </x:c>
      <x:c r="U29" s="22" t="str"/>
      <x:c r="V29" s="28" t="n">
        <x:v>0</x:v>
      </x:c>
      <x:c r="W29" s="28" t="n">
        <x:v>0</x:v>
      </x:c>
      <x:c r="X29" s="28" t="n">
        <x:v>1</x:v>
      </x:c>
      <x:c r="Y29" s="28" t="n">
        <x:v>0</x:v>
      </x:c>
      <x:c r="Z29" s="31"/>
      <x:c r="AA29" s="22" t="str"/>
      <x:c r="AB29" s="34"/>
      <x:c r="AC29" s="25" t="str"/>
      <x:c r="AD29" s="25" t="str"/>
      <x:c r="AE29" s="25" t="str"/>
      <x:c r="AF29" s="25" t="str">
        <x:v>품목 수량·단가 또는 범위 일치 GFA·공사금액 부족</x:v>
      </x:c>
      <x:c r="AG29" s="25" t="str">
        <x:v>첨부 추가수집·OCR·수동검토 또는 설계/계약 BOQ 확보</x:v>
      </x:c>
      <x:c r="AH29" s="25" t="str">
        <x:v>자동판정(V2)</x:v>
      </x:c>
      <x:c r="AI29" s="25" t="str">
        <x:v>L2023-00070-1;L2023-00070-2;L2025-00029-1;L2025-00030-1</x:v>
      </x:c>
      <x:c r="AJ29" s="25" t="str">
        <x:v>A도 첨부 가격단계 범위의 사업별 추정만 가능; 국가단가·계약가·준공가를 의미하지 않음</x:v>
      </x:c>
    </x:row>
    <x:row r="30">
      <x:c r="A30" s="22" t="str">
        <x:v>C</x:v>
      </x:c>
      <x:c r="B30" s="22" t="str">
        <x:v>U</x:v>
      </x:c>
      <x:c r="C30" s="22" t="str">
        <x:v>볼리비아</x:v>
      </x:c>
      <x:c r="D30" s="22" t="str">
        <x:v>2023-00004</x:v>
      </x:c>
      <x:c r="E30" s="25" t="str">
        <x:v>볼리비아 엘알또시 모성보건센터 신축/보수공사 설계사 선정</x:v>
      </x:c>
      <x:c r="F30" s="25" t="str"/>
      <x:c r="G30" s="22" t="str">
        <x:v>UNKNOWN</x:v>
      </x:c>
      <x:c r="H30" s="22" t="str">
        <x:v>NONE_UNKNOWN</x:v>
      </x:c>
      <x:c r="I30" s="22" t="str">
        <x:v>V0</x:v>
      </x:c>
      <x:c r="J30" s="28" t="n">
        <x:v>1</x:v>
      </x:c>
      <x:c r="K30" s="28" t="n">
        <x:v>1</x:v>
      </x:c>
      <x:c r="L30" s="28" t="n">
        <x:v>3</x:v>
      </x:c>
      <x:c r="M30" s="28" t="n">
        <x:v>0</x:v>
      </x:c>
      <x:c r="N30" s="28" t="n">
        <x:v>3</x:v>
      </x:c>
      <x:c r="O30" s="28" t="n">
        <x:v>0</x:v>
      </x:c>
      <x:c r="P30" s="28" t="n">
        <x:v>0</x:v>
      </x:c>
      <x:c r="Q30" s="28" t="n">
        <x:v>0</x:v>
      </x:c>
      <x:c r="R30" s="28" t="n">
        <x:v>0</x:v>
      </x:c>
      <x:c r="S30" s="28" t="n">
        <x:v>0</x:v>
      </x:c>
      <x:c r="T30" s="28" t="n">
        <x:v>0</x:v>
      </x:c>
      <x:c r="U30" s="22" t="str"/>
      <x:c r="V30" s="28" t="n">
        <x:v>0</x:v>
      </x:c>
      <x:c r="W30" s="28" t="n">
        <x:v>0</x:v>
      </x:c>
      <x:c r="X30" s="28" t="n">
        <x:v>1</x:v>
      </x:c>
      <x:c r="Y30" s="28" t="n">
        <x:v>0</x:v>
      </x:c>
      <x:c r="Z30" s="31"/>
      <x:c r="AA30" s="22" t="str"/>
      <x:c r="AB30" s="34"/>
      <x:c r="AC30" s="25" t="str"/>
      <x:c r="AD30" s="25" t="str"/>
      <x:c r="AE30" s="25" t="str"/>
      <x:c r="AF30" s="25" t="str">
        <x:v>품목 수량·단가 또는 범위 일치 GFA·공사금액 부족</x:v>
      </x:c>
      <x:c r="AG30" s="25" t="str">
        <x:v>첨부 추가수집·OCR·수동검토 또는 설계/계약 BOQ 확보</x:v>
      </x:c>
      <x:c r="AH30" s="25" t="str">
        <x:v>자동판정(V2)</x:v>
      </x:c>
      <x:c r="AI30" s="25" t="str">
        <x:v>L2025-00078-1</x:v>
      </x:c>
      <x:c r="AJ30" s="25" t="str">
        <x:v>A도 첨부 가격단계 범위의 사업별 추정만 가능; 국가단가·계약가·준공가를 의미하지 않음</x:v>
      </x:c>
    </x:row>
    <x:row r="31">
      <x:c r="A31" s="22" t="str">
        <x:v>C</x:v>
      </x:c>
      <x:c r="B31" s="22" t="str">
        <x:v>U</x:v>
      </x:c>
      <x:c r="C31" s="22" t="str">
        <x:v>볼리비아</x:v>
      </x:c>
      <x:c r="D31" s="22" t="str">
        <x:v>2024-00006</x:v>
      </x:c>
      <x:c r="E31" s="25" t="str">
        <x:v>볼리비아 추키사카주 과학수사기관 신축공사 설계사 입찰</x:v>
      </x:c>
      <x:c r="F31" s="25" t="str"/>
      <x:c r="G31" s="22" t="str">
        <x:v>UNKNOWN</x:v>
      </x:c>
      <x:c r="H31" s="22" t="str">
        <x:v>NONE_UNKNOWN</x:v>
      </x:c>
      <x:c r="I31" s="22" t="str">
        <x:v>V0</x:v>
      </x:c>
      <x:c r="J31" s="28" t="n">
        <x:v>1</x:v>
      </x:c>
      <x:c r="K31" s="28" t="n">
        <x:v>1</x:v>
      </x:c>
      <x:c r="L31" s="28" t="n">
        <x:v>4</x:v>
      </x:c>
      <x:c r="M31" s="28" t="n">
        <x:v>0</x:v>
      </x:c>
      <x:c r="N31" s="28" t="n">
        <x:v>4</x:v>
      </x:c>
      <x:c r="O31" s="28" t="n">
        <x:v>0</x:v>
      </x:c>
      <x:c r="P31" s="28" t="n">
        <x:v>0</x:v>
      </x:c>
      <x:c r="Q31" s="28" t="n">
        <x:v>0</x:v>
      </x:c>
      <x:c r="R31" s="28" t="n">
        <x:v>0</x:v>
      </x:c>
      <x:c r="S31" s="28" t="n">
        <x:v>0</x:v>
      </x:c>
      <x:c r="T31" s="28" t="n">
        <x:v>0</x:v>
      </x:c>
      <x:c r="U31" s="22" t="str"/>
      <x:c r="V31" s="28" t="n">
        <x:v>0</x:v>
      </x:c>
      <x:c r="W31" s="28" t="n">
        <x:v>0</x:v>
      </x:c>
      <x:c r="X31" s="28" t="n">
        <x:v>1</x:v>
      </x:c>
      <x:c r="Y31" s="28" t="n">
        <x:v>0</x:v>
      </x:c>
      <x:c r="Z31" s="31"/>
      <x:c r="AA31" s="22" t="str"/>
      <x:c r="AB31" s="34"/>
      <x:c r="AC31" s="25" t="str"/>
      <x:c r="AD31" s="25" t="str"/>
      <x:c r="AE31" s="25" t="str"/>
      <x:c r="AF31" s="25" t="str">
        <x:v>품목 수량·단가 또는 범위 일치 GFA·공사금액 부족</x:v>
      </x:c>
      <x:c r="AG31" s="25" t="str">
        <x:v>첨부 추가수집·OCR·수동검토 또는 설계/계약 BOQ 확보</x:v>
      </x:c>
      <x:c r="AH31" s="25" t="str">
        <x:v>자동판정(V2)</x:v>
      </x:c>
      <x:c r="AI31" s="25" t="str">
        <x:v>L2025-00068-1</x:v>
      </x:c>
      <x:c r="AJ31" s="25" t="str">
        <x:v>A도 첨부 가격단계 범위의 사업별 추정만 가능; 국가단가·계약가·준공가를 의미하지 않음</x:v>
      </x:c>
    </x:row>
    <x:row r="32">
      <x:c r="A32" s="22" t="str">
        <x:v>C</x:v>
      </x:c>
      <x:c r="B32" s="22" t="str">
        <x:v>U</x:v>
      </x:c>
      <x:c r="C32" s="22" t="str">
        <x:v>볼리비아</x:v>
      </x:c>
      <x:c r="D32" s="22" t="str"/>
      <x:c r="E32" s="25" t="str">
        <x:v>볼리비아 오루로 주 응급의료통제센터 설립 및 강화 사업('24·'28/650만불) 설계 용역</x:v>
      </x:c>
      <x:c r="F32" s="25" t="str"/>
      <x:c r="G32" s="22" t="str">
        <x:v>UNKNOWN</x:v>
      </x:c>
      <x:c r="H32" s="22" t="str">
        <x:v>NONE_UNKNOWN</x:v>
      </x:c>
      <x:c r="I32" s="22" t="str">
        <x:v>V0</x:v>
      </x:c>
      <x:c r="J32" s="28" t="n">
        <x:v>1</x:v>
      </x:c>
      <x:c r="K32" s="28" t="n">
        <x:v>0</x:v>
      </x:c>
      <x:c r="L32" s="28" t="n">
        <x:v>0</x:v>
      </x:c>
      <x:c r="M32" s="28" t="n">
        <x:v>0</x:v>
      </x:c>
      <x:c r="N32" s="28" t="n">
        <x:v>0</x:v>
      </x:c>
      <x:c r="O32" s="28" t="n">
        <x:v>0</x:v>
      </x:c>
      <x:c r="P32" s="28" t="n">
        <x:v>0</x:v>
      </x:c>
      <x:c r="Q32" s="28" t="n">
        <x:v>0</x:v>
      </x:c>
      <x:c r="R32" s="28" t="n">
        <x:v>0</x:v>
      </x:c>
      <x:c r="S32" s="28" t="n">
        <x:v>0</x:v>
      </x:c>
      <x:c r="T32" s="28" t="n">
        <x:v>0</x:v>
      </x:c>
      <x:c r="U32" s="22" t="str"/>
      <x:c r="V32" s="28" t="n">
        <x:v>0</x:v>
      </x:c>
      <x:c r="W32" s="28" t="n">
        <x:v>0</x:v>
      </x:c>
      <x:c r="X32" s="28" t="n">
        <x:v>1</x:v>
      </x:c>
      <x:c r="Y32" s="28" t="n">
        <x:v>0</x:v>
      </x:c>
      <x:c r="Z32" s="31"/>
      <x:c r="AA32" s="22" t="str"/>
      <x:c r="AB32" s="34"/>
      <x:c r="AC32" s="25" t="str"/>
      <x:c r="AD32" s="25" t="str"/>
      <x:c r="AE32" s="25" t="str"/>
      <x:c r="AF32" s="25" t="str">
        <x:v>품목 수량·단가 또는 범위 일치 GFA·공사금액 부족</x:v>
      </x:c>
      <x:c r="AG32" s="25" t="str">
        <x:v>첨부 추가수집·OCR·수동검토 또는 설계/계약 BOQ 확보</x:v>
      </x:c>
      <x:c r="AH32" s="25" t="str">
        <x:v>자동판정(V2)</x:v>
      </x:c>
      <x:c r="AI32" s="25" t="str"/>
      <x:c r="AJ32" s="25" t="str">
        <x:v>A도 첨부 가격단계 범위의 사업별 추정만 가능; 국가단가·계약가·준공가를 의미하지 않음</x:v>
      </x:c>
    </x:row>
    <x:row r="33">
      <x:c r="A33" s="22" t="str">
        <x:v>C</x:v>
      </x:c>
      <x:c r="B33" s="22" t="str">
        <x:v>U</x:v>
      </x:c>
      <x:c r="C33" s="22" t="str">
        <x:v>볼리비아</x:v>
      </x:c>
      <x:c r="D33" s="22" t="str"/>
      <x:c r="E33" s="25" t="str">
        <x:v>볼리비아 감자생산 선진화를 위한 스마트팜 적용 시범사업 현지 설계사</x:v>
      </x:c>
      <x:c r="F33" s="25" t="str"/>
      <x:c r="G33" s="22" t="str">
        <x:v>UNKNOWN</x:v>
      </x:c>
      <x:c r="H33" s="22" t="str">
        <x:v>NONE_UNKNOWN</x:v>
      </x:c>
      <x:c r="I33" s="22" t="str">
        <x:v>V0</x:v>
      </x:c>
      <x:c r="J33" s="28" t="n">
        <x:v>1</x:v>
      </x:c>
      <x:c r="K33" s="28" t="n">
        <x:v>0</x:v>
      </x:c>
      <x:c r="L33" s="28" t="n">
        <x:v>0</x:v>
      </x:c>
      <x:c r="M33" s="28" t="n">
        <x:v>0</x:v>
      </x:c>
      <x:c r="N33" s="28" t="n">
        <x:v>0</x:v>
      </x:c>
      <x:c r="O33" s="28" t="n">
        <x:v>0</x:v>
      </x:c>
      <x:c r="P33" s="28" t="n">
        <x:v>0</x:v>
      </x:c>
      <x:c r="Q33" s="28" t="n">
        <x:v>0</x:v>
      </x:c>
      <x:c r="R33" s="28" t="n">
        <x:v>0</x:v>
      </x:c>
      <x:c r="S33" s="28" t="n">
        <x:v>0</x:v>
      </x:c>
      <x:c r="T33" s="28" t="n">
        <x:v>0</x:v>
      </x:c>
      <x:c r="U33" s="22" t="str"/>
      <x:c r="V33" s="28" t="n">
        <x:v>0</x:v>
      </x:c>
      <x:c r="W33" s="28" t="n">
        <x:v>0</x:v>
      </x:c>
      <x:c r="X33" s="28" t="n">
        <x:v>1</x:v>
      </x:c>
      <x:c r="Y33" s="28" t="n">
        <x:v>0</x:v>
      </x:c>
      <x:c r="Z33" s="31"/>
      <x:c r="AA33" s="22" t="str"/>
      <x:c r="AB33" s="34"/>
      <x:c r="AC33" s="25" t="str"/>
      <x:c r="AD33" s="25" t="str"/>
      <x:c r="AE33" s="25" t="str"/>
      <x:c r="AF33" s="25" t="str">
        <x:v>품목 수량·단가 또는 범위 일치 GFA·공사금액 부족</x:v>
      </x:c>
      <x:c r="AG33" s="25" t="str">
        <x:v>첨부 추가수집·OCR·수동검토 또는 설계/계약 BOQ 확보</x:v>
      </x:c>
      <x:c r="AH33" s="25" t="str">
        <x:v>자동판정(V2)</x:v>
      </x:c>
      <x:c r="AI33" s="25" t="str"/>
      <x:c r="AJ33" s="25" t="str">
        <x:v>A도 첨부 가격단계 범위의 사업별 추정만 가능; 국가단가·계약가·준공가를 의미하지 않음</x:v>
      </x:c>
    </x:row>
    <x:row r="34">
      <x:c r="A34" s="22" t="str">
        <x:v>C</x:v>
      </x:c>
      <x:c r="B34" s="22" t="str">
        <x:v>U</x:v>
      </x:c>
      <x:c r="C34" s="22" t="str">
        <x:v>세네갈</x:v>
      </x:c>
      <x:c r="D34" s="22" t="str">
        <x:v>2020-00048</x:v>
      </x:c>
      <x:c r="E34" s="25" t="str">
        <x:v>세네갈 미곡가치사슬 강화 2차 사업('20·'26/1,100만불)</x:v>
      </x:c>
      <x:c r="F34" s="25" t="str">
        <x:v>세네갈 미곡가치사슬 역량강화 2차사업 미곡종합처리장(RPC)/농기계서비스센터 건축 시공사 선정 현지입찰</x:v>
      </x:c>
      <x:c r="G34" s="22" t="str">
        <x:v>UNKNOWN</x:v>
      </x:c>
      <x:c r="H34" s="22" t="str">
        <x:v>NONE_UNKNOWN</x:v>
      </x:c>
      <x:c r="I34" s="22" t="str">
        <x:v>V2</x:v>
      </x:c>
      <x:c r="J34" s="28" t="n">
        <x:v>1</x:v>
      </x:c>
      <x:c r="K34" s="28" t="n">
        <x:v>4</x:v>
      </x:c>
      <x:c r="L34" s="28" t="n">
        <x:v>19</x:v>
      </x:c>
      <x:c r="M34" s="28" t="n">
        <x:v>1</x:v>
      </x:c>
      <x:c r="N34" s="28" t="n">
        <x:v>19</x:v>
      </x:c>
      <x:c r="O34" s="28" t="n">
        <x:v>0</x:v>
      </x:c>
      <x:c r="P34" s="28" t="n">
        <x:v>0</x:v>
      </x:c>
      <x:c r="Q34" s="28" t="n">
        <x:v>0</x:v>
      </x:c>
      <x:c r="R34" s="28" t="n">
        <x:v>0</x:v>
      </x:c>
      <x:c r="S34" s="28" t="n">
        <x:v>0</x:v>
      </x:c>
      <x:c r="T34" s="28" t="n">
        <x:v>0</x:v>
      </x:c>
      <x:c r="U34" s="22" t="str"/>
      <x:c r="V34" s="28" t="n">
        <x:v>0</x:v>
      </x:c>
      <x:c r="W34" s="28" t="n">
        <x:v>0</x:v>
      </x:c>
      <x:c r="X34" s="28" t="n">
        <x:v>1</x:v>
      </x:c>
      <x:c r="Y34" s="28" t="n">
        <x:v>0</x:v>
      </x:c>
      <x:c r="Z34" s="31"/>
      <x:c r="AA34" s="22" t="str"/>
      <x:c r="AB34" s="34"/>
      <x:c r="AC34" s="25" t="str"/>
      <x:c r="AD34" s="25" t="str"/>
      <x:c r="AE34" s="25" t="str"/>
      <x:c r="AF34" s="25" t="str">
        <x:v>품목 수량·단가 또는 범위 일치 GFA·공사금액 부족</x:v>
      </x:c>
      <x:c r="AG34" s="25" t="str">
        <x:v>첨부 추가수집·OCR·수동검토 또는 설계/계약 BOQ 확보</x:v>
      </x:c>
      <x:c r="AH34" s="25" t="str">
        <x:v>자동판정(V2)</x:v>
      </x:c>
      <x:c r="AI34" s="25" t="str">
        <x:v>L2024-00062-1;L2024-00062-2;L2024-00062-3;L2025-00021-1</x:v>
      </x:c>
      <x:c r="AJ34" s="25" t="str">
        <x:v>A도 첨부 가격단계 범위의 사업별 추정만 가능; 국가단가·계약가·준공가를 의미하지 않음</x:v>
      </x:c>
    </x:row>
    <x:row r="35">
      <x:c r="A35" s="22" t="str">
        <x:v>C</x:v>
      </x:c>
      <x:c r="B35" s="22" t="str">
        <x:v>U</x:v>
      </x:c>
      <x:c r="C35" s="22" t="str">
        <x:v>세네갈</x:v>
      </x:c>
      <x:c r="D35" s="22" t="str">
        <x:v>2022-00003</x:v>
      </x:c>
      <x:c r="E35" s="25" t="str">
        <x:v>세네갈 국가공중보건 실험실 역량강화사업('22·'26/600만불) 실험실 리모델링 시공 용역</x:v>
      </x:c>
      <x:c r="F35" s="25" t="str">
        <x:v>세네갈 실험실 리모델링 사업 Control Office 계약</x:v>
      </x:c>
      <x:c r="G35" s="22" t="str">
        <x:v>UNKNOWN</x:v>
      </x:c>
      <x:c r="H35" s="22" t="str">
        <x:v>NONE_UNKNOWN</x:v>
      </x:c>
      <x:c r="I35" s="22" t="str">
        <x:v>V2</x:v>
      </x:c>
      <x:c r="J35" s="28" t="n">
        <x:v>2</x:v>
      </x:c>
      <x:c r="K35" s="28" t="n">
        <x:v>3</x:v>
      </x:c>
      <x:c r="L35" s="28" t="n">
        <x:v>5</x:v>
      </x:c>
      <x:c r="M35" s="28" t="n">
        <x:v>5</x:v>
      </x:c>
      <x:c r="N35" s="28" t="n">
        <x:v>5</x:v>
      </x:c>
      <x:c r="O35" s="28" t="n">
        <x:v>0</x:v>
      </x:c>
      <x:c r="P35" s="28" t="n">
        <x:v>0</x:v>
      </x:c>
      <x:c r="Q35" s="28" t="n">
        <x:v>0</x:v>
      </x:c>
      <x:c r="R35" s="28" t="n">
        <x:v>0</x:v>
      </x:c>
      <x:c r="S35" s="28" t="n">
        <x:v>0</x:v>
      </x:c>
      <x:c r="T35" s="28" t="n">
        <x:v>0</x:v>
      </x:c>
      <x:c r="U35" s="22" t="str"/>
      <x:c r="V35" s="28" t="n">
        <x:v>0</x:v>
      </x:c>
      <x:c r="W35" s="28" t="n">
        <x:v>0</x:v>
      </x:c>
      <x:c r="X35" s="28" t="n">
        <x:v>1</x:v>
      </x:c>
      <x:c r="Y35" s="28" t="n">
        <x:v>0</x:v>
      </x:c>
      <x:c r="Z35" s="31"/>
      <x:c r="AA35" s="22" t="str"/>
      <x:c r="AB35" s="34"/>
      <x:c r="AC35" s="25" t="str"/>
      <x:c r="AD35" s="25" t="str"/>
      <x:c r="AE35" s="25" t="str"/>
      <x:c r="AF35" s="25" t="str">
        <x:v>품목 수량·단가 또는 범위 일치 GFA·공사금액 부족</x:v>
      </x:c>
      <x:c r="AG35" s="25" t="str">
        <x:v>첨부 추가수집·OCR·수동검토 또는 설계/계약 BOQ 확보</x:v>
      </x:c>
      <x:c r="AH35" s="25" t="str">
        <x:v>자동판정(V2)</x:v>
      </x:c>
      <x:c r="AI35" s="25" t="str">
        <x:v>L2025-00080-1;L2025-00106-1;L2025-00107-1</x:v>
      </x:c>
      <x:c r="AJ35" s="25" t="str">
        <x:v>A도 첨부 가격단계 범위의 사업별 추정만 가능; 국가단가·계약가·준공가를 의미하지 않음</x:v>
      </x:c>
    </x:row>
    <x:row r="36">
      <x:c r="A36" s="22" t="str">
        <x:v>C</x:v>
      </x:c>
      <x:c r="B36" s="22" t="str">
        <x:v>U</x:v>
      </x:c>
      <x:c r="C36" s="22" t="str">
        <x:v>세네갈</x:v>
      </x:c>
      <x:c r="D36" s="22" t="str">
        <x:v>2023-00061</x:v>
      </x:c>
      <x:c r="E36" s="25" t="str">
        <x:v>세네갈 콜다 주 통합적 접근을 통한 미곡가치사슬 강화사업('23·'28/1,450만불)</x:v>
      </x:c>
      <x:c r="F36" s="25" t="str"/>
      <x:c r="G36" s="22" t="str">
        <x:v>UNKNOWN</x:v>
      </x:c>
      <x:c r="H36" s="22" t="str">
        <x:v>NONE_UNKNOWN</x:v>
      </x:c>
      <x:c r="I36" s="22" t="str">
        <x:v>V0</x:v>
      </x:c>
      <x:c r="J36" s="28" t="n">
        <x:v>1</x:v>
      </x:c>
      <x:c r="K36" s="28" t="n">
        <x:v>1</x:v>
      </x:c>
      <x:c r="L36" s="28" t="n">
        <x:v>0</x:v>
      </x:c>
      <x:c r="M36" s="28" t="n">
        <x:v>0</x:v>
      </x:c>
      <x:c r="N36" s="28" t="n">
        <x:v>0</x:v>
      </x:c>
      <x:c r="O36" s="28" t="n">
        <x:v>0</x:v>
      </x:c>
      <x:c r="P36" s="28" t="n">
        <x:v>0</x:v>
      </x:c>
      <x:c r="Q36" s="28" t="n">
        <x:v>0</x:v>
      </x:c>
      <x:c r="R36" s="28" t="n">
        <x:v>0</x:v>
      </x:c>
      <x:c r="S36" s="28" t="n">
        <x:v>0</x:v>
      </x:c>
      <x:c r="T36" s="28" t="n">
        <x:v>0</x:v>
      </x:c>
      <x:c r="U36" s="22" t="str"/>
      <x:c r="V36" s="28" t="n">
        <x:v>0</x:v>
      </x:c>
      <x:c r="W36" s="28" t="n">
        <x:v>0</x:v>
      </x:c>
      <x:c r="X36" s="28" t="n">
        <x:v>1</x:v>
      </x:c>
      <x:c r="Y36" s="28" t="n">
        <x:v>0</x:v>
      </x:c>
      <x:c r="Z36" s="31"/>
      <x:c r="AA36" s="22" t="str"/>
      <x:c r="AB36" s="34"/>
      <x:c r="AC36" s="25" t="str"/>
      <x:c r="AD36" s="25" t="str"/>
      <x:c r="AE36" s="25" t="str"/>
      <x:c r="AF36" s="25" t="str">
        <x:v>품목 수량·단가 또는 범위 일치 GFA·공사금액 부족</x:v>
      </x:c>
      <x:c r="AG36" s="25" t="str">
        <x:v>첨부 추가수집·OCR·수동검토 또는 설계/계약 BOQ 확보</x:v>
      </x:c>
      <x:c r="AH36" s="25" t="str">
        <x:v>자동판정(V2)</x:v>
      </x:c>
      <x:c r="AI36" s="25" t="str">
        <x:v>L2025-00077-1</x:v>
      </x:c>
      <x:c r="AJ36" s="25" t="str">
        <x:v>A도 첨부 가격단계 범위의 사업별 추정만 가능; 국가단가·계약가·준공가를 의미하지 않음</x:v>
      </x:c>
    </x:row>
    <x:row r="37">
      <x:c r="A37" s="22" t="str">
        <x:v>C</x:v>
      </x:c>
      <x:c r="B37" s="22" t="str">
        <x:v>U</x:v>
      </x:c>
      <x:c r="C37" s="22" t="str">
        <x:v>세네갈</x:v>
      </x:c>
      <x:c r="D37" s="22" t="str"/>
      <x:c r="E37" s="25" t="str">
        <x:v>세네갈 남부지역 농업기술 역량강화사업('25·'29/1,000만불)</x:v>
      </x:c>
      <x:c r="F37" s="25" t="str"/>
      <x:c r="G37" s="22" t="str">
        <x:v>UNKNOWN</x:v>
      </x:c>
      <x:c r="H37" s="22" t="str">
        <x:v>NONE_UNKNOWN</x:v>
      </x:c>
      <x:c r="I37" s="22" t="str">
        <x:v>V0</x:v>
      </x:c>
      <x:c r="J37" s="28" t="n">
        <x:v>1</x:v>
      </x:c>
      <x:c r="K37" s="28" t="n">
        <x:v>0</x:v>
      </x:c>
      <x:c r="L37" s="28" t="n">
        <x:v>0</x:v>
      </x:c>
      <x:c r="M37" s="28" t="n">
        <x:v>0</x:v>
      </x:c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</x:v>
      </x:c>
      <x:c r="S37" s="28" t="n">
        <x:v>0</x:v>
      </x:c>
      <x:c r="T37" s="28" t="n">
        <x:v>0</x:v>
      </x:c>
      <x:c r="U37" s="22" t="str"/>
      <x:c r="V37" s="28" t="n">
        <x:v>0</x:v>
      </x:c>
      <x:c r="W37" s="28" t="n">
        <x:v>0</x:v>
      </x:c>
      <x:c r="X37" s="28" t="n">
        <x:v>1</x:v>
      </x:c>
      <x:c r="Y37" s="28" t="n">
        <x:v>0</x:v>
      </x:c>
      <x:c r="Z37" s="31"/>
      <x:c r="AA37" s="22" t="str"/>
      <x:c r="AB37" s="34"/>
      <x:c r="AC37" s="25" t="str"/>
      <x:c r="AD37" s="25" t="str"/>
      <x:c r="AE37" s="25" t="str"/>
      <x:c r="AF37" s="25" t="str">
        <x:v>품목 수량·단가 또는 범위 일치 GFA·공사금액 부족</x:v>
      </x:c>
      <x:c r="AG37" s="25" t="str">
        <x:v>첨부 추가수집·OCR·수동검토 또는 설계/계약 BOQ 확보</x:v>
      </x:c>
      <x:c r="AH37" s="25" t="str">
        <x:v>자동판정(V2)</x:v>
      </x:c>
      <x:c r="AI37" s="25" t="str"/>
      <x:c r="AJ37" s="25" t="str">
        <x:v>A도 첨부 가격단계 범위의 사업별 추정만 가능; 국가단가·계약가·준공가를 의미하지 않음</x:v>
      </x:c>
    </x:row>
    <x:row r="38">
      <x:c r="A38" s="22" t="str">
        <x:v>C</x:v>
      </x:c>
      <x:c r="B38" s="22" t="str">
        <x:v>U</x:v>
      </x:c>
      <x:c r="C38" s="22" t="str">
        <x:v>세네갈</x:v>
      </x:c>
      <x:c r="D38" s="22" t="str"/>
      <x:c r="E38" s="25" t="str">
        <x:v>세네갈 중부지역 모자보건체계 강화사업 2단계(24·28/1250만불) 보건소 설계 용역</x:v>
      </x:c>
      <x:c r="F38" s="25" t="str"/>
      <x:c r="G38" s="22" t="str">
        <x:v>UNKNOWN</x:v>
      </x:c>
      <x:c r="H38" s="22" t="str">
        <x:v>NONE_UNKNOWN</x:v>
      </x:c>
      <x:c r="I38" s="22" t="str">
        <x:v>V0</x:v>
      </x:c>
      <x:c r="J38" s="28" t="n">
        <x:v>1</x:v>
      </x:c>
      <x:c r="K38" s="28" t="n">
        <x:v>0</x:v>
      </x:c>
      <x:c r="L38" s="28" t="n">
        <x:v>0</x:v>
      </x:c>
      <x:c r="M38" s="28" t="n">
        <x:v>0</x:v>
      </x:c>
      <x:c r="N38" s="28" t="n">
        <x:v>0</x:v>
      </x:c>
      <x:c r="O38" s="28" t="n">
        <x:v>0</x:v>
      </x:c>
      <x:c r="P38" s="28" t="n">
        <x:v>0</x:v>
      </x:c>
      <x:c r="Q38" s="28" t="n">
        <x:v>0</x:v>
      </x:c>
      <x:c r="R38" s="28" t="n">
        <x:v>0</x:v>
      </x:c>
      <x:c r="S38" s="28" t="n">
        <x:v>0</x:v>
      </x:c>
      <x:c r="T38" s="28" t="n">
        <x:v>0</x:v>
      </x:c>
      <x:c r="U38" s="22" t="str"/>
      <x:c r="V38" s="28" t="n">
        <x:v>0</x:v>
      </x:c>
      <x:c r="W38" s="28" t="n">
        <x:v>0</x:v>
      </x:c>
      <x:c r="X38" s="28" t="n">
        <x:v>1</x:v>
      </x:c>
      <x:c r="Y38" s="28" t="n">
        <x:v>0</x:v>
      </x:c>
      <x:c r="Z38" s="31"/>
      <x:c r="AA38" s="22" t="str"/>
      <x:c r="AB38" s="34"/>
      <x:c r="AC38" s="25" t="str"/>
      <x:c r="AD38" s="25" t="str"/>
      <x:c r="AE38" s="25" t="str"/>
      <x:c r="AF38" s="25" t="str">
        <x:v>품목 수량·단가 또는 범위 일치 GFA·공사금액 부족</x:v>
      </x:c>
      <x:c r="AG38" s="25" t="str">
        <x:v>첨부 추가수집·OCR·수동검토 또는 설계/계약 BOQ 확보</x:v>
      </x:c>
      <x:c r="AH38" s="25" t="str">
        <x:v>자동판정(V2)</x:v>
      </x:c>
      <x:c r="AI38" s="25" t="str"/>
      <x:c r="AJ38" s="25" t="str">
        <x:v>A도 첨부 가격단계 범위의 사업별 추정만 가능; 국가단가·계약가·준공가를 의미하지 않음</x:v>
      </x:c>
    </x:row>
    <x:row r="39">
      <x:c r="A39" s="22" t="str">
        <x:v>C</x:v>
      </x:c>
      <x:c r="B39" s="22" t="str">
        <x:v>U</x:v>
      </x:c>
      <x:c r="C39" s="22" t="str">
        <x:v>솔로몬군도</x:v>
      </x:c>
      <x:c r="D39" s="22" t="str">
        <x:v>2016-00062</x:v>
      </x:c>
      <x:c r="E39" s="25" t="str">
        <x:v>솔로몬군도 국립대학교 수산인력양성 지원사업(‘14·’18/500만불)</x:v>
      </x:c>
      <x:c r="F39" s="25" t="str"/>
      <x:c r="G39" s="22" t="str">
        <x:v>UNKNOWN</x:v>
      </x:c>
      <x:c r="H39" s="22" t="str">
        <x:v>NONE_UNKNOWN</x:v>
      </x:c>
      <x:c r="I39" s="22" t="str">
        <x:v>V0</x:v>
      </x:c>
      <x:c r="J39" s="28" t="n">
        <x:v>1</x:v>
      </x:c>
      <x:c r="K39" s="28" t="n">
        <x:v>0</x:v>
      </x:c>
      <x:c r="L39" s="28" t="n">
        <x:v>0</x:v>
      </x:c>
      <x:c r="M39" s="28" t="n">
        <x:v>0</x:v>
      </x:c>
      <x:c r="N39" s="28" t="n">
        <x:v>0</x:v>
      </x:c>
      <x:c r="O39" s="28" t="n">
        <x:v>0</x:v>
      </x:c>
      <x:c r="P39" s="28" t="n">
        <x:v>0</x:v>
      </x:c>
      <x:c r="Q39" s="28" t="n">
        <x:v>0</x:v>
      </x:c>
      <x:c r="R39" s="28" t="n">
        <x:v>0</x:v>
      </x:c>
      <x:c r="S39" s="28" t="n">
        <x:v>0</x:v>
      </x:c>
      <x:c r="T39" s="28" t="n">
        <x:v>0</x:v>
      </x:c>
      <x:c r="U39" s="22" t="str"/>
      <x:c r="V39" s="28" t="n">
        <x:v>0</x:v>
      </x:c>
      <x:c r="W39" s="28" t="n">
        <x:v>0</x:v>
      </x:c>
      <x:c r="X39" s="28" t="n">
        <x:v>1</x:v>
      </x:c>
      <x:c r="Y39" s="28" t="n">
        <x:v>0</x:v>
      </x:c>
      <x:c r="Z39" s="31"/>
      <x:c r="AA39" s="22" t="str"/>
      <x:c r="AB39" s="34"/>
      <x:c r="AC39" s="25" t="str"/>
      <x:c r="AD39" s="25" t="str"/>
      <x:c r="AE39" s="25" t="str"/>
      <x:c r="AF39" s="25" t="str">
        <x:v>품목 수량·단가 또는 범위 일치 GFA·공사금액 부족</x:v>
      </x:c>
      <x:c r="AG39" s="25" t="str">
        <x:v>첨부 추가수집·OCR·수동검토 또는 설계/계약 BOQ 확보</x:v>
      </x:c>
      <x:c r="AH39" s="25" t="str">
        <x:v>자동판정(V2)</x:v>
      </x:c>
      <x:c r="AI39" s="25" t="str"/>
      <x:c r="AJ39" s="25" t="str">
        <x:v>A도 첨부 가격단계 범위의 사업별 추정만 가능; 국가단가·계약가·준공가를 의미하지 않음</x:v>
      </x:c>
    </x:row>
    <x:row r="40">
      <x:c r="A40" s="22" t="str">
        <x:v>C</x:v>
      </x:c>
      <x:c r="B40" s="22" t="str">
        <x:v>U</x:v>
      </x:c>
      <x:c r="C40" s="22" t="str">
        <x:v>알제리</x:v>
      </x:c>
      <x:c r="D40" s="22" t="str">
        <x:v>2025-00099</x:v>
      </x:c>
      <x:c r="E40" s="25" t="str">
        <x:v>알제리 경찰청 과학수사역량강화사업 과학실험실 실시설계 감리 용역</x:v>
      </x:c>
      <x:c r="F40" s="25" t="str"/>
      <x:c r="G40" s="22" t="str">
        <x:v>UNKNOWN</x:v>
      </x:c>
      <x:c r="H40" s="22" t="str">
        <x:v>NONE_UNKNOWN</x:v>
      </x:c>
      <x:c r="I40" s="22" t="str">
        <x:v>V0</x:v>
      </x:c>
      <x:c r="J40" s="28" t="n">
        <x:v>1</x:v>
      </x:c>
      <x:c r="K40" s="28" t="n">
        <x:v>1</x:v>
      </x:c>
      <x:c r="L40" s="28" t="n">
        <x:v>1</x:v>
      </x:c>
      <x:c r="M40" s="28" t="n">
        <x:v>0</x:v>
      </x:c>
      <x:c r="N40" s="28" t="n">
        <x:v>1</x:v>
      </x:c>
      <x:c r="O40" s="28" t="n">
        <x:v>0</x:v>
      </x:c>
      <x:c r="P40" s="28" t="n">
        <x:v>0</x:v>
      </x:c>
      <x:c r="Q40" s="28" t="n">
        <x:v>0</x:v>
      </x:c>
      <x:c r="R40" s="28" t="n">
        <x:v>0</x:v>
      </x:c>
      <x:c r="S40" s="28" t="n">
        <x:v>0</x:v>
      </x:c>
      <x:c r="T40" s="28" t="n">
        <x:v>0</x:v>
      </x:c>
      <x:c r="U40" s="22" t="str">
        <x:v>900</x:v>
      </x:c>
      <x:c r="V40" s="28" t="n">
        <x:v>0</x:v>
      </x:c>
      <x:c r="W40" s="28" t="n">
        <x:v>0</x:v>
      </x:c>
      <x:c r="X40" s="28" t="n">
        <x:v>1</x:v>
      </x:c>
      <x:c r="Y40" s="28" t="n">
        <x:v>0</x:v>
      </x:c>
      <x:c r="Z40" s="31"/>
      <x:c r="AA40" s="22" t="str"/>
      <x:c r="AB40" s="34"/>
      <x:c r="AC40" s="25" t="str"/>
      <x:c r="AD40" s="25" t="str"/>
      <x:c r="AE40" s="25" t="str"/>
      <x:c r="AF40" s="25" t="str">
        <x:v>품목 수량·단가 또는 범위 일치 GFA·공사금액 부족</x:v>
      </x:c>
      <x:c r="AG40" s="25" t="str">
        <x:v>첨부 추가수집·OCR·수동검토 또는 설계/계약 BOQ 확보</x:v>
      </x:c>
      <x:c r="AH40" s="25" t="str">
        <x:v>자동판정(V2)</x:v>
      </x:c>
      <x:c r="AI40" s="25" t="str">
        <x:v>L2025-00108-1</x:v>
      </x:c>
      <x:c r="AJ40" s="25" t="str">
        <x:v>A도 첨부 가격단계 범위의 사업별 추정만 가능; 국가단가·계약가·준공가를 의미하지 않음</x:v>
      </x:c>
    </x:row>
    <x:row r="41">
      <x:c r="A41" s="22" t="str">
        <x:v>C</x:v>
      </x:c>
      <x:c r="B41" s="22" t="str">
        <x:v>U</x:v>
      </x:c>
      <x:c r="C41" s="22" t="str">
        <x:v>에콰도르</x:v>
      </x:c>
      <x:c r="D41" s="22" t="str">
        <x:v>2014-00008</x:v>
      </x:c>
      <x:c r="E41" s="25" t="str">
        <x:v>에콰도르 과야스주 보건의료센터 건립 및 의료인력 역량강화사업('14-'2...</x:v>
      </x:c>
      <x:c r="F41" s="25" t="str"/>
      <x:c r="G41" s="22" t="str">
        <x:v>UNKNOWN</x:v>
      </x:c>
      <x:c r="H41" s="22" t="str">
        <x:v>NONE_UNKNOWN</x:v>
      </x:c>
      <x:c r="I41" s="22" t="str">
        <x:v>V0</x:v>
      </x:c>
      <x:c r="J41" s="28" t="n">
        <x:v>1</x:v>
      </x:c>
      <x:c r="K41" s="28" t="n">
        <x:v>0</x:v>
      </x:c>
      <x:c r="L41" s="28" t="n">
        <x:v>0</x:v>
      </x:c>
      <x:c r="M41" s="28" t="n">
        <x:v>0</x:v>
      </x:c>
      <x:c r="N41" s="28" t="n">
        <x:v>0</x:v>
      </x:c>
      <x:c r="O41" s="28" t="n">
        <x:v>0</x:v>
      </x:c>
      <x:c r="P41" s="28" t="n">
        <x:v>0</x:v>
      </x:c>
      <x:c r="Q41" s="28" t="n">
        <x:v>0</x:v>
      </x:c>
      <x:c r="R41" s="28" t="n">
        <x:v>0</x:v>
      </x:c>
      <x:c r="S41" s="28" t="n">
        <x:v>0</x:v>
      </x:c>
      <x:c r="T41" s="28" t="n">
        <x:v>0</x:v>
      </x:c>
      <x:c r="U41" s="22" t="str"/>
      <x:c r="V41" s="28" t="n">
        <x:v>0</x:v>
      </x:c>
      <x:c r="W41" s="28" t="n">
        <x:v>0</x:v>
      </x:c>
      <x:c r="X41" s="28" t="n">
        <x:v>1</x:v>
      </x:c>
      <x:c r="Y41" s="28" t="n">
        <x:v>0</x:v>
      </x:c>
      <x:c r="Z41" s="31"/>
      <x:c r="AA41" s="22" t="str"/>
      <x:c r="AB41" s="34"/>
      <x:c r="AC41" s="25" t="str"/>
      <x:c r="AD41" s="25" t="str"/>
      <x:c r="AE41" s="25" t="str"/>
      <x:c r="AF41" s="25" t="str">
        <x:v>품목 수량·단가 또는 범위 일치 GFA·공사금액 부족</x:v>
      </x:c>
      <x:c r="AG41" s="25" t="str">
        <x:v>첨부 추가수집·OCR·수동검토 또는 설계/계약 BOQ 확보</x:v>
      </x:c>
      <x:c r="AH41" s="25" t="str">
        <x:v>자동판정(V2)</x:v>
      </x:c>
      <x:c r="AI41" s="25" t="str"/>
      <x:c r="AJ41" s="25" t="str">
        <x:v>A도 첨부 가격단계 범위의 사업별 추정만 가능; 국가단가·계약가·준공가를 의미하지 않음</x:v>
      </x:c>
    </x:row>
    <x:row r="42">
      <x:c r="A42" s="22" t="str">
        <x:v>C</x:v>
      </x:c>
      <x:c r="B42" s="22" t="str">
        <x:v>U</x:v>
      </x:c>
      <x:c r="C42" s="22" t="str">
        <x:v>에콰도르</x:v>
      </x:c>
      <x:c r="D42" s="22" t="str">
        <x:v>2020-00073</x:v>
      </x:c>
      <x:c r="E42" s="25" t="str">
        <x:v>에콰도르 키토시 혁신센터 건립을 통한 창업 및 기업혁신 지원체계 강화 사...</x:v>
      </x:c>
      <x:c r="F42" s="25" t="str"/>
      <x:c r="G42" s="22" t="str">
        <x:v>UNKNOWN</x:v>
      </x:c>
      <x:c r="H42" s="22" t="str">
        <x:v>NONE_UNKNOWN</x:v>
      </x:c>
      <x:c r="I42" s="22" t="str">
        <x:v>V0</x:v>
      </x:c>
      <x:c r="J42" s="28" t="n">
        <x:v>1</x:v>
      </x:c>
      <x:c r="K42" s="28" t="n">
        <x:v>1</x:v>
      </x:c>
      <x:c r="L42" s="28" t="n">
        <x:v>8</x:v>
      </x:c>
      <x:c r="M42" s="28" t="n">
        <x:v>0</x:v>
      </x:c>
      <x:c r="N42" s="28" t="n">
        <x:v>8</x:v>
      </x:c>
      <x:c r="O42" s="28" t="n">
        <x:v>0</x:v>
      </x:c>
      <x:c r="P42" s="28" t="n">
        <x:v>0</x:v>
      </x:c>
      <x:c r="Q42" s="28" t="n">
        <x:v>0</x:v>
      </x:c>
      <x:c r="R42" s="28" t="n">
        <x:v>0</x:v>
      </x:c>
      <x:c r="S42" s="28" t="n">
        <x:v>0</x:v>
      </x:c>
      <x:c r="T42" s="28" t="n">
        <x:v>0</x:v>
      </x:c>
      <x:c r="U42" s="22" t="str"/>
      <x:c r="V42" s="28" t="n">
        <x:v>0</x:v>
      </x:c>
      <x:c r="W42" s="28" t="n">
        <x:v>0</x:v>
      </x:c>
      <x:c r="X42" s="28" t="n">
        <x:v>1</x:v>
      </x:c>
      <x:c r="Y42" s="28" t="n">
        <x:v>0</x:v>
      </x:c>
      <x:c r="Z42" s="31"/>
      <x:c r="AA42" s="22" t="str"/>
      <x:c r="AB42" s="34"/>
      <x:c r="AC42" s="25" t="str"/>
      <x:c r="AD42" s="25" t="str"/>
      <x:c r="AE42" s="25" t="str"/>
      <x:c r="AF42" s="25" t="str">
        <x:v>품목 수량·단가 또는 범위 일치 GFA·공사금액 부족</x:v>
      </x:c>
      <x:c r="AG42" s="25" t="str">
        <x:v>첨부 추가수집·OCR·수동검토 또는 설계/계약 BOQ 확보</x:v>
      </x:c>
      <x:c r="AH42" s="25" t="str">
        <x:v>자동판정(V2)</x:v>
      </x:c>
      <x:c r="AI42" s="25" t="str">
        <x:v>L2022-00027-1</x:v>
      </x:c>
      <x:c r="AJ42" s="25" t="str">
        <x:v>A도 첨부 가격단계 범위의 사업별 추정만 가능; 국가단가·계약가·준공가를 의미하지 않음</x:v>
      </x:c>
    </x:row>
    <x:row r="43">
      <x:c r="A43" s="22" t="str">
        <x:v>C</x:v>
      </x:c>
      <x:c r="B43" s="22" t="str">
        <x:v>U</x:v>
      </x:c>
      <x:c r="C43" s="22" t="str">
        <x:v>에콰도르</x:v>
      </x:c>
      <x:c r="D43" s="22" t="str">
        <x:v>2022-00039</x:v>
      </x:c>
      <x:c r="E43" s="25" t="str">
        <x:v>에콰도르 생물다양성 보전과 지속가능한 이용을 위한 국가 유전자원 데이터 은행 설립사업('22·'28/900만불) 리모델링 시공 용역</x:v>
      </x:c>
      <x:c r="F43" s="25" t="str"/>
      <x:c r="G43" s="22" t="str">
        <x:v>UNKNOWN</x:v>
      </x:c>
      <x:c r="H43" s="22" t="str">
        <x:v>NONE_UNKNOWN</x:v>
      </x:c>
      <x:c r="I43" s="22" t="str">
        <x:v>V0</x:v>
      </x:c>
      <x:c r="J43" s="28" t="n">
        <x:v>2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</x:v>
      </x:c>
      <x:c r="U43" s="22" t="str"/>
      <x:c r="V43" s="28" t="n">
        <x:v>0</x:v>
      </x:c>
      <x:c r="W43" s="28" t="n">
        <x:v>0</x:v>
      </x:c>
      <x:c r="X43" s="28" t="n">
        <x:v>1</x:v>
      </x:c>
      <x:c r="Y43" s="28" t="n">
        <x:v>0</x:v>
      </x:c>
      <x:c r="Z43" s="31"/>
      <x:c r="AA43" s="22" t="str"/>
      <x:c r="AB43" s="34"/>
      <x:c r="AC43" s="25" t="str"/>
      <x:c r="AD43" s="25" t="str"/>
      <x:c r="AE43" s="25" t="str"/>
      <x:c r="AF43" s="25" t="str">
        <x:v>품목 수량·단가 또는 범위 일치 GFA·공사금액 부족</x:v>
      </x:c>
      <x:c r="AG43" s="25" t="str">
        <x:v>첨부 추가수집·OCR·수동검토 또는 설계/계약 BOQ 확보</x:v>
      </x:c>
      <x:c r="AH43" s="25" t="str">
        <x:v>자동판정(V2)</x:v>
      </x:c>
      <x:c r="AI43" s="25" t="str"/>
      <x:c r="AJ43" s="25" t="str">
        <x:v>A도 첨부 가격단계 범위의 사업별 추정만 가능; 국가단가·계약가·준공가를 의미하지 않음</x:v>
      </x:c>
    </x:row>
    <x:row r="44">
      <x:c r="A44" s="22" t="str">
        <x:v>C</x:v>
      </x:c>
      <x:c r="B44" s="22" t="str">
        <x:v>U</x:v>
      </x:c>
      <x:c r="C44" s="22" t="str">
        <x:v>에콰도르</x:v>
      </x:c>
      <x:c r="D44" s="22" t="str">
        <x:v>2022-00040</x:v>
      </x:c>
      <x:c r="E44" s="25" t="str">
        <x:v>에콰도르 쿠엔카시 순환경제를 위한 폐기물 통합 관리 및 자원순환 역량강화사업 피차카이 자원집적단지 3개시설 설계</x:v>
      </x:c>
      <x:c r="F44" s="25" t="str"/>
      <x:c r="G44" s="22" t="str">
        <x:v>UNKNOWN</x:v>
      </x:c>
      <x:c r="H44" s="22" t="str">
        <x:v>NONE_UNKNOWN</x:v>
      </x:c>
      <x:c r="I44" s="22" t="str">
        <x:v>V0</x:v>
      </x:c>
      <x:c r="J44" s="28" t="n">
        <x:v>1</x:v>
      </x:c>
      <x:c r="K44" s="28" t="n">
        <x:v>1</x:v>
      </x:c>
      <x:c r="L44" s="28" t="n">
        <x:v>0</x:v>
      </x:c>
      <x:c r="M44" s="28" t="n">
        <x:v>0</x:v>
      </x:c>
      <x:c r="N44" s="28" t="n">
        <x:v>0</x:v>
      </x:c>
      <x:c r="O44" s="28" t="n">
        <x:v>0</x:v>
      </x:c>
      <x:c r="P44" s="28" t="n">
        <x:v>0</x:v>
      </x:c>
      <x:c r="Q44" s="28" t="n">
        <x:v>0</x:v>
      </x:c>
      <x:c r="R44" s="28" t="n">
        <x:v>0</x:v>
      </x:c>
      <x:c r="S44" s="28" t="n">
        <x:v>0</x:v>
      </x:c>
      <x:c r="T44" s="28" t="n">
        <x:v>0</x:v>
      </x:c>
      <x:c r="U44" s="22" t="str"/>
      <x:c r="V44" s="28" t="n">
        <x:v>0</x:v>
      </x:c>
      <x:c r="W44" s="28" t="n">
        <x:v>0</x:v>
      </x:c>
      <x:c r="X44" s="28" t="n">
        <x:v>1</x:v>
      </x:c>
      <x:c r="Y44" s="28" t="n">
        <x:v>0</x:v>
      </x:c>
      <x:c r="Z44" s="31"/>
      <x:c r="AA44" s="22" t="str"/>
      <x:c r="AB44" s="34"/>
      <x:c r="AC44" s="25" t="str"/>
      <x:c r="AD44" s="25" t="str"/>
      <x:c r="AE44" s="25" t="str"/>
      <x:c r="AF44" s="25" t="str">
        <x:v>품목 수량·단가 또는 범위 일치 GFA·공사금액 부족</x:v>
      </x:c>
      <x:c r="AG44" s="25" t="str">
        <x:v>첨부 추가수집·OCR·수동검토 또는 설계/계약 BOQ 확보</x:v>
      </x:c>
      <x:c r="AH44" s="25" t="str">
        <x:v>자동판정(V2)</x:v>
      </x:c>
      <x:c r="AI44" s="25" t="str">
        <x:v>L2025-00064-1</x:v>
      </x:c>
      <x:c r="AJ44" s="25" t="str">
        <x:v>A도 첨부 가격단계 범위의 사업별 추정만 가능; 국가단가·계약가·준공가를 의미하지 않음</x:v>
      </x:c>
    </x:row>
    <x:row r="45">
      <x:c r="A45" s="22" t="str">
        <x:v>C</x:v>
      </x:c>
      <x:c r="B45" s="22" t="str">
        <x:v>U</x:v>
      </x:c>
      <x:c r="C45" s="22" t="str">
        <x:v>에티오피아</x:v>
      </x:c>
      <x:c r="D45" s="22" t="str">
        <x:v>2011-00023</x:v>
      </x:c>
      <x:c r="E45" s="25" t="str">
        <x:v>에티오피아 아드와시 중학교 건립사업('11-'17/420만불)...</x:v>
      </x:c>
      <x:c r="F45" s="25" t="str"/>
      <x:c r="G45" s="22" t="str">
        <x:v>UNKNOWN</x:v>
      </x:c>
      <x:c r="H45" s="22" t="str">
        <x:v>NONE_UNKNOWN</x:v>
      </x:c>
      <x:c r="I45" s="22" t="str">
        <x:v>V0</x:v>
      </x:c>
      <x:c r="J45" s="28" t="n">
        <x:v>1</x:v>
      </x:c>
      <x:c r="K45" s="28" t="n">
        <x:v>0</x:v>
      </x:c>
      <x:c r="L45" s="28" t="n">
        <x:v>0</x:v>
      </x:c>
      <x:c r="M45" s="28" t="n">
        <x:v>0</x:v>
      </x:c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</x:v>
      </x:c>
      <x:c r="U45" s="22" t="str"/>
      <x:c r="V45" s="28" t="n">
        <x:v>0</x:v>
      </x:c>
      <x:c r="W45" s="28" t="n">
        <x:v>0</x:v>
      </x:c>
      <x:c r="X45" s="28" t="n">
        <x:v>1</x:v>
      </x:c>
      <x:c r="Y45" s="28" t="n">
        <x:v>0</x:v>
      </x:c>
      <x:c r="Z45" s="31"/>
      <x:c r="AA45" s="22" t="str"/>
      <x:c r="AB45" s="34"/>
      <x:c r="AC45" s="25" t="str"/>
      <x:c r="AD45" s="25" t="str"/>
      <x:c r="AE45" s="25" t="str"/>
      <x:c r="AF45" s="25" t="str">
        <x:v>품목 수량·단가 또는 범위 일치 GFA·공사금액 부족</x:v>
      </x:c>
      <x:c r="AG45" s="25" t="str">
        <x:v>첨부 추가수집·OCR·수동검토 또는 설계/계약 BOQ 확보</x:v>
      </x:c>
      <x:c r="AH45" s="25" t="str">
        <x:v>자동판정(V2)</x:v>
      </x:c>
      <x:c r="AI45" s="25" t="str"/>
      <x:c r="AJ45" s="25" t="str">
        <x:v>A도 첨부 가격단계 범위의 사업별 추정만 가능; 국가단가·계약가·준공가를 의미하지 않음</x:v>
      </x:c>
    </x:row>
    <x:row r="46">
      <x:c r="A46" s="22" t="str">
        <x:v>C</x:v>
      </x:c>
      <x:c r="B46" s="22" t="str">
        <x:v>U</x:v>
      </x:c>
      <x:c r="C46" s="22" t="str">
        <x:v>에티오피아</x:v>
      </x:c>
      <x:c r="D46" s="22" t="str">
        <x:v>2013-00027</x:v>
      </x:c>
      <x:c r="E46" s="25" t="str">
        <x:v>에티오피아 티그라이주 직업훈련학교 건립사업('13-'19/687만불)...</x:v>
      </x:c>
      <x:c r="F46" s="25" t="str"/>
      <x:c r="G46" s="22" t="str">
        <x:v>UNKNOWN</x:v>
      </x:c>
      <x:c r="H46" s="22" t="str">
        <x:v>NONE_UNKNOWN</x:v>
      </x:c>
      <x:c r="I46" s="22" t="str">
        <x:v>V0</x:v>
      </x:c>
      <x:c r="J46" s="28" t="n">
        <x:v>1</x:v>
      </x:c>
      <x:c r="K46" s="28" t="n">
        <x:v>0</x:v>
      </x:c>
      <x:c r="L46" s="28" t="n">
        <x:v>0</x:v>
      </x:c>
      <x:c r="M46" s="28" t="n">
        <x:v>0</x:v>
      </x:c>
      <x:c r="N46" s="28" t="n">
        <x:v>0</x:v>
      </x:c>
      <x:c r="O46" s="28" t="n">
        <x:v>0</x:v>
      </x:c>
      <x:c r="P46" s="28" t="n">
        <x:v>0</x:v>
      </x:c>
      <x:c r="Q46" s="28" t="n">
        <x:v>0</x:v>
      </x:c>
      <x:c r="R46" s="28" t="n">
        <x:v>0</x:v>
      </x:c>
      <x:c r="S46" s="28" t="n">
        <x:v>0</x:v>
      </x:c>
      <x:c r="T46" s="28" t="n">
        <x:v>0</x:v>
      </x:c>
      <x:c r="U46" s="22" t="str"/>
      <x:c r="V46" s="28" t="n">
        <x:v>0</x:v>
      </x:c>
      <x:c r="W46" s="28" t="n">
        <x:v>0</x:v>
      </x:c>
      <x:c r="X46" s="28" t="n">
        <x:v>1</x:v>
      </x:c>
      <x:c r="Y46" s="28" t="n">
        <x:v>0</x:v>
      </x:c>
      <x:c r="Z46" s="31"/>
      <x:c r="AA46" s="22" t="str"/>
      <x:c r="AB46" s="34"/>
      <x:c r="AC46" s="25" t="str"/>
      <x:c r="AD46" s="25" t="str"/>
      <x:c r="AE46" s="25" t="str"/>
      <x:c r="AF46" s="25" t="str">
        <x:v>품목 수량·단가 또는 범위 일치 GFA·공사금액 부족</x:v>
      </x:c>
      <x:c r="AG46" s="25" t="str">
        <x:v>첨부 추가수집·OCR·수동검토 또는 설계/계약 BOQ 확보</x:v>
      </x:c>
      <x:c r="AH46" s="25" t="str">
        <x:v>자동판정(V2)</x:v>
      </x:c>
      <x:c r="AI46" s="25" t="str"/>
      <x:c r="AJ46" s="25" t="str">
        <x:v>A도 첨부 가격단계 범위의 사업별 추정만 가능; 국가단가·계약가·준공가를 의미하지 않음</x:v>
      </x:c>
    </x:row>
    <x:row r="47">
      <x:c r="A47" s="22" t="str">
        <x:v>C</x:v>
      </x:c>
      <x:c r="B47" s="22" t="str">
        <x:v>U</x:v>
      </x:c>
      <x:c r="C47" s="22" t="str">
        <x:v>에티오피아</x:v>
      </x:c>
      <x:c r="D47" s="22" t="str"/>
      <x:c r="E47" s="25" t="str">
        <x:v>에티오피아 낙농가치사슬 및 이해관계자 역량강화를 통한 유제품 품질 개선사업('23·'28/1,000만불)</x:v>
      </x:c>
      <x:c r="F47" s="25" t="str"/>
      <x:c r="G47" s="22" t="str">
        <x:v>UNKNOWN</x:v>
      </x:c>
      <x:c r="H47" s="22" t="str">
        <x:v>NONE_UNKNOWN</x:v>
      </x:c>
      <x:c r="I47" s="22" t="str">
        <x:v>V0</x:v>
      </x:c>
      <x:c r="J47" s="28" t="n">
        <x:v>1</x:v>
      </x:c>
      <x:c r="K47" s="28" t="n">
        <x:v>0</x:v>
      </x:c>
      <x:c r="L47" s="28" t="n">
        <x:v>0</x:v>
      </x:c>
      <x:c r="M47" s="28" t="n">
        <x:v>0</x:v>
      </x:c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</x:v>
      </x:c>
      <x:c r="U47" s="22" t="str"/>
      <x:c r="V47" s="28" t="n">
        <x:v>0</x:v>
      </x:c>
      <x:c r="W47" s="28" t="n">
        <x:v>0</x:v>
      </x:c>
      <x:c r="X47" s="28" t="n">
        <x:v>1</x:v>
      </x:c>
      <x:c r="Y47" s="28" t="n">
        <x:v>0</x:v>
      </x:c>
      <x:c r="Z47" s="31"/>
      <x:c r="AA47" s="22" t="str"/>
      <x:c r="AB47" s="34"/>
      <x:c r="AC47" s="25" t="str"/>
      <x:c r="AD47" s="25" t="str"/>
      <x:c r="AE47" s="25" t="str"/>
      <x:c r="AF47" s="25" t="str">
        <x:v>품목 수량·단가 또는 범위 일치 GFA·공사금액 부족</x:v>
      </x:c>
      <x:c r="AG47" s="25" t="str">
        <x:v>첨부 추가수집·OCR·수동검토 또는 설계/계약 BOQ 확보</x:v>
      </x:c>
      <x:c r="AH47" s="25" t="str">
        <x:v>자동판정(V2)</x:v>
      </x:c>
      <x:c r="AI47" s="25" t="str"/>
      <x:c r="AJ47" s="25" t="str">
        <x:v>A도 첨부 가격단계 범위의 사업별 추정만 가능; 국가단가·계약가·준공가를 의미하지 않음</x:v>
      </x:c>
    </x:row>
    <x:row r="48">
      <x:c r="A48" s="22" t="str">
        <x:v>C</x:v>
      </x:c>
      <x:c r="B48" s="22" t="str">
        <x:v>U</x:v>
      </x:c>
      <x:c r="C48" s="22" t="str">
        <x:v>엘살바도르</x:v>
      </x:c>
      <x:c r="D48" s="22" t="str">
        <x:v>2013-00009</x:v>
      </x:c>
      <x:c r="E48" s="25" t="str">
        <x:v>엘살바도르 한-엘 의료센터 건립사업('13-'20/355만불)...</x:v>
      </x:c>
      <x:c r="F48" s="25" t="str"/>
      <x:c r="G48" s="22" t="str">
        <x:v>UNKNOWN</x:v>
      </x:c>
      <x:c r="H48" s="22" t="str">
        <x:v>NONE_UNKNOWN</x:v>
      </x:c>
      <x:c r="I48" s="22" t="str">
        <x:v>V0</x:v>
      </x:c>
      <x:c r="J48" s="28" t="n">
        <x:v>1</x:v>
      </x:c>
      <x:c r="K48" s="28" t="n">
        <x:v>0</x:v>
      </x:c>
      <x:c r="L48" s="28" t="n">
        <x:v>0</x:v>
      </x:c>
      <x:c r="M48" s="28" t="n">
        <x:v>0</x:v>
      </x:c>
      <x:c r="N48" s="28" t="n">
        <x:v>0</x:v>
      </x:c>
      <x:c r="O48" s="28" t="n">
        <x:v>0</x:v>
      </x:c>
      <x:c r="P48" s="28" t="n">
        <x:v>0</x:v>
      </x:c>
      <x:c r="Q48" s="28" t="n">
        <x:v>0</x:v>
      </x:c>
      <x:c r="R48" s="28" t="n">
        <x:v>0</x:v>
      </x:c>
      <x:c r="S48" s="28" t="n">
        <x:v>0</x:v>
      </x:c>
      <x:c r="T48" s="28" t="n">
        <x:v>0</x:v>
      </x:c>
      <x:c r="U48" s="22" t="str"/>
      <x:c r="V48" s="28" t="n">
        <x:v>0</x:v>
      </x:c>
      <x:c r="W48" s="28" t="n">
        <x:v>0</x:v>
      </x:c>
      <x:c r="X48" s="28" t="n">
        <x:v>1</x:v>
      </x:c>
      <x:c r="Y48" s="28" t="n">
        <x:v>0</x:v>
      </x:c>
      <x:c r="Z48" s="31"/>
      <x:c r="AA48" s="22" t="str"/>
      <x:c r="AB48" s="34"/>
      <x:c r="AC48" s="25" t="str"/>
      <x:c r="AD48" s="25" t="str"/>
      <x:c r="AE48" s="25" t="str"/>
      <x:c r="AF48" s="25" t="str">
        <x:v>품목 수량·단가 또는 범위 일치 GFA·공사금액 부족</x:v>
      </x:c>
      <x:c r="AG48" s="25" t="str">
        <x:v>첨부 추가수집·OCR·수동검토 또는 설계/계약 BOQ 확보</x:v>
      </x:c>
      <x:c r="AH48" s="25" t="str">
        <x:v>자동판정(V2)</x:v>
      </x:c>
      <x:c r="AI48" s="25" t="str"/>
      <x:c r="AJ48" s="25" t="str">
        <x:v>A도 첨부 가격단계 범위의 사업별 추정만 가능; 국가단가·계약가·준공가를 의미하지 않음</x:v>
      </x:c>
    </x:row>
    <x:row r="49">
      <x:c r="A49" s="22" t="str">
        <x:v>C</x:v>
      </x:c>
      <x:c r="B49" s="22" t="str">
        <x:v>U</x:v>
      </x:c>
      <x:c r="C49" s="22" t="str">
        <x:v>엘살바도르</x:v>
      </x:c>
      <x:c r="D49" s="22" t="str"/>
      <x:c r="E49" s="25" t="str">
        <x:v>엘살바도르 산살바도르 도시교통 마스터플랜 수립 및 버스관리정보시스템 구축사업(시범시스템) 시스템개발 PC용역</x:v>
      </x:c>
      <x:c r="F49" s="25" t="str"/>
      <x:c r="G49" s="22" t="str">
        <x:v>UNKNOWN</x:v>
      </x:c>
      <x:c r="H49" s="22" t="str">
        <x:v>NONE_UNKNOWN</x:v>
      </x:c>
      <x:c r="I49" s="22" t="str">
        <x:v>V0</x:v>
      </x:c>
      <x:c r="J49" s="28" t="n">
        <x:v>1</x:v>
      </x:c>
      <x:c r="K49" s="28" t="n">
        <x:v>0</x:v>
      </x:c>
      <x:c r="L49" s="28" t="n">
        <x:v>0</x:v>
      </x:c>
      <x:c r="M49" s="28" t="n">
        <x:v>0</x:v>
      </x:c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</x:v>
      </x:c>
      <x:c r="U49" s="22" t="str"/>
      <x:c r="V49" s="28" t="n">
        <x:v>0</x:v>
      </x:c>
      <x:c r="W49" s="28" t="n">
        <x:v>0</x:v>
      </x:c>
      <x:c r="X49" s="28" t="n">
        <x:v>1</x:v>
      </x:c>
      <x:c r="Y49" s="28" t="n">
        <x:v>0</x:v>
      </x:c>
      <x:c r="Z49" s="31"/>
      <x:c r="AA49" s="22" t="str"/>
      <x:c r="AB49" s="34"/>
      <x:c r="AC49" s="25" t="str"/>
      <x:c r="AD49" s="25" t="str"/>
      <x:c r="AE49" s="25" t="str"/>
      <x:c r="AF49" s="25" t="str">
        <x:v>품목 수량·단가 또는 범위 일치 GFA·공사금액 부족</x:v>
      </x:c>
      <x:c r="AG49" s="25" t="str">
        <x:v>첨부 추가수집·OCR·수동검토 또는 설계/계약 BOQ 확보</x:v>
      </x:c>
      <x:c r="AH49" s="25" t="str">
        <x:v>자동판정(V2)</x:v>
      </x:c>
      <x:c r="AI49" s="25" t="str"/>
      <x:c r="AJ49" s="25" t="str">
        <x:v>A도 첨부 가격단계 범위의 사업별 추정만 가능; 국가단가·계약가·준공가를 의미하지 않음</x:v>
      </x:c>
    </x:row>
    <x:row r="50">
      <x:c r="A50" s="22" t="str">
        <x:v>C</x:v>
      </x:c>
      <x:c r="B50" s="22" t="str">
        <x:v>U</x:v>
      </x:c>
      <x:c r="C50" s="22" t="str">
        <x:v>요르단</x:v>
      </x:c>
      <x:c r="D50" s="22" t="str">
        <x:v>2014-00004</x:v>
      </x:c>
      <x:c r="E50" s="25" t="str">
        <x:v>요르단 3개 지역 보건소 건립사업('14-'19/516만불)...</x:v>
      </x:c>
      <x:c r="F50" s="25" t="str"/>
      <x:c r="G50" s="22" t="str">
        <x:v>UNKNOWN</x:v>
      </x:c>
      <x:c r="H50" s="22" t="str">
        <x:v>NONE_UNKNOWN</x:v>
      </x:c>
      <x:c r="I50" s="22" t="str">
        <x:v>V0</x:v>
      </x:c>
      <x:c r="J50" s="28" t="n">
        <x:v>1</x:v>
      </x:c>
      <x:c r="K50" s="28" t="n">
        <x:v>0</x:v>
      </x:c>
      <x:c r="L50" s="28" t="n">
        <x:v>0</x:v>
      </x:c>
      <x:c r="M50" s="28" t="n">
        <x:v>0</x:v>
      </x:c>
      <x:c r="N50" s="28" t="n">
        <x:v>0</x:v>
      </x:c>
      <x:c r="O50" s="28" t="n">
        <x:v>0</x:v>
      </x:c>
      <x:c r="P50" s="28" t="n">
        <x:v>0</x:v>
      </x:c>
      <x:c r="Q50" s="28" t="n">
        <x:v>0</x:v>
      </x:c>
      <x:c r="R50" s="28" t="n">
        <x:v>0</x:v>
      </x:c>
      <x:c r="S50" s="28" t="n">
        <x:v>0</x:v>
      </x:c>
      <x:c r="T50" s="28" t="n">
        <x:v>0</x:v>
      </x:c>
      <x:c r="U50" s="22" t="str"/>
      <x:c r="V50" s="28" t="n">
        <x:v>0</x:v>
      </x:c>
      <x:c r="W50" s="28" t="n">
        <x:v>0</x:v>
      </x:c>
      <x:c r="X50" s="28" t="n">
        <x:v>1</x:v>
      </x:c>
      <x:c r="Y50" s="28" t="n">
        <x:v>0</x:v>
      </x:c>
      <x:c r="Z50" s="31"/>
      <x:c r="AA50" s="22" t="str"/>
      <x:c r="AB50" s="34"/>
      <x:c r="AC50" s="25" t="str"/>
      <x:c r="AD50" s="25" t="str"/>
      <x:c r="AE50" s="25" t="str"/>
      <x:c r="AF50" s="25" t="str">
        <x:v>품목 수량·단가 또는 범위 일치 GFA·공사금액 부족</x:v>
      </x:c>
      <x:c r="AG50" s="25" t="str">
        <x:v>첨부 추가수집·OCR·수동검토 또는 설계/계약 BOQ 확보</x:v>
      </x:c>
      <x:c r="AH50" s="25" t="str">
        <x:v>자동판정(V2)</x:v>
      </x:c>
      <x:c r="AI50" s="25" t="str"/>
      <x:c r="AJ50" s="25" t="str">
        <x:v>A도 첨부 가격단계 범위의 사업별 추정만 가능; 국가단가·계약가·준공가를 의미하지 않음</x:v>
      </x:c>
    </x:row>
    <x:row r="51">
      <x:c r="A51" s="22" t="str">
        <x:v>C</x:v>
      </x:c>
      <x:c r="B51" s="22" t="str">
        <x:v>U</x:v>
      </x:c>
      <x:c r="C51" s="22" t="str">
        <x:v>요르단</x:v>
      </x:c>
      <x:c r="D51" s="22" t="str">
        <x:v>2014-00019</x:v>
      </x:c>
      <x:c r="E51" s="25" t="str">
        <x:v>요르단 청각장애 특수학교 건립사업('14-'17/520만불)...</x:v>
      </x:c>
      <x:c r="F51" s="25" t="str"/>
      <x:c r="G51" s="22" t="str">
        <x:v>UNKNOWN</x:v>
      </x:c>
      <x:c r="H51" s="22" t="str">
        <x:v>NONE_UNKNOWN</x:v>
      </x:c>
      <x:c r="I51" s="22" t="str">
        <x:v>V0</x:v>
      </x:c>
      <x:c r="J51" s="28" t="n">
        <x:v>1</x:v>
      </x:c>
      <x:c r="K51" s="28" t="n">
        <x:v>0</x:v>
      </x:c>
      <x:c r="L51" s="28" t="n">
        <x:v>0</x:v>
      </x:c>
      <x:c r="M51" s="28" t="n">
        <x:v>0</x:v>
      </x:c>
      <x:c r="N51" s="28" t="n">
        <x:v>0</x:v>
      </x:c>
      <x:c r="O51" s="28" t="n">
        <x:v>0</x:v>
      </x:c>
      <x:c r="P51" s="28" t="n">
        <x:v>0</x:v>
      </x:c>
      <x:c r="Q51" s="28" t="n">
        <x:v>0</x:v>
      </x:c>
      <x:c r="R51" s="28" t="n">
        <x:v>0</x:v>
      </x:c>
      <x:c r="S51" s="28" t="n">
        <x:v>0</x:v>
      </x:c>
      <x:c r="T51" s="28" t="n">
        <x:v>0</x:v>
      </x:c>
      <x:c r="U51" s="22" t="str"/>
      <x:c r="V51" s="28" t="n">
        <x:v>0</x:v>
      </x:c>
      <x:c r="W51" s="28" t="n">
        <x:v>0</x:v>
      </x:c>
      <x:c r="X51" s="28" t="n">
        <x:v>1</x:v>
      </x:c>
      <x:c r="Y51" s="28" t="n">
        <x:v>0</x:v>
      </x:c>
      <x:c r="Z51" s="31"/>
      <x:c r="AA51" s="22" t="str"/>
      <x:c r="AB51" s="34"/>
      <x:c r="AC51" s="25" t="str"/>
      <x:c r="AD51" s="25" t="str"/>
      <x:c r="AE51" s="25" t="str"/>
      <x:c r="AF51" s="25" t="str">
        <x:v>품목 수량·단가 또는 범위 일치 GFA·공사금액 부족</x:v>
      </x:c>
      <x:c r="AG51" s="25" t="str">
        <x:v>첨부 추가수집·OCR·수동검토 또는 설계/계약 BOQ 확보</x:v>
      </x:c>
      <x:c r="AH51" s="25" t="str">
        <x:v>자동판정(V2)</x:v>
      </x:c>
      <x:c r="AI51" s="25" t="str"/>
      <x:c r="AJ51" s="25" t="str">
        <x:v>A도 첨부 가격단계 범위의 사업별 추정만 가능; 국가단가·계약가·준공가를 의미하지 않음</x:v>
      </x:c>
    </x:row>
    <x:row r="52">
      <x:c r="A52" s="22" t="str">
        <x:v>C</x:v>
      </x:c>
      <x:c r="B52" s="22" t="str">
        <x:v>U</x:v>
      </x:c>
      <x:c r="C52" s="22" t="str">
        <x:v>요르단</x:v>
      </x:c>
      <x:c r="D52" s="22" t="str">
        <x:v>2016-00206</x:v>
      </x:c>
      <x:c r="E52" s="25" t="str">
        <x:v>요르단 시리아 난민 밀집지역 취약계층 아동을 위한 3개 학교 건립사업('...</x:v>
      </x:c>
      <x:c r="F52" s="25" t="str"/>
      <x:c r="G52" s="22" t="str">
        <x:v>UNKNOWN</x:v>
      </x:c>
      <x:c r="H52" s="22" t="str">
        <x:v>NONE_UNKNOWN</x:v>
      </x:c>
      <x:c r="I52" s="22" t="str">
        <x:v>V0</x:v>
      </x:c>
      <x:c r="J52" s="28" t="n">
        <x:v>1</x:v>
      </x:c>
      <x:c r="K52" s="28" t="n">
        <x:v>4</x:v>
      </x:c>
      <x:c r="L52" s="28" t="n">
        <x:v>0</x:v>
      </x:c>
      <x:c r="M52" s="28" t="n">
        <x:v>0</x:v>
      </x:c>
      <x:c r="N52" s="28" t="n">
        <x:v>0</x:v>
      </x:c>
      <x:c r="O52" s="28" t="n">
        <x:v>0</x:v>
      </x:c>
      <x:c r="P52" s="28" t="n">
        <x:v>0</x:v>
      </x:c>
      <x:c r="Q52" s="28" t="n">
        <x:v>0</x:v>
      </x:c>
      <x:c r="R52" s="28" t="n">
        <x:v>0</x:v>
      </x:c>
      <x:c r="S52" s="28" t="n">
        <x:v>0</x:v>
      </x:c>
      <x:c r="T52" s="28" t="n">
        <x:v>0</x:v>
      </x:c>
      <x:c r="U52" s="22" t="str"/>
      <x:c r="V52" s="28" t="n">
        <x:v>0</x:v>
      </x:c>
      <x:c r="W52" s="28" t="n">
        <x:v>0</x:v>
      </x:c>
      <x:c r="X52" s="28" t="n">
        <x:v>1</x:v>
      </x:c>
      <x:c r="Y52" s="28" t="n">
        <x:v>0</x:v>
      </x:c>
      <x:c r="Z52" s="31"/>
      <x:c r="AA52" s="22" t="str"/>
      <x:c r="AB52" s="34"/>
      <x:c r="AC52" s="25" t="str"/>
      <x:c r="AD52" s="25" t="str"/>
      <x:c r="AE52" s="25" t="str"/>
      <x:c r="AF52" s="25" t="str">
        <x:v>품목 수량·단가 또는 범위 일치 GFA·공사금액 부족</x:v>
      </x:c>
      <x:c r="AG52" s="25" t="str">
        <x:v>첨부 추가수집·OCR·수동검토 또는 설계/계약 BOQ 확보</x:v>
      </x:c>
      <x:c r="AH52" s="25" t="str">
        <x:v>자동판정(V2)</x:v>
      </x:c>
      <x:c r="AI52" s="25" t="str">
        <x:v>L2018-00005-1;L2018-00020-1;L2019-00043-1;L2020-00007-1</x:v>
      </x:c>
      <x:c r="AJ52" s="25" t="str">
        <x:v>A도 첨부 가격단계 범위의 사업별 추정만 가능; 국가단가·계약가·준공가를 의미하지 않음</x:v>
      </x:c>
    </x:row>
    <x:row r="53">
      <x:c r="A53" s="22" t="str">
        <x:v>C</x:v>
      </x:c>
      <x:c r="B53" s="22" t="str">
        <x:v>U</x:v>
      </x:c>
      <x:c r="C53" s="22" t="str">
        <x:v>우간다</x:v>
      </x:c>
      <x:c r="D53" s="22" t="str">
        <x:v>2011-00024</x:v>
      </x:c>
      <x:c r="E53" s="25" t="str">
        <x:v>우간다 직업훈련원 건립사업('11-'18/579만불)...</x:v>
      </x:c>
      <x:c r="F53" s="25" t="str"/>
      <x:c r="G53" s="22" t="str">
        <x:v>UNKNOWN</x:v>
      </x:c>
      <x:c r="H53" s="22" t="str">
        <x:v>NONE_UNKNOWN</x:v>
      </x:c>
      <x:c r="I53" s="22" t="str">
        <x:v>V0</x:v>
      </x:c>
      <x:c r="J53" s="28" t="n">
        <x:v>1</x:v>
      </x:c>
      <x:c r="K53" s="28" t="n">
        <x:v>0</x:v>
      </x:c>
      <x:c r="L53" s="28" t="n">
        <x:v>0</x:v>
      </x:c>
      <x:c r="M53" s="28" t="n">
        <x:v>0</x:v>
      </x:c>
      <x:c r="N53" s="28" t="n">
        <x:v>0</x:v>
      </x:c>
      <x:c r="O53" s="28" t="n">
        <x:v>0</x:v>
      </x:c>
      <x:c r="P53" s="28" t="n">
        <x:v>0</x:v>
      </x:c>
      <x:c r="Q53" s="28" t="n">
        <x:v>0</x:v>
      </x:c>
      <x:c r="R53" s="28" t="n">
        <x:v>0</x:v>
      </x:c>
      <x:c r="S53" s="28" t="n">
        <x:v>0</x:v>
      </x:c>
      <x:c r="T53" s="28" t="n">
        <x:v>0</x:v>
      </x:c>
      <x:c r="U53" s="22" t="str"/>
      <x:c r="V53" s="28" t="n">
        <x:v>0</x:v>
      </x:c>
      <x:c r="W53" s="28" t="n">
        <x:v>0</x:v>
      </x:c>
      <x:c r="X53" s="28" t="n">
        <x:v>1</x:v>
      </x:c>
      <x:c r="Y53" s="28" t="n">
        <x:v>0</x:v>
      </x:c>
      <x:c r="Z53" s="31"/>
      <x:c r="AA53" s="22" t="str"/>
      <x:c r="AB53" s="34"/>
      <x:c r="AC53" s="25" t="str"/>
      <x:c r="AD53" s="25" t="str"/>
      <x:c r="AE53" s="25" t="str"/>
      <x:c r="AF53" s="25" t="str">
        <x:v>품목 수량·단가 또는 범위 일치 GFA·공사금액 부족</x:v>
      </x:c>
      <x:c r="AG53" s="25" t="str">
        <x:v>첨부 추가수집·OCR·수동검토 또는 설계/계약 BOQ 확보</x:v>
      </x:c>
      <x:c r="AH53" s="25" t="str">
        <x:v>자동판정(V2)</x:v>
      </x:c>
      <x:c r="AI53" s="25" t="str"/>
      <x:c r="AJ53" s="25" t="str">
        <x:v>A도 첨부 가격단계 범위의 사업별 추정만 가능; 국가단가·계약가·준공가를 의미하지 않음</x:v>
      </x:c>
    </x:row>
    <x:row r="54">
      <x:c r="A54" s="22" t="str">
        <x:v>C</x:v>
      </x:c>
      <x:c r="B54" s="22" t="str">
        <x:v>U</x:v>
      </x:c>
      <x:c r="C54" s="22" t="str">
        <x:v>우간다</x:v>
      </x:c>
      <x:c r="D54" s="22" t="str">
        <x:v>2011-00051</x:v>
      </x:c>
      <x:c r="E54" s="25" t="str">
        <x:v>우간다 과일가공공장 건립사업('11-'19/800만불)...</x:v>
      </x:c>
      <x:c r="F54" s="25" t="str"/>
      <x:c r="G54" s="22" t="str">
        <x:v>UNKNOWN</x:v>
      </x:c>
      <x:c r="H54" s="22" t="str">
        <x:v>NONE_UNKNOWN</x:v>
      </x:c>
      <x:c r="I54" s="22" t="str">
        <x:v>V0</x:v>
      </x:c>
      <x:c r="J54" s="28" t="n">
        <x:v>1</x:v>
      </x:c>
      <x:c r="K54" s="28" t="n">
        <x:v>0</x:v>
      </x:c>
      <x:c r="L54" s="28" t="n">
        <x:v>0</x:v>
      </x:c>
      <x:c r="M54" s="28" t="n">
        <x:v>0</x:v>
      </x:c>
      <x:c r="N54" s="28" t="n">
        <x:v>0</x:v>
      </x:c>
      <x:c r="O54" s="28" t="n">
        <x:v>0</x:v>
      </x:c>
      <x:c r="P54" s="28" t="n">
        <x:v>0</x:v>
      </x:c>
      <x:c r="Q54" s="28" t="n">
        <x:v>0</x:v>
      </x:c>
      <x:c r="R54" s="28" t="n">
        <x:v>0</x:v>
      </x:c>
      <x:c r="S54" s="28" t="n">
        <x:v>0</x:v>
      </x:c>
      <x:c r="T54" s="28" t="n">
        <x:v>0</x:v>
      </x:c>
      <x:c r="U54" s="22" t="str"/>
      <x:c r="V54" s="28" t="n">
        <x:v>0</x:v>
      </x:c>
      <x:c r="W54" s="28" t="n">
        <x:v>0</x:v>
      </x:c>
      <x:c r="X54" s="28" t="n">
        <x:v>1</x:v>
      </x:c>
      <x:c r="Y54" s="28" t="n">
        <x:v>0</x:v>
      </x:c>
      <x:c r="Z54" s="31"/>
      <x:c r="AA54" s="22" t="str"/>
      <x:c r="AB54" s="34"/>
      <x:c r="AC54" s="25" t="str"/>
      <x:c r="AD54" s="25" t="str"/>
      <x:c r="AE54" s="25" t="str"/>
      <x:c r="AF54" s="25" t="str">
        <x:v>품목 수량·단가 또는 범위 일치 GFA·공사금액 부족</x:v>
      </x:c>
      <x:c r="AG54" s="25" t="str">
        <x:v>첨부 추가수집·OCR·수동검토 또는 설계/계약 BOQ 확보</x:v>
      </x:c>
      <x:c r="AH54" s="25" t="str">
        <x:v>자동판정(V2)</x:v>
      </x:c>
      <x:c r="AI54" s="25" t="str"/>
      <x:c r="AJ54" s="25" t="str">
        <x:v>A도 첨부 가격단계 범위의 사업별 추정만 가능; 국가단가·계약가·준공가를 의미하지 않음</x:v>
      </x:c>
    </x:row>
    <x:row r="55">
      <x:c r="A55" s="22" t="str">
        <x:v>C</x:v>
      </x:c>
      <x:c r="B55" s="22" t="str">
        <x:v>U</x:v>
      </x:c>
      <x:c r="C55" s="22" t="str">
        <x:v>우간다</x:v>
      </x:c>
      <x:c r="D55" s="22" t="str">
        <x:v>2011-00052</x:v>
      </x:c>
      <x:c r="E55" s="25" t="str">
        <x:v>우간다 농업지도자연수원 건립사업('11-'17/440만불)...</x:v>
      </x:c>
      <x:c r="F55" s="25" t="str"/>
      <x:c r="G55" s="22" t="str">
        <x:v>UNKNOWN</x:v>
      </x:c>
      <x:c r="H55" s="22" t="str">
        <x:v>NONE_UNKNOWN</x:v>
      </x:c>
      <x:c r="I55" s="22" t="str">
        <x:v>V0</x:v>
      </x:c>
      <x:c r="J55" s="28" t="n">
        <x:v>1</x:v>
      </x:c>
      <x:c r="K55" s="28" t="n">
        <x:v>0</x:v>
      </x:c>
      <x:c r="L55" s="28" t="n">
        <x:v>0</x:v>
      </x:c>
      <x:c r="M55" s="28" t="n">
        <x:v>0</x:v>
      </x:c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</x:v>
      </x:c>
      <x:c r="U55" s="22" t="str"/>
      <x:c r="V55" s="28" t="n">
        <x:v>0</x:v>
      </x:c>
      <x:c r="W55" s="28" t="n">
        <x:v>0</x:v>
      </x:c>
      <x:c r="X55" s="28" t="n">
        <x:v>1</x:v>
      </x:c>
      <x:c r="Y55" s="28" t="n">
        <x:v>0</x:v>
      </x:c>
      <x:c r="Z55" s="31"/>
      <x:c r="AA55" s="22" t="str"/>
      <x:c r="AB55" s="34"/>
      <x:c r="AC55" s="25" t="str"/>
      <x:c r="AD55" s="25" t="str"/>
      <x:c r="AE55" s="25" t="str"/>
      <x:c r="AF55" s="25" t="str">
        <x:v>품목 수량·단가 또는 범위 일치 GFA·공사금액 부족</x:v>
      </x:c>
      <x:c r="AG55" s="25" t="str">
        <x:v>첨부 추가수집·OCR·수동검토 또는 설계/계약 BOQ 확보</x:v>
      </x:c>
      <x:c r="AH55" s="25" t="str">
        <x:v>자동판정(V2)</x:v>
      </x:c>
      <x:c r="AI55" s="25" t="str"/>
      <x:c r="AJ55" s="25" t="str">
        <x:v>A도 첨부 가격단계 범위의 사업별 추정만 가능; 국가단가·계약가·준공가를 의미하지 않음</x:v>
      </x:c>
    </x:row>
    <x:row r="56">
      <x:c r="A56" s="22" t="str">
        <x:v>C</x:v>
      </x:c>
      <x:c r="B56" s="22" t="str">
        <x:v>U</x:v>
      </x:c>
      <x:c r="C56" s="22" t="str">
        <x:v>우간다</x:v>
      </x:c>
      <x:c r="D56" s="22" t="str">
        <x:v>2015-00034</x:v>
      </x:c>
      <x:c r="E56" s="25" t="str">
        <x:v>우간다 새마을운동 시범마을 건립사업('15-'18/295만불)...</x:v>
      </x:c>
      <x:c r="F56" s="25" t="str"/>
      <x:c r="G56" s="22" t="str">
        <x:v>UNKNOWN</x:v>
      </x:c>
      <x:c r="H56" s="22" t="str">
        <x:v>NONE_UNKNOWN</x:v>
      </x:c>
      <x:c r="I56" s="22" t="str">
        <x:v>V0</x:v>
      </x:c>
      <x:c r="J56" s="28" t="n">
        <x:v>1</x:v>
      </x:c>
      <x:c r="K56" s="28" t="n">
        <x:v>0</x:v>
      </x:c>
      <x:c r="L56" s="28" t="n">
        <x:v>0</x:v>
      </x:c>
      <x:c r="M56" s="28" t="n">
        <x:v>0</x:v>
      </x:c>
      <x:c r="N56" s="28" t="n">
        <x:v>0</x:v>
      </x:c>
      <x:c r="O56" s="28" t="n">
        <x:v>0</x:v>
      </x:c>
      <x:c r="P56" s="28" t="n">
        <x:v>0</x:v>
      </x:c>
      <x:c r="Q56" s="28" t="n">
        <x:v>0</x:v>
      </x:c>
      <x:c r="R56" s="28" t="n">
        <x:v>0</x:v>
      </x:c>
      <x:c r="S56" s="28" t="n">
        <x:v>0</x:v>
      </x:c>
      <x:c r="T56" s="28" t="n">
        <x:v>0</x:v>
      </x:c>
      <x:c r="U56" s="22" t="str"/>
      <x:c r="V56" s="28" t="n">
        <x:v>0</x:v>
      </x:c>
      <x:c r="W56" s="28" t="n">
        <x:v>0</x:v>
      </x:c>
      <x:c r="X56" s="28" t="n">
        <x:v>1</x:v>
      </x:c>
      <x:c r="Y56" s="28" t="n">
        <x:v>0</x:v>
      </x:c>
      <x:c r="Z56" s="31"/>
      <x:c r="AA56" s="22" t="str"/>
      <x:c r="AB56" s="34"/>
      <x:c r="AC56" s="25" t="str"/>
      <x:c r="AD56" s="25" t="str"/>
      <x:c r="AE56" s="25" t="str"/>
      <x:c r="AF56" s="25" t="str">
        <x:v>품목 수량·단가 또는 범위 일치 GFA·공사금액 부족</x:v>
      </x:c>
      <x:c r="AG56" s="25" t="str">
        <x:v>첨부 추가수집·OCR·수동검토 또는 설계/계약 BOQ 확보</x:v>
      </x:c>
      <x:c r="AH56" s="25" t="str">
        <x:v>자동판정(V2)</x:v>
      </x:c>
      <x:c r="AI56" s="25" t="str"/>
      <x:c r="AJ56" s="25" t="str">
        <x:v>A도 첨부 가격단계 범위의 사업별 추정만 가능; 국가단가·계약가·준공가를 의미하지 않음</x:v>
      </x:c>
    </x:row>
    <x:row r="57">
      <x:c r="A57" s="22" t="str">
        <x:v>C</x:v>
      </x:c>
      <x:c r="B57" s="22" t="str">
        <x:v>U</x:v>
      </x:c>
      <x:c r="C57" s="22" t="str">
        <x:v>우간다</x:v>
      </x:c>
      <x:c r="D57" s="22" t="str">
        <x:v>2021-00042</x:v>
      </x:c>
      <x:c r="E57" s="25" t="str">
        <x:v>우간다 농업지도자 연수원 자립적 운영체계 구축 및 연수역량 강화사업('21·'28/1,200만불)</x:v>
      </x:c>
      <x:c r="F57" s="25" t="str">
        <x:v>우간다 농업지도자 연수원 자립적 운영체계구축 및 연수역량 강화사업 시범농장 신축 공사</x:v>
      </x:c>
      <x:c r="G57" s="22" t="str">
        <x:v>UNKNOWN</x:v>
      </x:c>
      <x:c r="H57" s="22" t="str">
        <x:v>NONE_UNKNOWN</x:v>
      </x:c>
      <x:c r="I57" s="22" t="str">
        <x:v>V2</x:v>
      </x:c>
      <x:c r="J57" s="28" t="n">
        <x:v>1</x:v>
      </x:c>
      <x:c r="K57" s="28" t="n">
        <x:v>3</x:v>
      </x:c>
      <x:c r="L57" s="28" t="n">
        <x:v>47</x:v>
      </x:c>
      <x:c r="M57" s="28" t="n">
        <x:v>35</x:v>
      </x:c>
      <x:c r="N57" s="28" t="n">
        <x:v>39</x:v>
      </x:c>
      <x:c r="O57" s="28" t="n">
        <x:v>0</x:v>
      </x:c>
      <x:c r="P57" s="28" t="n">
        <x:v>0</x:v>
      </x:c>
      <x:c r="Q57" s="28" t="n">
        <x:v>0</x:v>
      </x:c>
      <x:c r="R57" s="28" t="n">
        <x:v>0</x:v>
      </x:c>
      <x:c r="S57" s="28" t="n">
        <x:v>0</x:v>
      </x:c>
      <x:c r="T57" s="28" t="n">
        <x:v>0</x:v>
      </x:c>
      <x:c r="U57" s="22" t="str"/>
      <x:c r="V57" s="28" t="n">
        <x:v>0</x:v>
      </x:c>
      <x:c r="W57" s="28" t="n">
        <x:v>0</x:v>
      </x:c>
      <x:c r="X57" s="28" t="n">
        <x:v>1</x:v>
      </x:c>
      <x:c r="Y57" s="28" t="n">
        <x:v>0</x:v>
      </x:c>
      <x:c r="Z57" s="31"/>
      <x:c r="AA57" s="22" t="str"/>
      <x:c r="AB57" s="34"/>
      <x:c r="AC57" s="25" t="str"/>
      <x:c r="AD57" s="25" t="str"/>
      <x:c r="AE57" s="25" t="str"/>
      <x:c r="AF57" s="25" t="str">
        <x:v>품목 수량·단가 또는 범위 일치 GFA·공사금액 부족</x:v>
      </x:c>
      <x:c r="AG57" s="25" t="str">
        <x:v>첨부 추가수집·OCR·수동검토 또는 설계/계약 BOQ 확보</x:v>
      </x:c>
      <x:c r="AH57" s="25" t="str">
        <x:v>자동판정(V2)</x:v>
      </x:c>
      <x:c r="AI57" s="25" t="str">
        <x:v>L2023-00028-1;L2024-00050-1;L2025-00062-1</x:v>
      </x:c>
      <x:c r="AJ57" s="25" t="str">
        <x:v>A도 첨부 가격단계 범위의 사업별 추정만 가능; 국가단가·계약가·준공가를 의미하지 않음</x:v>
      </x:c>
    </x:row>
    <x:row r="58">
      <x:c r="A58" s="22" t="str">
        <x:v>C</x:v>
      </x:c>
      <x:c r="B58" s="22" t="str">
        <x:v>U</x:v>
      </x:c>
      <x:c r="C58" s="22" t="str">
        <x:v>우간다</x:v>
      </x:c>
      <x:c r="D58" s="22" t="str">
        <x:v>2022-00064</x:v>
      </x:c>
      <x:c r="E58" s="25" t="str">
        <x:v>우간다 마케레레대학교 ICT 교육환경 조성사업('23·'28/1,220만불)</x:v>
      </x:c>
      <x:c r="F58" s="25" t="str">
        <x:v>우간다 마케레레 대학 원격교육 조성사업 신축 공사</x:v>
      </x:c>
      <x:c r="G58" s="22" t="str">
        <x:v>UNKNOWN</x:v>
      </x:c>
      <x:c r="H58" s="22" t="str">
        <x:v>NONE_UNKNOWN</x:v>
      </x:c>
      <x:c r="I58" s="22" t="str">
        <x:v>V2</x:v>
      </x:c>
      <x:c r="J58" s="28" t="n">
        <x:v>1</x:v>
      </x:c>
      <x:c r="K58" s="28" t="n">
        <x:v>2</x:v>
      </x:c>
      <x:c r="L58" s="28" t="n">
        <x:v>20</x:v>
      </x:c>
      <x:c r="M58" s="28" t="n">
        <x:v>1</x:v>
      </x:c>
      <x:c r="N58" s="28" t="n">
        <x:v>20</x:v>
      </x:c>
      <x:c r="O58" s="28" t="n">
        <x:v>0</x:v>
      </x:c>
      <x:c r="P58" s="28" t="n">
        <x:v>0</x:v>
      </x:c>
      <x:c r="Q58" s="28" t="n">
        <x:v>0</x:v>
      </x:c>
      <x:c r="R58" s="28" t="n">
        <x:v>0</x:v>
      </x:c>
      <x:c r="S58" s="28" t="n">
        <x:v>0</x:v>
      </x:c>
      <x:c r="T58" s="28" t="n">
        <x:v>0</x:v>
      </x:c>
      <x:c r="U58" s="22" t="str"/>
      <x:c r="V58" s="28" t="n">
        <x:v>0</x:v>
      </x:c>
      <x:c r="W58" s="28" t="n">
        <x:v>0</x:v>
      </x:c>
      <x:c r="X58" s="28" t="n">
        <x:v>1</x:v>
      </x:c>
      <x:c r="Y58" s="28" t="n">
        <x:v>0</x:v>
      </x:c>
      <x:c r="Z58" s="31"/>
      <x:c r="AA58" s="22" t="str"/>
      <x:c r="AB58" s="34"/>
      <x:c r="AC58" s="25" t="str"/>
      <x:c r="AD58" s="25" t="str"/>
      <x:c r="AE58" s="25" t="str"/>
      <x:c r="AF58" s="25" t="str">
        <x:v>품목 수량·단가 또는 범위 일치 GFA·공사금액 부족</x:v>
      </x:c>
      <x:c r="AG58" s="25" t="str">
        <x:v>첨부 추가수집·OCR·수동검토 또는 설계/계약 BOQ 확보</x:v>
      </x:c>
      <x:c r="AH58" s="25" t="str">
        <x:v>자동판정(V2)</x:v>
      </x:c>
      <x:c r="AI58" s="25" t="str">
        <x:v>L2024-00072-1;L2025-00084-1</x:v>
      </x:c>
      <x:c r="AJ58" s="25" t="str">
        <x:v>A도 첨부 가격단계 범위의 사업별 추정만 가능; 국가단가·계약가·준공가를 의미하지 않음</x:v>
      </x:c>
    </x:row>
    <x:row r="59">
      <x:c r="A59" s="22" t="str">
        <x:v>B</x:v>
      </x:c>
      <x:c r="B59" s="22" t="str">
        <x:v>B</x:v>
      </x:c>
      <x:c r="C59" s="22" t="str">
        <x:v>우즈베키스탄</x:v>
      </x:c>
      <x:c r="D59" s="22" t="str">
        <x:v>2020-00086</x:v>
      </x:c>
      <x:c r="E59" s="25" t="str">
        <x:v>우즈베키스탄 우르겐치 직업훈련원 건립 및 직업훈련 제도역량 공고화 지원 사업(20·25/1,400만불) 기자재 공급 및 설치</x:v>
      </x:c>
      <x:c r="F59" s="25" t="str">
        <x:v>우즈베키스탄 우르겐치 직업훈련원 건립 및 타슈켄트 교사연수센터 건립사업 시공업체선정 현지입찰</x:v>
      </x:c>
      <x:c r="G59" s="22" t="str">
        <x:v>FULL</x:v>
      </x:c>
      <x:c r="H59" s="22" t="str">
        <x:v>NONE</x:v>
      </x:c>
      <x:c r="I59" s="22" t="str">
        <x:v>V3</x:v>
      </x:c>
      <x:c r="J59" s="28" t="n">
        <x:v>3</x:v>
      </x:c>
      <x:c r="K59" s="28" t="n">
        <x:v>4</x:v>
      </x:c>
      <x:c r="L59" s="28" t="n">
        <x:v>609</x:v>
      </x:c>
      <x:c r="M59" s="28" t="n">
        <x:v>586</x:v>
      </x:c>
      <x:c r="N59" s="28" t="n">
        <x:v>327</x:v>
      </x:c>
      <x:c r="O59" s="28" t="n">
        <x:v>520</x:v>
      </x:c>
      <x:c r="P59" s="28" t="n">
        <x:v>550</x:v>
      </x:c>
      <x:c r="Q59" s="28" t="n">
        <x:v>102</x:v>
      </x:c>
      <x:c r="R59" s="28" t="n">
        <x:v>0</x:v>
      </x:c>
      <x:c r="S59" s="28" t="n">
        <x:v>1896</x:v>
      </x:c>
      <x:c r="T59" s="28" t="n">
        <x:v>1</x:v>
      </x:c>
      <x:c r="U59" s="22" t="str"/>
      <x:c r="V59" s="28" t="n">
        <x:v>0</x:v>
      </x:c>
      <x:c r="W59" s="28" t="n">
        <x:v>1</x:v>
      </x:c>
      <x:c r="X59" s="28" t="n">
        <x:v>0</x:v>
      </x:c>
      <x:c r="Y59" s="28" t="n">
        <x:v>1</x:v>
      </x:c>
      <x:c r="Z59" s="31"/>
      <x:c r="AA59" s="22" t="str"/>
      <x:c r="AB59" s="34"/>
      <x:c r="AC59" s="25" t="str"/>
      <x:c r="AD59" s="25" t="str">
        <x:v>L2023-00036-1/.../Section 4. Bill of Quantities(Not-Priced)/공내역서/</x:v>
      </x:c>
      <x:c r="AE59" s="25" t="str">
        <x:v>VTC·TTC 구조·건축·설비 공종별 XLS/XLSX</x:v>
      </x:c>
      <x:c r="AF59" s="25" t="str">
        <x:v>품목별 현지 단가 부재; 재공고 파일 중복 제거 필요</x:v>
      </x:c>
      <x:c r="AG59" s="25" t="str">
        <x:v>고유 SHA 기준 수량 통합 후 우즈베키스탄 현지단가 결합</x:v>
      </x:c>
      <x:c r="AH59" s="25" t="str">
        <x:v>수동검증완료</x:v>
      </x:c>
      <x:c r="AI59" s="25" t="str">
        <x:v>L2022-00003-1;L2023-00007-1;L2023-00036-1;L2023-00053-1</x:v>
      </x:c>
      <x:c r="AJ59" s="25" t="str">
        <x:v>A도 첨부 가격단계 범위의 사업별 추정만 가능; 국가단가·계약가·준공가를 의미하지 않음</x:v>
      </x:c>
    </x:row>
    <x:row r="60">
      <x:c r="A60" s="22" t="str">
        <x:v>C</x:v>
      </x:c>
      <x:c r="B60" s="22" t="str">
        <x:v>U</x:v>
      </x:c>
      <x:c r="C60" s="22" t="str">
        <x:v>우즈베키스탄</x:v>
      </x:c>
      <x:c r="D60" s="22" t="str">
        <x:v>2021-00085</x:v>
      </x:c>
      <x:c r="E60" s="25" t="str">
        <x:v>우즈베키스탄 유아교사 역량강화 및 유아교육진흥센터 건립사업('21·'26/1,199만불)</x:v>
      </x:c>
      <x:c r="F60" s="25" t="str"/>
      <x:c r="G60" s="22" t="str">
        <x:v>UNKNOWN</x:v>
      </x:c>
      <x:c r="H60" s="22" t="str">
        <x:v>NONE_UNKNOWN</x:v>
      </x:c>
      <x:c r="I60" s="22" t="str">
        <x:v>V0</x:v>
      </x:c>
      <x:c r="J60" s="28" t="n">
        <x:v>5</x:v>
      </x:c>
      <x:c r="K60" s="28" t="n">
        <x:v>1</x:v>
      </x:c>
      <x:c r="L60" s="28" t="n">
        <x:v>14</x:v>
      </x:c>
      <x:c r="M60" s="28" t="n">
        <x:v>0</x:v>
      </x:c>
      <x:c r="N60" s="28" t="n">
        <x:v>14</x:v>
      </x:c>
      <x:c r="O60" s="28" t="n">
        <x:v>0</x:v>
      </x:c>
      <x:c r="P60" s="28" t="n">
        <x:v>0</x:v>
      </x:c>
      <x:c r="Q60" s="28" t="n">
        <x:v>0</x:v>
      </x:c>
      <x:c r="R60" s="28" t="n">
        <x:v>0</x:v>
      </x:c>
      <x:c r="S60" s="28" t="n">
        <x:v>0</x:v>
      </x:c>
      <x:c r="T60" s="28" t="n">
        <x:v>0</x:v>
      </x:c>
      <x:c r="U60" s="22" t="str"/>
      <x:c r="V60" s="28" t="n">
        <x:v>0</x:v>
      </x:c>
      <x:c r="W60" s="28" t="n">
        <x:v>0</x:v>
      </x:c>
      <x:c r="X60" s="28" t="n">
        <x:v>1</x:v>
      </x:c>
      <x:c r="Y60" s="28" t="n">
        <x:v>0</x:v>
      </x:c>
      <x:c r="Z60" s="31"/>
      <x:c r="AA60" s="22" t="str"/>
      <x:c r="AB60" s="34"/>
      <x:c r="AC60" s="25" t="str"/>
      <x:c r="AD60" s="25" t="str"/>
      <x:c r="AE60" s="25" t="str"/>
      <x:c r="AF60" s="25" t="str">
        <x:v>품목 수량·단가 또는 범위 일치 GFA·공사금액 부족</x:v>
      </x:c>
      <x:c r="AG60" s="25" t="str">
        <x:v>첨부 추가수집·OCR·수동검토 또는 설계/계약 BOQ 확보</x:v>
      </x:c>
      <x:c r="AH60" s="25" t="str">
        <x:v>자동판정(V2)</x:v>
      </x:c>
      <x:c r="AI60" s="25" t="str">
        <x:v>L2023-00065-1</x:v>
      </x:c>
      <x:c r="AJ60" s="25" t="str">
        <x:v>A도 첨부 가격단계 범위의 사업별 추정만 가능; 국가단가·계약가·준공가를 의미하지 않음</x:v>
      </x:c>
    </x:row>
    <x:row r="61">
      <x:c r="A61" s="22" t="str">
        <x:v>C</x:v>
      </x:c>
      <x:c r="B61" s="22" t="str">
        <x:v>U</x:v>
      </x:c>
      <x:c r="C61" s="22" t="str">
        <x:v>우즈베키스탄</x:v>
      </x:c>
      <x:c r="D61" s="22" t="str"/>
      <x:c r="E61" s="25" t="str">
        <x:v>우즈베키스탄 세계경제외교대학(UWED) 사이버대학 설립을 위한 온라인교육 제도 구축 및 환경 조성 사업(25·29/690만불) PMC 용역</x:v>
      </x:c>
      <x:c r="F61" s="25" t="str"/>
      <x:c r="G61" s="22" t="str">
        <x:v>UNKNOWN</x:v>
      </x:c>
      <x:c r="H61" s="22" t="str">
        <x:v>NONE_UNKNOWN</x:v>
      </x:c>
      <x:c r="I61" s="22" t="str">
        <x:v>V0</x:v>
      </x:c>
      <x:c r="J61" s="28" t="n">
        <x:v>1</x:v>
      </x:c>
      <x:c r="K61" s="28" t="n">
        <x:v>0</x:v>
      </x:c>
      <x:c r="L61" s="28" t="n">
        <x:v>0</x:v>
      </x:c>
      <x:c r="M61" s="28" t="n">
        <x:v>0</x:v>
      </x:c>
      <x:c r="N61" s="28" t="n">
        <x:v>0</x:v>
      </x:c>
      <x:c r="O61" s="28" t="n">
        <x:v>0</x:v>
      </x:c>
      <x:c r="P61" s="28" t="n">
        <x:v>0</x:v>
      </x:c>
      <x:c r="Q61" s="28" t="n">
        <x:v>0</x:v>
      </x:c>
      <x:c r="R61" s="28" t="n">
        <x:v>0</x:v>
      </x:c>
      <x:c r="S61" s="28" t="n">
        <x:v>0</x:v>
      </x:c>
      <x:c r="T61" s="28" t="n">
        <x:v>0</x:v>
      </x:c>
      <x:c r="U61" s="22" t="str"/>
      <x:c r="V61" s="28" t="n">
        <x:v>0</x:v>
      </x:c>
      <x:c r="W61" s="28" t="n">
        <x:v>0</x:v>
      </x:c>
      <x:c r="X61" s="28" t="n">
        <x:v>1</x:v>
      </x:c>
      <x:c r="Y61" s="28" t="n">
        <x:v>0</x:v>
      </x:c>
      <x:c r="Z61" s="31"/>
      <x:c r="AA61" s="22" t="str"/>
      <x:c r="AB61" s="34"/>
      <x:c r="AC61" s="25" t="str"/>
      <x:c r="AD61" s="25" t="str"/>
      <x:c r="AE61" s="25" t="str"/>
      <x:c r="AF61" s="25" t="str">
        <x:v>품목 수량·단가 또는 범위 일치 GFA·공사금액 부족</x:v>
      </x:c>
      <x:c r="AG61" s="25" t="str">
        <x:v>첨부 추가수집·OCR·수동검토 또는 설계/계약 BOQ 확보</x:v>
      </x:c>
      <x:c r="AH61" s="25" t="str">
        <x:v>자동판정(V2)</x:v>
      </x:c>
      <x:c r="AI61" s="25" t="str"/>
      <x:c r="AJ61" s="25" t="str">
        <x:v>A도 첨부 가격단계 범위의 사업별 추정만 가능; 국가단가·계약가·준공가를 의미하지 않음</x:v>
      </x:c>
    </x:row>
    <x:row r="62">
      <x:c r="A62" s="22" t="str">
        <x:v>C</x:v>
      </x:c>
      <x:c r="B62" s="22" t="str">
        <x:v>U</x:v>
      </x:c>
      <x:c r="C62" s="22" t="str">
        <x:v>우크라이나</x:v>
      </x:c>
      <x:c r="D62" s="22" t="str">
        <x:v>2023-00096</x:v>
      </x:c>
      <x:c r="E62" s="25" t="str">
        <x:v>우크라이나 키이우주 재활의료 역량강화 사업('23·'27/500만불) 설계 용역</x:v>
      </x:c>
      <x:c r="F62" s="25" t="str"/>
      <x:c r="G62" s="22" t="str">
        <x:v>UNKNOWN</x:v>
      </x:c>
      <x:c r="H62" s="22" t="str">
        <x:v>NONE_UNKNOWN</x:v>
      </x:c>
      <x:c r="I62" s="22" t="str">
        <x:v>V0</x:v>
      </x:c>
      <x:c r="J62" s="28" t="n">
        <x:v>2</x:v>
      </x:c>
      <x:c r="K62" s="28" t="n">
        <x:v>2</x:v>
      </x:c>
      <x:c r="L62" s="28" t="n">
        <x:v>2</x:v>
      </x:c>
      <x:c r="M62" s="28" t="n">
        <x:v>0</x:v>
      </x:c>
      <x:c r="N62" s="28" t="n">
        <x:v>2</x:v>
      </x:c>
      <x:c r="O62" s="28" t="n">
        <x:v>0</x:v>
      </x:c>
      <x:c r="P62" s="28" t="n">
        <x:v>0</x:v>
      </x:c>
      <x:c r="Q62" s="28" t="n">
        <x:v>0</x:v>
      </x:c>
      <x:c r="R62" s="28" t="n">
        <x:v>0</x:v>
      </x:c>
      <x:c r="S62" s="28" t="n">
        <x:v>0</x:v>
      </x:c>
      <x:c r="T62" s="28" t="n">
        <x:v>0</x:v>
      </x:c>
      <x:c r="U62" s="22" t="str"/>
      <x:c r="V62" s="28" t="n">
        <x:v>0</x:v>
      </x:c>
      <x:c r="W62" s="28" t="n">
        <x:v>0</x:v>
      </x:c>
      <x:c r="X62" s="28" t="n">
        <x:v>1</x:v>
      </x:c>
      <x:c r="Y62" s="28" t="n">
        <x:v>0</x:v>
      </x:c>
      <x:c r="Z62" s="31"/>
      <x:c r="AA62" s="22" t="str"/>
      <x:c r="AB62" s="34"/>
      <x:c r="AC62" s="25" t="str"/>
      <x:c r="AD62" s="25" t="str"/>
      <x:c r="AE62" s="25" t="str"/>
      <x:c r="AF62" s="25" t="str">
        <x:v>품목 수량·단가 또는 범위 일치 GFA·공사금액 부족</x:v>
      </x:c>
      <x:c r="AG62" s="25" t="str">
        <x:v>첨부 추가수집·OCR·수동검토 또는 설계/계약 BOQ 확보</x:v>
      </x:c>
      <x:c r="AH62" s="25" t="str">
        <x:v>자동판정(V2)</x:v>
      </x:c>
      <x:c r="AI62" s="25" t="str">
        <x:v>L2025-00049-1;L2025-00049-2</x:v>
      </x:c>
      <x:c r="AJ62" s="25" t="str">
        <x:v>A도 첨부 가격단계 범위의 사업별 추정만 가능; 국가단가·계약가·준공가를 의미하지 않음</x:v>
      </x:c>
    </x:row>
    <x:row r="63">
      <x:c r="A63" s="22" t="str">
        <x:v>C</x:v>
      </x:c>
      <x:c r="B63" s="22" t="str">
        <x:v>U</x:v>
      </x:c>
      <x:c r="C63" s="22" t="str">
        <x:v>우크라이나</x:v>
      </x:c>
      <x:c r="D63" s="22" t="str"/>
      <x:c r="E63" s="25" t="str">
        <x:v>우크라이나 국립아동병원 오흐마디트 소아 트라우마 및 재활의료 서비스 강화 사업('25·'28/1,400만불)</x:v>
      </x:c>
      <x:c r="F63" s="25" t="str"/>
      <x:c r="G63" s="22" t="str">
        <x:v>UNKNOWN</x:v>
      </x:c>
      <x:c r="H63" s="22" t="str">
        <x:v>NONE_UNKNOWN</x:v>
      </x:c>
      <x:c r="I63" s="22" t="str">
        <x:v>V0</x:v>
      </x:c>
      <x:c r="J63" s="28" t="n">
        <x:v>1</x:v>
      </x:c>
      <x:c r="K63" s="28" t="n">
        <x:v>0</x:v>
      </x:c>
      <x:c r="L63" s="28" t="n">
        <x:v>0</x:v>
      </x:c>
      <x:c r="M63" s="28" t="n">
        <x:v>0</x:v>
      </x:c>
      <x:c r="N63" s="28" t="n">
        <x:v>0</x:v>
      </x:c>
      <x:c r="O63" s="28" t="n">
        <x:v>0</x:v>
      </x:c>
      <x:c r="P63" s="28" t="n">
        <x:v>0</x:v>
      </x:c>
      <x:c r="Q63" s="28" t="n">
        <x:v>0</x:v>
      </x:c>
      <x:c r="R63" s="28" t="n">
        <x:v>0</x:v>
      </x:c>
      <x:c r="S63" s="28" t="n">
        <x:v>0</x:v>
      </x:c>
      <x:c r="T63" s="28" t="n">
        <x:v>0</x:v>
      </x:c>
      <x:c r="U63" s="22" t="str"/>
      <x:c r="V63" s="28" t="n">
        <x:v>0</x:v>
      </x:c>
      <x:c r="W63" s="28" t="n">
        <x:v>0</x:v>
      </x:c>
      <x:c r="X63" s="28" t="n">
        <x:v>1</x:v>
      </x:c>
      <x:c r="Y63" s="28" t="n">
        <x:v>0</x:v>
      </x:c>
      <x:c r="Z63" s="31"/>
      <x:c r="AA63" s="22" t="str"/>
      <x:c r="AB63" s="34"/>
      <x:c r="AC63" s="25" t="str"/>
      <x:c r="AD63" s="25" t="str"/>
      <x:c r="AE63" s="25" t="str"/>
      <x:c r="AF63" s="25" t="str">
        <x:v>품목 수량·단가 또는 범위 일치 GFA·공사금액 부족</x:v>
      </x:c>
      <x:c r="AG63" s="25" t="str">
        <x:v>첨부 추가수집·OCR·수동검토 또는 설계/계약 BOQ 확보</x:v>
      </x:c>
      <x:c r="AH63" s="25" t="str">
        <x:v>자동판정(V2)</x:v>
      </x:c>
      <x:c r="AI63" s="25" t="str"/>
      <x:c r="AJ63" s="25" t="str">
        <x:v>A도 첨부 가격단계 범위의 사업별 추정만 가능; 국가단가·계약가·준공가를 의미하지 않음</x:v>
      </x:c>
    </x:row>
    <x:row r="64">
      <x:c r="A64" s="22" t="str">
        <x:v>A</x:v>
      </x:c>
      <x:c r="B64" s="22" t="str">
        <x:v>A-부분</x:v>
      </x:c>
      <x:c r="C64" s="22" t="str">
        <x:v>이라크</x:v>
      </x:c>
      <x:c r="D64" s="22" t="str">
        <x:v>2020-00119</x:v>
      </x:c>
      <x:c r="E64" s="25" t="str">
        <x:v>이라크 한·이라크 심장병 어린이 전문 병원 건립사업('20·'30/2,793만불)</x:v>
      </x:c>
      <x:c r="F64" s="25" t="str">
        <x:v>(긴급) 한-이라크 심장병 어린이 전문 병원 신축공사(신규입찰)</x:v>
      </x:c>
      <x:c r="G64" s="22" t="str">
        <x:v>PARTIAL_BOUNDED</x:v>
      </x:c>
      <x:c r="H64" s="22" t="str">
        <x:v>DESIGN_ESTIMATE</x:v>
      </x:c>
      <x:c r="I64" s="22" t="str">
        <x:v>V3</x:v>
      </x:c>
      <x:c r="J64" s="28" t="n">
        <x:v>2</x:v>
      </x:c>
      <x:c r="K64" s="28" t="n">
        <x:v>3</x:v>
      </x:c>
      <x:c r="L64" s="28" t="n">
        <x:v>119</x:v>
      </x:c>
      <x:c r="M64" s="28" t="n">
        <x:v>119</x:v>
      </x:c>
      <x:c r="N64" s="28" t="n">
        <x:v>62</x:v>
      </x:c>
      <x:c r="O64" s="28" t="n">
        <x:v>91</x:v>
      </x:c>
      <x:c r="P64" s="28" t="n">
        <x:v>97</x:v>
      </x:c>
      <x:c r="Q64" s="28" t="n">
        <x:v>35</x:v>
      </x:c>
      <x:c r="R64" s="28" t="n">
        <x:v>16</x:v>
      </x:c>
      <x:c r="S64" s="28" t="n">
        <x:v>1476</x:v>
      </x:c>
      <x:c r="T64" s="28" t="n">
        <x:v>823</x:v>
      </x:c>
      <x:c r="U64" s="22" t="str">
        <x:v>5486</x:v>
      </x:c>
      <x:c r="V64" s="28" t="n">
        <x:v>1</x:v>
      </x:c>
      <x:c r="W64" s="28" t="n">
        <x:v>0</x:v>
      </x:c>
      <x:c r="X64" s="28" t="n">
        <x:v>0</x:v>
      </x:c>
      <x:c r="Y64" s="28" t="n">
        <x:v>1</x:v>
      </x:c>
      <x:c r="Z64" s="31" t="n">
        <x:v>8372712.422776788</x:v>
      </x:c>
      <x:c r="AA64" s="22" t="str">
        <x:v>USD</x:v>
      </x:c>
      <x:c r="AB64" s="34" t="n">
        <x:v>1526.196212682608</x:v>
      </x:c>
      <x:c r="AC64" s="25" t="str">
        <x:v>건축 Bill No.01 561행·숨김단가 644개·561/561 결합</x:v>
      </x:c>
      <x:c r="AD64" s="25" t="str">
        <x:v>L2025-00085-1/.../BILL No1 -Architectural Works-01. HOSPITAL(BLANK BILL).xlsx</x:v>
      </x:c>
      <x:c r="AE64" s="25" t="str">
        <x:v>Works particular bill 및 숨김 일위대가목록·단가대비표</x:v>
      </x:c>
      <x:c r="AF64" s="25" t="str">
        <x:v>건축 Bill No.01만 포함; 토목·기계·전기·통신·소방 등 제외</x:v>
      </x:c>
      <x:c r="AG64" s="25" t="str">
        <x:v>나머지 Bill을 동일 방식으로 복원하고 계약·준공가 확보</x:v>
      </x:c>
      <x:c r="AH64" s="25" t="str">
        <x:v>수동검증완료</x:v>
      </x:c>
      <x:c r="AI64" s="25" t="str">
        <x:v>L2025-00070-1;L2025-00071-1;L2025-00085-1</x:v>
      </x:c>
      <x:c r="AJ64" s="25" t="str">
        <x:v>A도 첨부 가격단계 범위의 사업별 추정만 가능; 국가단가·계약가·준공가를 의미하지 않음</x:v>
      </x:c>
    </x:row>
    <x:row r="65">
      <x:c r="A65" s="22" t="str">
        <x:v>B</x:v>
      </x:c>
      <x:c r="B65" s="22" t="str">
        <x:v>B-부분</x:v>
      </x:c>
      <x:c r="C65" s="22" t="str">
        <x:v>이라크</x:v>
      </x:c>
      <x:c r="D65" s="22" t="str">
        <x:v>2023-00087</x:v>
      </x:c>
      <x:c r="E65" s="25" t="str">
        <x:v>이라크 쿠르드 지역학교 내 난민통합교육 강화사업 (23·28/1,200만불) 설계</x:v>
      </x:c>
      <x:c r="F65" s="25" t="str">
        <x:v>이라크 아르빌 자이툰 도서관 개보수(리모델링) 공사 시공업체 선정 입찰</x:v>
      </x:c>
      <x:c r="G65" s="22" t="str">
        <x:v>PARTIAL_BOUNDED</x:v>
      </x:c>
      <x:c r="H65" s="22" t="str">
        <x:v>NONE</x:v>
      </x:c>
      <x:c r="I65" s="22" t="str">
        <x:v>V3</x:v>
      </x:c>
      <x:c r="J65" s="28" t="n">
        <x:v>1</x:v>
      </x:c>
      <x:c r="K65" s="28" t="n">
        <x:v>4</x:v>
      </x:c>
      <x:c r="L65" s="28" t="n">
        <x:v>56</x:v>
      </x:c>
      <x:c r="M65" s="28" t="n">
        <x:v>20</x:v>
      </x:c>
      <x:c r="N65" s="28" t="n">
        <x:v>48</x:v>
      </x:c>
      <x:c r="O65" s="28" t="n">
        <x:v>2</x:v>
      </x:c>
      <x:c r="P65" s="28" t="n">
        <x:v>2</x:v>
      </x:c>
      <x:c r="Q65" s="28" t="n">
        <x:v>1</x:v>
      </x:c>
      <x:c r="R65" s="28" t="n">
        <x:v>0</x:v>
      </x:c>
      <x:c r="S65" s="28" t="n">
        <x:v>48</x:v>
      </x:c>
      <x:c r="T65" s="28" t="n">
        <x:v>0</x:v>
      </x:c>
      <x:c r="U65" s="22" t="str"/>
      <x:c r="V65" s="28" t="n">
        <x:v>0</x:v>
      </x:c>
      <x:c r="W65" s="28" t="n">
        <x:v>1</x:v>
      </x:c>
      <x:c r="X65" s="28" t="n">
        <x:v>0</x:v>
      </x:c>
      <x:c r="Y65" s="28" t="n">
        <x:v>1</x:v>
      </x:c>
      <x:c r="Z65" s="31"/>
      <x:c r="AA65" s="22" t="str"/>
      <x:c r="AB65" s="34"/>
      <x:c r="AC65" s="25" t="str"/>
      <x:c r="AD65" s="25" t="str">
        <x:v>L2025-00017-2/1. BOQ for Zaytun Library_non-priced for 2 stages.xlsx</x:v>
      </x:c>
      <x:c r="AE65" s="25" t="str">
        <x:v>Sheet1 수량·단가 표</x:v>
      </x:c>
      <x:c r="AF65" s="25" t="str">
        <x:v>도서관 부분자료이며 품목별 현지 단가 부재</x:v>
      </x:c>
      <x:c r="AG65" s="25" t="str">
        <x:v>이라크 단가 라이브러리와 품목·시점·지역 적합성 검토 후 결합</x:v>
      </x:c>
      <x:c r="AH65" s="25" t="str">
        <x:v>수동검증완료</x:v>
      </x:c>
      <x:c r="AI65" s="25" t="str">
        <x:v>L2025-00017-1;L2025-00017-2;L2025-00045-1;L2025-00045-2</x:v>
      </x:c>
      <x:c r="AJ65" s="25" t="str">
        <x:v>A도 첨부 가격단계 범위의 사업별 추정만 가능; 국가단가·계약가·준공가를 의미하지 않음</x:v>
      </x:c>
    </x:row>
    <x:row r="66">
      <x:c r="A66" s="22" t="str">
        <x:v>C</x:v>
      </x:c>
      <x:c r="B66" s="22" t="str">
        <x:v>C?</x:v>
      </x:c>
      <x:c r="C66" s="22" t="str">
        <x:v>인도네시아</x:v>
      </x:c>
      <x:c r="D66" s="22" t="str">
        <x:v>2021-00009</x:v>
      </x:c>
      <x:c r="E66" s="25" t="str">
        <x:v>인도네시아 국립대학교 ICT기반 통합지식교육센터 구축 사업(21·26/985만불) 시공 용역</x:v>
      </x:c>
      <x:c r="F66" s="25" t="str"/>
      <x:c r="G66" s="22" t="str">
        <x:v>UNKNOWN</x:v>
      </x:c>
      <x:c r="H66" s="22" t="str">
        <x:v>PLAN_CEILING</x:v>
      </x:c>
      <x:c r="I66" s="22" t="str">
        <x:v>V1</x:v>
      </x:c>
      <x:c r="J66" s="28" t="n">
        <x:v>1</x:v>
      </x:c>
      <x:c r="K66" s="28" t="n">
        <x:v>2</x:v>
      </x:c>
      <x:c r="L66" s="28" t="n">
        <x:v>0</x:v>
      </x:c>
      <x:c r="M66" s="28" t="n">
        <x:v>0</x:v>
      </x:c>
      <x:c r="N66" s="28" t="n">
        <x:v>0</x:v>
      </x:c>
      <x:c r="O66" s="28" t="n">
        <x:v>0</x:v>
      </x:c>
      <x:c r="P66" s="28" t="n">
        <x:v>0</x:v>
      </x:c>
      <x:c r="Q66" s="28" t="n">
        <x:v>0</x:v>
      </x:c>
      <x:c r="R66" s="28" t="n">
        <x:v>0</x:v>
      </x:c>
      <x:c r="S66" s="28" t="n">
        <x:v>0</x:v>
      </x:c>
      <x:c r="T66" s="28" t="n">
        <x:v>0</x:v>
      </x:c>
      <x:c r="U66" s="22" t="str">
        <x:v>7687</x:v>
      </x:c>
      <x:c r="V66" s="28" t="n">
        <x:v>0</x:v>
      </x:c>
      <x:c r="W66" s="28" t="n">
        <x:v>0</x:v>
      </x:c>
      <x:c r="X66" s="28" t="n">
        <x:v>1</x:v>
      </x:c>
      <x:c r="Y66" s="28" t="n">
        <x:v>0</x:v>
      </x:c>
      <x:c r="Z66" s="31"/>
      <x:c r="AA66" s="22" t="str"/>
      <x:c r="AB66" s="34"/>
      <x:c r="AC66" s="25" t="str"/>
      <x:c r="AD66" s="25" t="str"/>
      <x:c r="AE66" s="25" t="str"/>
      <x:c r="AF66" s="25" t="str">
        <x:v>품목 수량·단가 또는 범위 일치 GFA·공사금액 부족</x:v>
      </x:c>
      <x:c r="AG66" s="25" t="str">
        <x:v>첨부 추가수집·OCR·수동검토 또는 설계/계약 BOQ 확보</x:v>
      </x:c>
      <x:c r="AH66" s="25" t="str">
        <x:v>자동판정(V2)</x:v>
      </x:c>
      <x:c r="AI66" s="25" t="str">
        <x:v>L2024-00063-1;L2025-00004-1</x:v>
      </x:c>
      <x:c r="AJ66" s="25" t="str">
        <x:v>A도 첨부 가격단계 범위의 사업별 추정만 가능; 국가단가·계약가·준공가를 의미하지 않음</x:v>
      </x:c>
    </x:row>
    <x:row r="67">
      <x:c r="A67" s="22" t="str">
        <x:v>C</x:v>
      </x:c>
      <x:c r="B67" s="22" t="str">
        <x:v>C?</x:v>
      </x:c>
      <x:c r="C67" s="22" t="str">
        <x:v>인도네시아</x:v>
      </x:c>
      <x:c r="D67" s="22" t="str">
        <x:v>2021-00156</x:v>
      </x:c>
      <x:c r="E67" s="25" t="str">
        <x:v>인도네시아 보고르대학교 농업생명과학연구센터 역량강화 사업(21·28/1,100만불)</x:v>
      </x:c>
      <x:c r="F67" s="25" t="str"/>
      <x:c r="G67" s="22" t="str">
        <x:v>UNKNOWN</x:v>
      </x:c>
      <x:c r="H67" s="22" t="str">
        <x:v>PLAN_CEILING</x:v>
      </x:c>
      <x:c r="I67" s="22" t="str">
        <x:v>V1</x:v>
      </x:c>
      <x:c r="J67" s="28" t="n">
        <x:v>1</x:v>
      </x:c>
      <x:c r="K67" s="28" t="n">
        <x:v>2</x:v>
      </x:c>
      <x:c r="L67" s="28" t="n">
        <x:v>16</x:v>
      </x:c>
      <x:c r="M67" s="28" t="n">
        <x:v>0</x:v>
      </x:c>
      <x:c r="N67" s="28" t="n">
        <x:v>16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</x:v>
      </x:c>
      <x:c r="U67" s="22" t="str">
        <x:v>2281.2</x:v>
      </x:c>
      <x:c r="V67" s="28" t="n">
        <x:v>0</x:v>
      </x:c>
      <x:c r="W67" s="28" t="n">
        <x:v>0</x:v>
      </x:c>
      <x:c r="X67" s="28" t="n">
        <x:v>1</x:v>
      </x:c>
      <x:c r="Y67" s="28" t="n">
        <x:v>0</x:v>
      </x:c>
      <x:c r="Z67" s="31"/>
      <x:c r="AA67" s="22" t="str"/>
      <x:c r="AB67" s="34"/>
      <x:c r="AC67" s="25" t="str"/>
      <x:c r="AD67" s="25" t="str"/>
      <x:c r="AE67" s="25" t="str"/>
      <x:c r="AF67" s="25" t="str">
        <x:v>품목 수량·단가 또는 범위 일치 GFA·공사금액 부족</x:v>
      </x:c>
      <x:c r="AG67" s="25" t="str">
        <x:v>첨부 추가수집·OCR·수동검토 또는 설계/계약 BOQ 확보</x:v>
      </x:c>
      <x:c r="AH67" s="25" t="str">
        <x:v>자동판정(V2)</x:v>
      </x:c>
      <x:c r="AI67" s="25" t="str">
        <x:v>L2024-00052-1;L2025-00079-1</x:v>
      </x:c>
      <x:c r="AJ67" s="25" t="str">
        <x:v>A도 첨부 가격단계 범위의 사업별 추정만 가능; 국가단가·계약가·준공가를 의미하지 않음</x:v>
      </x:c>
    </x:row>
    <x:row r="68">
      <x:c r="A68" s="22" t="str">
        <x:v>C</x:v>
      </x:c>
      <x:c r="B68" s="22" t="str">
        <x:v>U</x:v>
      </x:c>
      <x:c r="C68" s="22" t="str">
        <x:v>인도네시아</x:v>
      </x:c>
      <x:c r="D68" s="22" t="str">
        <x:v>2022-00079</x:v>
      </x:c>
      <x:c r="E68" s="25" t="str">
        <x:v>인도네시아 사이버보안 전문인력양성 역량강화사업('22·'27/740만불) 사이버보안 훈련센터 신축공사 시공사 선정</x:v>
      </x:c>
      <x:c r="F68" s="25" t="str">
        <x:v>인도네시아 사이버보안 훈련센터 신축공사 시공사 선정</x:v>
      </x:c>
      <x:c r="G68" s="22" t="str">
        <x:v>UNKNOWN</x:v>
      </x:c>
      <x:c r="H68" s="22" t="str">
        <x:v>NONE_UNKNOWN</x:v>
      </x:c>
      <x:c r="I68" s="22" t="str">
        <x:v>V2</x:v>
      </x:c>
      <x:c r="J68" s="28" t="n">
        <x:v>1</x:v>
      </x:c>
      <x:c r="K68" s="28" t="n">
        <x:v>3</x:v>
      </x:c>
      <x:c r="L68" s="28" t="n">
        <x:v>24</x:v>
      </x:c>
      <x:c r="M68" s="28" t="n">
        <x:v>12</x:v>
      </x:c>
      <x:c r="N68" s="28" t="n">
        <x:v>24</x:v>
      </x:c>
      <x:c r="O68" s="28" t="n">
        <x:v>0</x:v>
      </x:c>
      <x:c r="P68" s="28" t="n">
        <x:v>0</x:v>
      </x:c>
      <x:c r="Q68" s="28" t="n">
        <x:v>0</x:v>
      </x:c>
      <x:c r="R68" s="28" t="n">
        <x:v>0</x:v>
      </x:c>
      <x:c r="S68" s="28" t="n">
        <x:v>0</x:v>
      </x:c>
      <x:c r="T68" s="28" t="n">
        <x:v>0</x:v>
      </x:c>
      <x:c r="U68" s="22" t="str"/>
      <x:c r="V68" s="28" t="n">
        <x:v>0</x:v>
      </x:c>
      <x:c r="W68" s="28" t="n">
        <x:v>0</x:v>
      </x:c>
      <x:c r="X68" s="28" t="n">
        <x:v>1</x:v>
      </x:c>
      <x:c r="Y68" s="28" t="n">
        <x:v>0</x:v>
      </x:c>
      <x:c r="Z68" s="31"/>
      <x:c r="AA68" s="22" t="str"/>
      <x:c r="AB68" s="34"/>
      <x:c r="AC68" s="25" t="str"/>
      <x:c r="AD68" s="25" t="str"/>
      <x:c r="AE68" s="25" t="str"/>
      <x:c r="AF68" s="25" t="str">
        <x:v>품목 수량·단가 또는 범위 일치 GFA·공사금액 부족</x:v>
      </x:c>
      <x:c r="AG68" s="25" t="str">
        <x:v>첨부 추가수집·OCR·수동검토 또는 설계/계약 BOQ 확보</x:v>
      </x:c>
      <x:c r="AH68" s="25" t="str">
        <x:v>자동판정(V2)</x:v>
      </x:c>
      <x:c r="AI68" s="25" t="str">
        <x:v>L2023-00071-1;L2024-00053-1;L2025-00002-1</x:v>
      </x:c>
      <x:c r="AJ68" s="25" t="str">
        <x:v>A도 첨부 가격단계 범위의 사업별 추정만 가능; 국가단가·계약가·준공가를 의미하지 않음</x:v>
      </x:c>
    </x:row>
    <x:row r="69">
      <x:c r="A69" s="22" t="str">
        <x:v>C</x:v>
      </x:c>
      <x:c r="B69" s="22" t="str">
        <x:v>U</x:v>
      </x:c>
      <x:c r="C69" s="22" t="str">
        <x:v>인도네시아</x:v>
      </x:c>
      <x:c r="D69" s="22" t="str">
        <x:v>2022-00084</x:v>
      </x:c>
      <x:c r="E69" s="25" t="str">
        <x:v>인도네시아 재난대응 공공의료 훈련 역량강화사업('22·'28/1,200만불)</x:v>
      </x:c>
      <x:c r="F69" s="25" t="str"/>
      <x:c r="G69" s="22" t="str">
        <x:v>UNKNOWN</x:v>
      </x:c>
      <x:c r="H69" s="22" t="str">
        <x:v>NONE_UNKNOWN</x:v>
      </x:c>
      <x:c r="I69" s="22" t="str">
        <x:v>V0</x:v>
      </x:c>
      <x:c r="J69" s="28" t="n">
        <x:v>1</x:v>
      </x:c>
      <x:c r="K69" s="28" t="n">
        <x:v>2</x:v>
      </x:c>
      <x:c r="L69" s="28" t="n">
        <x:v>0</x:v>
      </x:c>
      <x:c r="M69" s="28" t="n">
        <x:v>0</x:v>
      </x:c>
      <x:c r="N69" s="28" t="n">
        <x:v>0</x:v>
      </x:c>
      <x:c r="O69" s="28" t="n">
        <x:v>0</x:v>
      </x:c>
      <x:c r="P69" s="28" t="n">
        <x:v>0</x:v>
      </x:c>
      <x:c r="Q69" s="28" t="n">
        <x:v>0</x:v>
      </x:c>
      <x:c r="R69" s="28" t="n">
        <x:v>0</x:v>
      </x:c>
      <x:c r="S69" s="28" t="n">
        <x:v>0</x:v>
      </x:c>
      <x:c r="T69" s="28" t="n">
        <x:v>0</x:v>
      </x:c>
      <x:c r="U69" s="22" t="str"/>
      <x:c r="V69" s="28" t="n">
        <x:v>0</x:v>
      </x:c>
      <x:c r="W69" s="28" t="n">
        <x:v>0</x:v>
      </x:c>
      <x:c r="X69" s="28" t="n">
        <x:v>1</x:v>
      </x:c>
      <x:c r="Y69" s="28" t="n">
        <x:v>0</x:v>
      </x:c>
      <x:c r="Z69" s="31"/>
      <x:c r="AA69" s="22" t="str"/>
      <x:c r="AB69" s="34"/>
      <x:c r="AC69" s="25" t="str"/>
      <x:c r="AD69" s="25" t="str"/>
      <x:c r="AE69" s="25" t="str"/>
      <x:c r="AF69" s="25" t="str">
        <x:v>품목 수량·단가 또는 범위 일치 GFA·공사금액 부족</x:v>
      </x:c>
      <x:c r="AG69" s="25" t="str">
        <x:v>첨부 추가수집·OCR·수동검토 또는 설계/계약 BOQ 확보</x:v>
      </x:c>
      <x:c r="AH69" s="25" t="str">
        <x:v>자동판정(V2)</x:v>
      </x:c>
      <x:c r="AI69" s="25" t="str">
        <x:v>L2025-00090-1;L2025-00090-2</x:v>
      </x:c>
      <x:c r="AJ69" s="25" t="str">
        <x:v>A도 첨부 가격단계 범위의 사업별 추정만 가능; 국가단가·계약가·준공가를 의미하지 않음</x:v>
      </x:c>
    </x:row>
    <x:row r="70">
      <x:c r="A70" s="22" t="str">
        <x:v>C</x:v>
      </x:c>
      <x:c r="B70" s="22" t="str">
        <x:v>U</x:v>
      </x:c>
      <x:c r="C70" s="22" t="str">
        <x:v>카메룬</x:v>
      </x:c>
      <x:c r="D70" s="22" t="str">
        <x:v>2016-00022</x:v>
      </x:c>
      <x:c r="E70" s="25" t="str">
        <x:v>카메룬 국립직업훈련교육원 건립사업(`13-`21/680만불)...</x:v>
      </x:c>
      <x:c r="F70" s="25" t="str"/>
      <x:c r="G70" s="22" t="str">
        <x:v>UNKNOWN</x:v>
      </x:c>
      <x:c r="H70" s="22" t="str">
        <x:v>NONE_UNKNOWN</x:v>
      </x:c>
      <x:c r="I70" s="22" t="str">
        <x:v>V0</x:v>
      </x:c>
      <x:c r="J70" s="28" t="n">
        <x:v>1</x:v>
      </x:c>
      <x:c r="K70" s="28" t="n">
        <x:v>0</x:v>
      </x:c>
      <x:c r="L70" s="28" t="n">
        <x:v>0</x:v>
      </x:c>
      <x:c r="M70" s="28" t="n">
        <x:v>0</x:v>
      </x:c>
      <x:c r="N70" s="28" t="n">
        <x:v>0</x:v>
      </x:c>
      <x:c r="O70" s="28" t="n">
        <x:v>0</x:v>
      </x:c>
      <x:c r="P70" s="28" t="n">
        <x:v>0</x:v>
      </x:c>
      <x:c r="Q70" s="28" t="n">
        <x:v>0</x:v>
      </x:c>
      <x:c r="R70" s="28" t="n">
        <x:v>0</x:v>
      </x:c>
      <x:c r="S70" s="28" t="n">
        <x:v>0</x:v>
      </x:c>
      <x:c r="T70" s="28" t="n">
        <x:v>0</x:v>
      </x:c>
      <x:c r="U70" s="22" t="str"/>
      <x:c r="V70" s="28" t="n">
        <x:v>0</x:v>
      </x:c>
      <x:c r="W70" s="28" t="n">
        <x:v>0</x:v>
      </x:c>
      <x:c r="X70" s="28" t="n">
        <x:v>1</x:v>
      </x:c>
      <x:c r="Y70" s="28" t="n">
        <x:v>0</x:v>
      </x:c>
      <x:c r="Z70" s="31"/>
      <x:c r="AA70" s="22" t="str"/>
      <x:c r="AB70" s="34"/>
      <x:c r="AC70" s="25" t="str"/>
      <x:c r="AD70" s="25" t="str"/>
      <x:c r="AE70" s="25" t="str"/>
      <x:c r="AF70" s="25" t="str">
        <x:v>품목 수량·단가 또는 범위 일치 GFA·공사금액 부족</x:v>
      </x:c>
      <x:c r="AG70" s="25" t="str">
        <x:v>첨부 추가수집·OCR·수동검토 또는 설계/계약 BOQ 확보</x:v>
      </x:c>
      <x:c r="AH70" s="25" t="str">
        <x:v>자동판정(V2)</x:v>
      </x:c>
      <x:c r="AI70" s="25" t="str"/>
      <x:c r="AJ70" s="25" t="str">
        <x:v>A도 첨부 가격단계 범위의 사업별 추정만 가능; 국가단가·계약가·준공가를 의미하지 않음</x:v>
      </x:c>
    </x:row>
    <x:row r="71">
      <x:c r="A71" s="22" t="str">
        <x:v>C</x:v>
      </x:c>
      <x:c r="B71" s="22" t="str">
        <x:v>U</x:v>
      </x:c>
      <x:c r="C71" s="22" t="str">
        <x:v>카메룬</x:v>
      </x:c>
      <x:c r="D71" s="22" t="str">
        <x:v>2022-00142</x:v>
      </x:c>
      <x:c r="E71" s="25" t="str">
        <x:v>카메룬 전자정부 인식개선 및 역량강화 사업 신축 시공 용역</x:v>
      </x:c>
      <x:c r="F71" s="25" t="str"/>
      <x:c r="G71" s="22" t="str">
        <x:v>UNKNOWN</x:v>
      </x:c>
      <x:c r="H71" s="22" t="str">
        <x:v>NONE_UNKNOWN</x:v>
      </x:c>
      <x:c r="I71" s="22" t="str">
        <x:v>V0</x:v>
      </x:c>
      <x:c r="J71" s="28" t="n">
        <x:v>2</x:v>
      </x:c>
      <x:c r="K71" s="28" t="n">
        <x:v>4</x:v>
      </x:c>
      <x:c r="L71" s="28" t="n">
        <x:v>0</x:v>
      </x:c>
      <x:c r="M71" s="28" t="n">
        <x:v>0</x:v>
      </x:c>
      <x:c r="N71" s="28" t="n">
        <x:v>0</x:v>
      </x:c>
      <x:c r="O71" s="28" t="n">
        <x:v>0</x:v>
      </x:c>
      <x:c r="P71" s="28" t="n">
        <x:v>0</x:v>
      </x:c>
      <x:c r="Q71" s="28" t="n">
        <x:v>0</x:v>
      </x:c>
      <x:c r="R71" s="28" t="n">
        <x:v>0</x:v>
      </x:c>
      <x:c r="S71" s="28" t="n">
        <x:v>0</x:v>
      </x:c>
      <x:c r="T71" s="28" t="n">
        <x:v>0</x:v>
      </x:c>
      <x:c r="U71" s="22" t="str"/>
      <x:c r="V71" s="28" t="n">
        <x:v>0</x:v>
      </x:c>
      <x:c r="W71" s="28" t="n">
        <x:v>0</x:v>
      </x:c>
      <x:c r="X71" s="28" t="n">
        <x:v>1</x:v>
      </x:c>
      <x:c r="Y71" s="28" t="n">
        <x:v>0</x:v>
      </x:c>
      <x:c r="Z71" s="31"/>
      <x:c r="AA71" s="22" t="str"/>
      <x:c r="AB71" s="34"/>
      <x:c r="AC71" s="25" t="str"/>
      <x:c r="AD71" s="25" t="str"/>
      <x:c r="AE71" s="25" t="str"/>
      <x:c r="AF71" s="25" t="str">
        <x:v>품목 수량·단가 또는 범위 일치 GFA·공사금액 부족</x:v>
      </x:c>
      <x:c r="AG71" s="25" t="str">
        <x:v>첨부 추가수집·OCR·수동검토 또는 설계/계약 BOQ 확보</x:v>
      </x:c>
      <x:c r="AH71" s="25" t="str">
        <x:v>자동판정(V2)</x:v>
      </x:c>
      <x:c r="AI71" s="25" t="str">
        <x:v>L2024-00015-1;L2024-00015-2;L2025-00032-1;L2025-00032-2</x:v>
      </x:c>
      <x:c r="AJ71" s="25" t="str">
        <x:v>A도 첨부 가격단계 범위의 사업별 추정만 가능; 국가단가·계약가·준공가를 의미하지 않음</x:v>
      </x:c>
    </x:row>
    <x:row r="72">
      <x:c r="A72" s="22" t="str">
        <x:v>C</x:v>
      </x:c>
      <x:c r="B72" s="22" t="str">
        <x:v>U</x:v>
      </x:c>
      <x:c r="C72" s="22" t="str">
        <x:v>카메룬</x:v>
      </x:c>
      <x:c r="D72" s="22" t="str">
        <x:v>2023-00084</x:v>
      </x:c>
      <x:c r="E72" s="25" t="str">
        <x:v>카메룬 응급의료체계 구축 사업('23·'28/1,400만불) 건축 설계 용역</x:v>
      </x:c>
      <x:c r="F72" s="25" t="str"/>
      <x:c r="G72" s="22" t="str">
        <x:v>UNKNOWN</x:v>
      </x:c>
      <x:c r="H72" s="22" t="str">
        <x:v>NONE_UNKNOWN</x:v>
      </x:c>
      <x:c r="I72" s="22" t="str">
        <x:v>V0</x:v>
      </x:c>
      <x:c r="J72" s="28" t="n">
        <x:v>1</x:v>
      </x:c>
      <x:c r="K72" s="28" t="n">
        <x:v>0</x:v>
      </x:c>
      <x:c r="L72" s="28" t="n">
        <x:v>0</x:v>
      </x:c>
      <x:c r="M72" s="28" t="n">
        <x:v>0</x:v>
      </x:c>
      <x:c r="N72" s="28" t="n">
        <x:v>0</x:v>
      </x:c>
      <x:c r="O72" s="28" t="n">
        <x:v>0</x:v>
      </x:c>
      <x:c r="P72" s="28" t="n">
        <x:v>0</x:v>
      </x:c>
      <x:c r="Q72" s="28" t="n">
        <x:v>0</x:v>
      </x:c>
      <x:c r="R72" s="28" t="n">
        <x:v>0</x:v>
      </x:c>
      <x:c r="S72" s="28" t="n">
        <x:v>0</x:v>
      </x:c>
      <x:c r="T72" s="28" t="n">
        <x:v>0</x:v>
      </x:c>
      <x:c r="U72" s="22" t="str"/>
      <x:c r="V72" s="28" t="n">
        <x:v>0</x:v>
      </x:c>
      <x:c r="W72" s="28" t="n">
        <x:v>0</x:v>
      </x:c>
      <x:c r="X72" s="28" t="n">
        <x:v>1</x:v>
      </x:c>
      <x:c r="Y72" s="28" t="n">
        <x:v>0</x:v>
      </x:c>
      <x:c r="Z72" s="31"/>
      <x:c r="AA72" s="22" t="str"/>
      <x:c r="AB72" s="34"/>
      <x:c r="AC72" s="25" t="str"/>
      <x:c r="AD72" s="25" t="str"/>
      <x:c r="AE72" s="25" t="str"/>
      <x:c r="AF72" s="25" t="str">
        <x:v>품목 수량·단가 또는 범위 일치 GFA·공사금액 부족</x:v>
      </x:c>
      <x:c r="AG72" s="25" t="str">
        <x:v>첨부 추가수집·OCR·수동검토 또는 설계/계약 BOQ 확보</x:v>
      </x:c>
      <x:c r="AH72" s="25" t="str">
        <x:v>자동판정(V2)</x:v>
      </x:c>
      <x:c r="AI72" s="25" t="str"/>
      <x:c r="AJ72" s="25" t="str">
        <x:v>A도 첨부 가격단계 범위의 사업별 추정만 가능; 국가단가·계약가·준공가를 의미하지 않음</x:v>
      </x:c>
    </x:row>
    <x:row r="73">
      <x:c r="A73" s="22" t="str">
        <x:v>B</x:v>
      </x:c>
      <x:c r="B73" s="22" t="str">
        <x:v>B</x:v>
      </x:c>
      <x:c r="C73" s="22" t="str">
        <x:v>캄보디아</x:v>
      </x:c>
      <x:c r="D73" s="22" t="str">
        <x:v>2022-00027</x:v>
      </x:c>
      <x:c r="E73" s="25" t="str">
        <x:v>캄보디아 국립소아병원 내과계 병동건립 및 의료인력 역량강화사업(22·27/1,600만불) 시공입찰</x:v>
      </x:c>
      <x:c r="F73" s="25" t="str">
        <x:v>캄보디아 국립어린이병원 내과계 병동건립 및 의료인력역량 강화사업 내과계 병동 신축공사 시공사 선정 입찰</x:v>
      </x:c>
      <x:c r="G73" s="22" t="str">
        <x:v>FULL</x:v>
      </x:c>
      <x:c r="H73" s="22" t="str">
        <x:v>NONE</x:v>
      </x:c>
      <x:c r="I73" s="22" t="str">
        <x:v>V3</x:v>
      </x:c>
      <x:c r="J73" s="28" t="n">
        <x:v>2</x:v>
      </x:c>
      <x:c r="K73" s="28" t="n">
        <x:v>1</x:v>
      </x:c>
      <x:c r="L73" s="28" t="n">
        <x:v>9</x:v>
      </x:c>
      <x:c r="M73" s="28" t="n">
        <x:v>9</x:v>
      </x:c>
      <x:c r="N73" s="28" t="n">
        <x:v>9</x:v>
      </x:c>
      <x:c r="O73" s="28" t="n">
        <x:v>1</x:v>
      </x:c>
      <x:c r="P73" s="28" t="n">
        <x:v>1</x:v>
      </x:c>
      <x:c r="Q73" s="28" t="n">
        <x:v>1</x:v>
      </x:c>
      <x:c r="R73" s="28" t="n">
        <x:v>0</x:v>
      </x:c>
      <x:c r="S73" s="28" t="n">
        <x:v>452</x:v>
      </x:c>
      <x:c r="T73" s="28" t="n">
        <x:v>0</x:v>
      </x:c>
      <x:c r="U73" s="22" t="str">
        <x:v>8880</x:v>
      </x:c>
      <x:c r="V73" s="28" t="n">
        <x:v>0</x:v>
      </x:c>
      <x:c r="W73" s="28" t="n">
        <x:v>1</x:v>
      </x:c>
      <x:c r="X73" s="28" t="n">
        <x:v>0</x:v>
      </x:c>
      <x:c r="Y73" s="28" t="n">
        <x:v>1</x:v>
      </x:c>
      <x:c r="Z73" s="31"/>
      <x:c r="AA73" s="22" t="str"/>
      <x:c r="AB73" s="34"/>
      <x:c r="AC73" s="25" t="str"/>
      <x:c r="AD73" s="25" t="str">
        <x:v>L2025-00073-1/.../Section 4_BLANK BOQ.xlsx</x:v>
      </x:c>
      <x:c r="AE73" s="25" t="str">
        <x:v>Bill 1.0~6.6, 대표 Bill 4.3 수량표</x:v>
      </x:c>
      <x:c r="AF73" s="25" t="str">
        <x:v>품목별 캄보디아 현지 단가 부재</x:v>
      </x:c>
      <x:c r="AG73" s="25" t="str">
        <x:v>공종별 BOQ 통합 후 현지단가 결합</x:v>
      </x:c>
      <x:c r="AH73" s="25" t="str">
        <x:v>수동검증완료</x:v>
      </x:c>
      <x:c r="AI73" s="25" t="str">
        <x:v>L2025-00073-1</x:v>
      </x:c>
      <x:c r="AJ73" s="25" t="str">
        <x:v>A도 첨부 가격단계 범위의 사업별 추정만 가능; 국가단가·계약가·준공가를 의미하지 않음</x:v>
      </x:c>
    </x:row>
    <x:row r="74">
      <x:c r="A74" s="22" t="str">
        <x:v>C</x:v>
      </x:c>
      <x:c r="B74" s="22" t="str">
        <x:v>U</x:v>
      </x:c>
      <x:c r="C74" s="22" t="str">
        <x:v>캄보디아</x:v>
      </x:c>
      <x:c r="D74" s="22" t="str">
        <x:v>2013-00054</x:v>
      </x:c>
      <x:c r="E74" s="25" t="str">
        <x:v>캄보디아 민간항공 관리역량 제고 및 교육센터 건립사업('13-'18/1,...</x:v>
      </x:c>
      <x:c r="F74" s="25" t="str"/>
      <x:c r="G74" s="22" t="str">
        <x:v>UNKNOWN</x:v>
      </x:c>
      <x:c r="H74" s="22" t="str">
        <x:v>NONE_UNKNOWN</x:v>
      </x:c>
      <x:c r="I74" s="22" t="str">
        <x:v>V0</x:v>
      </x:c>
      <x:c r="J74" s="28" t="n">
        <x:v>1</x:v>
      </x:c>
      <x:c r="K74" s="28" t="n">
        <x:v>0</x:v>
      </x:c>
      <x:c r="L74" s="28" t="n">
        <x:v>0</x:v>
      </x:c>
      <x:c r="M74" s="28" t="n">
        <x:v>0</x:v>
      </x:c>
      <x:c r="N74" s="28" t="n">
        <x:v>0</x:v>
      </x:c>
      <x:c r="O74" s="28" t="n">
        <x:v>0</x:v>
      </x:c>
      <x:c r="P74" s="28" t="n">
        <x:v>0</x:v>
      </x:c>
      <x:c r="Q74" s="28" t="n">
        <x:v>0</x:v>
      </x:c>
      <x:c r="R74" s="28" t="n">
        <x:v>0</x:v>
      </x:c>
      <x:c r="S74" s="28" t="n">
        <x:v>0</x:v>
      </x:c>
      <x:c r="T74" s="28" t="n">
        <x:v>0</x:v>
      </x:c>
      <x:c r="U74" s="22" t="str"/>
      <x:c r="V74" s="28" t="n">
        <x:v>0</x:v>
      </x:c>
      <x:c r="W74" s="28" t="n">
        <x:v>0</x:v>
      </x:c>
      <x:c r="X74" s="28" t="n">
        <x:v>1</x:v>
      </x:c>
      <x:c r="Y74" s="28" t="n">
        <x:v>0</x:v>
      </x:c>
      <x:c r="Z74" s="31"/>
      <x:c r="AA74" s="22" t="str"/>
      <x:c r="AB74" s="34"/>
      <x:c r="AC74" s="25" t="str"/>
      <x:c r="AD74" s="25" t="str"/>
      <x:c r="AE74" s="25" t="str"/>
      <x:c r="AF74" s="25" t="str">
        <x:v>품목 수량·단가 또는 범위 일치 GFA·공사금액 부족</x:v>
      </x:c>
      <x:c r="AG74" s="25" t="str">
        <x:v>첨부 추가수집·OCR·수동검토 또는 설계/계약 BOQ 확보</x:v>
      </x:c>
      <x:c r="AH74" s="25" t="str">
        <x:v>자동판정(V2)</x:v>
      </x:c>
      <x:c r="AI74" s="25" t="str"/>
      <x:c r="AJ74" s="25" t="str">
        <x:v>A도 첨부 가격단계 범위의 사업별 추정만 가능; 국가단가·계약가·준공가를 의미하지 않음</x:v>
      </x:c>
    </x:row>
    <x:row r="75">
      <x:c r="A75" s="22" t="str">
        <x:v>C</x:v>
      </x:c>
      <x:c r="B75" s="22" t="str">
        <x:v>U</x:v>
      </x:c>
      <x:c r="C75" s="22" t="str">
        <x:v>캄보디아</x:v>
      </x:c>
      <x:c r="D75" s="22" t="str">
        <x:v>2024-00015</x:v>
      </x:c>
      <x:c r="E75" s="25" t="str">
        <x:v>캄보디아 당까오 후송병원 공공의료서비스 개선사업 병원설계용역</x:v>
      </x:c>
      <x:c r="F75" s="25" t="str"/>
      <x:c r="G75" s="22" t="str">
        <x:v>UNKNOWN</x:v>
      </x:c>
      <x:c r="H75" s="22" t="str">
        <x:v>NONE_UNKNOWN</x:v>
      </x:c>
      <x:c r="I75" s="22" t="str">
        <x:v>V0</x:v>
      </x:c>
      <x:c r="J75" s="28" t="n">
        <x:v>1</x:v>
      </x:c>
      <x:c r="K75" s="28" t="n">
        <x:v>1</x:v>
      </x:c>
      <x:c r="L75" s="28" t="n">
        <x:v>19</x:v>
      </x:c>
      <x:c r="M75" s="28" t="n">
        <x:v>0</x:v>
      </x:c>
      <x:c r="N75" s="28" t="n">
        <x:v>19</x:v>
      </x:c>
      <x:c r="O75" s="28" t="n">
        <x:v>0</x:v>
      </x:c>
      <x:c r="P75" s="28" t="n">
        <x:v>0</x:v>
      </x:c>
      <x:c r="Q75" s="28" t="n">
        <x:v>0</x:v>
      </x:c>
      <x:c r="R75" s="28" t="n">
        <x:v>0</x:v>
      </x:c>
      <x:c r="S75" s="28" t="n">
        <x:v>0</x:v>
      </x:c>
      <x:c r="T75" s="28" t="n">
        <x:v>0</x:v>
      </x:c>
      <x:c r="U75" s="22" t="str">
        <x:v>3700</x:v>
      </x:c>
      <x:c r="V75" s="28" t="n">
        <x:v>0</x:v>
      </x:c>
      <x:c r="W75" s="28" t="n">
        <x:v>0</x:v>
      </x:c>
      <x:c r="X75" s="28" t="n">
        <x:v>1</x:v>
      </x:c>
      <x:c r="Y75" s="28" t="n">
        <x:v>0</x:v>
      </x:c>
      <x:c r="Z75" s="31"/>
      <x:c r="AA75" s="22" t="str"/>
      <x:c r="AB75" s="34"/>
      <x:c r="AC75" s="25" t="str"/>
      <x:c r="AD75" s="25" t="str"/>
      <x:c r="AE75" s="25" t="str"/>
      <x:c r="AF75" s="25" t="str">
        <x:v>품목 수량·단가 또는 범위 일치 GFA·공사금액 부족</x:v>
      </x:c>
      <x:c r="AG75" s="25" t="str">
        <x:v>첨부 추가수집·OCR·수동검토 또는 설계/계약 BOQ 확보</x:v>
      </x:c>
      <x:c r="AH75" s="25" t="str">
        <x:v>자동판정(V2)</x:v>
      </x:c>
      <x:c r="AI75" s="25" t="str">
        <x:v>L2025-00036-1</x:v>
      </x:c>
      <x:c r="AJ75" s="25" t="str">
        <x:v>A도 첨부 가격단계 범위의 사업별 추정만 가능; 국가단가·계약가·준공가를 의미하지 않음</x:v>
      </x:c>
    </x:row>
    <x:row r="76">
      <x:c r="A76" s="22" t="str">
        <x:v>C</x:v>
      </x:c>
      <x:c r="B76" s="22" t="str">
        <x:v>U</x:v>
      </x:c>
      <x:c r="C76" s="22" t="str">
        <x:v>케냐</x:v>
      </x:c>
      <x:c r="D76" s="22" t="str">
        <x:v>2024-02690</x:v>
      </x:c>
      <x:c r="E76" s="25" t="str">
        <x:v>케냐 분고마 주 보편적 식수접근성 향상을 위한 상수도 구축 및 통합적 운영관리 역량강화사업(25·32/1,300만불) PMC 용역</x:v>
      </x:c>
      <x:c r="F76" s="25" t="str"/>
      <x:c r="G76" s="22" t="str">
        <x:v>UNKNOWN</x:v>
      </x:c>
      <x:c r="H76" s="22" t="str">
        <x:v>NONE_UNKNOWN</x:v>
      </x:c>
      <x:c r="I76" s="22" t="str">
        <x:v>V0</x:v>
      </x:c>
      <x:c r="J76" s="28" t="n">
        <x:v>1</x:v>
      </x:c>
      <x:c r="K76" s="28" t="n">
        <x:v>0</x:v>
      </x:c>
      <x:c r="L76" s="28" t="n">
        <x:v>0</x:v>
      </x:c>
      <x:c r="M76" s="28" t="n">
        <x:v>0</x:v>
      </x:c>
      <x:c r="N76" s="28" t="n">
        <x:v>0</x:v>
      </x:c>
      <x:c r="O76" s="28" t="n">
        <x:v>0</x:v>
      </x:c>
      <x:c r="P76" s="28" t="n">
        <x:v>0</x:v>
      </x:c>
      <x:c r="Q76" s="28" t="n">
        <x:v>0</x:v>
      </x:c>
      <x:c r="R76" s="28" t="n">
        <x:v>0</x:v>
      </x:c>
      <x:c r="S76" s="28" t="n">
        <x:v>0</x:v>
      </x:c>
      <x:c r="T76" s="28" t="n">
        <x:v>0</x:v>
      </x:c>
      <x:c r="U76" s="22" t="str"/>
      <x:c r="V76" s="28" t="n">
        <x:v>0</x:v>
      </x:c>
      <x:c r="W76" s="28" t="n">
        <x:v>0</x:v>
      </x:c>
      <x:c r="X76" s="28" t="n">
        <x:v>1</x:v>
      </x:c>
      <x:c r="Y76" s="28" t="n">
        <x:v>0</x:v>
      </x:c>
      <x:c r="Z76" s="31"/>
      <x:c r="AA76" s="22" t="str"/>
      <x:c r="AB76" s="34"/>
      <x:c r="AC76" s="25" t="str"/>
      <x:c r="AD76" s="25" t="str"/>
      <x:c r="AE76" s="25" t="str"/>
      <x:c r="AF76" s="25" t="str">
        <x:v>품목 수량·단가 또는 범위 일치 GFA·공사금액 부족</x:v>
      </x:c>
      <x:c r="AG76" s="25" t="str">
        <x:v>첨부 추가수집·OCR·수동검토 또는 설계/계약 BOQ 확보</x:v>
      </x:c>
      <x:c r="AH76" s="25" t="str">
        <x:v>자동판정(V2)</x:v>
      </x:c>
      <x:c r="AI76" s="25" t="str"/>
      <x:c r="AJ76" s="25" t="str">
        <x:v>A도 첨부 가격단계 범위의 사업별 추정만 가능; 국가단가·계약가·준공가를 의미하지 않음</x:v>
      </x:c>
    </x:row>
    <x:row r="77">
      <x:c r="A77" s="22" t="str">
        <x:v>C</x:v>
      </x:c>
      <x:c r="B77" s="22" t="str">
        <x:v>U</x:v>
      </x:c>
      <x:c r="C77" s="22" t="str">
        <x:v>케냐</x:v>
      </x:c>
      <x:c r="D77" s="22" t="str"/>
      <x:c r="E77" s="25" t="str">
        <x:v>케냐 청년 생산적 고용 및 소득 증대를 위한 국가산업훈련청 아띠리버 센터 역량강화사업('24·'28/700만불) PMC 용역</x:v>
      </x:c>
      <x:c r="F77" s="25" t="str"/>
      <x:c r="G77" s="22" t="str">
        <x:v>UNKNOWN</x:v>
      </x:c>
      <x:c r="H77" s="22" t="str">
        <x:v>NONE_UNKNOWN</x:v>
      </x:c>
      <x:c r="I77" s="22" t="str">
        <x:v>V0</x:v>
      </x:c>
      <x:c r="J77" s="28" t="n">
        <x:v>1</x:v>
      </x:c>
      <x:c r="K77" s="28" t="n">
        <x:v>0</x:v>
      </x:c>
      <x:c r="L77" s="28" t="n">
        <x:v>0</x:v>
      </x:c>
      <x:c r="M77" s="28" t="n">
        <x:v>0</x:v>
      </x:c>
      <x:c r="N77" s="28" t="n">
        <x:v>0</x:v>
      </x:c>
      <x:c r="O77" s="28" t="n">
        <x:v>0</x:v>
      </x:c>
      <x:c r="P77" s="28" t="n">
        <x:v>0</x:v>
      </x:c>
      <x:c r="Q77" s="28" t="n">
        <x:v>0</x:v>
      </x:c>
      <x:c r="R77" s="28" t="n">
        <x:v>0</x:v>
      </x:c>
      <x:c r="S77" s="28" t="n">
        <x:v>0</x:v>
      </x:c>
      <x:c r="T77" s="28" t="n">
        <x:v>0</x:v>
      </x:c>
      <x:c r="U77" s="22" t="str"/>
      <x:c r="V77" s="28" t="n">
        <x:v>0</x:v>
      </x:c>
      <x:c r="W77" s="28" t="n">
        <x:v>0</x:v>
      </x:c>
      <x:c r="X77" s="28" t="n">
        <x:v>1</x:v>
      </x:c>
      <x:c r="Y77" s="28" t="n">
        <x:v>0</x:v>
      </x:c>
      <x:c r="Z77" s="31"/>
      <x:c r="AA77" s="22" t="str"/>
      <x:c r="AB77" s="34"/>
      <x:c r="AC77" s="25" t="str"/>
      <x:c r="AD77" s="25" t="str"/>
      <x:c r="AE77" s="25" t="str"/>
      <x:c r="AF77" s="25" t="str">
        <x:v>품목 수량·단가 또는 범위 일치 GFA·공사금액 부족</x:v>
      </x:c>
      <x:c r="AG77" s="25" t="str">
        <x:v>첨부 추가수집·OCR·수동검토 또는 설계/계약 BOQ 확보</x:v>
      </x:c>
      <x:c r="AH77" s="25" t="str">
        <x:v>자동판정(V2)</x:v>
      </x:c>
      <x:c r="AI77" s="25" t="str"/>
      <x:c r="AJ77" s="25" t="str">
        <x:v>A도 첨부 가격단계 범위의 사업별 추정만 가능; 국가단가·계약가·준공가를 의미하지 않음</x:v>
      </x:c>
    </x:row>
    <x:row r="78">
      <x:c r="A78" s="22" t="str">
        <x:v>C</x:v>
      </x:c>
      <x:c r="B78" s="22" t="str">
        <x:v>U</x:v>
      </x:c>
      <x:c r="C78" s="22" t="str">
        <x:v>코트디부아르</x:v>
      </x:c>
      <x:c r="D78" s="22" t="str">
        <x:v>2015-00019</x:v>
      </x:c>
      <x:c r="E78" s="25" t="str">
        <x:v>코트디부아르 한-코 협력센터 건립사업(15-20/950만불)...</x:v>
      </x:c>
      <x:c r="F78" s="25" t="str"/>
      <x:c r="G78" s="22" t="str">
        <x:v>UNKNOWN</x:v>
      </x:c>
      <x:c r="H78" s="22" t="str">
        <x:v>NONE_UNKNOWN</x:v>
      </x:c>
      <x:c r="I78" s="22" t="str">
        <x:v>V0</x:v>
      </x:c>
      <x:c r="J78" s="28" t="n">
        <x:v>1</x:v>
      </x:c>
      <x:c r="K78" s="28" t="n">
        <x:v>2</x:v>
      </x:c>
      <x:c r="L78" s="28" t="n">
        <x:v>19</x:v>
      </x:c>
      <x:c r="M78" s="28" t="n">
        <x:v>0</x:v>
      </x:c>
      <x:c r="N78" s="28" t="n">
        <x:v>19</x:v>
      </x:c>
      <x:c r="O78" s="28" t="n">
        <x:v>0</x:v>
      </x:c>
      <x:c r="P78" s="28" t="n">
        <x:v>0</x:v>
      </x:c>
      <x:c r="Q78" s="28" t="n">
        <x:v>0</x:v>
      </x:c>
      <x:c r="R78" s="28" t="n">
        <x:v>0</x:v>
      </x:c>
      <x:c r="S78" s="28" t="n">
        <x:v>0</x:v>
      </x:c>
      <x:c r="T78" s="28" t="n">
        <x:v>0</x:v>
      </x:c>
      <x:c r="U78" s="22" t="str"/>
      <x:c r="V78" s="28" t="n">
        <x:v>0</x:v>
      </x:c>
      <x:c r="W78" s="28" t="n">
        <x:v>0</x:v>
      </x:c>
      <x:c r="X78" s="28" t="n">
        <x:v>1</x:v>
      </x:c>
      <x:c r="Y78" s="28" t="n">
        <x:v>0</x:v>
      </x:c>
      <x:c r="Z78" s="31"/>
      <x:c r="AA78" s="22" t="str"/>
      <x:c r="AB78" s="34"/>
      <x:c r="AC78" s="25" t="str"/>
      <x:c r="AD78" s="25" t="str"/>
      <x:c r="AE78" s="25" t="str"/>
      <x:c r="AF78" s="25" t="str">
        <x:v>품목 수량·단가 또는 범위 일치 GFA·공사금액 부족</x:v>
      </x:c>
      <x:c r="AG78" s="25" t="str">
        <x:v>첨부 추가수집·OCR·수동검토 또는 설계/계약 BOQ 확보</x:v>
      </x:c>
      <x:c r="AH78" s="25" t="str">
        <x:v>자동판정(V2)</x:v>
      </x:c>
      <x:c r="AI78" s="25" t="str">
        <x:v>L2021-00022-1;L2021-00028-1</x:v>
      </x:c>
      <x:c r="AJ78" s="25" t="str">
        <x:v>A도 첨부 가격단계 범위의 사업별 추정만 가능; 국가단가·계약가·준공가를 의미하지 않음</x:v>
      </x:c>
    </x:row>
    <x:row r="79">
      <x:c r="A79" s="22" t="str">
        <x:v>C</x:v>
      </x:c>
      <x:c r="B79" s="22" t="str">
        <x:v>U</x:v>
      </x:c>
      <x:c r="C79" s="22" t="str">
        <x:v>코트디부아르</x:v>
      </x:c>
      <x:c r="D79" s="22" t="str">
        <x:v>2023-00067</x:v>
      </x:c>
      <x:c r="E79" s="25" t="str">
        <x:v>코트디부아르 펠릭스 우푸에 부아니대학교 ICT 교육역량 강화 및 ICT 혁신센터 설립 사업('23·'27/995만불) 리모델링 시공</x:v>
      </x:c>
      <x:c r="F79" s="25" t="str">
        <x:v>코트디부아르 펠릭스 우푸에 부아니대학교 ICT 교육역량 강화 및 ICT 혁신센터 설립사업 PETROCI 건물 리모델링 공사</x:v>
      </x:c>
      <x:c r="G79" s="22" t="str">
        <x:v>UNKNOWN</x:v>
      </x:c>
      <x:c r="H79" s="22" t="str">
        <x:v>NONE_UNKNOWN</x:v>
      </x:c>
      <x:c r="I79" s="22" t="str">
        <x:v>V2</x:v>
      </x:c>
      <x:c r="J79" s="28" t="n">
        <x:v>1</x:v>
      </x:c>
      <x:c r="K79" s="28" t="n">
        <x:v>4</x:v>
      </x:c>
      <x:c r="L79" s="28" t="n">
        <x:v>75</x:v>
      </x:c>
      <x:c r="M79" s="28" t="n">
        <x:v>27</x:v>
      </x:c>
      <x:c r="N79" s="28" t="n">
        <x:v>51</x:v>
      </x:c>
      <x:c r="O79" s="28" t="n">
        <x:v>1</x:v>
      </x:c>
      <x:c r="P79" s="28" t="n">
        <x:v>0</x:v>
      </x:c>
      <x:c r="Q79" s="28" t="n">
        <x:v>0</x:v>
      </x:c>
      <x:c r="R79" s="28" t="n">
        <x:v>0</x:v>
      </x:c>
      <x:c r="S79" s="28" t="n">
        <x:v>0</x:v>
      </x:c>
      <x:c r="T79" s="28" t="n">
        <x:v>0</x:v>
      </x:c>
      <x:c r="U79" s="22" t="str"/>
      <x:c r="V79" s="28" t="n">
        <x:v>0</x:v>
      </x:c>
      <x:c r="W79" s="28" t="n">
        <x:v>0</x:v>
      </x:c>
      <x:c r="X79" s="28" t="n">
        <x:v>1</x:v>
      </x:c>
      <x:c r="Y79" s="28" t="n">
        <x:v>0</x:v>
      </x:c>
      <x:c r="Z79" s="31"/>
      <x:c r="AA79" s="22" t="str"/>
      <x:c r="AB79" s="34"/>
      <x:c r="AC79" s="25" t="str"/>
      <x:c r="AD79" s="25" t="str"/>
      <x:c r="AE79" s="25" t="str"/>
      <x:c r="AF79" s="25" t="str">
        <x:v>품목 수량·단가 또는 범위 일치 GFA·공사금액 부족</x:v>
      </x:c>
      <x:c r="AG79" s="25" t="str">
        <x:v>첨부 추가수집·OCR·수동검토 또는 설계/계약 BOQ 확보</x:v>
      </x:c>
      <x:c r="AH79" s="25" t="str">
        <x:v>자동판정(V2)</x:v>
      </x:c>
      <x:c r="AI79" s="25" t="str">
        <x:v>L2024-00048-1;L2024-00056-1;L2024-00056-2;L2025-00052-1</x:v>
      </x:c>
      <x:c r="AJ79" s="25" t="str">
        <x:v>A도 첨부 가격단계 범위의 사업별 추정만 가능; 국가단가·계약가·준공가를 의미하지 않음</x:v>
      </x:c>
    </x:row>
    <x:row r="80">
      <x:c r="A80" s="22" t="str">
        <x:v>C</x:v>
      </x:c>
      <x:c r="B80" s="22" t="str">
        <x:v>U</x:v>
      </x:c>
      <x:c r="C80" s="22" t="str">
        <x:v>코트디부아르</x:v>
      </x:c>
      <x:c r="D80" s="22" t="str">
        <x:v>2024-00029</x:v>
      </x:c>
      <x:c r="E80" s="25" t="str">
        <x:v>코트디부아르 지역균형발전을 위한 중부지역 직업전문학교 역량강화사업('24·'29/1,100만불)</x:v>
      </x:c>
      <x:c r="F80" s="25" t="str"/>
      <x:c r="G80" s="22" t="str">
        <x:v>UNKNOWN</x:v>
      </x:c>
      <x:c r="H80" s="22" t="str">
        <x:v>NONE_UNKNOWN</x:v>
      </x:c>
      <x:c r="I80" s="22" t="str">
        <x:v>V0</x:v>
      </x:c>
      <x:c r="J80" s="28" t="n">
        <x:v>2</x:v>
      </x:c>
      <x:c r="K80" s="28" t="n">
        <x:v>1</x:v>
      </x:c>
      <x:c r="L80" s="28" t="n">
        <x:v>19</x:v>
      </x:c>
      <x:c r="M80" s="28" t="n">
        <x:v>0</x:v>
      </x:c>
      <x:c r="N80" s="28" t="n">
        <x:v>19</x:v>
      </x:c>
      <x:c r="O80" s="28" t="n">
        <x:v>0</x:v>
      </x:c>
      <x:c r="P80" s="28" t="n">
        <x:v>0</x:v>
      </x:c>
      <x:c r="Q80" s="28" t="n">
        <x:v>0</x:v>
      </x:c>
      <x:c r="R80" s="28" t="n">
        <x:v>0</x:v>
      </x:c>
      <x:c r="S80" s="28" t="n">
        <x:v>0</x:v>
      </x:c>
      <x:c r="T80" s="28" t="n">
        <x:v>0</x:v>
      </x:c>
      <x:c r="U80" s="22" t="str"/>
      <x:c r="V80" s="28" t="n">
        <x:v>0</x:v>
      </x:c>
      <x:c r="W80" s="28" t="n">
        <x:v>0</x:v>
      </x:c>
      <x:c r="X80" s="28" t="n">
        <x:v>1</x:v>
      </x:c>
      <x:c r="Y80" s="28" t="n">
        <x:v>0</x:v>
      </x:c>
      <x:c r="Z80" s="31"/>
      <x:c r="AA80" s="22" t="str"/>
      <x:c r="AB80" s="34"/>
      <x:c r="AC80" s="25" t="str"/>
      <x:c r="AD80" s="25" t="str"/>
      <x:c r="AE80" s="25" t="str"/>
      <x:c r="AF80" s="25" t="str">
        <x:v>품목 수량·단가 또는 범위 일치 GFA·공사금액 부족</x:v>
      </x:c>
      <x:c r="AG80" s="25" t="str">
        <x:v>첨부 추가수집·OCR·수동검토 또는 설계/계약 BOQ 확보</x:v>
      </x:c>
      <x:c r="AH80" s="25" t="str">
        <x:v>자동판정(V2)</x:v>
      </x:c>
      <x:c r="AI80" s="25" t="str">
        <x:v>L2025-00060-1</x:v>
      </x:c>
      <x:c r="AJ80" s="25" t="str">
        <x:v>A도 첨부 가격단계 범위의 사업별 추정만 가능; 국가단가·계약가·준공가를 의미하지 않음</x:v>
      </x:c>
    </x:row>
    <x:row r="81">
      <x:c r="A81" s="22" t="str">
        <x:v>C</x:v>
      </x:c>
      <x:c r="B81" s="22" t="str">
        <x:v>U</x:v>
      </x:c>
      <x:c r="C81" s="22" t="str">
        <x:v>콜롬비아</x:v>
      </x:c>
      <x:c r="D81" s="22" t="str">
        <x:v>2007-00015</x:v>
      </x:c>
      <x:c r="E81" s="25" t="str">
        <x:v>콜롬비아 한-콜롬비아 우호재활센터 건립사업('07-'16/1,150만불)...</x:v>
      </x:c>
      <x:c r="F81" s="25" t="str"/>
      <x:c r="G81" s="22" t="str">
        <x:v>UNKNOWN</x:v>
      </x:c>
      <x:c r="H81" s="22" t="str">
        <x:v>NONE_UNKNOWN</x:v>
      </x:c>
      <x:c r="I81" s="22" t="str">
        <x:v>V0</x:v>
      </x:c>
      <x:c r="J81" s="28" t="n">
        <x:v>1</x:v>
      </x:c>
      <x:c r="K81" s="28" t="n">
        <x:v>0</x:v>
      </x:c>
      <x:c r="L81" s="28" t="n">
        <x:v>0</x:v>
      </x:c>
      <x:c r="M81" s="28" t="n">
        <x:v>0</x:v>
      </x:c>
      <x:c r="N81" s="28" t="n">
        <x:v>0</x:v>
      </x:c>
      <x:c r="O81" s="28" t="n">
        <x:v>0</x:v>
      </x:c>
      <x:c r="P81" s="28" t="n">
        <x:v>0</x:v>
      </x:c>
      <x:c r="Q81" s="28" t="n">
        <x:v>0</x:v>
      </x:c>
      <x:c r="R81" s="28" t="n">
        <x:v>0</x:v>
      </x:c>
      <x:c r="S81" s="28" t="n">
        <x:v>0</x:v>
      </x:c>
      <x:c r="T81" s="28" t="n">
        <x:v>0</x:v>
      </x:c>
      <x:c r="U81" s="22" t="str"/>
      <x:c r="V81" s="28" t="n">
        <x:v>0</x:v>
      </x:c>
      <x:c r="W81" s="28" t="n">
        <x:v>0</x:v>
      </x:c>
      <x:c r="X81" s="28" t="n">
        <x:v>1</x:v>
      </x:c>
      <x:c r="Y81" s="28" t="n">
        <x:v>0</x:v>
      </x:c>
      <x:c r="Z81" s="31"/>
      <x:c r="AA81" s="22" t="str"/>
      <x:c r="AB81" s="34"/>
      <x:c r="AC81" s="25" t="str"/>
      <x:c r="AD81" s="25" t="str"/>
      <x:c r="AE81" s="25" t="str"/>
      <x:c r="AF81" s="25" t="str">
        <x:v>품목 수량·단가 또는 범위 일치 GFA·공사금액 부족</x:v>
      </x:c>
      <x:c r="AG81" s="25" t="str">
        <x:v>첨부 추가수집·OCR·수동검토 또는 설계/계약 BOQ 확보</x:v>
      </x:c>
      <x:c r="AH81" s="25" t="str">
        <x:v>자동판정(V2)</x:v>
      </x:c>
      <x:c r="AI81" s="25" t="str"/>
      <x:c r="AJ81" s="25" t="str">
        <x:v>A도 첨부 가격단계 범위의 사업별 추정만 가능; 국가단가·계약가·준공가를 의미하지 않음</x:v>
      </x:c>
    </x:row>
    <x:row r="82">
      <x:c r="A82" s="22" t="str">
        <x:v>C</x:v>
      </x:c>
      <x:c r="B82" s="22" t="str">
        <x:v>U</x:v>
      </x:c>
      <x:c r="C82" s="22" t="str">
        <x:v>콜롬비아</x:v>
      </x:c>
      <x:c r="D82" s="22" t="str"/>
      <x:c r="E82" s="25" t="str">
        <x:v>콜롬비아 다목적지적을 위한 공간정보 역량강화 체계 구축사업(24·26/600만불) PMC 용역</x:v>
      </x:c>
      <x:c r="F82" s="25" t="str"/>
      <x:c r="G82" s="22" t="str">
        <x:v>UNKNOWN</x:v>
      </x:c>
      <x:c r="H82" s="22" t="str">
        <x:v>NONE_UNKNOWN</x:v>
      </x:c>
      <x:c r="I82" s="22" t="str">
        <x:v>V0</x:v>
      </x:c>
      <x:c r="J82" s="28" t="n">
        <x:v>1</x:v>
      </x:c>
      <x:c r="K82" s="28" t="n">
        <x:v>0</x:v>
      </x:c>
      <x:c r="L82" s="28" t="n">
        <x:v>0</x:v>
      </x:c>
      <x:c r="M82" s="28" t="n">
        <x:v>0</x:v>
      </x:c>
      <x:c r="N82" s="28" t="n">
        <x:v>0</x:v>
      </x:c>
      <x:c r="O82" s="28" t="n">
        <x:v>0</x:v>
      </x:c>
      <x:c r="P82" s="28" t="n">
        <x:v>0</x:v>
      </x:c>
      <x:c r="Q82" s="28" t="n">
        <x:v>0</x:v>
      </x:c>
      <x:c r="R82" s="28" t="n">
        <x:v>0</x:v>
      </x:c>
      <x:c r="S82" s="28" t="n">
        <x:v>0</x:v>
      </x:c>
      <x:c r="T82" s="28" t="n">
        <x:v>0</x:v>
      </x:c>
      <x:c r="U82" s="22" t="str"/>
      <x:c r="V82" s="28" t="n">
        <x:v>0</x:v>
      </x:c>
      <x:c r="W82" s="28" t="n">
        <x:v>0</x:v>
      </x:c>
      <x:c r="X82" s="28" t="n">
        <x:v>1</x:v>
      </x:c>
      <x:c r="Y82" s="28" t="n">
        <x:v>0</x:v>
      </x:c>
      <x:c r="Z82" s="31"/>
      <x:c r="AA82" s="22" t="str"/>
      <x:c r="AB82" s="34"/>
      <x:c r="AC82" s="25" t="str"/>
      <x:c r="AD82" s="25" t="str"/>
      <x:c r="AE82" s="25" t="str"/>
      <x:c r="AF82" s="25" t="str">
        <x:v>품목 수량·단가 또는 범위 일치 GFA·공사금액 부족</x:v>
      </x:c>
      <x:c r="AG82" s="25" t="str">
        <x:v>첨부 추가수집·OCR·수동검토 또는 설계/계약 BOQ 확보</x:v>
      </x:c>
      <x:c r="AH82" s="25" t="str">
        <x:v>자동판정(V2)</x:v>
      </x:c>
      <x:c r="AI82" s="25" t="str"/>
      <x:c r="AJ82" s="25" t="str">
        <x:v>A도 첨부 가격단계 범위의 사업별 추정만 가능; 국가단가·계약가·준공가를 의미하지 않음</x:v>
      </x:c>
    </x:row>
    <x:row r="83">
      <x:c r="A83" s="22" t="str">
        <x:v>C</x:v>
      </x:c>
      <x:c r="B83" s="22" t="str">
        <x:v>U</x:v>
      </x:c>
      <x:c r="C83" s="22" t="str">
        <x:v>키르기스스탄</x:v>
      </x:c>
      <x:c r="D83" s="22" t="str">
        <x:v>2019-03655</x:v>
      </x:c>
      <x:c r="E83" s="25" t="str">
        <x:v>키르기스스탄 추이 주 교내 위생환경 개선사업 리모델링 시공업체 선정 현지입찰</x:v>
      </x:c>
      <x:c r="F83" s="25" t="str">
        <x:v>키르기스스탄 추이 주 교내 위생환경 개선 사업(프로젝트봉사단) 리모델링 시공업체 선정 현지 입찰</x:v>
      </x:c>
      <x:c r="G83" s="22" t="str">
        <x:v>UNKNOWN</x:v>
      </x:c>
      <x:c r="H83" s="22" t="str">
        <x:v>NONE_UNKNOWN</x:v>
      </x:c>
      <x:c r="I83" s="22" t="str">
        <x:v>V2</x:v>
      </x:c>
      <x:c r="J83" s="28" t="n">
        <x:v>2</x:v>
      </x:c>
      <x:c r="K83" s="28" t="n">
        <x:v>1</x:v>
      </x:c>
      <x:c r="L83" s="28" t="n">
        <x:v>9</x:v>
      </x:c>
      <x:c r="M83" s="28" t="n">
        <x:v>9</x:v>
      </x:c>
      <x:c r="N83" s="28" t="n">
        <x:v>9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</x:v>
      </x:c>
      <x:c r="U83" s="22" t="str"/>
      <x:c r="V83" s="28" t="n">
        <x:v>0</x:v>
      </x:c>
      <x:c r="W83" s="28" t="n">
        <x:v>0</x:v>
      </x:c>
      <x:c r="X83" s="28" t="n">
        <x:v>1</x:v>
      </x:c>
      <x:c r="Y83" s="28" t="n">
        <x:v>0</x:v>
      </x:c>
      <x:c r="Z83" s="31"/>
      <x:c r="AA83" s="22" t="str"/>
      <x:c r="AB83" s="34"/>
      <x:c r="AC83" s="25" t="str"/>
      <x:c r="AD83" s="25" t="str"/>
      <x:c r="AE83" s="25" t="str"/>
      <x:c r="AF83" s="25" t="str">
        <x:v>품목 수량·단가 또는 범위 일치 GFA·공사금액 부족</x:v>
      </x:c>
      <x:c r="AG83" s="25" t="str">
        <x:v>첨부 추가수집·OCR·수동검토 또는 설계/계약 BOQ 확보</x:v>
      </x:c>
      <x:c r="AH83" s="25" t="str">
        <x:v>자동판정(V2)</x:v>
      </x:c>
      <x:c r="AI83" s="25" t="str">
        <x:v>L2025-00099-1</x:v>
      </x:c>
      <x:c r="AJ83" s="25" t="str">
        <x:v>A도 첨부 가격단계 범위의 사업별 추정만 가능; 국가단가·계약가·준공가를 의미하지 않음</x:v>
      </x:c>
    </x:row>
    <x:row r="84">
      <x:c r="A84" s="22" t="str">
        <x:v>C</x:v>
      </x:c>
      <x:c r="B84" s="22" t="str">
        <x:v>U</x:v>
      </x:c>
      <x:c r="C84" s="22" t="str">
        <x:v>키르기스스탄</x:v>
      </x:c>
      <x:c r="D84" s="22" t="str">
        <x:v>2023-00027</x:v>
      </x:c>
      <x:c r="E84" s="25" t="str">
        <x:v>키르기스스탄 국회 디지털화 사업(23·27/840만불) 시공업체(PC) 선정</x:v>
      </x:c>
      <x:c r="F84" s="25" t="str">
        <x:v>키르키즈공화국 국회 디지털화 사업 시공</x:v>
      </x:c>
      <x:c r="G84" s="22" t="str">
        <x:v>UNKNOWN</x:v>
      </x:c>
      <x:c r="H84" s="22" t="str">
        <x:v>NONE_UNKNOWN</x:v>
      </x:c>
      <x:c r="I84" s="22" t="str">
        <x:v>V2</x:v>
      </x:c>
      <x:c r="J84" s="28" t="n">
        <x:v>1</x:v>
      </x:c>
      <x:c r="K84" s="28" t="n">
        <x:v>5</x:v>
      </x:c>
      <x:c r="L84" s="28" t="n">
        <x:v>82</x:v>
      </x:c>
      <x:c r="M84" s="28" t="n">
        <x:v>82</x:v>
      </x:c>
      <x:c r="N84" s="28" t="n">
        <x:v>48</x:v>
      </x:c>
      <x:c r="O84" s="28" t="n">
        <x:v>0</x:v>
      </x:c>
      <x:c r="P84" s="28" t="n">
        <x:v>0</x:v>
      </x:c>
      <x:c r="Q84" s="28" t="n">
        <x:v>0</x:v>
      </x:c>
      <x:c r="R84" s="28" t="n">
        <x:v>0</x:v>
      </x:c>
      <x:c r="S84" s="28" t="n">
        <x:v>0</x:v>
      </x:c>
      <x:c r="T84" s="28" t="n">
        <x:v>0</x:v>
      </x:c>
      <x:c r="U84" s="22" t="str"/>
      <x:c r="V84" s="28" t="n">
        <x:v>0</x:v>
      </x:c>
      <x:c r="W84" s="28" t="n">
        <x:v>0</x:v>
      </x:c>
      <x:c r="X84" s="28" t="n">
        <x:v>1</x:v>
      </x:c>
      <x:c r="Y84" s="28" t="n">
        <x:v>0</x:v>
      </x:c>
      <x:c r="Z84" s="31"/>
      <x:c r="AA84" s="22" t="str"/>
      <x:c r="AB84" s="34"/>
      <x:c r="AC84" s="25" t="str"/>
      <x:c r="AD84" s="25" t="str"/>
      <x:c r="AE84" s="25" t="str"/>
      <x:c r="AF84" s="25" t="str">
        <x:v>품목 수량·단가 또는 범위 일치 GFA·공사금액 부족</x:v>
      </x:c>
      <x:c r="AG84" s="25" t="str">
        <x:v>첨부 추가수집·OCR·수동검토 또는 설계/계약 BOQ 확보</x:v>
      </x:c>
      <x:c r="AH84" s="25" t="str">
        <x:v>자동판정(V2)</x:v>
      </x:c>
      <x:c r="AI84" s="25" t="str">
        <x:v>L2025-00003-1;L2025-00003-2;L2025-00028-1;L2025-00054-1;L2025-00058-1</x:v>
      </x:c>
      <x:c r="AJ84" s="25" t="str">
        <x:v>A도 첨부 가격단계 범위의 사업별 추정만 가능; 국가단가·계약가·준공가를 의미하지 않음</x:v>
      </x:c>
    </x:row>
    <x:row r="85">
      <x:c r="A85" s="22" t="str">
        <x:v>C</x:v>
      </x:c>
      <x:c r="B85" s="22" t="str">
        <x:v>C?</x:v>
      </x:c>
      <x:c r="C85" s="22" t="str">
        <x:v>키르기스스탄</x:v>
      </x:c>
      <x:c r="D85" s="22" t="str">
        <x:v>2023-00030</x:v>
      </x:c>
      <x:c r="E85" s="25" t="str">
        <x:v>키르기스스탄 가축 품종개량 및 인공수정인력 역량강화사업 바이오센터 리모델링 시공</x:v>
      </x:c>
      <x:c r="F85" s="25" t="str"/>
      <x:c r="G85" s="22" t="str">
        <x:v>UNKNOWN</x:v>
      </x:c>
      <x:c r="H85" s="22" t="str">
        <x:v>PLAN_CEILING</x:v>
      </x:c>
      <x:c r="I85" s="22" t="str">
        <x:v>V1</x:v>
      </x:c>
      <x:c r="J85" s="28" t="n">
        <x:v>4</x:v>
      </x:c>
      <x:c r="K85" s="28" t="n">
        <x:v>1</x:v>
      </x:c>
      <x:c r="L85" s="28" t="n">
        <x:v>19</x:v>
      </x:c>
      <x:c r="M85" s="28" t="n">
        <x:v>0</x:v>
      </x:c>
      <x:c r="N85" s="28" t="n">
        <x:v>19</x:v>
      </x:c>
      <x:c r="O85" s="28" t="n">
        <x:v>0</x:v>
      </x:c>
      <x:c r="P85" s="28" t="n">
        <x:v>0</x:v>
      </x:c>
      <x:c r="Q85" s="28" t="n">
        <x:v>0</x:v>
      </x:c>
      <x:c r="R85" s="28" t="n">
        <x:v>0</x:v>
      </x:c>
      <x:c r="S85" s="28" t="n">
        <x:v>0</x:v>
      </x:c>
      <x:c r="T85" s="28" t="n">
        <x:v>0</x:v>
      </x:c>
      <x:c r="U85" s="22" t="str">
        <x:v>1825;1852</x:v>
      </x:c>
      <x:c r="V85" s="28" t="n">
        <x:v>0</x:v>
      </x:c>
      <x:c r="W85" s="28" t="n">
        <x:v>0</x:v>
      </x:c>
      <x:c r="X85" s="28" t="n">
        <x:v>1</x:v>
      </x:c>
      <x:c r="Y85" s="28" t="n">
        <x:v>0</x:v>
      </x:c>
      <x:c r="Z85" s="31"/>
      <x:c r="AA85" s="22" t="str"/>
      <x:c r="AB85" s="34"/>
      <x:c r="AC85" s="25" t="str"/>
      <x:c r="AD85" s="25" t="str"/>
      <x:c r="AE85" s="25" t="str"/>
      <x:c r="AF85" s="25" t="str">
        <x:v>품목 수량·단가 또는 범위 일치 GFA·공사금액 부족</x:v>
      </x:c>
      <x:c r="AG85" s="25" t="str">
        <x:v>첨부 추가수집·OCR·수동검토 또는 설계/계약 BOQ 확보</x:v>
      </x:c>
      <x:c r="AH85" s="25" t="str">
        <x:v>자동판정(V2)</x:v>
      </x:c>
      <x:c r="AI85" s="25" t="str">
        <x:v>L2024-00041-1</x:v>
      </x:c>
      <x:c r="AJ85" s="25" t="str">
        <x:v>A도 첨부 가격단계 범위의 사업별 추정만 가능; 국가단가·계약가·준공가를 의미하지 않음</x:v>
      </x:c>
    </x:row>
    <x:row r="86">
      <x:c r="A86" s="22" t="str">
        <x:v>C</x:v>
      </x:c>
      <x:c r="B86" s="22" t="str">
        <x:v>U</x:v>
      </x:c>
      <x:c r="C86" s="22" t="str">
        <x:v>키르기스스탄</x:v>
      </x:c>
      <x:c r="D86" s="22" t="str">
        <x:v>2024-00105</x:v>
      </x:c>
      <x:c r="E86" s="25" t="str">
        <x:v>키르기스스탄 디지털 전환을 위한 국가 정보화 역량 강화 사업('24·'27/700만불)</x:v>
      </x:c>
      <x:c r="F86" s="25" t="str"/>
      <x:c r="G86" s="22" t="str">
        <x:v>UNKNOWN</x:v>
      </x:c>
      <x:c r="H86" s="22" t="str">
        <x:v>NONE_UNKNOWN</x:v>
      </x:c>
      <x:c r="I86" s="22" t="str">
        <x:v>V0</x:v>
      </x:c>
      <x:c r="J86" s="28" t="n">
        <x:v>1</x:v>
      </x:c>
      <x:c r="K86" s="28" t="n">
        <x:v>1</x:v>
      </x:c>
      <x:c r="L86" s="28" t="n">
        <x:v>27</x:v>
      </x:c>
      <x:c r="M86" s="28" t="n">
        <x:v>0</x:v>
      </x:c>
      <x:c r="N86" s="28" t="n">
        <x:v>26</x:v>
      </x:c>
      <x:c r="O86" s="28" t="n">
        <x:v>0</x:v>
      </x:c>
      <x:c r="P86" s="28" t="n">
        <x:v>0</x:v>
      </x:c>
      <x:c r="Q86" s="28" t="n">
        <x:v>0</x:v>
      </x:c>
      <x:c r="R86" s="28" t="n">
        <x:v>0</x:v>
      </x:c>
      <x:c r="S86" s="28" t="n">
        <x:v>0</x:v>
      </x:c>
      <x:c r="T86" s="28" t="n">
        <x:v>0</x:v>
      </x:c>
      <x:c r="U86" s="22" t="str"/>
      <x:c r="V86" s="28" t="n">
        <x:v>0</x:v>
      </x:c>
      <x:c r="W86" s="28" t="n">
        <x:v>0</x:v>
      </x:c>
      <x:c r="X86" s="28" t="n">
        <x:v>1</x:v>
      </x:c>
      <x:c r="Y86" s="28" t="n">
        <x:v>0</x:v>
      </x:c>
      <x:c r="Z86" s="31"/>
      <x:c r="AA86" s="22" t="str"/>
      <x:c r="AB86" s="34"/>
      <x:c r="AC86" s="25" t="str"/>
      <x:c r="AD86" s="25" t="str"/>
      <x:c r="AE86" s="25" t="str"/>
      <x:c r="AF86" s="25" t="str">
        <x:v>품목 수량·단가 또는 범위 일치 GFA·공사금액 부족</x:v>
      </x:c>
      <x:c r="AG86" s="25" t="str">
        <x:v>첨부 추가수집·OCR·수동검토 또는 설계/계약 BOQ 확보</x:v>
      </x:c>
      <x:c r="AH86" s="25" t="str">
        <x:v>자동판정(V2)</x:v>
      </x:c>
      <x:c r="AI86" s="25" t="str">
        <x:v>L2025-00097-1</x:v>
      </x:c>
      <x:c r="AJ86" s="25" t="str">
        <x:v>A도 첨부 가격단계 범위의 사업별 추정만 가능; 국가단가·계약가·준공가를 의미하지 않음</x:v>
      </x:c>
    </x:row>
    <x:row r="87">
      <x:c r="A87" s="22" t="str">
        <x:v>C</x:v>
      </x:c>
      <x:c r="B87" s="22" t="str">
        <x:v>U</x:v>
      </x:c>
      <x:c r="C87" s="22" t="str">
        <x:v>타지키스탄</x:v>
      </x:c>
      <x:c r="D87" s="22" t="str"/>
      <x:c r="E87" s="25" t="str">
        <x:v>타지키스탄 섬유산업 전문기술인력 양성을 위한 섬유기술센터 설립 사업 PMC 선정</x:v>
      </x:c>
      <x:c r="F87" s="25" t="str"/>
      <x:c r="G87" s="22" t="str">
        <x:v>UNKNOWN</x:v>
      </x:c>
      <x:c r="H87" s="22" t="str">
        <x:v>NONE_UNKNOWN</x:v>
      </x:c>
      <x:c r="I87" s="22" t="str">
        <x:v>V0</x:v>
      </x:c>
      <x:c r="J87" s="28" t="n">
        <x:v>1</x:v>
      </x:c>
      <x:c r="K87" s="28" t="n">
        <x:v>0</x:v>
      </x:c>
      <x:c r="L87" s="28" t="n">
        <x:v>0</x:v>
      </x:c>
      <x:c r="M87" s="28" t="n">
        <x:v>0</x:v>
      </x:c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</x:v>
      </x:c>
      <x:c r="U87" s="22" t="str"/>
      <x:c r="V87" s="28" t="n">
        <x:v>0</x:v>
      </x:c>
      <x:c r="W87" s="28" t="n">
        <x:v>0</x:v>
      </x:c>
      <x:c r="X87" s="28" t="n">
        <x:v>1</x:v>
      </x:c>
      <x:c r="Y87" s="28" t="n">
        <x:v>0</x:v>
      </x:c>
      <x:c r="Z87" s="31"/>
      <x:c r="AA87" s="22" t="str"/>
      <x:c r="AB87" s="34"/>
      <x:c r="AC87" s="25" t="str"/>
      <x:c r="AD87" s="25" t="str"/>
      <x:c r="AE87" s="25" t="str"/>
      <x:c r="AF87" s="25" t="str">
        <x:v>품목 수량·단가 또는 범위 일치 GFA·공사금액 부족</x:v>
      </x:c>
      <x:c r="AG87" s="25" t="str">
        <x:v>첨부 추가수집·OCR·수동검토 또는 설계/계약 BOQ 확보</x:v>
      </x:c>
      <x:c r="AH87" s="25" t="str">
        <x:v>자동판정(V2)</x:v>
      </x:c>
      <x:c r="AI87" s="25" t="str"/>
      <x:c r="AJ87" s="25" t="str">
        <x:v>A도 첨부 가격단계 범위의 사업별 추정만 가능; 국가단가·계약가·준공가를 의미하지 않음</x:v>
      </x:c>
    </x:row>
    <x:row r="88">
      <x:c r="A88" s="22" t="str">
        <x:v>C</x:v>
      </x:c>
      <x:c r="B88" s="22" t="str">
        <x:v>U</x:v>
      </x:c>
      <x:c r="C88" s="22" t="str">
        <x:v>탄자니아</x:v>
      </x:c>
      <x:c r="D88" s="22" t="str">
        <x:v>2023-00100</x:v>
      </x:c>
      <x:c r="E88" s="25" t="str">
        <x:v>탄자니아 도도마주 유수율 제고 시범모델 구축 및 상수도 시설 개선사업(23·26/382만불) 설계</x:v>
      </x:c>
      <x:c r="F88" s="25" t="str"/>
      <x:c r="G88" s="22" t="str">
        <x:v>UNKNOWN</x:v>
      </x:c>
      <x:c r="H88" s="22" t="str">
        <x:v>NONE_UNKNOWN</x:v>
      </x:c>
      <x:c r="I88" s="22" t="str">
        <x:v>V0</x:v>
      </x:c>
      <x:c r="J88" s="28" t="n">
        <x:v>1</x:v>
      </x:c>
      <x:c r="K88" s="28" t="n">
        <x:v>1</x:v>
      </x:c>
      <x:c r="L88" s="28" t="n">
        <x:v>17</x:v>
      </x:c>
      <x:c r="M88" s="28" t="n">
        <x:v>0</x:v>
      </x:c>
      <x:c r="N88" s="28" t="n">
        <x:v>17</x:v>
      </x:c>
      <x:c r="O88" s="28" t="n">
        <x:v>0</x:v>
      </x:c>
      <x:c r="P88" s="28" t="n">
        <x:v>0</x:v>
      </x:c>
      <x:c r="Q88" s="28" t="n">
        <x:v>0</x:v>
      </x:c>
      <x:c r="R88" s="28" t="n">
        <x:v>0</x:v>
      </x:c>
      <x:c r="S88" s="28" t="n">
        <x:v>0</x:v>
      </x:c>
      <x:c r="T88" s="28" t="n">
        <x:v>0</x:v>
      </x:c>
      <x:c r="U88" s="22" t="str"/>
      <x:c r="V88" s="28" t="n">
        <x:v>0</x:v>
      </x:c>
      <x:c r="W88" s="28" t="n">
        <x:v>0</x:v>
      </x:c>
      <x:c r="X88" s="28" t="n">
        <x:v>1</x:v>
      </x:c>
      <x:c r="Y88" s="28" t="n">
        <x:v>0</x:v>
      </x:c>
      <x:c r="Z88" s="31"/>
      <x:c r="AA88" s="22" t="str"/>
      <x:c r="AB88" s="34"/>
      <x:c r="AC88" s="25" t="str"/>
      <x:c r="AD88" s="25" t="str"/>
      <x:c r="AE88" s="25" t="str"/>
      <x:c r="AF88" s="25" t="str">
        <x:v>품목 수량·단가 또는 범위 일치 GFA·공사금액 부족</x:v>
      </x:c>
      <x:c r="AG88" s="25" t="str">
        <x:v>첨부 추가수집·OCR·수동검토 또는 설계/계약 BOQ 확보</x:v>
      </x:c>
      <x:c r="AH88" s="25" t="str">
        <x:v>자동판정(V2)</x:v>
      </x:c>
      <x:c r="AI88" s="25" t="str">
        <x:v>L2025-00006-1</x:v>
      </x:c>
      <x:c r="AJ88" s="25" t="str">
        <x:v>A도 첨부 가격단계 범위의 사업별 추정만 가능; 국가단가·계약가·준공가를 의미하지 않음</x:v>
      </x:c>
    </x:row>
    <x:row r="89">
      <x:c r="A89" s="22" t="str">
        <x:v>C</x:v>
      </x:c>
      <x:c r="B89" s="22" t="str">
        <x:v>U</x:v>
      </x:c>
      <x:c r="C89" s="22" t="str">
        <x:v>탄자니아</x:v>
      </x:c>
      <x:c r="D89" s="22" t="str"/>
      <x:c r="E89" s="25" t="str">
        <x:v>탄자니아 프와니주 농촌지역 상수도 공급시설 구축 사업('25·'29/1,100만불) 설계 용역</x:v>
      </x:c>
      <x:c r="F89" s="25" t="str"/>
      <x:c r="G89" s="22" t="str">
        <x:v>UNKNOWN</x:v>
      </x:c>
      <x:c r="H89" s="22" t="str">
        <x:v>NONE_UNKNOWN</x:v>
      </x:c>
      <x:c r="I89" s="22" t="str">
        <x:v>V0</x:v>
      </x:c>
      <x:c r="J89" s="28" t="n">
        <x:v>1</x:v>
      </x:c>
      <x:c r="K89" s="28" t="n">
        <x:v>0</x:v>
      </x:c>
      <x:c r="L89" s="28" t="n">
        <x:v>0</x:v>
      </x:c>
      <x:c r="M89" s="28" t="n">
        <x:v>0</x:v>
      </x:c>
      <x:c r="N89" s="28" t="n">
        <x:v>0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</x:v>
      </x:c>
      <x:c r="U89" s="22" t="str"/>
      <x:c r="V89" s="28" t="n">
        <x:v>0</x:v>
      </x:c>
      <x:c r="W89" s="28" t="n">
        <x:v>0</x:v>
      </x:c>
      <x:c r="X89" s="28" t="n">
        <x:v>1</x:v>
      </x:c>
      <x:c r="Y89" s="28" t="n">
        <x:v>0</x:v>
      </x:c>
      <x:c r="Z89" s="31"/>
      <x:c r="AA89" s="22" t="str"/>
      <x:c r="AB89" s="34"/>
      <x:c r="AC89" s="25" t="str"/>
      <x:c r="AD89" s="25" t="str"/>
      <x:c r="AE89" s="25" t="str"/>
      <x:c r="AF89" s="25" t="str">
        <x:v>품목 수량·단가 또는 범위 일치 GFA·공사금액 부족</x:v>
      </x:c>
      <x:c r="AG89" s="25" t="str">
        <x:v>첨부 추가수집·OCR·수동검토 또는 설계/계약 BOQ 확보</x:v>
      </x:c>
      <x:c r="AH89" s="25" t="str">
        <x:v>자동판정(V2)</x:v>
      </x:c>
      <x:c r="AI89" s="25" t="str"/>
      <x:c r="AJ89" s="25" t="str">
        <x:v>A도 첨부 가격단계 범위의 사업별 추정만 가능; 국가단가·계약가·준공가를 의미하지 않음</x:v>
      </x:c>
    </x:row>
    <x:row r="90">
      <x:c r="A90" s="22" t="str">
        <x:v>C</x:v>
      </x:c>
      <x:c r="B90" s="22" t="str">
        <x:v>U</x:v>
      </x:c>
      <x:c r="C90" s="22" t="str">
        <x:v>탄자니아</x:v>
      </x:c>
      <x:c r="D90" s="22" t="str"/>
      <x:c r="E90" s="25" t="str">
        <x:v>탄자니아 모로고로 주 폴리텍대학 건립 및 기술교육훈련 사업(25·30/1,950만불) PMC 용역</x:v>
      </x:c>
      <x:c r="F90" s="25" t="str"/>
      <x:c r="G90" s="22" t="str">
        <x:v>UNKNOWN</x:v>
      </x:c>
      <x:c r="H90" s="22" t="str">
        <x:v>NONE_UNKNOWN</x:v>
      </x:c>
      <x:c r="I90" s="22" t="str">
        <x:v>V0</x:v>
      </x:c>
      <x:c r="J90" s="28" t="n">
        <x:v>1</x:v>
      </x:c>
      <x:c r="K90" s="28" t="n">
        <x:v>0</x:v>
      </x:c>
      <x:c r="L90" s="28" t="n">
        <x:v>0</x:v>
      </x:c>
      <x:c r="M90" s="28" t="n">
        <x:v>0</x:v>
      </x:c>
      <x:c r="N90" s="28" t="n">
        <x:v>0</x:v>
      </x:c>
      <x:c r="O90" s="28" t="n">
        <x:v>0</x:v>
      </x:c>
      <x:c r="P90" s="28" t="n">
        <x:v>0</x:v>
      </x:c>
      <x:c r="Q90" s="28" t="n">
        <x:v>0</x:v>
      </x:c>
      <x:c r="R90" s="28" t="n">
        <x:v>0</x:v>
      </x:c>
      <x:c r="S90" s="28" t="n">
        <x:v>0</x:v>
      </x:c>
      <x:c r="T90" s="28" t="n">
        <x:v>0</x:v>
      </x:c>
      <x:c r="U90" s="22" t="str"/>
      <x:c r="V90" s="28" t="n">
        <x:v>0</x:v>
      </x:c>
      <x:c r="W90" s="28" t="n">
        <x:v>0</x:v>
      </x:c>
      <x:c r="X90" s="28" t="n">
        <x:v>1</x:v>
      </x:c>
      <x:c r="Y90" s="28" t="n">
        <x:v>0</x:v>
      </x:c>
      <x:c r="Z90" s="31"/>
      <x:c r="AA90" s="22" t="str"/>
      <x:c r="AB90" s="34"/>
      <x:c r="AC90" s="25" t="str"/>
      <x:c r="AD90" s="25" t="str"/>
      <x:c r="AE90" s="25" t="str"/>
      <x:c r="AF90" s="25" t="str">
        <x:v>품목 수량·단가 또는 범위 일치 GFA·공사금액 부족</x:v>
      </x:c>
      <x:c r="AG90" s="25" t="str">
        <x:v>첨부 추가수집·OCR·수동검토 또는 설계/계약 BOQ 확보</x:v>
      </x:c>
      <x:c r="AH90" s="25" t="str">
        <x:v>자동판정(V2)</x:v>
      </x:c>
      <x:c r="AI90" s="25" t="str"/>
      <x:c r="AJ90" s="25" t="str">
        <x:v>A도 첨부 가격단계 범위의 사업별 추정만 가능; 국가단가·계약가·준공가를 의미하지 않음</x:v>
      </x:c>
    </x:row>
    <x:row r="91">
      <x:c r="A91" s="22" t="str">
        <x:v>C</x:v>
      </x:c>
      <x:c r="B91" s="22" t="str">
        <x:v>U</x:v>
      </x:c>
      <x:c r="C91" s="22" t="str">
        <x:v>튀니지</x:v>
      </x:c>
      <x:c r="D91" s="22" t="str"/>
      <x:c r="E91" s="25" t="str">
        <x:v>튀니지 글로벌 공공조달교육원 건립 사업(25·30/1,100만불) PMC 용역 입찰</x:v>
      </x:c>
      <x:c r="F91" s="25" t="str"/>
      <x:c r="G91" s="22" t="str">
        <x:v>UNKNOWN</x:v>
      </x:c>
      <x:c r="H91" s="22" t="str">
        <x:v>NONE_UNKNOWN</x:v>
      </x:c>
      <x:c r="I91" s="22" t="str">
        <x:v>V0</x:v>
      </x:c>
      <x:c r="J91" s="28" t="n">
        <x:v>1</x:v>
      </x:c>
      <x:c r="K91" s="28" t="n">
        <x:v>0</x:v>
      </x:c>
      <x:c r="L91" s="28" t="n">
        <x:v>0</x:v>
      </x:c>
      <x:c r="M91" s="28" t="n">
        <x:v>0</x:v>
      </x:c>
      <x:c r="N91" s="28" t="n">
        <x:v>0</x:v>
      </x:c>
      <x:c r="O91" s="28" t="n">
        <x:v>0</x:v>
      </x:c>
      <x:c r="P91" s="28" t="n">
        <x:v>0</x:v>
      </x:c>
      <x:c r="Q91" s="28" t="n">
        <x:v>0</x:v>
      </x:c>
      <x:c r="R91" s="28" t="n">
        <x:v>0</x:v>
      </x:c>
      <x:c r="S91" s="28" t="n">
        <x:v>0</x:v>
      </x:c>
      <x:c r="T91" s="28" t="n">
        <x:v>0</x:v>
      </x:c>
      <x:c r="U91" s="22" t="str"/>
      <x:c r="V91" s="28" t="n">
        <x:v>0</x:v>
      </x:c>
      <x:c r="W91" s="28" t="n">
        <x:v>0</x:v>
      </x:c>
      <x:c r="X91" s="28" t="n">
        <x:v>1</x:v>
      </x:c>
      <x:c r="Y91" s="28" t="n">
        <x:v>0</x:v>
      </x:c>
      <x:c r="Z91" s="31"/>
      <x:c r="AA91" s="22" t="str"/>
      <x:c r="AB91" s="34"/>
      <x:c r="AC91" s="25" t="str"/>
      <x:c r="AD91" s="25" t="str"/>
      <x:c r="AE91" s="25" t="str"/>
      <x:c r="AF91" s="25" t="str">
        <x:v>품목 수량·단가 또는 범위 일치 GFA·공사금액 부족</x:v>
      </x:c>
      <x:c r="AG91" s="25" t="str">
        <x:v>첨부 추가수집·OCR·수동검토 또는 설계/계약 BOQ 확보</x:v>
      </x:c>
      <x:c r="AH91" s="25" t="str">
        <x:v>자동판정(V2)</x:v>
      </x:c>
      <x:c r="AI91" s="25" t="str"/>
      <x:c r="AJ91" s="25" t="str">
        <x:v>A도 첨부 가격단계 범위의 사업별 추정만 가능; 국가단가·계약가·준공가를 의미하지 않음</x:v>
      </x:c>
    </x:row>
    <x:row r="92">
      <x:c r="A92" s="22" t="str">
        <x:v>C</x:v>
      </x:c>
      <x:c r="B92" s="22" t="str">
        <x:v>U</x:v>
      </x:c>
      <x:c r="C92" s="22" t="str">
        <x:v>파라과이</x:v>
      </x:c>
      <x:c r="D92" s="22" t="str">
        <x:v>2008-00040</x:v>
      </x:c>
      <x:c r="E92" s="25" t="str">
        <x:v>파라과이 아순시온시 취약아동 청소년 재활훈련원 건립사업('08-'10/1...</x:v>
      </x:c>
      <x:c r="F92" s="25" t="str"/>
      <x:c r="G92" s="22" t="str">
        <x:v>UNKNOWN</x:v>
      </x:c>
      <x:c r="H92" s="22" t="str">
        <x:v>NONE_UNKNOWN</x:v>
      </x:c>
      <x:c r="I92" s="22" t="str">
        <x:v>V0</x:v>
      </x:c>
      <x:c r="J92" s="28" t="n">
        <x:v>1</x:v>
      </x:c>
      <x:c r="K92" s="28" t="n">
        <x:v>0</x:v>
      </x:c>
      <x:c r="L92" s="28" t="n">
        <x:v>0</x:v>
      </x:c>
      <x:c r="M92" s="28" t="n">
        <x:v>0</x:v>
      </x:c>
      <x:c r="N92" s="28" t="n">
        <x:v>0</x:v>
      </x:c>
      <x:c r="O92" s="28" t="n">
        <x:v>0</x:v>
      </x:c>
      <x:c r="P92" s="28" t="n">
        <x:v>0</x:v>
      </x:c>
      <x:c r="Q92" s="28" t="n">
        <x:v>0</x:v>
      </x:c>
      <x:c r="R92" s="28" t="n">
        <x:v>0</x:v>
      </x:c>
      <x:c r="S92" s="28" t="n">
        <x:v>0</x:v>
      </x:c>
      <x:c r="T92" s="28" t="n">
        <x:v>0</x:v>
      </x:c>
      <x:c r="U92" s="22" t="str"/>
      <x:c r="V92" s="28" t="n">
        <x:v>0</x:v>
      </x:c>
      <x:c r="W92" s="28" t="n">
        <x:v>0</x:v>
      </x:c>
      <x:c r="X92" s="28" t="n">
        <x:v>1</x:v>
      </x:c>
      <x:c r="Y92" s="28" t="n">
        <x:v>0</x:v>
      </x:c>
      <x:c r="Z92" s="31"/>
      <x:c r="AA92" s="22" t="str"/>
      <x:c r="AB92" s="34"/>
      <x:c r="AC92" s="25" t="str"/>
      <x:c r="AD92" s="25" t="str"/>
      <x:c r="AE92" s="25" t="str"/>
      <x:c r="AF92" s="25" t="str">
        <x:v>품목 수량·단가 또는 범위 일치 GFA·공사금액 부족</x:v>
      </x:c>
      <x:c r="AG92" s="25" t="str">
        <x:v>첨부 추가수집·OCR·수동검토 또는 설계/계약 BOQ 확보</x:v>
      </x:c>
      <x:c r="AH92" s="25" t="str">
        <x:v>자동판정(V2)</x:v>
      </x:c>
      <x:c r="AI92" s="25" t="str"/>
      <x:c r="AJ92" s="25" t="str">
        <x:v>A도 첨부 가격단계 범위의 사업별 추정만 가능; 국가단가·계약가·준공가를 의미하지 않음</x:v>
      </x:c>
    </x:row>
    <x:row r="93">
      <x:c r="A93" s="22" t="str">
        <x:v>C</x:v>
      </x:c>
      <x:c r="B93" s="22" t="str">
        <x:v>U</x:v>
      </x:c>
      <x:c r="C93" s="22" t="str">
        <x:v>파키스탄</x:v>
      </x:c>
      <x:c r="D93" s="22" t="str">
        <x:v>2013-00059</x:v>
      </x:c>
      <x:c r="E93" s="25" t="str">
        <x:v>파키스탄 국립섬유대학 산업용 섬유센터 설립사업 2차사업(22·28/795만불) 공사</x:v>
      </x:c>
      <x:c r="F93" s="25" t="str"/>
      <x:c r="G93" s="22" t="str">
        <x:v>UNKNOWN</x:v>
      </x:c>
      <x:c r="H93" s="22" t="str">
        <x:v>NONE_UNKNOWN</x:v>
      </x:c>
      <x:c r="I93" s="22" t="str">
        <x:v>V0</x:v>
      </x:c>
      <x:c r="J93" s="28" t="n">
        <x:v>3</x:v>
      </x:c>
      <x:c r="K93" s="28" t="n">
        <x:v>0</x:v>
      </x:c>
      <x:c r="L93" s="28" t="n">
        <x:v>0</x:v>
      </x:c>
      <x:c r="M93" s="28" t="n">
        <x:v>0</x:v>
      </x:c>
      <x:c r="N93" s="28" t="n">
        <x:v>0</x:v>
      </x:c>
      <x:c r="O93" s="28" t="n">
        <x:v>0</x:v>
      </x:c>
      <x:c r="P93" s="28" t="n">
        <x:v>0</x:v>
      </x:c>
      <x:c r="Q93" s="28" t="n">
        <x:v>0</x:v>
      </x:c>
      <x:c r="R93" s="28" t="n">
        <x:v>0</x:v>
      </x:c>
      <x:c r="S93" s="28" t="n">
        <x:v>0</x:v>
      </x:c>
      <x:c r="T93" s="28" t="n">
        <x:v>0</x:v>
      </x:c>
      <x:c r="U93" s="22" t="str"/>
      <x:c r="V93" s="28" t="n">
        <x:v>0</x:v>
      </x:c>
      <x:c r="W93" s="28" t="n">
        <x:v>0</x:v>
      </x:c>
      <x:c r="X93" s="28" t="n">
        <x:v>1</x:v>
      </x:c>
      <x:c r="Y93" s="28" t="n">
        <x:v>0</x:v>
      </x:c>
      <x:c r="Z93" s="31"/>
      <x:c r="AA93" s="22" t="str"/>
      <x:c r="AB93" s="34"/>
      <x:c r="AC93" s="25" t="str"/>
      <x:c r="AD93" s="25" t="str"/>
      <x:c r="AE93" s="25" t="str"/>
      <x:c r="AF93" s="25" t="str">
        <x:v>품목 수량·단가 또는 범위 일치 GFA·공사금액 부족</x:v>
      </x:c>
      <x:c r="AG93" s="25" t="str">
        <x:v>첨부 추가수집·OCR·수동검토 또는 설계/계약 BOQ 확보</x:v>
      </x:c>
      <x:c r="AH93" s="25" t="str">
        <x:v>자동판정(V2)</x:v>
      </x:c>
      <x:c r="AI93" s="25" t="str"/>
      <x:c r="AJ93" s="25" t="str">
        <x:v>A도 첨부 가격단계 범위의 사업별 추정만 가능; 국가단가·계약가·준공가를 의미하지 않음</x:v>
      </x:c>
    </x:row>
    <x:row r="94">
      <x:c r="A94" s="22" t="str">
        <x:v>C</x:v>
      </x:c>
      <x:c r="B94" s="22" t="str">
        <x:v>U</x:v>
      </x:c>
      <x:c r="C94" s="22" t="str">
        <x:v>파키스탄</x:v>
      </x:c>
      <x:c r="D94" s="22" t="str">
        <x:v>2024-00107</x:v>
      </x:c>
      <x:c r="E94" s="25" t="str">
        <x:v>파키스탄 펀잡주 물탄시티 기후변화 적응을 위한 홍수방재 마스터플랜 수립 및 우수저류시설 설치사업 설계 용역</x:v>
      </x:c>
      <x:c r="F94" s="25" t="str"/>
      <x:c r="G94" s="22" t="str">
        <x:v>UNKNOWN</x:v>
      </x:c>
      <x:c r="H94" s="22" t="str">
        <x:v>NONE_UNKNOWN</x:v>
      </x:c>
      <x:c r="I94" s="22" t="str">
        <x:v>V0</x:v>
      </x:c>
      <x:c r="J94" s="28" t="n">
        <x:v>1</x:v>
      </x:c>
      <x:c r="K94" s="28" t="n">
        <x:v>1</x:v>
      </x:c>
      <x:c r="L94" s="28" t="n">
        <x:v>16</x:v>
      </x:c>
      <x:c r="M94" s="28" t="n">
        <x:v>0</x:v>
      </x:c>
      <x:c r="N94" s="28" t="n">
        <x:v>16</x:v>
      </x:c>
      <x:c r="O94" s="28" t="n">
        <x:v>0</x:v>
      </x:c>
      <x:c r="P94" s="28" t="n">
        <x:v>0</x:v>
      </x:c>
      <x:c r="Q94" s="28" t="n">
        <x:v>0</x:v>
      </x:c>
      <x:c r="R94" s="28" t="n">
        <x:v>0</x:v>
      </x:c>
      <x:c r="S94" s="28" t="n">
        <x:v>0</x:v>
      </x:c>
      <x:c r="T94" s="28" t="n">
        <x:v>0</x:v>
      </x:c>
      <x:c r="U94" s="22" t="str"/>
      <x:c r="V94" s="28" t="n">
        <x:v>0</x:v>
      </x:c>
      <x:c r="W94" s="28" t="n">
        <x:v>0</x:v>
      </x:c>
      <x:c r="X94" s="28" t="n">
        <x:v>1</x:v>
      </x:c>
      <x:c r="Y94" s="28" t="n">
        <x:v>0</x:v>
      </x:c>
      <x:c r="Z94" s="31"/>
      <x:c r="AA94" s="22" t="str"/>
      <x:c r="AB94" s="34"/>
      <x:c r="AC94" s="25" t="str"/>
      <x:c r="AD94" s="25" t="str"/>
      <x:c r="AE94" s="25" t="str"/>
      <x:c r="AF94" s="25" t="str">
        <x:v>품목 수량·단가 또는 범위 일치 GFA·공사금액 부족</x:v>
      </x:c>
      <x:c r="AG94" s="25" t="str">
        <x:v>첨부 추가수집·OCR·수동검토 또는 설계/계약 BOQ 확보</x:v>
      </x:c>
      <x:c r="AH94" s="25" t="str">
        <x:v>자동판정(V2)</x:v>
      </x:c>
      <x:c r="AI94" s="25" t="str">
        <x:v>L2025-00066-1</x:v>
      </x:c>
      <x:c r="AJ94" s="25" t="str">
        <x:v>A도 첨부 가격단계 범위의 사업별 추정만 가능; 국가단가·계약가·준공가를 의미하지 않음</x:v>
      </x:c>
    </x:row>
    <x:row r="95">
      <x:c r="A95" s="22" t="str">
        <x:v>C</x:v>
      </x:c>
      <x:c r="B95" s="22" t="str">
        <x:v>U</x:v>
      </x:c>
      <x:c r="C95" s="22" t="str">
        <x:v>팔레스타인</x:v>
      </x:c>
      <x:c r="D95" s="22" t="str">
        <x:v>2013-00034</x:v>
      </x:c>
      <x:c r="E95" s="25" t="str">
        <x:v>팔레스타인 제닌 청소년센터 건립사업('13-'18/360만불)...</x:v>
      </x:c>
      <x:c r="F95" s="25" t="str"/>
      <x:c r="G95" s="22" t="str">
        <x:v>UNKNOWN</x:v>
      </x:c>
      <x:c r="H95" s="22" t="str">
        <x:v>NONE_UNKNOWN</x:v>
      </x:c>
      <x:c r="I95" s="22" t="str">
        <x:v>V0</x:v>
      </x:c>
      <x:c r="J95" s="28" t="n">
        <x:v>1</x:v>
      </x:c>
      <x:c r="K95" s="28" t="n">
        <x:v>0</x:v>
      </x:c>
      <x:c r="L95" s="28" t="n">
        <x:v>0</x:v>
      </x:c>
      <x:c r="M95" s="28" t="n">
        <x:v>0</x:v>
      </x:c>
      <x:c r="N95" s="28" t="n">
        <x:v>0</x:v>
      </x:c>
      <x:c r="O95" s="28" t="n">
        <x:v>0</x:v>
      </x:c>
      <x:c r="P95" s="28" t="n">
        <x:v>0</x:v>
      </x:c>
      <x:c r="Q95" s="28" t="n">
        <x:v>0</x:v>
      </x:c>
      <x:c r="R95" s="28" t="n">
        <x:v>0</x:v>
      </x:c>
      <x:c r="S95" s="28" t="n">
        <x:v>0</x:v>
      </x:c>
      <x:c r="T95" s="28" t="n">
        <x:v>0</x:v>
      </x:c>
      <x:c r="U95" s="22" t="str"/>
      <x:c r="V95" s="28" t="n">
        <x:v>0</x:v>
      </x:c>
      <x:c r="W95" s="28" t="n">
        <x:v>0</x:v>
      </x:c>
      <x:c r="X95" s="28" t="n">
        <x:v>1</x:v>
      </x:c>
      <x:c r="Y95" s="28" t="n">
        <x:v>0</x:v>
      </x:c>
      <x:c r="Z95" s="31"/>
      <x:c r="AA95" s="22" t="str"/>
      <x:c r="AB95" s="34"/>
      <x:c r="AC95" s="25" t="str"/>
      <x:c r="AD95" s="25" t="str"/>
      <x:c r="AE95" s="25" t="str"/>
      <x:c r="AF95" s="25" t="str">
        <x:v>품목 수량·단가 또는 범위 일치 GFA·공사금액 부족</x:v>
      </x:c>
      <x:c r="AG95" s="25" t="str">
        <x:v>첨부 추가수집·OCR·수동검토 또는 설계/계약 BOQ 확보</x:v>
      </x:c>
      <x:c r="AH95" s="25" t="str">
        <x:v>자동판정(V2)</x:v>
      </x:c>
      <x:c r="AI95" s="25" t="str"/>
      <x:c r="AJ95" s="25" t="str">
        <x:v>A도 첨부 가격단계 범위의 사업별 추정만 가능; 국가단가·계약가·준공가를 의미하지 않음</x:v>
      </x:c>
    </x:row>
    <x:row r="96">
      <x:c r="A96" s="22" t="str">
        <x:v>B</x:v>
      </x:c>
      <x:c r="B96" s="22" t="str">
        <x:v>B</x:v>
      </x:c>
      <x:c r="C96" s="22" t="str">
        <x:v>피지</x:v>
      </x:c>
      <x:c r="D96" s="22" t="str">
        <x:v>2022-00076</x:v>
      </x:c>
      <x:c r="E96" s="25" t="str">
        <x:v>피지 국립재활센터 건립사업(22·27/1,000만불) 시공 용역</x:v>
      </x:c>
      <x:c r="F96" s="25" t="str">
        <x:v>피지 국립재활센터 신축 공사</x:v>
      </x:c>
      <x:c r="G96" s="22" t="str">
        <x:v>FULL</x:v>
      </x:c>
      <x:c r="H96" s="22" t="str">
        <x:v>NONE</x:v>
      </x:c>
      <x:c r="I96" s="22" t="str">
        <x:v>V3</x:v>
      </x:c>
      <x:c r="J96" s="28" t="n">
        <x:v>2</x:v>
      </x:c>
      <x:c r="K96" s="28" t="n">
        <x:v>3</x:v>
      </x:c>
      <x:c r="L96" s="28" t="n">
        <x:v>46</x:v>
      </x:c>
      <x:c r="M96" s="28" t="n">
        <x:v>30</x:v>
      </x:c>
      <x:c r="N96" s="28" t="n">
        <x:v>33</x:v>
      </x:c>
      <x:c r="O96" s="28" t="n">
        <x:v>3</x:v>
      </x:c>
      <x:c r="P96" s="28" t="n">
        <x:v>2</x:v>
      </x:c>
      <x:c r="Q96" s="28" t="n">
        <x:v>1</x:v>
      </x:c>
      <x:c r="R96" s="28" t="n">
        <x:v>0</x:v>
      </x:c>
      <x:c r="S96" s="28" t="n">
        <x:v>204</x:v>
      </x:c>
      <x:c r="T96" s="28" t="n">
        <x:v>0</x:v>
      </x:c>
      <x:c r="U96" s="22" t="str"/>
      <x:c r="V96" s="28" t="n">
        <x:v>0</x:v>
      </x:c>
      <x:c r="W96" s="28" t="n">
        <x:v>1</x:v>
      </x:c>
      <x:c r="X96" s="28" t="n">
        <x:v>0</x:v>
      </x:c>
      <x:c r="Y96" s="28" t="n">
        <x:v>1</x:v>
      </x:c>
      <x:c r="Z96" s="31"/>
      <x:c r="AA96" s="22" t="str"/>
      <x:c r="AB96" s="34"/>
      <x:c r="AC96" s="25" t="str"/>
      <x:c r="AD96" s="25" t="str">
        <x:v>L2025-00051-1/Section 4 - Bill of Quantity.xlsx</x:v>
      </x:c>
      <x:c r="AE96" s="25" t="str">
        <x:v>공종별 시트, 대표 Mechanical Services 수량표</x:v>
      </x:c>
      <x:c r="AF96" s="25" t="str">
        <x:v>품목별 피지 현지 단가 부재; 재공고 파일 해시 동일</x:v>
      </x:c>
      <x:c r="AG96" s="25" t="str">
        <x:v>고유 BOQ 1건으로 처리하고 피지 현지단가 결합</x:v>
      </x:c>
      <x:c r="AH96" s="25" t="str">
        <x:v>수동검증완료</x:v>
      </x:c>
      <x:c r="AI96" s="25" t="str">
        <x:v>L2023-00038-1;L2025-00051-1;L2025-00051-2</x:v>
      </x:c>
      <x:c r="AJ96" s="25" t="str">
        <x:v>A도 첨부 가격단계 범위의 사업별 추정만 가능; 국가단가·계약가·준공가를 의미하지 않음</x:v>
      </x:c>
    </x:row>
    <x:row r="97">
      <x:c r="A97" s="22" t="str">
        <x:v>C</x:v>
      </x:c>
      <x:c r="B97" s="22" t="str">
        <x:v>U</x:v>
      </x:c>
      <x:c r="C97" s="22" t="str">
        <x:v>피지</x:v>
      </x:c>
      <x:c r="D97" s="22" t="str">
        <x:v>2021-00097</x:v>
      </x:c>
      <x:c r="E97" s="25" t="str">
        <x:v>피지 농업공존형 태양광 발전사업(GCF)(21·24/800만불) 영농기술센터 및 농기자재 보관창고 시공</x:v>
      </x:c>
      <x:c r="F97" s="25" t="str"/>
      <x:c r="G97" s="22" t="str">
        <x:v>UNKNOWN</x:v>
      </x:c>
      <x:c r="H97" s="22" t="str">
        <x:v>NONE_UNKNOWN</x:v>
      </x:c>
      <x:c r="I97" s="22" t="str">
        <x:v>V0</x:v>
      </x:c>
      <x:c r="J97" s="28" t="n">
        <x:v>1</x:v>
      </x:c>
      <x:c r="K97" s="28" t="n">
        <x:v>4</x:v>
      </x:c>
      <x:c r="L97" s="28" t="n">
        <x:v>2</x:v>
      </x:c>
      <x:c r="M97" s="28" t="n">
        <x:v>0</x:v>
      </x:c>
      <x:c r="N97" s="28" t="n">
        <x:v>2</x:v>
      </x:c>
      <x:c r="O97" s="28" t="n">
        <x:v>0</x:v>
      </x:c>
      <x:c r="P97" s="28" t="n">
        <x:v>0</x:v>
      </x:c>
      <x:c r="Q97" s="28" t="n">
        <x:v>0</x:v>
      </x:c>
      <x:c r="R97" s="28" t="n">
        <x:v>0</x:v>
      </x:c>
      <x:c r="S97" s="28" t="n">
        <x:v>0</x:v>
      </x:c>
      <x:c r="T97" s="28" t="n">
        <x:v>0</x:v>
      </x:c>
      <x:c r="U97" s="22" t="str"/>
      <x:c r="V97" s="28" t="n">
        <x:v>0</x:v>
      </x:c>
      <x:c r="W97" s="28" t="n">
        <x:v>0</x:v>
      </x:c>
      <x:c r="X97" s="28" t="n">
        <x:v>1</x:v>
      </x:c>
      <x:c r="Y97" s="28" t="n">
        <x:v>0</x:v>
      </x:c>
      <x:c r="Z97" s="31"/>
      <x:c r="AA97" s="22" t="str"/>
      <x:c r="AB97" s="34"/>
      <x:c r="AC97" s="25" t="str"/>
      <x:c r="AD97" s="25" t="str"/>
      <x:c r="AE97" s="25" t="str"/>
      <x:c r="AF97" s="25" t="str">
        <x:v>품목 수량·단가 또는 범위 일치 GFA·공사금액 부족</x:v>
      </x:c>
      <x:c r="AG97" s="25" t="str">
        <x:v>첨부 추가수집·OCR·수동검토 또는 설계/계약 BOQ 확보</x:v>
      </x:c>
      <x:c r="AH97" s="25" t="str">
        <x:v>자동판정(V2)</x:v>
      </x:c>
      <x:c r="AI97" s="25" t="str">
        <x:v>L2023-00030-1;L2024-00036-1;L2025-00015-1;L2025-00015-2</x:v>
      </x:c>
      <x:c r="AJ97" s="25" t="str">
        <x:v>A도 첨부 가격단계 범위의 사업별 추정만 가능; 국가단가·계약가·준공가를 의미하지 않음</x:v>
      </x:c>
    </x:row>
    <x:row r="98">
      <x:c r="A98" s="22" t="str">
        <x:v>C</x:v>
      </x:c>
      <x:c r="B98" s="22" t="str">
        <x:v>U</x:v>
      </x:c>
      <x:c r="C98" s="22" t="str">
        <x:v>필리핀</x:v>
      </x:c>
      <x:c r="D98" s="22" t="str">
        <x:v>2022-00069</x:v>
      </x:c>
      <x:c r="E98" s="25" t="str">
        <x:v>필리핀 기마라스주 수산양식 역량강화를 통한 양식어민 소득증대 지원사업('22·'28/1,000만불)현지 설계 입찰</x:v>
      </x:c>
      <x:c r="F98" s="25" t="str"/>
      <x:c r="G98" s="22" t="str">
        <x:v>UNKNOWN</x:v>
      </x:c>
      <x:c r="H98" s="22" t="str">
        <x:v>NONE_UNKNOWN</x:v>
      </x:c>
      <x:c r="I98" s="22" t="str">
        <x:v>V0</x:v>
      </x:c>
      <x:c r="J98" s="28" t="n">
        <x:v>2</x:v>
      </x:c>
      <x:c r="K98" s="28" t="n">
        <x:v>3</x:v>
      </x:c>
      <x:c r="L98" s="28" t="n">
        <x:v>29</x:v>
      </x:c>
      <x:c r="M98" s="28" t="n">
        <x:v>0</x:v>
      </x:c>
      <x:c r="N98" s="28" t="n">
        <x:v>19</x:v>
      </x:c>
      <x:c r="O98" s="28" t="n">
        <x:v>0</x:v>
      </x:c>
      <x:c r="P98" s="28" t="n">
        <x:v>0</x:v>
      </x:c>
      <x:c r="Q98" s="28" t="n">
        <x:v>0</x:v>
      </x:c>
      <x:c r="R98" s="28" t="n">
        <x:v>0</x:v>
      </x:c>
      <x:c r="S98" s="28" t="n">
        <x:v>0</x:v>
      </x:c>
      <x:c r="T98" s="28" t="n">
        <x:v>0</x:v>
      </x:c>
      <x:c r="U98" s="22" t="str"/>
      <x:c r="V98" s="28" t="n">
        <x:v>0</x:v>
      </x:c>
      <x:c r="W98" s="28" t="n">
        <x:v>0</x:v>
      </x:c>
      <x:c r="X98" s="28" t="n">
        <x:v>1</x:v>
      </x:c>
      <x:c r="Y98" s="28" t="n">
        <x:v>0</x:v>
      </x:c>
      <x:c r="Z98" s="31"/>
      <x:c r="AA98" s="22" t="str"/>
      <x:c r="AB98" s="34"/>
      <x:c r="AC98" s="25" t="str"/>
      <x:c r="AD98" s="25" t="str"/>
      <x:c r="AE98" s="25" t="str"/>
      <x:c r="AF98" s="25" t="str">
        <x:v>품목 수량·단가 또는 범위 일치 GFA·공사금액 부족</x:v>
      </x:c>
      <x:c r="AG98" s="25" t="str">
        <x:v>첨부 추가수집·OCR·수동검토 또는 설계/계약 BOQ 확보</x:v>
      </x:c>
      <x:c r="AH98" s="25" t="str">
        <x:v>자동판정(V2)</x:v>
      </x:c>
      <x:c r="AI98" s="25" t="str">
        <x:v>L2025-00059-1;L2025-00075-1;L2025-00094-1</x:v>
      </x:c>
      <x:c r="AJ98" s="25" t="str">
        <x:v>A도 첨부 가격단계 범위의 사업별 추정만 가능; 국가단가·계약가·준공가를 의미하지 않음</x:v>
      </x:c>
    </x:row>
    <x:row r="99">
      <x:c r="A99" s="22" t="str">
        <x:v>C</x:v>
      </x:c>
      <x:c r="B99" s="22" t="str">
        <x:v>U</x:v>
      </x:c>
      <x:c r="C99" s="22" t="str">
        <x:v>필리핀</x:v>
      </x:c>
      <x:c r="D99" s="22" t="str"/>
      <x:c r="E99" s="25" t="str">
        <x:v>필리핀 팔라완 지역 식량 안보 및 기후변화 대응을 위한 환경자원정보시스템 개발 사업('24·'28/1,000만불)</x:v>
      </x:c>
      <x:c r="F99" s="25" t="str"/>
      <x:c r="G99" s="22" t="str">
        <x:v>UNKNOWN</x:v>
      </x:c>
      <x:c r="H99" s="22" t="str">
        <x:v>NONE_UNKNOWN</x:v>
      </x:c>
      <x:c r="I99" s="22" t="str">
        <x:v>V0</x:v>
      </x:c>
      <x:c r="J99" s="28" t="n">
        <x:v>1</x:v>
      </x:c>
      <x:c r="K99" s="28" t="n">
        <x:v>0</x:v>
      </x:c>
      <x:c r="L99" s="28" t="n">
        <x:v>0</x:v>
      </x:c>
      <x:c r="M99" s="28" t="n">
        <x:v>0</x:v>
      </x:c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</x:v>
      </x:c>
      <x:c r="U99" s="22" t="str"/>
      <x:c r="V99" s="28" t="n">
        <x:v>0</x:v>
      </x:c>
      <x:c r="W99" s="28" t="n">
        <x:v>0</x:v>
      </x:c>
      <x:c r="X99" s="28" t="n">
        <x:v>1</x:v>
      </x:c>
      <x:c r="Y99" s="28" t="n">
        <x:v>0</x:v>
      </x:c>
      <x:c r="Z99" s="31"/>
      <x:c r="AA99" s="22" t="str"/>
      <x:c r="AB99" s="34"/>
      <x:c r="AC99" s="25" t="str"/>
      <x:c r="AD99" s="25" t="str"/>
      <x:c r="AE99" s="25" t="str"/>
      <x:c r="AF99" s="25" t="str">
        <x:v>품목 수량·단가 또는 범위 일치 GFA·공사금액 부족</x:v>
      </x:c>
      <x:c r="AG99" s="25" t="str">
        <x:v>첨부 추가수집·OCR·수동검토 또는 설계/계약 BOQ 확보</x:v>
      </x:c>
      <x:c r="AH99" s="25" t="str">
        <x:v>자동판정(V2)</x:v>
      </x:c>
      <x:c r="AI99" s="25" t="str"/>
      <x:c r="AJ99" s="25" t="str">
        <x:v>A도 첨부 가격단계 범위의 사업별 추정만 가능; 국가단가·계약가·준공가를 의미하지 않음</x:v>
      </x:c>
    </x:row>
    <x:row r="100">
      <x:c r="A100" s="23" t="str">
        <x:v>C</x:v>
      </x:c>
      <x:c r="B100" s="23" t="str">
        <x:v>U</x:v>
      </x:c>
      <x:c r="C100" s="23" t="str">
        <x:v>필리핀</x:v>
      </x:c>
      <x:c r="D100" s="23" t="str"/>
      <x:c r="E100" s="26" t="str">
        <x:v>필리핀 경찰청 범죄수사정보 통합관리 시스템 구축 사업 시스템 감리 용역</x:v>
      </x:c>
      <x:c r="F100" s="26" t="str"/>
      <x:c r="G100" s="23" t="str">
        <x:v>UNKNOWN</x:v>
      </x:c>
      <x:c r="H100" s="23" t="str">
        <x:v>NONE_UNKNOWN</x:v>
      </x:c>
      <x:c r="I100" s="23" t="str">
        <x:v>V0</x:v>
      </x:c>
      <x:c r="J100" s="29" t="n">
        <x:v>1</x:v>
      </x:c>
      <x:c r="K100" s="29" t="n">
        <x:v>0</x:v>
      </x:c>
      <x:c r="L100" s="29" t="n">
        <x:v>0</x:v>
      </x:c>
      <x:c r="M100" s="29" t="n">
        <x:v>0</x:v>
      </x:c>
      <x:c r="N100" s="29" t="n">
        <x:v>0</x:v>
      </x:c>
      <x:c r="O100" s="29" t="n">
        <x:v>0</x:v>
      </x:c>
      <x:c r="P100" s="29" t="n">
        <x:v>0</x:v>
      </x:c>
      <x:c r="Q100" s="29" t="n">
        <x:v>0</x:v>
      </x:c>
      <x:c r="R100" s="29" t="n">
        <x:v>0</x:v>
      </x:c>
      <x:c r="S100" s="29" t="n">
        <x:v>0</x:v>
      </x:c>
      <x:c r="T100" s="29" t="n">
        <x:v>0</x:v>
      </x:c>
      <x:c r="U100" s="23" t="str"/>
      <x:c r="V100" s="29" t="n">
        <x:v>0</x:v>
      </x:c>
      <x:c r="W100" s="29" t="n">
        <x:v>0</x:v>
      </x:c>
      <x:c r="X100" s="29" t="n">
        <x:v>1</x:v>
      </x:c>
      <x:c r="Y100" s="29" t="n">
        <x:v>0</x:v>
      </x:c>
      <x:c r="Z100" s="32"/>
      <x:c r="AA100" s="23" t="str"/>
      <x:c r="AB100" s="35"/>
      <x:c r="AC100" s="26" t="str"/>
      <x:c r="AD100" s="26" t="str"/>
      <x:c r="AE100" s="26" t="str"/>
      <x:c r="AF100" s="26" t="str">
        <x:v>품목 수량·단가 또는 범위 일치 GFA·공사금액 부족</x:v>
      </x:c>
      <x:c r="AG100" s="26" t="str">
        <x:v>첨부 추가수집·OCR·수동검토 또는 설계/계약 BOQ 확보</x:v>
      </x:c>
      <x:c r="AH100" s="26" t="str">
        <x:v>자동판정(V2)</x:v>
      </x:c>
      <x:c r="AI100" s="26" t="str"/>
      <x:c r="AJ100" s="26" t="str">
        <x:v>A도 첨부 가격단계 범위의 사업별 추정만 가능; 국가단가·계약가·준공가를 의미하지 않음</x:v>
      </x:c>
    </x:row>
  </x:sheetData>
  <x:mergeCells>
    <x:mergeCell ref="A1:AJ1"/>
    <x:mergeCell ref="A2:AJ2"/>
  </x:mergeCells>
  <x:conditionalFormatting sqref="A5:B100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U"/>
    <x:cfRule type="beginsWith" dxfId="4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4a785d118a1e43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2" hidden="0" customWidth="1"/>
    <x:col min="4" max="4" width="22" hidden="0" customWidth="1"/>
    <x:col min="5" max="5" width="15" hidden="0" customWidth="1"/>
    <x:col min="6" max="6" width="22" hidden="0" customWidth="1"/>
    <x:col min="7" max="7" width="16" hidden="0" customWidth="1"/>
    <x:col min="8" max="8" width="14" hidden="0" customWidth="1"/>
    <x:col min="9" max="9" width="14" hidden="0" customWidth="1"/>
    <x:col min="10" max="10" width="24" hidden="0" customWidth="1"/>
    <x:col min="11" max="11" width="10" hidden="0" customWidth="1"/>
    <x:col min="12" max="12" width="11" hidden="0" customWidth="1"/>
    <x:col min="13" max="13" width="42" hidden="0" customWidth="1"/>
    <x:col min="14" max="14" width="42" hidden="0" customWidth="1"/>
    <x:col min="15" max="15" width="10" hidden="0" customWidth="1"/>
    <x:col min="16" max="16" width="15" hidden="0" customWidth="1"/>
    <x:col min="17" max="17" width="20" hidden="0" customWidth="1"/>
    <x:col min="18" max="18" width="13" hidden="0" customWidth="1"/>
    <x:col min="19" max="19" width="17" hidden="0" customWidth="1"/>
    <x:col min="20" max="20" width="10" hidden="0" customWidth="1"/>
    <x:col min="21" max="21" width="35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5" hidden="0" customWidth="1"/>
    <x:col min="28" max="28" width="9" hidden="0" customWidth="1"/>
    <x:col min="29" max="29" width="15" hidden="0" customWidth="1"/>
    <x:col min="30" max="30" width="46" hidden="0" customWidth="1"/>
    <x:col min="31" max="31" width="34" hidden="0" customWidth="1"/>
    <x:col min="32" max="32" width="38" hidden="0" customWidth="1"/>
  </x:cols>
  <x:sheetData>
    <x:row r="1" ht="34" customHeight="1">
      <x:c r="A1" s="3" t="str">
        <x:v>공식 건축관련후보 127건 원기록 감사표</x:v>
      </x:c>
    </x:row>
    <x:row r="2" ht="38" customHeight="1">
      <x:c r="A2" s="7" t="str">
        <x:v>행 ID를 보존하면서 프로젝트 최고등급과 해당 공식기록 자체의 비용표본 상태를 분리했습니다. 보고서 전체사업예산·설계감리비는 건축공사비로 사용하지 않습니다.</x:v>
      </x:c>
    </x:row>
    <x:row r="4" ht="30" customHeight="1">
      <x:c r="A4" s="13" t="str">
        <x:v>순번</x:v>
      </x:c>
      <x:c r="B4" s="13" t="str">
        <x:v>프로젝트등급</x:v>
      </x:c>
      <x:c r="C4" s="13" t="str">
        <x:v>기술상태</x:v>
      </x:c>
      <x:c r="D4" s="13" t="str">
        <x:v>기록비용상태</x:v>
      </x:c>
      <x:c r="E4" s="13" t="str">
        <x:v>국가</x:v>
      </x:c>
      <x:c r="F4" s="13" t="str">
        <x:v>원천데이터</x:v>
      </x:c>
      <x:c r="G4" s="13" t="str">
        <x:v>원천레코드ID</x:v>
      </x:c>
      <x:c r="H4" s="13" t="str">
        <x:v>원사업번호</x:v>
      </x:c>
      <x:c r="I4" s="13" t="str">
        <x:v>유효사업번호</x:v>
      </x:c>
      <x:c r="J4" s="13" t="str">
        <x:v>연결방법</x:v>
      </x:c>
      <x:c r="K4" s="13" t="str">
        <x:v>연결점수</x:v>
      </x:c>
      <x:c r="L4" s="13" t="str">
        <x:v>조달구분</x:v>
      </x:c>
      <x:c r="M4" s="13" t="str">
        <x:v>기록명</x:v>
      </x:c>
      <x:c r="N4" s="13" t="str">
        <x:v>공사범위</x:v>
      </x:c>
      <x:c r="O4" s="13" t="str">
        <x:v>금액통화</x:v>
      </x:c>
      <x:c r="P4" s="13" t="str">
        <x:v>금액</x:v>
      </x:c>
      <x:c r="Q4" s="13" t="str">
        <x:v>금액역할</x:v>
      </x:c>
      <x:c r="R4" s="13" t="str">
        <x:v>연면적㎡</x:v>
      </x:c>
      <x:c r="S4" s="13" t="str">
        <x:v>계획원단위 KRW/㎡</x:v>
      </x:c>
      <x:c r="T4" s="13" t="str">
        <x:v>연결공고수</x:v>
      </x:c>
      <x:c r="U4" s="13" t="str">
        <x:v>연결공고</x:v>
      </x:c>
      <x:c r="V4" s="13" t="str">
        <x:v>색인첨부수</x:v>
      </x:c>
      <x:c r="W4" s="13" t="str">
        <x:v>스프레드시트수</x:v>
      </x:c>
      <x:c r="X4" s="13" t="str">
        <x:v>BOQ명칭파일수</x:v>
      </x:c>
      <x:c r="Y4" s="13" t="str">
        <x:v>수량표파일수</x:v>
      </x:c>
      <x:c r="Z4" s="13" t="str">
        <x:v>가격표파일수</x:v>
      </x:c>
      <x:c r="AA4" s="13" t="str">
        <x:v>검증금액</x:v>
      </x:c>
      <x:c r="AB4" s="13" t="str">
        <x:v>검증통화</x:v>
      </x:c>
      <x:c r="AC4" s="13" t="str">
        <x:v>검증금액/㎡</x:v>
      </x:c>
      <x:c r="AD4" s="13" t="str">
        <x:v>근거파일</x:v>
      </x:c>
      <x:c r="AE4" s="13" t="str">
        <x:v>차단요인</x:v>
      </x:c>
      <x:c r="AF4" s="13" t="str">
        <x:v>공식URL</x:v>
      </x:c>
    </x:row>
    <x:row r="5">
      <x:c r="A5" s="21" t="n">
        <x:v>1</x:v>
      </x:c>
      <x:c r="B5" s="21" t="str">
        <x:v>C</x:v>
      </x:c>
      <x:c r="C5" s="21" t="str">
        <x:v>U</x:v>
      </x:c>
      <x:c r="D5" s="21" t="str">
        <x:v>U-근거부족</x:v>
      </x:c>
      <x:c r="E5" s="21" t="str">
        <x:v>우간다</x:v>
      </x:c>
      <x:c r="F5" s="21" t="str">
        <x:v>annual_procurement_plan</x:v>
      </x:c>
      <x:c r="G5" s="21" t="str">
        <x:v>15085055:91</x:v>
      </x:c>
      <x:c r="H5" s="21" t="str">
        <x:v>2021-00042</x:v>
      </x:c>
      <x:c r="I5" s="21" t="str">
        <x:v>2021-00042</x:v>
      </x:c>
      <x:c r="J5" s="21" t="str">
        <x:v>official_report_title_containment</x:v>
      </x:c>
      <x:c r="K5" s="58" t="n">
        <x:v>0.99</x:v>
      </x:c>
      <x:c r="L5" s="21" t="str">
        <x:v>공사</x:v>
      </x:c>
      <x:c r="M5" s="24" t="str">
        <x:v>우간다 농업지도자 연수원 자립적 운영체계 구축 및 연수역량 강화사업('21·'28/1,200만불)</x:v>
      </x:c>
      <x:c r="N5" s="24" t="str">
        <x:v>우간다 농업지도자 연수원 자립적 운영체계구축 및 연수역량 강화사업 시범농장 신축 공사</x:v>
      </x:c>
      <x:c r="O5" s="21" t="str">
        <x:v>KRW</x:v>
      </x:c>
      <x:c r="P5" s="30" t="n">
        <x:v>1573634700</x:v>
      </x:c>
      <x:c r="Q5" s="21" t="str">
        <x:v>planned_bid_ceiling</x:v>
      </x:c>
      <x:c r="R5" s="30"/>
      <x:c r="S5" s="30"/>
      <x:c r="T5" s="21" t="n">
        <x:v>3</x:v>
      </x:c>
      <x:c r="U5" s="21" t="str">
        <x:v>L2023-00028-1;L2024-00050-1;L2025-00062-1</x:v>
      </x:c>
      <x:c r="V5" s="21" t="n">
        <x:v>47</x:v>
      </x:c>
      <x:c r="W5" s="21" t="n">
        <x:v>0</x:v>
      </x:c>
      <x:c r="X5" s="21" t="n">
        <x:v>0</x:v>
      </x:c>
      <x:c r="Y5" s="21" t="n">
        <x:v>0</x:v>
      </x:c>
      <x:c r="Z5" s="21" t="n">
        <x:v>0</x:v>
      </x:c>
      <x:c r="AA5" s="30"/>
      <x:c r="AB5" s="21" t="str"/>
      <x:c r="AC5" s="33"/>
      <x:c r="AD5" s="24" t="str"/>
      <x:c r="AE5" s="24" t="str">
        <x:v>품목 수량·단가 또는 범위 일치 GFA·공사금액 부족</x:v>
      </x:c>
      <x:c r="AF5" s="24" t="str">
        <x:v>https://www.data.go.kr/data/15085055/fileData.do</x:v>
      </x:c>
    </x:row>
    <x:row r="6">
      <x:c r="A6" s="22" t="n">
        <x:v>2</x:v>
      </x:c>
      <x:c r="B6" s="22" t="str">
        <x:v>C</x:v>
      </x:c>
      <x:c r="C6" s="22" t="str">
        <x:v>U</x:v>
      </x:c>
      <x:c r="D6" s="22" t="str">
        <x:v>U-근거부족</x:v>
      </x:c>
      <x:c r="E6" s="22" t="str">
        <x:v>우간다</x:v>
      </x:c>
      <x:c r="F6" s="22" t="str">
        <x:v>annual_procurement_plan</x:v>
      </x:c>
      <x:c r="G6" s="22" t="str">
        <x:v>15085055:31</x:v>
      </x:c>
      <x:c r="H6" s="22" t="str">
        <x:v>2022-00064</x:v>
      </x:c>
      <x:c r="I6" s="22" t="str">
        <x:v>2022-00064</x:v>
      </x:c>
      <x:c r="J6" s="22" t="str">
        <x:v>existing_db_title_containment</x:v>
      </x:c>
      <x:c r="K6" s="59" t="n">
        <x:v>0.99</x:v>
      </x:c>
      <x:c r="L6" s="22" t="str">
        <x:v>공사</x:v>
      </x:c>
      <x:c r="M6" s="25" t="str">
        <x:v>우간다 마케레레대학교 ICT 교육환경 조성사업('23·'28/1,220만불)</x:v>
      </x:c>
      <x:c r="N6" s="25" t="str">
        <x:v>· 토공사, 건축공사, 구조공사, 전기공사, 기계공사, 부대토목공사 등</x:v>
      </x:c>
      <x:c r="O6" s="22" t="str">
        <x:v>KRW</x:v>
      </x:c>
      <x:c r="P6" s="31" t="n">
        <x:v>6113400000</x:v>
      </x:c>
      <x:c r="Q6" s="22" t="str">
        <x:v>planned_bid_ceiling</x:v>
      </x:c>
      <x:c r="R6" s="31"/>
      <x:c r="S6" s="31"/>
      <x:c r="T6" s="22" t="n">
        <x:v>2</x:v>
      </x:c>
      <x:c r="U6" s="22" t="str">
        <x:v>L2024-00072-1;L2025-00084-1</x:v>
      </x:c>
      <x:c r="V6" s="22" t="n">
        <x:v>20</x:v>
      </x:c>
      <x:c r="W6" s="22" t="n">
        <x:v>0</x:v>
      </x:c>
      <x:c r="X6" s="22" t="n">
        <x:v>0</x:v>
      </x:c>
      <x:c r="Y6" s="22" t="n">
        <x:v>0</x:v>
      </x:c>
      <x:c r="Z6" s="22" t="n">
        <x:v>0</x:v>
      </x:c>
      <x:c r="AA6" s="31"/>
      <x:c r="AB6" s="22" t="str"/>
      <x:c r="AC6" s="34"/>
      <x:c r="AD6" s="25" t="str"/>
      <x:c r="AE6" s="25" t="str">
        <x:v>품목 수량·단가 또는 범위 일치 GFA·공사금액 부족</x:v>
      </x:c>
      <x:c r="AF6" s="25" t="str">
        <x:v>https://www.data.go.kr/data/15085055/fileData.do</x:v>
      </x:c>
    </x:row>
    <x:row r="7">
      <x:c r="A7" s="22" t="n">
        <x:v>3</x:v>
      </x:c>
      <x:c r="B7" s="22" t="str">
        <x:v>C</x:v>
      </x:c>
      <x:c r="C7" s="22" t="str">
        <x:v>U</x:v>
      </x:c>
      <x:c r="D7" s="22" t="str">
        <x:v>U-전체사업정보</x:v>
      </x:c>
      <x:c r="E7" s="22" t="str">
        <x:v>우간다</x:v>
      </x:c>
      <x:c r="F7" s="22" t="str">
        <x:v>country_project_reports</x:v>
      </x:c>
      <x:c r="G7" s="22" t="str">
        <x:v>15052832:654</x:v>
      </x:c>
      <x:c r="H7" s="22" t="str">
        <x:v>2011-00051</x:v>
      </x:c>
      <x:c r="I7" s="22" t="str">
        <x:v>2011-00051</x:v>
      </x:c>
      <x:c r="J7" s="22" t="str">
        <x:v>source_direct</x:v>
      </x:c>
      <x:c r="K7" s="59" t="n">
        <x:v>1</x:v>
      </x:c>
      <x:c r="L7" s="22" t="str"/>
      <x:c r="M7" s="25" t="str">
        <x:v>우간다 과일가공공장 건립사업('11-'19/800만불)...</x:v>
      </x:c>
      <x:c r="N7" s="25" t="str"/>
      <x:c r="O7" s="22" t="str">
        <x:v>USD</x:v>
      </x:c>
      <x:c r="P7" s="31" t="n">
        <x:v>8000000</x:v>
      </x:c>
      <x:c r="Q7" s="22" t="str">
        <x:v>whole_program_budget_from_title</x:v>
      </x:c>
      <x:c r="R7" s="31"/>
      <x:c r="S7" s="31"/>
      <x:c r="T7" s="22" t="n">
        <x:v>0</x:v>
      </x:c>
      <x:c r="U7" s="22" t="str"/>
      <x:c r="V7" s="22" t="n">
        <x:v>0</x:v>
      </x:c>
      <x:c r="W7" s="22" t="n">
        <x:v>0</x:v>
      </x:c>
      <x:c r="X7" s="22" t="n">
        <x:v>0</x:v>
      </x:c>
      <x:c r="Y7" s="22" t="n">
        <x:v>0</x:v>
      </x:c>
      <x:c r="Z7" s="22" t="n">
        <x:v>0</x:v>
      </x:c>
      <x:c r="AA7" s="31"/>
      <x:c r="AB7" s="22" t="str"/>
      <x:c r="AC7" s="34"/>
      <x:c r="AD7" s="25" t="str"/>
      <x:c r="AE7" s="25" t="str">
        <x:v>품목 수량·단가 또는 범위 일치 GFA·공사금액 부족</x:v>
      </x:c>
      <x:c r="AF7" s="25" t="str">
        <x:v>https://www.oda.go.kr/opo/bsin/bsnsSumryDocDetail.do?P_BSNS_NO=2011-00051</x:v>
      </x:c>
    </x:row>
    <x:row r="8">
      <x:c r="A8" s="22" t="n">
        <x:v>4</x:v>
      </x:c>
      <x:c r="B8" s="22" t="str">
        <x:v>C</x:v>
      </x:c>
      <x:c r="C8" s="22" t="str">
        <x:v>U</x:v>
      </x:c>
      <x:c r="D8" s="22" t="str">
        <x:v>U-전체사업정보</x:v>
      </x:c>
      <x:c r="E8" s="22" t="str">
        <x:v>우간다</x:v>
      </x:c>
      <x:c r="F8" s="22" t="str">
        <x:v>country_project_reports</x:v>
      </x:c>
      <x:c r="G8" s="22" t="str">
        <x:v>15052832:653</x:v>
      </x:c>
      <x:c r="H8" s="22" t="str">
        <x:v>2011-00052</x:v>
      </x:c>
      <x:c r="I8" s="22" t="str">
        <x:v>2011-00052</x:v>
      </x:c>
      <x:c r="J8" s="22" t="str">
        <x:v>source_direct</x:v>
      </x:c>
      <x:c r="K8" s="59" t="n">
        <x:v>1</x:v>
      </x:c>
      <x:c r="L8" s="22" t="str"/>
      <x:c r="M8" s="25" t="str">
        <x:v>우간다 농업지도자연수원 건립사업('11-'17/440만불)...</x:v>
      </x:c>
      <x:c r="N8" s="25" t="str"/>
      <x:c r="O8" s="22" t="str">
        <x:v>USD</x:v>
      </x:c>
      <x:c r="P8" s="31" t="n">
        <x:v>4400000</x:v>
      </x:c>
      <x:c r="Q8" s="22" t="str">
        <x:v>whole_program_budget_from_title</x:v>
      </x:c>
      <x:c r="R8" s="31"/>
      <x:c r="S8" s="31"/>
      <x:c r="T8" s="22" t="n">
        <x:v>0</x:v>
      </x:c>
      <x:c r="U8" s="22" t="str"/>
      <x:c r="V8" s="22" t="n">
        <x:v>0</x:v>
      </x:c>
      <x:c r="W8" s="22" t="n">
        <x:v>0</x:v>
      </x:c>
      <x:c r="X8" s="22" t="n">
        <x:v>0</x:v>
      </x:c>
      <x:c r="Y8" s="22" t="n">
        <x:v>0</x:v>
      </x:c>
      <x:c r="Z8" s="22" t="n">
        <x:v>0</x:v>
      </x:c>
      <x:c r="AA8" s="31"/>
      <x:c r="AB8" s="22" t="str"/>
      <x:c r="AC8" s="34"/>
      <x:c r="AD8" s="25" t="str"/>
      <x:c r="AE8" s="25" t="str">
        <x:v>품목 수량·단가 또는 범위 일치 GFA·공사금액 부족</x:v>
      </x:c>
      <x:c r="AF8" s="25" t="str">
        <x:v>https://www.oda.go.kr/opo/bsin/bsnsSumryDocDetail.do?P_BSNS_NO=2011-00052</x:v>
      </x:c>
    </x:row>
    <x:row r="9">
      <x:c r="A9" s="22" t="n">
        <x:v>5</x:v>
      </x:c>
      <x:c r="B9" s="22" t="str">
        <x:v>C</x:v>
      </x:c>
      <x:c r="C9" s="22" t="str">
        <x:v>U</x:v>
      </x:c>
      <x:c r="D9" s="22" t="str">
        <x:v>U-전체사업정보</x:v>
      </x:c>
      <x:c r="E9" s="22" t="str">
        <x:v>우간다</x:v>
      </x:c>
      <x:c r="F9" s="22" t="str">
        <x:v>country_project_reports</x:v>
      </x:c>
      <x:c r="G9" s="22" t="str">
        <x:v>15052832:509</x:v>
      </x:c>
      <x:c r="H9" s="22" t="str">
        <x:v>2015-00034</x:v>
      </x:c>
      <x:c r="I9" s="22" t="str">
        <x:v>2015-00034</x:v>
      </x:c>
      <x:c r="J9" s="22" t="str">
        <x:v>source_direct</x:v>
      </x:c>
      <x:c r="K9" s="59" t="n">
        <x:v>1</x:v>
      </x:c>
      <x:c r="L9" s="22" t="str"/>
      <x:c r="M9" s="25" t="str">
        <x:v>우간다 새마을운동 시범마을 건립사업('15-'18/295만불)...</x:v>
      </x:c>
      <x:c r="N9" s="25" t="str"/>
      <x:c r="O9" s="22" t="str">
        <x:v>USD</x:v>
      </x:c>
      <x:c r="P9" s="31" t="n">
        <x:v>2950000</x:v>
      </x:c>
      <x:c r="Q9" s="22" t="str">
        <x:v>whole_program_budget_from_title</x:v>
      </x:c>
      <x:c r="R9" s="31"/>
      <x:c r="S9" s="31"/>
      <x:c r="T9" s="22" t="n">
        <x:v>0</x:v>
      </x:c>
      <x:c r="U9" s="22" t="str"/>
      <x:c r="V9" s="22" t="n">
        <x:v>0</x:v>
      </x:c>
      <x:c r="W9" s="22" t="n">
        <x:v>0</x:v>
      </x:c>
      <x:c r="X9" s="22" t="n">
        <x:v>0</x:v>
      </x:c>
      <x:c r="Y9" s="22" t="n">
        <x:v>0</x:v>
      </x:c>
      <x:c r="Z9" s="22" t="n">
        <x:v>0</x:v>
      </x:c>
      <x:c r="AA9" s="31"/>
      <x:c r="AB9" s="22" t="str"/>
      <x:c r="AC9" s="34"/>
      <x:c r="AD9" s="25" t="str"/>
      <x:c r="AE9" s="25" t="str">
        <x:v>품목 수량·단가 또는 범위 일치 GFA·공사금액 부족</x:v>
      </x:c>
      <x:c r="AF9" s="25" t="str">
        <x:v>https://www.oda.go.kr/opo/bsin/bsnsSumryDocDetail.do?P_BSNS_NO=2015-00034</x:v>
      </x:c>
    </x:row>
    <x:row r="10">
      <x:c r="A10" s="22" t="n">
        <x:v>6</x:v>
      </x:c>
      <x:c r="B10" s="22" t="str">
        <x:v>C</x:v>
      </x:c>
      <x:c r="C10" s="22" t="str">
        <x:v>U</x:v>
      </x:c>
      <x:c r="D10" s="22" t="str">
        <x:v>U-전체사업정보</x:v>
      </x:c>
      <x:c r="E10" s="22" t="str">
        <x:v>우간다</x:v>
      </x:c>
      <x:c r="F10" s="22" t="str">
        <x:v>country_project_reports</x:v>
      </x:c>
      <x:c r="G10" s="22" t="str">
        <x:v>15052832:664</x:v>
      </x:c>
      <x:c r="H10" s="22" t="str">
        <x:v>2011-00024</x:v>
      </x:c>
      <x:c r="I10" s="22" t="str">
        <x:v>2011-00024</x:v>
      </x:c>
      <x:c r="J10" s="22" t="str">
        <x:v>source_direct</x:v>
      </x:c>
      <x:c r="K10" s="59" t="n">
        <x:v>1</x:v>
      </x:c>
      <x:c r="L10" s="22" t="str"/>
      <x:c r="M10" s="25" t="str">
        <x:v>우간다 직업훈련원 건립사업('11-'18/579만불)...</x:v>
      </x:c>
      <x:c r="N10" s="25" t="str"/>
      <x:c r="O10" s="22" t="str">
        <x:v>USD</x:v>
      </x:c>
      <x:c r="P10" s="31" t="n">
        <x:v>5790000</x:v>
      </x:c>
      <x:c r="Q10" s="22" t="str">
        <x:v>whole_program_budget_from_title</x:v>
      </x:c>
      <x:c r="R10" s="31"/>
      <x:c r="S10" s="31"/>
      <x:c r="T10" s="22" t="n">
        <x:v>0</x:v>
      </x:c>
      <x:c r="U10" s="22" t="str"/>
      <x:c r="V10" s="22" t="n">
        <x:v>0</x:v>
      </x:c>
      <x:c r="W10" s="22" t="n">
        <x:v>0</x:v>
      </x:c>
      <x:c r="X10" s="22" t="n">
        <x:v>0</x:v>
      </x:c>
      <x:c r="Y10" s="22" t="n">
        <x:v>0</x:v>
      </x:c>
      <x:c r="Z10" s="22" t="n">
        <x:v>0</x:v>
      </x:c>
      <x:c r="AA10" s="31"/>
      <x:c r="AB10" s="22" t="str"/>
      <x:c r="AC10" s="34"/>
      <x:c r="AD10" s="25" t="str"/>
      <x:c r="AE10" s="25" t="str">
        <x:v>품목 수량·단가 또는 범위 일치 GFA·공사금액 부족</x:v>
      </x:c>
      <x:c r="AF10" s="25" t="str">
        <x:v>https://www.oda.go.kr/opo/bsin/bsnsSumryDocDetail.do?P_BSNS_NO=2011-00024</x:v>
      </x:c>
    </x:row>
    <x:row r="11">
      <x:c r="A11" s="22" t="n">
        <x:v>7</x:v>
      </x:c>
      <x:c r="B11" s="22" t="str">
        <x:v>C</x:v>
      </x:c>
      <x:c r="C11" s="22" t="str">
        <x:v>U</x:v>
      </x:c>
      <x:c r="D11" s="22" t="str">
        <x:v>X-용역계약</x:v>
      </x:c>
      <x:c r="E11" s="22" t="str">
        <x:v>몽골</x:v>
      </x:c>
      <x:c r="F11" s="22" t="str">
        <x:v>aid_procurement_contracts</x:v>
      </x:c>
      <x:c r="G11" s="22" t="str">
        <x:v>15073135:83</x:v>
      </x:c>
      <x:c r="H11" s="22" t="str">
        <x:v>2023-00098</x:v>
      </x:c>
      <x:c r="I11" s="22" t="str">
        <x:v>2023-00098</x:v>
      </x:c>
      <x:c r="J11" s="22" t="str">
        <x:v>official_report_title_containment</x:v>
      </x:c>
      <x:c r="K11" s="59" t="n">
        <x:v>0.99</x:v>
      </x:c>
      <x:c r="L11" s="22" t="str">
        <x:v>용역</x:v>
      </x:c>
      <x:c r="M11" s="25" t="str">
        <x:v>몽골 자동차 검사역량 제고 및 시설 개선을 통한 교통안전 강화 사업 시스템 구축 감리 용역</x:v>
      </x:c>
      <x:c r="N11" s="25" t="str">
        <x:v>첨부파일 참조</x:v>
      </x:c>
      <x:c r="O11" s="22" t="str">
        <x:v>WON</x:v>
      </x:c>
      <x:c r="P11" s="31" t="n">
        <x:v>233459000</x:v>
      </x:c>
      <x:c r="Q11" s="22" t="str">
        <x:v>contract_amount</x:v>
      </x:c>
      <x:c r="R11" s="31"/>
      <x:c r="S11" s="31"/>
      <x:c r="T11" s="22" t="n">
        <x:v>0</x:v>
      </x:c>
      <x:c r="U11" s="22" t="str"/>
      <x:c r="V11" s="22" t="n">
        <x:v>0</x:v>
      </x:c>
      <x:c r="W11" s="22" t="n">
        <x:v>0</x:v>
      </x:c>
      <x:c r="X11" s="22" t="n">
        <x:v>0</x:v>
      </x:c>
      <x:c r="Y11" s="22" t="n">
        <x:v>0</x:v>
      </x:c>
      <x:c r="Z11" s="22" t="n">
        <x:v>0</x:v>
      </x:c>
      <x:c r="AA11" s="31"/>
      <x:c r="AB11" s="22" t="str"/>
      <x:c r="AC11" s="34"/>
      <x:c r="AD11" s="25" t="str"/>
      <x:c r="AE11" s="25" t="str">
        <x:v>품목 수량·단가 또는 범위 일치 GFA·공사금액 부족</x:v>
      </x:c>
      <x:c r="AF11" s="25" t="str">
        <x:v>https://www.data.go.kr/data/15073135/fileData.do</x:v>
      </x:c>
    </x:row>
    <x:row r="12">
      <x:c r="A12" s="22" t="n">
        <x:v>8</x:v>
      </x:c>
      <x:c r="B12" s="22" t="str">
        <x:v>C</x:v>
      </x:c>
      <x:c r="C12" s="22" t="str">
        <x:v>U</x:v>
      </x:c>
      <x:c r="D12" s="22" t="str">
        <x:v>X-용역계약</x:v>
      </x:c>
      <x:c r="E12" s="22" t="str">
        <x:v>우즈베키스탄</x:v>
      </x:c>
      <x:c r="F12" s="22" t="str">
        <x:v>aid_procurement_contracts</x:v>
      </x:c>
      <x:c r="G12" s="22" t="str">
        <x:v>15073135:42</x:v>
      </x:c>
      <x:c r="H12" s="22" t="str"/>
      <x:c r="I12" s="22" t="str">
        <x:v>2021-00085</x:v>
      </x:c>
      <x:c r="J12" s="22" t="str">
        <x:v>verified_title_country_alias</x:v>
      </x:c>
      <x:c r="K12" s="59" t="n">
        <x:v>0.432</x:v>
      </x:c>
      <x:c r="L12" s="22" t="str">
        <x:v>용역</x:v>
      </x:c>
      <x:c r="M12" s="25" t="str">
        <x:v>우즈베키스탄 유아교사 역량강화 및 유아교육진흥센터 건립사업 유아체험관 체험시설 설계 및 제작설치</x:v>
      </x:c>
      <x:c r="N12" s="25" t="str">
        <x:v>사업수행계획서, 기술협상 결과 및 제안요청서 등에 의함</x:v>
      </x:c>
      <x:c r="O12" s="22" t="str">
        <x:v>WON</x:v>
      </x:c>
      <x:c r="P12" s="31" t="n">
        <x:v>2361000000</x:v>
      </x:c>
      <x:c r="Q12" s="22" t="str">
        <x:v>contract_amount</x:v>
      </x:c>
      <x:c r="R12" s="31"/>
      <x:c r="S12" s="31"/>
      <x:c r="T12" s="22" t="n">
        <x:v>1</x:v>
      </x:c>
      <x:c r="U12" s="22" t="str">
        <x:v>L2023-00065-1</x:v>
      </x:c>
      <x:c r="V12" s="22" t="n">
        <x:v>14</x:v>
      </x:c>
      <x:c r="W12" s="22" t="n">
        <x:v>0</x:v>
      </x:c>
      <x:c r="X12" s="22" t="n">
        <x:v>0</x:v>
      </x:c>
      <x:c r="Y12" s="22" t="n">
        <x:v>0</x:v>
      </x:c>
      <x:c r="Z12" s="22" t="n">
        <x:v>0</x:v>
      </x:c>
      <x:c r="AA12" s="31"/>
      <x:c r="AB12" s="22" t="str"/>
      <x:c r="AC12" s="34"/>
      <x:c r="AD12" s="25" t="str"/>
      <x:c r="AE12" s="25" t="str">
        <x:v>품목 수량·단가 또는 범위 일치 GFA·공사금액 부족</x:v>
      </x:c>
      <x:c r="AF12" s="25" t="str">
        <x:v>https://www.data.go.kr/data/15073135/fileData.do</x:v>
      </x:c>
    </x:row>
    <x:row r="13">
      <x:c r="A13" s="22" t="n">
        <x:v>9</x:v>
      </x:c>
      <x:c r="B13" s="22" t="str">
        <x:v>C</x:v>
      </x:c>
      <x:c r="C13" s="22" t="str">
        <x:v>U</x:v>
      </x:c>
      <x:c r="D13" s="22" t="str">
        <x:v>X-용역계약</x:v>
      </x:c>
      <x:c r="E13" s="22" t="str">
        <x:v>우즈베키스탄</x:v>
      </x:c>
      <x:c r="F13" s="22" t="str">
        <x:v>aid_procurement_contracts</x:v>
      </x:c>
      <x:c r="G13" s="22" t="str">
        <x:v>15073135:43</x:v>
      </x:c>
      <x:c r="H13" s="22" t="str"/>
      <x:c r="I13" s="22" t="str">
        <x:v>2021-00085</x:v>
      </x:c>
      <x:c r="J13" s="22" t="str">
        <x:v>verified_title_country_alias</x:v>
      </x:c>
      <x:c r="K13" s="59" t="n">
        <x:v>0.432</x:v>
      </x:c>
      <x:c r="L13" s="22" t="str">
        <x:v>용역</x:v>
      </x:c>
      <x:c r="M13" s="25" t="str">
        <x:v>우즈베키스탄 유아교사 역량강화 및 유아교육진흥센터 건립사업 유아체험관 체험시설 설계 및 제작설치</x:v>
      </x:c>
      <x:c r="N13" s="25" t="str">
        <x:v>사업수행계획서, 기술협상 결과 및 제안요청서 등에 의함</x:v>
      </x:c>
      <x:c r="O13" s="22" t="str">
        <x:v>WON</x:v>
      </x:c>
      <x:c r="P13" s="31" t="n">
        <x:v>2361000000</x:v>
      </x:c>
      <x:c r="Q13" s="22" t="str">
        <x:v>contract_amount</x:v>
      </x:c>
      <x:c r="R13" s="31"/>
      <x:c r="S13" s="31"/>
      <x:c r="T13" s="22" t="n">
        <x:v>1</x:v>
      </x:c>
      <x:c r="U13" s="22" t="str">
        <x:v>L2023-00065-1</x:v>
      </x:c>
      <x:c r="V13" s="22" t="n">
        <x:v>14</x:v>
      </x:c>
      <x:c r="W13" s="22" t="n">
        <x:v>0</x:v>
      </x:c>
      <x:c r="X13" s="22" t="n">
        <x:v>0</x:v>
      </x:c>
      <x:c r="Y13" s="22" t="n">
        <x:v>0</x:v>
      </x:c>
      <x:c r="Z13" s="22" t="n">
        <x:v>0</x:v>
      </x:c>
      <x:c r="AA13" s="31"/>
      <x:c r="AB13" s="22" t="str"/>
      <x:c r="AC13" s="34"/>
      <x:c r="AD13" s="25" t="str"/>
      <x:c r="AE13" s="25" t="str">
        <x:v>품목 수량·단가 또는 범위 일치 GFA·공사금액 부족</x:v>
      </x:c>
      <x:c r="AF13" s="25" t="str">
        <x:v>https://www.data.go.kr/data/15073135/fileData.do</x:v>
      </x:c>
    </x:row>
    <x:row r="14">
      <x:c r="A14" s="22" t="n">
        <x:v>10</x:v>
      </x:c>
      <x:c r="B14" s="22" t="str">
        <x:v>C</x:v>
      </x:c>
      <x:c r="C14" s="22" t="str">
        <x:v>U</x:v>
      </x:c>
      <x:c r="D14" s="22" t="str">
        <x:v>X-설계·감리·기타용역</x:v>
      </x:c>
      <x:c r="E14" s="22" t="str">
        <x:v>DR콩고</x:v>
      </x:c>
      <x:c r="F14" s="22" t="str">
        <x:v>annual_procurement_plan</x:v>
      </x:c>
      <x:c r="G14" s="22" t="str">
        <x:v>15085055:80</x:v>
      </x:c>
      <x:c r="H14" s="22" t="str">
        <x:v>2024-00089</x:v>
      </x:c>
      <x:c r="I14" s="22" t="str">
        <x:v>2024-00089</x:v>
      </x:c>
      <x:c r="J14" s="22" t="str">
        <x:v>official_report_title_containment</x:v>
      </x:c>
      <x:c r="K14" s="59" t="n">
        <x:v>0.99</x:v>
      </x:c>
      <x:c r="L14" s="22" t="str">
        <x:v>용역</x:v>
      </x:c>
      <x:c r="M14" s="25" t="str">
        <x:v>DR콩고 북카탕가주 감염병 감시 역량 강화사업('24·'27/600만불)</x:v>
      </x:c>
      <x:c r="N14" s="25" t="str">
        <x:v>ㅇ 주립실험실 정도관리 SOP 개발 ㅇ 역량강화 (초청연수, 현지연수 등)ㅇ 주립실험실 기자재 선정 지원ㅇ 일반후송병원 실험실 신, 증축 위한 건축 계획 수립 및 PC 모니터링ㅇ사업관리(성과, 모니터링, 산출물 품질관리)ㅇ예비비 등</x:v>
      </x:c>
      <x:c r="O14" s="22" t="str">
        <x:v>KRW</x:v>
      </x:c>
      <x:c r="P14" s="31" t="n">
        <x:v>4469103960</x:v>
      </x:c>
      <x:c r="Q14" s="22" t="str">
        <x:v>planned_bid_ceiling</x:v>
      </x:c>
      <x:c r="R14" s="31"/>
      <x:c r="S14" s="31"/>
      <x:c r="T14" s="22" t="n">
        <x:v>0</x:v>
      </x:c>
      <x:c r="U14" s="22" t="str"/>
      <x:c r="V14" s="22" t="n">
        <x:v>0</x:v>
      </x:c>
      <x:c r="W14" s="22" t="n">
        <x:v>0</x:v>
      </x:c>
      <x:c r="X14" s="22" t="n">
        <x:v>0</x:v>
      </x:c>
      <x:c r="Y14" s="22" t="n">
        <x:v>0</x:v>
      </x:c>
      <x:c r="Z14" s="22" t="n">
        <x:v>0</x:v>
      </x:c>
      <x:c r="AA14" s="31"/>
      <x:c r="AB14" s="22" t="str"/>
      <x:c r="AC14" s="34"/>
      <x:c r="AD14" s="25" t="str"/>
      <x:c r="AE14" s="25" t="str">
        <x:v>품목 수량·단가 또는 범위 일치 GFA·공사금액 부족</x:v>
      </x:c>
      <x:c r="AF14" s="25" t="str">
        <x:v>https://www.data.go.kr/data/15085055/fileData.do</x:v>
      </x:c>
    </x:row>
    <x:row r="15">
      <x:c r="A15" s="22" t="n">
        <x:v>11</x:v>
      </x:c>
      <x:c r="B15" s="22" t="str">
        <x:v>A</x:v>
      </x:c>
      <x:c r="C15" s="22" t="str">
        <x:v>A</x:v>
      </x:c>
      <x:c r="D15" s="22" t="str">
        <x:v>A</x:v>
      </x:c>
      <x:c r="E15" s="22" t="str">
        <x:v>가나</x:v>
      </x:c>
      <x:c r="F15" s="22" t="str">
        <x:v>annual_procurement_plan</x:v>
      </x:c>
      <x:c r="G15" s="22" t="str">
        <x:v>15085055:153</x:v>
      </x:c>
      <x:c r="H15" s="22" t="str">
        <x:v>2021-00016</x:v>
      </x:c>
      <x:c r="I15" s="22" t="str">
        <x:v>2021-00016</x:v>
      </x:c>
      <x:c r="J15" s="22" t="str">
        <x:v>official_report_title_containment</x:v>
      </x:c>
      <x:c r="K15" s="59" t="n">
        <x:v>0.99</x:v>
      </x:c>
      <x:c r="L15" s="22" t="str">
        <x:v>공사</x:v>
      </x:c>
      <x:c r="M15" s="25" t="str">
        <x:v>가나대학교 연구 및 ICT 혁신센터 건립 사업('21·'26/900만불)</x:v>
      </x:c>
      <x:c r="N15" s="25" t="str">
        <x:v>가나대학교 한·가나 연구 및 ICT 혁신센터(G·K Impact 센터) 신축, 연면적 약 2,600 ㎡</x:v>
      </x:c>
      <x:c r="O15" s="22" t="str">
        <x:v>KRW</x:v>
      </x:c>
      <x:c r="P15" s="31" t="n">
        <x:v>5382000000</x:v>
      </x:c>
      <x:c r="Q15" s="22" t="str">
        <x:v>planned_bid_ceiling</x:v>
      </x:c>
      <x:c r="R15" s="31" t="n">
        <x:v>2600</x:v>
      </x:c>
      <x:c r="S15" s="31" t="n">
        <x:v>2070000</x:v>
      </x:c>
      <x:c r="T15" s="22" t="n">
        <x:v>3</x:v>
      </x:c>
      <x:c r="U15" s="22" t="str">
        <x:v>L2025-00018-1;L2025-00048-1;L2025-00063-1</x:v>
      </x:c>
      <x:c r="V15" s="22" t="n">
        <x:v>20</x:v>
      </x:c>
      <x:c r="W15" s="22" t="n">
        <x:v>1</x:v>
      </x:c>
      <x:c r="X15" s="22" t="n">
        <x:v>0</x:v>
      </x:c>
      <x:c r="Y15" s="22" t="n">
        <x:v>1</x:v>
      </x:c>
      <x:c r="Z15" s="22" t="n">
        <x:v>1</x:v>
      </x:c>
      <x:c r="AA15" s="31" t="n">
        <x:v>4333426.767765368</x:v>
      </x:c>
      <x:c r="AB15" s="22" t="str">
        <x:v>USD</x:v>
      </x:c>
      <x:c r="AC15" s="34" t="n">
        <x:v>1666.70260298668</x:v>
      </x:c>
      <x:c r="AD15" s="25" t="str">
        <x:v>L2025-00018-1/3. 집행한도금액 예산(안).xlsx</x:v>
      </x:c>
      <x:c r="AE15" s="25" t="str">
        <x:v>설계예산이며 낙찰·계약·준공가 아님; 가격시점·세금·환율 재확인</x:v>
      </x:c>
      <x:c r="AF15" s="25" t="str">
        <x:v>https://www.data.go.kr/data/15085055/fileData.do</x:v>
      </x:c>
    </x:row>
    <x:row r="16">
      <x:c r="A16" s="22" t="n">
        <x:v>12</x:v>
      </x:c>
      <x:c r="B16" s="22" t="str">
        <x:v>A</x:v>
      </x:c>
      <x:c r="C16" s="22" t="str">
        <x:v>A</x:v>
      </x:c>
      <x:c r="D16" s="22" t="str">
        <x:v>X-설계·감리·기타용역</x:v>
      </x:c>
      <x:c r="E16" s="22" t="str">
        <x:v>가나</x:v>
      </x:c>
      <x:c r="F16" s="22" t="str">
        <x:v>annual_procurement_plan</x:v>
      </x:c>
      <x:c r="G16" s="22" t="str">
        <x:v>15085055:263</x:v>
      </x:c>
      <x:c r="H16" s="22" t="str">
        <x:v>2021-00016</x:v>
      </x:c>
      <x:c r="I16" s="22" t="str">
        <x:v>2021-00016</x:v>
      </x:c>
      <x:c r="J16" s="22" t="str">
        <x:v>official_report_title_containment</x:v>
      </x:c>
      <x:c r="K16" s="59" t="n">
        <x:v>0.99</x:v>
      </x:c>
      <x:c r="L16" s="22" t="str">
        <x:v>용역</x:v>
      </x:c>
      <x:c r="M16" s="25" t="str">
        <x:v>가나대학교 연구 및 ICT 혁신센터 건립 사업(21·26/900만불) 건축 감리 용역</x:v>
      </x:c>
      <x:c r="N16" s="25" t="str">
        <x:v>G·K Impact 센터 건축 감리</x:v>
      </x:c>
      <x:c r="O16" s="22" t="str">
        <x:v>KRW</x:v>
      </x:c>
      <x:c r="P16" s="31" t="n">
        <x:v>285977400</x:v>
      </x:c>
      <x:c r="Q16" s="22" t="str">
        <x:v>planned_bid_ceiling</x:v>
      </x:c>
      <x:c r="R16" s="31"/>
      <x:c r="S16" s="31"/>
      <x:c r="T16" s="22" t="n">
        <x:v>3</x:v>
      </x:c>
      <x:c r="U16" s="22" t="str">
        <x:v>L2025-00018-1;L2025-00048-1;L2025-00063-1</x:v>
      </x:c>
      <x:c r="V16" s="22" t="n">
        <x:v>20</x:v>
      </x:c>
      <x:c r="W16" s="22" t="n">
        <x:v>1</x:v>
      </x:c>
      <x:c r="X16" s="22" t="n">
        <x:v>0</x:v>
      </x:c>
      <x:c r="Y16" s="22" t="n">
        <x:v>1</x:v>
      </x:c>
      <x:c r="Z16" s="22" t="n">
        <x:v>1</x:v>
      </x:c>
      <x:c r="AA16" s="31" t="n">
        <x:v>4333426.767765368</x:v>
      </x:c>
      <x:c r="AB16" s="22" t="str">
        <x:v>USD</x:v>
      </x:c>
      <x:c r="AC16" s="34" t="n">
        <x:v>1666.70260298668</x:v>
      </x:c>
      <x:c r="AD16" s="25" t="str">
        <x:v>L2025-00018-1/3. 집행한도금액 예산(안).xlsx</x:v>
      </x:c>
      <x:c r="AE16" s="25" t="str">
        <x:v>설계예산이며 낙찰·계약·준공가 아님; 가격시점·세금·환율 재확인</x:v>
      </x:c>
      <x:c r="AF16" s="25" t="str">
        <x:v>https://www.data.go.kr/data/15085055/fileData.do</x:v>
      </x:c>
    </x:row>
    <x:row r="17">
      <x:c r="A17" s="22" t="n">
        <x:v>13</x:v>
      </x:c>
      <x:c r="B17" s="22" t="str">
        <x:v>C</x:v>
      </x:c>
      <x:c r="C17" s="22" t="str">
        <x:v>U</x:v>
      </x:c>
      <x:c r="D17" s="22" t="str">
        <x:v>X-설계·감리·기타용역</x:v>
      </x:c>
      <x:c r="E17" s="22" t="str">
        <x:v>과테말라</x:v>
      </x:c>
      <x:c r="F17" s="22" t="str">
        <x:v>annual_procurement_plan</x:v>
      </x:c>
      <x:c r="G17" s="22" t="str">
        <x:v>15085055:238</x:v>
      </x:c>
      <x:c r="H17" s="22" t="str"/>
      <x:c r="I17" s="22" t="str"/>
      <x:c r="J17" s="22" t="str"/>
      <x:c r="K17" s="59" t="n">
        <x:v>0.792</x:v>
      </x:c>
      <x:c r="L17" s="22" t="str">
        <x:v>용역</x:v>
      </x:c>
      <x:c r="M17" s="25" t="str">
        <x:v>과테말라 경찰 치안역량 강화를 위한 경찰고등교육원 개선 사업('24·'29/800만불)</x:v>
      </x:c>
      <x:c r="N17" s="25" t="str">
        <x:v>ㅇ 사업내용 : △ 경찰 고등교육 전문인력 역량강화, △ 경찰고등교육원 신축 및 교육 기자재 지원, △경찰 고등교육 인식개선 및 성과홍보ㅇ 과업범위 : 프로젝트 사업 전반 관리 및 성과관리, PC 발주 지원 및 관리 등</x:v>
      </x:c>
      <x:c r="O17" s="22" t="str">
        <x:v>KRW</x:v>
      </x:c>
      <x:c r="P17" s="31" t="n">
        <x:v>2623272769</x:v>
      </x:c>
      <x:c r="Q17" s="22" t="str">
        <x:v>planned_bid_ceiling</x:v>
      </x:c>
      <x:c r="R17" s="31"/>
      <x:c r="S17" s="31"/>
      <x:c r="T17" s="22" t="n">
        <x:v>0</x:v>
      </x:c>
      <x:c r="U17" s="22" t="str"/>
      <x:c r="V17" s="22" t="n">
        <x:v>0</x:v>
      </x:c>
      <x:c r="W17" s="22" t="n">
        <x:v>0</x:v>
      </x:c>
      <x:c r="X17" s="22" t="n">
        <x:v>0</x:v>
      </x:c>
      <x:c r="Y17" s="22" t="n">
        <x:v>0</x:v>
      </x:c>
      <x:c r="Z17" s="22" t="n">
        <x:v>0</x:v>
      </x:c>
      <x:c r="AA17" s="31"/>
      <x:c r="AB17" s="22" t="str"/>
      <x:c r="AC17" s="34"/>
      <x:c r="AD17" s="25" t="str"/>
      <x:c r="AE17" s="25" t="str">
        <x:v>품목 수량·단가 또는 범위 일치 GFA·공사금액 부족</x:v>
      </x:c>
      <x:c r="AF17" s="25" t="str">
        <x:v>https://www.data.go.kr/data/15085055/fileData.do</x:v>
      </x:c>
    </x:row>
    <x:row r="18">
      <x:c r="A18" s="22" t="n">
        <x:v>14</x:v>
      </x:c>
      <x:c r="B18" s="22" t="str">
        <x:v>C</x:v>
      </x:c>
      <x:c r="C18" s="22" t="str">
        <x:v>U</x:v>
      </x:c>
      <x:c r="D18" s="22" t="str">
        <x:v>X-설계·감리·기타용역</x:v>
      </x:c>
      <x:c r="E18" s="22" t="str">
        <x:v>네팔</x:v>
      </x:c>
      <x:c r="F18" s="22" t="str">
        <x:v>annual_procurement_plan</x:v>
      </x:c>
      <x:c r="G18" s="22" t="str">
        <x:v>15085055:209</x:v>
      </x:c>
      <x:c r="H18" s="22" t="str"/>
      <x:c r="I18" s="22" t="str">
        <x:v>2024-00053</x:v>
      </x:c>
      <x:c r="J18" s="22" t="str">
        <x:v>verified_title_country_alias</x:v>
      </x:c>
      <x:c r="K18" s="59" t="n">
        <x:v>0.412</x:v>
      </x:c>
      <x:c r="L18" s="22" t="str">
        <x:v>용역</x:v>
      </x:c>
      <x:c r="M18" s="25" t="str">
        <x:v>네팔 간다키 지역 기술교육학교 건립사업(2024·2030/900만불) 사업수행용역자(PMC) 선정을 위한 입찰</x:v>
      </x:c>
      <x:c r="N18" s="25" t="str">
        <x:v>ㅇ Gandaki Institute of Technology(이하 GIT) 교육과정 및 교재개발  ㅇ 관리자 및 교사 역량강화를 위한 초청연수, 현지연수, 역량강화 자문  ㅇ 기술교육학교 운영 위한 마스터플랜 수립 및 시범운영  ㅇ 실습환경 구축지원/기자재    · 기자재 구성 검토, 가격조사 및 세부사양서 작성    · 기자재 공급업체 발주를 위한 입찰제안 요청서 등 관련 문서 작성 지원     · 기자재 국내검수 및/국외 검수 지원, 기자재 설치 지원    · 기자재 활용 교육 실시 및 자문  ㅇ 건축 관련 스페이스프로그램 검토 및 자문  ㅇ Project 운영위원회 구성 및 운영, 사업홍보, 성과관리 등 사업관리</x:v>
      </x:c>
      <x:c r="O18" s="22" t="str">
        <x:v>KRW</x:v>
      </x:c>
      <x:c r="P18" s="31" t="n">
        <x:v>2888600215</x:v>
      </x:c>
      <x:c r="Q18" s="22" t="str">
        <x:v>planned_bid_ceiling</x:v>
      </x:c>
      <x:c r="R18" s="31"/>
      <x:c r="S18" s="31"/>
      <x:c r="T18" s="22" t="n">
        <x:v>1</x:v>
      </x:c>
      <x:c r="U18" s="22" t="str">
        <x:v>L2025-00086-1</x:v>
      </x:c>
      <x:c r="V18" s="22" t="n">
        <x:v>0</x:v>
      </x:c>
      <x:c r="W18" s="22" t="n">
        <x:v>0</x:v>
      </x:c>
      <x:c r="X18" s="22" t="n">
        <x:v>0</x:v>
      </x:c>
      <x:c r="Y18" s="22" t="n">
        <x:v>0</x:v>
      </x:c>
      <x:c r="Z18" s="22" t="n">
        <x:v>0</x:v>
      </x:c>
      <x:c r="AA18" s="31"/>
      <x:c r="AB18" s="22" t="str"/>
      <x:c r="AC18" s="34"/>
      <x:c r="AD18" s="25" t="str"/>
      <x:c r="AE18" s="25" t="str">
        <x:v>품목 수량·단가 또는 범위 일치 GFA·공사금액 부족</x:v>
      </x:c>
      <x:c r="AF18" s="25" t="str">
        <x:v>https://www.data.go.kr/data/15085055/fileData.do</x:v>
      </x:c>
    </x:row>
    <x:row r="19">
      <x:c r="A19" s="22" t="n">
        <x:v>15</x:v>
      </x:c>
      <x:c r="B19" s="22" t="str">
        <x:v>C</x:v>
      </x:c>
      <x:c r="C19" s="22" t="str">
        <x:v>U</x:v>
      </x:c>
      <x:c r="D19" s="22" t="str">
        <x:v>X-설계·감리·기타용역</x:v>
      </x:c>
      <x:c r="E19" s="22" t="str">
        <x:v>네팔</x:v>
      </x:c>
      <x:c r="F19" s="22" t="str">
        <x:v>annual_procurement_plan</x:v>
      </x:c>
      <x:c r="G19" s="22" t="str">
        <x:v>15085055:144</x:v>
      </x:c>
      <x:c r="H19" s="22" t="str"/>
      <x:c r="I19" s="22" t="str">
        <x:v>2024-00053</x:v>
      </x:c>
      <x:c r="J19" s="22" t="str">
        <x:v>verified_title_country_alias</x:v>
      </x:c>
      <x:c r="K19" s="59" t="n">
        <x:v>0.554</x:v>
      </x:c>
      <x:c r="L19" s="22" t="str">
        <x:v>용역</x:v>
      </x:c>
      <x:c r="M19" s="25" t="str">
        <x:v>네팔 간다키 지역 기술교육학교 건립사업(2024·2030/900만불) 설계감리사 용역 선정을 위한 입찰</x:v>
      </x:c>
      <x:c r="N19" s="25" t="str">
        <x:v>1. 과업 : 약 8헥타르 면적의 부지에 자동차학과동/호텔관리학과동/전기학과동/기술교육학교 행정동/여학생 기숙사를 건축하기 위한 건축연면적 4,631㎡ 규모의 건축 설계, 측량/지질조사/구조/토목/전기/위생/급배수/기계/통신/소방/조경/Sinage 및 울타리 조사, 현장 상주 감리, 건축 인허가 지원 2. 결과물: 측량 및 지질조사 성과물, 도면, 시방서, BOQ, 구조계산서, 기계용량 계산서, 전기용량 계산서 등 공사에 필요한 제반도서 및 시공사 선정을 위한 입찰 관련 서류 등</x:v>
      </x:c>
      <x:c r="O19" s="22" t="str">
        <x:v>KRW</x:v>
      </x:c>
      <x:c r="P19" s="31" t="n">
        <x:v>327060000</x:v>
      </x:c>
      <x:c r="Q19" s="22" t="str">
        <x:v>planned_bid_ceiling</x:v>
      </x:c>
      <x:c r="R19" s="31" t="n">
        <x:v>4631</x:v>
      </x:c>
      <x:c r="S19" s="31"/>
      <x:c r="T19" s="22" t="n">
        <x:v>1</x:v>
      </x:c>
      <x:c r="U19" s="22" t="str">
        <x:v>L2025-00086-1</x:v>
      </x:c>
      <x:c r="V19" s="22" t="n">
        <x:v>0</x:v>
      </x:c>
      <x:c r="W19" s="22" t="n">
        <x:v>0</x:v>
      </x:c>
      <x:c r="X19" s="22" t="n">
        <x:v>0</x:v>
      </x:c>
      <x:c r="Y19" s="22" t="n">
        <x:v>0</x:v>
      </x:c>
      <x:c r="Z19" s="22" t="n">
        <x:v>0</x:v>
      </x:c>
      <x:c r="AA19" s="31"/>
      <x:c r="AB19" s="22" t="str"/>
      <x:c r="AC19" s="34"/>
      <x:c r="AD19" s="25" t="str"/>
      <x:c r="AE19" s="25" t="str">
        <x:v>품목 수량·단가 또는 범위 일치 GFA·공사금액 부족</x:v>
      </x:c>
      <x:c r="AF19" s="25" t="str">
        <x:v>https://www.data.go.kr/data/15085055/fileData.do</x:v>
      </x:c>
    </x:row>
    <x:row r="20">
      <x:c r="A20" s="22" t="n">
        <x:v>16</x:v>
      </x:c>
      <x:c r="B20" s="22" t="str">
        <x:v>B</x:v>
      </x:c>
      <x:c r="C20" s="22" t="str">
        <x:v>B-부분</x:v>
      </x:c>
      <x:c r="D20" s="22" t="str">
        <x:v>X-설계·감리·기타용역</x:v>
      </x:c>
      <x:c r="E20" s="22" t="str">
        <x:v>도미니카공화국</x:v>
      </x:c>
      <x:c r="F20" s="22" t="str">
        <x:v>annual_procurement_plan</x:v>
      </x:c>
      <x:c r="G20" s="22" t="str">
        <x:v>15085055:103</x:v>
      </x:c>
      <x:c r="H20" s="22" t="str"/>
      <x:c r="I20" s="22" t="str">
        <x:v>2020-00070</x:v>
      </x:c>
      <x:c r="J20" s="22" t="str">
        <x:v>verified_title_country_alias</x:v>
      </x:c>
      <x:c r="K20" s="59" t="n">
        <x:v>0.298</x:v>
      </x:c>
      <x:c r="L20" s="22" t="str">
        <x:v>용역</x:v>
      </x:c>
      <x:c r="M20" s="25" t="str">
        <x:v>도미니카공화국 몬테 크리스티 직업훈련센터 (MVC) 감리사 선정</x:v>
      </x:c>
      <x:c r="N20" s="25" t="str">
        <x:v>ㅇ 건축, 인테리어, 구조, 기계, 전기, 통신, 소방, 토목, 조경, Signage, 부대시설 등 일괄공사에 대한 감리ㅇ 시청으로부터 건축허가사항 및 공사를 위한 관련 정부기관 승인 입수, 건물 준공승인 취득을 위한 관련 업무 협조ㅇ 시공단계 검측 ㅇ 시공사 제출서류 검토 및 보고  · 시공사 착공보고서, 자재선정 요청서, 공정현황 보고서, 설계변경 보고서  · 설계도서 오류, 누락, 하자 등에 대한 보고서  · 현장시공 상세도(Shop Drawings)   · 공사와 관련한 기성 및 각종 제반 안전관리 및 사용내역 등ㅇ 예비/준공 검사 실시 및 준공서류 검토   · As·Built Drawing 및 Operation  Maintenance Manual 등ㅇ 준공 후 하자현황 및 하자처리 현황 점검 및 보고</x:v>
      </x:c>
      <x:c r="O20" s="22" t="str">
        <x:v>KRW</x:v>
      </x:c>
      <x:c r="P20" s="31" t="n">
        <x:v>130934400</x:v>
      </x:c>
      <x:c r="Q20" s="22" t="str">
        <x:v>planned_bid_ceiling</x:v>
      </x:c>
      <x:c r="R20" s="31"/>
      <x:c r="S20" s="31"/>
      <x:c r="T20" s="22" t="n">
        <x:v>7</x:v>
      </x:c>
      <x:c r="U20" s="22" t="str">
        <x:v>L2022-00059-1;L2023-00040-1;L2024-00078-1;L2025-00007-1;L2025-00007-2;L2025-00010-1;L2025-00038-1</x:v>
      </x:c>
      <x:c r="V20" s="22" t="n">
        <x:v>94</x:v>
      </x:c>
      <x:c r="W20" s="22" t="n">
        <x:v>1</x:v>
      </x:c>
      <x:c r="X20" s="22" t="n">
        <x:v>0</x:v>
      </x:c>
      <x:c r="Y20" s="22" t="n">
        <x:v>1</x:v>
      </x:c>
      <x:c r="Z20" s="22" t="n">
        <x:v>0</x:v>
      </x:c>
      <x:c r="AA20" s="31"/>
      <x:c r="AB20" s="22" t="str"/>
      <x:c r="AC20" s="34"/>
      <x:c r="AD20" s="25" t="str">
        <x:v>L2024-00078-1/Section 4_BOQ (BLANK sin PRICE)- MVC PROJECT_fin.xlsx</x:v>
      </x:c>
      <x:c r="AE20" s="25" t="str">
        <x:v>몬테크리스티 시설 부분자료이며 현지 단가 부재</x:v>
      </x:c>
      <x:c r="AF20" s="25" t="str">
        <x:v>https://www.data.go.kr/data/15085055/fileData.do</x:v>
      </x:c>
    </x:row>
    <x:row r="21">
      <x:c r="A21" s="22" t="n">
        <x:v>17</x:v>
      </x:c>
      <x:c r="B21" s="22" t="str">
        <x:v>B</x:v>
      </x:c>
      <x:c r="C21" s="22" t="str">
        <x:v>B-부분</x:v>
      </x:c>
      <x:c r="D21" s="22" t="str">
        <x:v>B-부분</x:v>
      </x:c>
      <x:c r="E21" s="22" t="str">
        <x:v>도미니카공화국</x:v>
      </x:c>
      <x:c r="F21" s="22" t="str">
        <x:v>annual_procurement_plan</x:v>
      </x:c>
      <x:c r="G21" s="22" t="str">
        <x:v>15085055:325</x:v>
      </x:c>
      <x:c r="H21" s="22" t="str"/>
      <x:c r="I21" s="22" t="str">
        <x:v>2020-00070</x:v>
      </x:c>
      <x:c r="J21" s="22" t="str">
        <x:v>verified_title_country_alias</x:v>
      </x:c>
      <x:c r="K21" s="59" t="n">
        <x:v>0.405</x:v>
      </x:c>
      <x:c r="L21" s="22" t="str">
        <x:v>공사</x:v>
      </x:c>
      <x:c r="M21" s="25" t="str">
        <x:v>도미니카공화국 여성 중심 취약계층 사회.경제적 역량강화사업 몬테 크리스티 직업훈련센터 (MVC) 시공사 선정 현지입찰</x:v>
      </x:c>
      <x:c r="N21" s="25" t="str">
        <x:v>몬테크리스티 직업훈련센터 공사(건축, 인테리어, 구조, 기계, 전기, 통신, 소방, 토목, 조경, Signage, 부대시설 등 일괄 시공)</x:v>
      </x:c>
      <x:c r="O21" s="22" t="str">
        <x:v>KRW</x:v>
      </x:c>
      <x:c r="P21" s="31" t="n">
        <x:v>1543100000</x:v>
      </x:c>
      <x:c r="Q21" s="22" t="str">
        <x:v>planned_bid_ceiling</x:v>
      </x:c>
      <x:c r="R21" s="31"/>
      <x:c r="S21" s="31"/>
      <x:c r="T21" s="22" t="n">
        <x:v>7</x:v>
      </x:c>
      <x:c r="U21" s="22" t="str">
        <x:v>L2022-00059-1;L2023-00040-1;L2024-00078-1;L2025-00007-1;L2025-00007-2;L2025-00010-1;L2025-00038-1</x:v>
      </x:c>
      <x:c r="V21" s="22" t="n">
        <x:v>94</x:v>
      </x:c>
      <x:c r="W21" s="22" t="n">
        <x:v>1</x:v>
      </x:c>
      <x:c r="X21" s="22" t="n">
        <x:v>0</x:v>
      </x:c>
      <x:c r="Y21" s="22" t="n">
        <x:v>1</x:v>
      </x:c>
      <x:c r="Z21" s="22" t="n">
        <x:v>0</x:v>
      </x:c>
      <x:c r="AA21" s="31"/>
      <x:c r="AB21" s="22" t="str"/>
      <x:c r="AC21" s="34"/>
      <x:c r="AD21" s="25" t="str">
        <x:v>L2024-00078-1/Section 4_BOQ (BLANK sin PRICE)- MVC PROJECT_fin.xlsx</x:v>
      </x:c>
      <x:c r="AE21" s="25" t="str">
        <x:v>몬테크리스티 시설 부분자료이며 현지 단가 부재</x:v>
      </x:c>
      <x:c r="AF21" s="25" t="str">
        <x:v>https://www.data.go.kr/data/15085055/fileData.do</x:v>
      </x:c>
    </x:row>
    <x:row r="22">
      <x:c r="A22" s="22" t="n">
        <x:v>18</x:v>
      </x:c>
      <x:c r="B22" s="22" t="str">
        <x:v>B</x:v>
      </x:c>
      <x:c r="C22" s="22" t="str">
        <x:v>B-부분</x:v>
      </x:c>
      <x:c r="D22" s="22" t="str">
        <x:v>X-설계·감리·기타용역</x:v>
      </x:c>
      <x:c r="E22" s="22" t="str">
        <x:v>도미니카공화국</x:v>
      </x:c>
      <x:c r="F22" s="22" t="str">
        <x:v>annual_procurement_plan</x:v>
      </x:c>
      <x:c r="G22" s="22" t="str">
        <x:v>15085055:186</x:v>
      </x:c>
      <x:c r="H22" s="22" t="str"/>
      <x:c r="I22" s="22" t="str">
        <x:v>2020-00070</x:v>
      </x:c>
      <x:c r="J22" s="22" t="str">
        <x:v>verified_title_country_alias</x:v>
      </x:c>
      <x:c r="K22" s="59" t="n">
        <x:v>0.385</x:v>
      </x:c>
      <x:c r="L22" s="22" t="str">
        <x:v>용역</x:v>
      </x:c>
      <x:c r="M22" s="25" t="str">
        <x:v>도미니카공화국 여성 중심 취약계층 사회.경제적 역량강화사업(20·26/550만불) 2차 PMC 용역</x:v>
      </x:c>
      <x:c r="N22" s="25" t="str">
        <x:v>ㅇ CSC(직업훈련센터) 건축 설계 및 시공·기자재 조달 지원    ㅇ 취창업 프로그램 운영 지원 및 수원기관 운영 사항 모니터링    ㅇ 성평등 강화 네트워크 활동 운영    ㅇ 사업관리(성과, 모니터링, 홍보)</x:v>
      </x:c>
      <x:c r="O22" s="22" t="str">
        <x:v>KRW</x:v>
      </x:c>
      <x:c r="P22" s="31" t="n">
        <x:v>1949677819</x:v>
      </x:c>
      <x:c r="Q22" s="22" t="str">
        <x:v>planned_bid_ceiling</x:v>
      </x:c>
      <x:c r="R22" s="31"/>
      <x:c r="S22" s="31"/>
      <x:c r="T22" s="22" t="n">
        <x:v>7</x:v>
      </x:c>
      <x:c r="U22" s="22" t="str">
        <x:v>L2022-00059-1;L2023-00040-1;L2024-00078-1;L2025-00007-1;L2025-00007-2;L2025-00010-1;L2025-00038-1</x:v>
      </x:c>
      <x:c r="V22" s="22" t="n">
        <x:v>94</x:v>
      </x:c>
      <x:c r="W22" s="22" t="n">
        <x:v>1</x:v>
      </x:c>
      <x:c r="X22" s="22" t="n">
        <x:v>0</x:v>
      </x:c>
      <x:c r="Y22" s="22" t="n">
        <x:v>1</x:v>
      </x:c>
      <x:c r="Z22" s="22" t="n">
        <x:v>0</x:v>
      </x:c>
      <x:c r="AA22" s="31"/>
      <x:c r="AB22" s="22" t="str"/>
      <x:c r="AC22" s="34"/>
      <x:c r="AD22" s="25" t="str">
        <x:v>L2024-00078-1/Section 4_BOQ (BLANK sin PRICE)- MVC PROJECT_fin.xlsx</x:v>
      </x:c>
      <x:c r="AE22" s="25" t="str">
        <x:v>몬테크리스티 시설 부분자료이며 현지 단가 부재</x:v>
      </x:c>
      <x:c r="AF22" s="25" t="str">
        <x:v>https://www.data.go.kr/data/15085055/fileData.do</x:v>
      </x:c>
    </x:row>
    <x:row r="23">
      <x:c r="A23" s="22" t="n">
        <x:v>19</x:v>
      </x:c>
      <x:c r="B23" s="22" t="str">
        <x:v>B</x:v>
      </x:c>
      <x:c r="C23" s="22" t="str">
        <x:v>B-부분</x:v>
      </x:c>
      <x:c r="D23" s="22" t="str">
        <x:v>X-설계·감리·기타용역</x:v>
      </x:c>
      <x:c r="E23" s="22" t="str">
        <x:v>도미니카공화국</x:v>
      </x:c>
      <x:c r="F23" s="22" t="str">
        <x:v>annual_procurement_plan</x:v>
      </x:c>
      <x:c r="G23" s="22" t="str">
        <x:v>15085055:170</x:v>
      </x:c>
      <x:c r="H23" s="22" t="str"/>
      <x:c r="I23" s="22" t="str">
        <x:v>2020-00070</x:v>
      </x:c>
      <x:c r="J23" s="22" t="str">
        <x:v>verified_title_country_alias</x:v>
      </x:c>
      <x:c r="K23" s="59" t="n">
        <x:v>0.308</x:v>
      </x:c>
      <x:c r="L23" s="22" t="str">
        <x:v>용역</x:v>
      </x:c>
      <x:c r="M23" s="25" t="str">
        <x:v>도미니카공화국 여성 중심 취약계층 사회.경제적 역량강화사업(20·26/550만불) 몬테크리스티 직업훈련센터(MVC) 감리사 선정</x:v>
      </x:c>
      <x:c r="N23" s="25" t="str">
        <x:v>ㅇ 건축, 인테리어, 구조, 기계, 전기, 통신, 소방, 토목, 조경, Signage, 부대시설 등 일괄공사에 대한 감리ㅇ 시청으로부터 건축허가사항 및 공사를 위한 관련 정부기관 승인 입수, 건물 준공승인 취득을 위한 관련 업무 협조ㅇ 시공단계 검측 ㅇ 시공사 제출서류 검토 및 보고ㅇ 예비/준공 검사 실시 및 준공서류 검토 ㅇ 준공 후 하자현황 및 하자처리 현황 점검 및 보고</x:v>
      </x:c>
      <x:c r="O23" s="22" t="str">
        <x:v>KRW</x:v>
      </x:c>
      <x:c r="P23" s="31" t="n">
        <x:v>114678000</x:v>
      </x:c>
      <x:c r="Q23" s="22" t="str">
        <x:v>planned_bid_ceiling</x:v>
      </x:c>
      <x:c r="R23" s="31"/>
      <x:c r="S23" s="31"/>
      <x:c r="T23" s="22" t="n">
        <x:v>7</x:v>
      </x:c>
      <x:c r="U23" s="22" t="str">
        <x:v>L2022-00059-1;L2023-00040-1;L2024-00078-1;L2025-00007-1;L2025-00007-2;L2025-00010-1;L2025-00038-1</x:v>
      </x:c>
      <x:c r="V23" s="22" t="n">
        <x:v>94</x:v>
      </x:c>
      <x:c r="W23" s="22" t="n">
        <x:v>1</x:v>
      </x:c>
      <x:c r="X23" s="22" t="n">
        <x:v>0</x:v>
      </x:c>
      <x:c r="Y23" s="22" t="n">
        <x:v>1</x:v>
      </x:c>
      <x:c r="Z23" s="22" t="n">
        <x:v>0</x:v>
      </x:c>
      <x:c r="AA23" s="31"/>
      <x:c r="AB23" s="22" t="str"/>
      <x:c r="AC23" s="34"/>
      <x:c r="AD23" s="25" t="str">
        <x:v>L2024-00078-1/Section 4_BOQ (BLANK sin PRICE)- MVC PROJECT_fin.xlsx</x:v>
      </x:c>
      <x:c r="AE23" s="25" t="str">
        <x:v>몬테크리스티 시설 부분자료이며 현지 단가 부재</x:v>
      </x:c>
      <x:c r="AF23" s="25" t="str">
        <x:v>https://www.data.go.kr/data/15085055/fileData.do</x:v>
      </x:c>
    </x:row>
    <x:row r="24">
      <x:c r="A24" s="22" t="n">
        <x:v>20</x:v>
      </x:c>
      <x:c r="B24" s="22" t="str">
        <x:v>B</x:v>
      </x:c>
      <x:c r="C24" s="22" t="str">
        <x:v>B-부분</x:v>
      </x:c>
      <x:c r="D24" s="22" t="str">
        <x:v>X-설계·감리·기타용역</x:v>
      </x:c>
      <x:c r="E24" s="22" t="str">
        <x:v>도미니카공화국</x:v>
      </x:c>
      <x:c r="F24" s="22" t="str">
        <x:v>annual_procurement_plan</x:v>
      </x:c>
      <x:c r="G24" s="22" t="str">
        <x:v>15085055:156</x:v>
      </x:c>
      <x:c r="H24" s="22" t="str"/>
      <x:c r="I24" s="22" t="str">
        <x:v>2020-00070</x:v>
      </x:c>
      <x:c r="J24" s="22" t="str">
        <x:v>verified_title_country_alias</x:v>
      </x:c>
      <x:c r="K24" s="59" t="n">
        <x:v>0.368</x:v>
      </x:c>
      <x:c r="L24" s="22" t="str">
        <x:v>용역</x:v>
      </x:c>
      <x:c r="M24" s="25" t="str">
        <x:v>도미니카공화국 여성 중심 취약계층 사회.경제적 역량강화사업(20·26/550만불) 하이나 직업훈련센터 리모델링 설계 용역</x:v>
      </x:c>
      <x:c r="N24" s="25" t="str">
        <x:v>리모델링 건축설계, 관련 인허가 업무, 공사기간 중 설계 자문</x:v>
      </x:c>
      <x:c r="O24" s="22" t="str">
        <x:v>KRW</x:v>
      </x:c>
      <x:c r="P24" s="31" t="n">
        <x:v>123906060</x:v>
      </x:c>
      <x:c r="Q24" s="22" t="str">
        <x:v>planned_bid_ceiling</x:v>
      </x:c>
      <x:c r="R24" s="31"/>
      <x:c r="S24" s="31"/>
      <x:c r="T24" s="22" t="n">
        <x:v>7</x:v>
      </x:c>
      <x:c r="U24" s="22" t="str">
        <x:v>L2022-00059-1;L2023-00040-1;L2024-00078-1;L2025-00007-1;L2025-00007-2;L2025-00010-1;L2025-00038-1</x:v>
      </x:c>
      <x:c r="V24" s="22" t="n">
        <x:v>94</x:v>
      </x:c>
      <x:c r="W24" s="22" t="n">
        <x:v>1</x:v>
      </x:c>
      <x:c r="X24" s="22" t="n">
        <x:v>0</x:v>
      </x:c>
      <x:c r="Y24" s="22" t="n">
        <x:v>1</x:v>
      </x:c>
      <x:c r="Z24" s="22" t="n">
        <x:v>0</x:v>
      </x:c>
      <x:c r="AA24" s="31"/>
      <x:c r="AB24" s="22" t="str"/>
      <x:c r="AC24" s="34"/>
      <x:c r="AD24" s="25" t="str">
        <x:v>L2024-00078-1/Section 4_BOQ (BLANK sin PRICE)- MVC PROJECT_fin.xlsx</x:v>
      </x:c>
      <x:c r="AE24" s="25" t="str">
        <x:v>몬테크리스티 시설 부분자료이며 현지 단가 부재</x:v>
      </x:c>
      <x:c r="AF24" s="25" t="str">
        <x:v>https://www.data.go.kr/data/15085055/fileData.do</x:v>
      </x:c>
    </x:row>
    <x:row r="25">
      <x:c r="A25" s="22" t="n">
        <x:v>21</x:v>
      </x:c>
      <x:c r="B25" s="22" t="str">
        <x:v>C</x:v>
      </x:c>
      <x:c r="C25" s="22" t="str">
        <x:v>U</x:v>
      </x:c>
      <x:c r="D25" s="22" t="str">
        <x:v>X-설계·감리·기타용역</x:v>
      </x:c>
      <x:c r="E25" s="22" t="str">
        <x:v>동티모르</x:v>
      </x:c>
      <x:c r="F25" s="22" t="str">
        <x:v>annual_procurement_plan</x:v>
      </x:c>
      <x:c r="G25" s="22" t="str">
        <x:v>15085055:218</x:v>
      </x:c>
      <x:c r="H25" s="22" t="str">
        <x:v>2016-00024</x:v>
      </x:c>
      <x:c r="I25" s="22" t="str">
        <x:v>2016-00024</x:v>
      </x:c>
      <x:c r="J25" s="22" t="str">
        <x:v>official_report_title_containment</x:v>
      </x:c>
      <x:c r="K25" s="59" t="n">
        <x:v>0.99</x:v>
      </x:c>
      <x:c r="L25" s="22" t="str">
        <x:v>용역</x:v>
      </x:c>
      <x:c r="M25" s="25" t="str">
        <x:v>동티모르 베코라 기술고등학교 지원사업 사후지원 사업수행용역(PMC) 수행자 선정 입찰</x:v>
      </x:c>
      <x:c r="N25" s="25" t="str">
        <x:v>ㅇ (학교운영관리 자문)    · 학교운영관리 매뉴얼 개발 및 자문    · 기자재 관리 매뉴얼 개발 및 자문    · 취업관리 매뉴얼개발 및 자문  ㅇ (관리자 및 교사 역량강화)    · 교육부 공무원 및 학교관리자 초청연수    · 학교 3개 공과 훈련교사 초청연수    · 3개 공과 기자재 활용 교육 및 관리방법 자문  ㅇ (실습환경 구축지원/기자재 지원)     · 3개 공과 기존 고장 기자재 수리 및 응급조치 전수     · 지원 기자재 공급 업체 발주를 위한 입찰 제안 요청서 등 관련 문서 작성 지원     · 지원 기자재 국내검수 및 국외 검수 지원, 기자재 설치 지원    · 지원 기자재 활용 교육 실시 및 자문  ㅇ (실습환경 구축지원/시설보수)     · 식당 건물 전기공사 보수    · 기계과 CNC살 칸막이 및 에어컨 설치    · 건축과 실습실 지붕 보수   ㅇ (사업관리)     · 사후지원사업 관계자 회의 참석 등을 통한 사업관리    · 각종 홍보물 (리플렛, SNS게시물 등)제작을 통한 사업홍보    · 현장 모니터링 실시 (반기/연차 보고서 제출)</x:v>
      </x:c>
      <x:c r="O25" s="22" t="str">
        <x:v>KRW</x:v>
      </x:c>
      <x:c r="P25" s="31" t="n">
        <x:v>1011468240</x:v>
      </x:c>
      <x:c r="Q25" s="22" t="str">
        <x:v>planned_bid_ceiling</x:v>
      </x:c>
      <x:c r="R25" s="31"/>
      <x:c r="S25" s="31"/>
      <x:c r="T25" s="22" t="n">
        <x:v>0</x:v>
      </x:c>
      <x:c r="U25" s="22" t="str"/>
      <x:c r="V25" s="22" t="n">
        <x:v>0</x:v>
      </x:c>
      <x:c r="W25" s="22" t="n">
        <x:v>0</x:v>
      </x:c>
      <x:c r="X25" s="22" t="n">
        <x:v>0</x:v>
      </x:c>
      <x:c r="Y25" s="22" t="n">
        <x:v>0</x:v>
      </x:c>
      <x:c r="Z25" s="22" t="n">
        <x:v>0</x:v>
      </x:c>
      <x:c r="AA25" s="31"/>
      <x:c r="AB25" s="22" t="str"/>
      <x:c r="AC25" s="34"/>
      <x:c r="AD25" s="25" t="str"/>
      <x:c r="AE25" s="25" t="str">
        <x:v>품목 수량·단가 또는 범위 일치 GFA·공사금액 부족</x:v>
      </x:c>
      <x:c r="AF25" s="25" t="str">
        <x:v>https://www.data.go.kr/data/15085055/fileData.do</x:v>
      </x:c>
    </x:row>
    <x:row r="26">
      <x:c r="A26" s="22" t="n">
        <x:v>22</x:v>
      </x:c>
      <x:c r="B26" s="22" t="str">
        <x:v>C</x:v>
      </x:c>
      <x:c r="C26" s="22" t="str">
        <x:v>U</x:v>
      </x:c>
      <x:c r="D26" s="22" t="str">
        <x:v>U-근거부족</x:v>
      </x:c>
      <x:c r="E26" s="22" t="str">
        <x:v>모잠비크</x:v>
      </x:c>
      <x:c r="F26" s="22" t="str">
        <x:v>annual_procurement_plan</x:v>
      </x:c>
      <x:c r="G26" s="22" t="str">
        <x:v>15085055:331</x:v>
      </x:c>
      <x:c r="H26" s="22" t="str">
        <x:v>2013-00029</x:v>
      </x:c>
      <x:c r="I26" s="22" t="str">
        <x:v>2013-00029</x:v>
      </x:c>
      <x:c r="J26" s="22" t="str">
        <x:v>official_report_title_containment</x:v>
      </x:c>
      <x:c r="K26" s="59" t="n">
        <x:v>0.99</x:v>
      </x:c>
      <x:c r="L26" s="22" t="str">
        <x:v>공사</x:v>
      </x:c>
      <x:c r="M26" s="25" t="str">
        <x:v>모잠비크 마톨라 산업학교 역량강화사업 사후지원 보수 공사</x:v>
      </x:c>
      <x:c r="N26" s="25" t="str">
        <x:v>교실 복도 전선 및 전등 수리, 공과 실습실 시건장치 설치, 공과 실습재료 보관실 보안창 설치, 공과 실습실 등 유리창 보수, 정문 경비실 리모델링, 공과 실습실 지붕 수리, 화장실 시설 수리, 변압기 시설 단열 지붕 설치, 급수탱크 펜스 설치, 급수 시스템, 외벽 페인팅, 행정실 벽 수리</x:v>
      </x:c>
      <x:c r="O26" s="22" t="str">
        <x:v>KRW</x:v>
      </x:c>
      <x:c r="P26" s="31" t="n">
        <x:v>338961479</x:v>
      </x:c>
      <x:c r="Q26" s="22" t="str">
        <x:v>planned_bid_ceiling</x:v>
      </x:c>
      <x:c r="R26" s="31"/>
      <x:c r="S26" s="31"/>
      <x:c r="T26" s="22" t="n">
        <x:v>0</x:v>
      </x:c>
      <x:c r="U26" s="22" t="str"/>
      <x:c r="V26" s="22" t="n">
        <x:v>0</x:v>
      </x:c>
      <x:c r="W26" s="22" t="n">
        <x:v>0</x:v>
      </x:c>
      <x:c r="X26" s="22" t="n">
        <x:v>0</x:v>
      </x:c>
      <x:c r="Y26" s="22" t="n">
        <x:v>0</x:v>
      </x:c>
      <x:c r="Z26" s="22" t="n">
        <x:v>0</x:v>
      </x:c>
      <x:c r="AA26" s="31"/>
      <x:c r="AB26" s="22" t="str"/>
      <x:c r="AC26" s="34"/>
      <x:c r="AD26" s="25" t="str"/>
      <x:c r="AE26" s="25" t="str">
        <x:v>품목 수량·단가 또는 범위 일치 GFA·공사금액 부족</x:v>
      </x:c>
      <x:c r="AF26" s="25" t="str">
        <x:v>https://www.data.go.kr/data/15085055/fileData.do</x:v>
      </x:c>
    </x:row>
    <x:row r="27">
      <x:c r="A27" s="22" t="n">
        <x:v>23</x:v>
      </x:c>
      <x:c r="B27" s="22" t="str">
        <x:v>C</x:v>
      </x:c>
      <x:c r="C27" s="22" t="str">
        <x:v>U</x:v>
      </x:c>
      <x:c r="D27" s="22" t="str">
        <x:v>X-설계·감리·기타용역</x:v>
      </x:c>
      <x:c r="E27" s="22" t="str">
        <x:v>모잠비크</x:v>
      </x:c>
      <x:c r="F27" s="22" t="str">
        <x:v>annual_procurement_plan</x:v>
      </x:c>
      <x:c r="G27" s="22" t="str">
        <x:v>15085055:277</x:v>
      </x:c>
      <x:c r="H27" s="22" t="str"/>
      <x:c r="I27" s="22" t="str"/>
      <x:c r="J27" s="22" t="str"/>
      <x:c r="K27" s="59" t="n">
        <x:v>0.578</x:v>
      </x:c>
      <x:c r="L27" s="22" t="str">
        <x:v>용역</x:v>
      </x:c>
      <x:c r="M27" s="25" t="str">
        <x:v>모잠비크 마푸투 주 초중통합학교 건립 및 역량강화 사업 PMC 용역</x:v>
      </x:c>
      <x:c r="N27" s="25" t="str">
        <x:v>· 초중통합학교 신축 및 증축 지원  · 초중통합학교 교사 역량강화  · 초중통합학교 운영체계 개선  · 보건위생 교육 및 인식제고 캠페인  · 사업관리 및 성과관리</x:v>
      </x:c>
      <x:c r="O27" s="22" t="str">
        <x:v>KRW</x:v>
      </x:c>
      <x:c r="P27" s="31" t="n">
        <x:v>5649294815</x:v>
      </x:c>
      <x:c r="Q27" s="22" t="str">
        <x:v>planned_bid_ceiling</x:v>
      </x:c>
      <x:c r="R27" s="31"/>
      <x:c r="S27" s="31"/>
      <x:c r="T27" s="22" t="n">
        <x:v>0</x:v>
      </x:c>
      <x:c r="U27" s="22" t="str"/>
      <x:c r="V27" s="22" t="n">
        <x:v>0</x:v>
      </x:c>
      <x:c r="W27" s="22" t="n">
        <x:v>0</x:v>
      </x:c>
      <x:c r="X27" s="22" t="n">
        <x:v>0</x:v>
      </x:c>
      <x:c r="Y27" s="22" t="n">
        <x:v>0</x:v>
      </x:c>
      <x:c r="Z27" s="22" t="n">
        <x:v>0</x:v>
      </x:c>
      <x:c r="AA27" s="31"/>
      <x:c r="AB27" s="22" t="str"/>
      <x:c r="AC27" s="34"/>
      <x:c r="AD27" s="25" t="str"/>
      <x:c r="AE27" s="25" t="str">
        <x:v>품목 수량·단가 또는 범위 일치 GFA·공사금액 부족</x:v>
      </x:c>
      <x:c r="AF27" s="25" t="str">
        <x:v>https://www.data.go.kr/data/15085055/fileData.do</x:v>
      </x:c>
    </x:row>
    <x:row r="28">
      <x:c r="A28" s="22" t="n">
        <x:v>24</x:v>
      </x:c>
      <x:c r="B28" s="22" t="str">
        <x:v>C</x:v>
      </x:c>
      <x:c r="C28" s="22" t="str">
        <x:v>U</x:v>
      </x:c>
      <x:c r="D28" s="22" t="str">
        <x:v>X-설계·감리·기타용역</x:v>
      </x:c>
      <x:c r="E28" s="22" t="str">
        <x:v>몽골</x:v>
      </x:c>
      <x:c r="F28" s="22" t="str">
        <x:v>annual_procurement_plan</x:v>
      </x:c>
      <x:c r="G28" s="22" t="str">
        <x:v>15085055:284</x:v>
      </x:c>
      <x:c r="H28" s="22" t="str">
        <x:v>2023-00098</x:v>
      </x:c>
      <x:c r="I28" s="22" t="str">
        <x:v>2023-00098</x:v>
      </x:c>
      <x:c r="J28" s="22" t="str">
        <x:v>official_report_title_containment</x:v>
      </x:c>
      <x:c r="K28" s="59" t="n">
        <x:v>0.99</x:v>
      </x:c>
      <x:c r="L28" s="22" t="str">
        <x:v>용역</x:v>
      </x:c>
      <x:c r="M28" s="25" t="str">
        <x:v>몽골 자동차 검사역량 제고 및 시설 개선을 통한 교통안전 강화 사업 시스템 구축 감리 용역</x:v>
      </x:c>
      <x:c r="N28" s="25" t="str">
        <x:v>· 자동차 관리시스템 등 구축 감리</x:v>
      </x:c>
      <x:c r="O28" s="22" t="str">
        <x:v>KRW</x:v>
      </x:c>
      <x:c r="P28" s="31" t="n">
        <x:v>256364652</x:v>
      </x:c>
      <x:c r="Q28" s="22" t="str">
        <x:v>planned_bid_ceiling</x:v>
      </x:c>
      <x:c r="R28" s="31"/>
      <x:c r="S28" s="31"/>
      <x:c r="T28" s="22" t="n">
        <x:v>0</x:v>
      </x:c>
      <x:c r="U28" s="22" t="str"/>
      <x:c r="V28" s="22" t="n">
        <x:v>0</x:v>
      </x:c>
      <x:c r="W28" s="22" t="n">
        <x:v>0</x:v>
      </x:c>
      <x:c r="X28" s="22" t="n">
        <x:v>0</x:v>
      </x:c>
      <x:c r="Y28" s="22" t="n">
        <x:v>0</x:v>
      </x:c>
      <x:c r="Z28" s="22" t="n">
        <x:v>0</x:v>
      </x:c>
      <x:c r="AA28" s="31"/>
      <x:c r="AB28" s="22" t="str"/>
      <x:c r="AC28" s="34"/>
      <x:c r="AD28" s="25" t="str"/>
      <x:c r="AE28" s="25" t="str">
        <x:v>품목 수량·단가 또는 범위 일치 GFA·공사금액 부족</x:v>
      </x:c>
      <x:c r="AF28" s="25" t="str">
        <x:v>https://www.data.go.kr/data/15085055/fileData.do</x:v>
      </x:c>
    </x:row>
    <x:row r="29">
      <x:c r="A29" s="22" t="n">
        <x:v>25</x:v>
      </x:c>
      <x:c r="B29" s="22" t="str">
        <x:v>C</x:v>
      </x:c>
      <x:c r="C29" s="22" t="str">
        <x:v>U</x:v>
      </x:c>
      <x:c r="D29" s="22" t="str">
        <x:v>U-근거부족</x:v>
      </x:c>
      <x:c r="E29" s="22" t="str">
        <x:v>몽골</x:v>
      </x:c>
      <x:c r="F29" s="22" t="str">
        <x:v>annual_procurement_plan</x:v>
      </x:c>
      <x:c r="G29" s="22" t="str">
        <x:v>15085055:76</x:v>
      </x:c>
      <x:c r="H29" s="22" t="str">
        <x:v>2023-00098</x:v>
      </x:c>
      <x:c r="I29" s="22" t="str">
        <x:v>2023-00098</x:v>
      </x:c>
      <x:c r="J29" s="22" t="str">
        <x:v>official_report_title_containment</x:v>
      </x:c>
      <x:c r="K29" s="59" t="n">
        <x:v>0.99</x:v>
      </x:c>
      <x:c r="L29" s="22" t="str">
        <x:v>공사</x:v>
      </x:c>
      <x:c r="M29" s="25" t="str">
        <x:v>몽골 자동차 검사역량 제고 및 시설 개선을 통한 교통안전 강화 사업('23·'27/1,300만불)</x:v>
      </x:c>
      <x:c r="N29" s="25" t="str">
        <x:v>몽골 자동차 검사역량 제고 및 시설 개선을 통한 교통안전 강화 사업 검사소 시설개선 시공 용역</x:v>
      </x:c>
      <x:c r="O29" s="22" t="str">
        <x:v>KRW</x:v>
      </x:c>
      <x:c r="P29" s="31" t="n">
        <x:v>590000000</x:v>
      </x:c>
      <x:c r="Q29" s="22" t="str">
        <x:v>planned_bid_ceiling</x:v>
      </x:c>
      <x:c r="R29" s="31"/>
      <x:c r="S29" s="31"/>
      <x:c r="T29" s="22" t="n">
        <x:v>0</x:v>
      </x:c>
      <x:c r="U29" s="22" t="str"/>
      <x:c r="V29" s="22" t="n">
        <x:v>0</x:v>
      </x:c>
      <x:c r="W29" s="22" t="n">
        <x:v>0</x:v>
      </x:c>
      <x:c r="X29" s="22" t="n">
        <x:v>0</x:v>
      </x:c>
      <x:c r="Y29" s="22" t="n">
        <x:v>0</x:v>
      </x:c>
      <x:c r="Z29" s="22" t="n">
        <x:v>0</x:v>
      </x:c>
      <x:c r="AA29" s="31"/>
      <x:c r="AB29" s="22" t="str"/>
      <x:c r="AC29" s="34"/>
      <x:c r="AD29" s="25" t="str"/>
      <x:c r="AE29" s="25" t="str">
        <x:v>품목 수량·단가 또는 범위 일치 GFA·공사금액 부족</x:v>
      </x:c>
      <x:c r="AF29" s="25" t="str">
        <x:v>https://www.data.go.kr/data/15085055/fileData.do</x:v>
      </x:c>
    </x:row>
    <x:row r="30">
      <x:c r="A30" s="22" t="n">
        <x:v>26</x:v>
      </x:c>
      <x:c r="B30" s="22" t="str">
        <x:v>C</x:v>
      </x:c>
      <x:c r="C30" s="22" t="str">
        <x:v>U</x:v>
      </x:c>
      <x:c r="D30" s="22" t="str">
        <x:v>X-설계·감리·기타용역</x:v>
      </x:c>
      <x:c r="E30" s="22" t="str">
        <x:v>방글라데시</x:v>
      </x:c>
      <x:c r="F30" s="22" t="str">
        <x:v>annual_procurement_plan</x:v>
      </x:c>
      <x:c r="G30" s="22" t="str">
        <x:v>15085055:168</x:v>
      </x:c>
      <x:c r="H30" s="22" t="str"/>
      <x:c r="I30" s="22" t="str"/>
      <x:c r="J30" s="22" t="str"/>
      <x:c r="K30" s="59" t="n">
        <x:v>0.414</x:v>
      </x:c>
      <x:c r="L30" s="22" t="str">
        <x:v>용역</x:v>
      </x:c>
      <x:c r="M30" s="25" t="str">
        <x:v>방글라데시 선진시장형 기술인력 양성을 위한 차토그램 한방직업훈련원 직업훈련체계 현대화('24·'27/1,000만불)</x:v>
      </x:c>
      <x:c r="N30" s="25" t="str">
        <x:v>ㅇ 설계 계획안ㅇ 기본설계 및 실시설계ㅇ 시공 입찰지원ㅇ 시공감리</x:v>
      </x:c>
      <x:c r="O30" s="22" t="str">
        <x:v>KRW</x:v>
      </x:c>
      <x:c r="P30" s="31" t="n">
        <x:v>618030400</x:v>
      </x:c>
      <x:c r="Q30" s="22" t="str">
        <x:v>planned_bid_ceiling</x:v>
      </x:c>
      <x:c r="R30" s="31"/>
      <x:c r="S30" s="31"/>
      <x:c r="T30" s="22" t="n">
        <x:v>0</x:v>
      </x:c>
      <x:c r="U30" s="22" t="str"/>
      <x:c r="V30" s="22" t="n">
        <x:v>0</x:v>
      </x:c>
      <x:c r="W30" s="22" t="n">
        <x:v>0</x:v>
      </x:c>
      <x:c r="X30" s="22" t="n">
        <x:v>0</x:v>
      </x:c>
      <x:c r="Y30" s="22" t="n">
        <x:v>0</x:v>
      </x:c>
      <x:c r="Z30" s="22" t="n">
        <x:v>0</x:v>
      </x:c>
      <x:c r="AA30" s="31"/>
      <x:c r="AB30" s="22" t="str"/>
      <x:c r="AC30" s="34"/>
      <x:c r="AD30" s="25" t="str"/>
      <x:c r="AE30" s="25" t="str">
        <x:v>품목 수량·단가 또는 범위 일치 GFA·공사금액 부족</x:v>
      </x:c>
      <x:c r="AF30" s="25" t="str">
        <x:v>https://www.data.go.kr/data/15085055/fileData.do</x:v>
      </x:c>
    </x:row>
    <x:row r="31">
      <x:c r="A31" s="22" t="n">
        <x:v>27</x:v>
      </x:c>
      <x:c r="B31" s="22" t="str">
        <x:v>C</x:v>
      </x:c>
      <x:c r="C31" s="22" t="str">
        <x:v>U</x:v>
      </x:c>
      <x:c r="D31" s="22" t="str">
        <x:v>X-설계·감리·기타용역</x:v>
      </x:c>
      <x:c r="E31" s="22" t="str">
        <x:v>베트남</x:v>
      </x:c>
      <x:c r="F31" s="22" t="str">
        <x:v>annual_procurement_plan</x:v>
      </x:c>
      <x:c r="G31" s="22" t="str">
        <x:v>15085055:289</x:v>
      </x:c>
      <x:c r="H31" s="22" t="str"/>
      <x:c r="I31" s="22" t="str"/>
      <x:c r="J31" s="22" t="str"/>
      <x:c r="K31" s="59" t="n">
        <x:v>0.366</x:v>
      </x:c>
      <x:c r="L31" s="22" t="str">
        <x:v>용역</x:v>
      </x:c>
      <x:c r="M31" s="25" t="str">
        <x:v>베트남 메콩유역 롱안성 생활폐기물 분리배출 및 자원순환 촉진 사업('24·'28/1,083만불) 감리 용역</x:v>
      </x:c>
      <x:c r="N31" s="25" t="str">
        <x:v>시설 전체 건축/토목 시공 현지 감리</x:v>
      </x:c>
      <x:c r="O31" s="22" t="str">
        <x:v>KRW</x:v>
      </x:c>
      <x:c r="P31" s="31" t="n">
        <x:v>33116850</x:v>
      </x:c>
      <x:c r="Q31" s="22" t="str">
        <x:v>planned_bid_ceiling</x:v>
      </x:c>
      <x:c r="R31" s="31"/>
      <x:c r="S31" s="31"/>
      <x:c r="T31" s="22" t="n">
        <x:v>0</x:v>
      </x:c>
      <x:c r="U31" s="22" t="str"/>
      <x:c r="V31" s="22" t="n">
        <x:v>0</x:v>
      </x:c>
      <x:c r="W31" s="22" t="n">
        <x:v>0</x:v>
      </x:c>
      <x:c r="X31" s="22" t="n">
        <x:v>0</x:v>
      </x:c>
      <x:c r="Y31" s="22" t="n">
        <x:v>0</x:v>
      </x:c>
      <x:c r="Z31" s="22" t="n">
        <x:v>0</x:v>
      </x:c>
      <x:c r="AA31" s="31"/>
      <x:c r="AB31" s="22" t="str"/>
      <x:c r="AC31" s="34"/>
      <x:c r="AD31" s="25" t="str"/>
      <x:c r="AE31" s="25" t="str">
        <x:v>품목 수량·단가 또는 범위 일치 GFA·공사금액 부족</x:v>
      </x:c>
      <x:c r="AF31" s="25" t="str">
        <x:v>https://www.data.go.kr/data/15085055/fileData.do</x:v>
      </x:c>
    </x:row>
    <x:row r="32">
      <x:c r="A32" s="22" t="n">
        <x:v>28</x:v>
      </x:c>
      <x:c r="B32" s="22" t="str">
        <x:v>C</x:v>
      </x:c>
      <x:c r="C32" s="22" t="str">
        <x:v>U</x:v>
      </x:c>
      <x:c r="D32" s="22" t="str">
        <x:v>U-근거부족</x:v>
      </x:c>
      <x:c r="E32" s="22" t="str">
        <x:v>베트남</x:v>
      </x:c>
      <x:c r="F32" s="22" t="str">
        <x:v>annual_procurement_plan</x:v>
      </x:c>
      <x:c r="G32" s="22" t="str">
        <x:v>15085055:291</x:v>
      </x:c>
      <x:c r="H32" s="22" t="str"/>
      <x:c r="I32" s="22" t="str"/>
      <x:c r="J32" s="22" t="str"/>
      <x:c r="K32" s="59" t="n">
        <x:v>0.342</x:v>
      </x:c>
      <x:c r="L32" s="22" t="str">
        <x:v>공사</x:v>
      </x:c>
      <x:c r="M32" s="25" t="str">
        <x:v>베트남 메콩유역 롱안성 생활폐기물 분리배출 및 자원순환 촉진 사업('24·'28/1,083만불) 건축 및 토목 시공 용역</x:v>
      </x:c>
      <x:c r="N32" s="25" t="str">
        <x:v>퇴비화시설, 재활용 선별시설 설치, 관리동 등 시설 전체 건축물 및 폐수처리장, 야적장 등 건축 및 토목 시공</x:v>
      </x:c>
      <x:c r="O32" s="22" t="str">
        <x:v>KRW</x:v>
      </x:c>
      <x:c r="P32" s="31" t="n">
        <x:v>1914015100</x:v>
      </x:c>
      <x:c r="Q32" s="22" t="str">
        <x:v>planned_bid_ceiling</x:v>
      </x:c>
      <x:c r="R32" s="31"/>
      <x:c r="S32" s="31"/>
      <x:c r="T32" s="22" t="n">
        <x:v>0</x:v>
      </x:c>
      <x:c r="U32" s="22" t="str"/>
      <x:c r="V32" s="22" t="n">
        <x:v>0</x:v>
      </x:c>
      <x:c r="W32" s="22" t="n">
        <x:v>0</x:v>
      </x:c>
      <x:c r="X32" s="22" t="n">
        <x:v>0</x:v>
      </x:c>
      <x:c r="Y32" s="22" t="n">
        <x:v>0</x:v>
      </x:c>
      <x:c r="Z32" s="22" t="n">
        <x:v>0</x:v>
      </x:c>
      <x:c r="AA32" s="31"/>
      <x:c r="AB32" s="22" t="str"/>
      <x:c r="AC32" s="34"/>
      <x:c r="AD32" s="25" t="str"/>
      <x:c r="AE32" s="25" t="str">
        <x:v>품목 수량·단가 또는 범위 일치 GFA·공사금액 부족</x:v>
      </x:c>
      <x:c r="AF32" s="25" t="str">
        <x:v>https://www.data.go.kr/data/15085055/fileData.do</x:v>
      </x:c>
    </x:row>
    <x:row r="33">
      <x:c r="A33" s="22" t="n">
        <x:v>29</x:v>
      </x:c>
      <x:c r="B33" s="22" t="str">
        <x:v>C</x:v>
      </x:c>
      <x:c r="C33" s="22" t="str">
        <x:v>U</x:v>
      </x:c>
      <x:c r="D33" s="22" t="str">
        <x:v>U-근거부족</x:v>
      </x:c>
      <x:c r="E33" s="22" t="str">
        <x:v>베트남</x:v>
      </x:c>
      <x:c r="F33" s="22" t="str">
        <x:v>annual_procurement_plan</x:v>
      </x:c>
      <x:c r="G33" s="22" t="str">
        <x:v>15085055:290</x:v>
      </x:c>
      <x:c r="H33" s="22" t="str"/>
      <x:c r="I33" s="22" t="str"/>
      <x:c r="J33" s="22" t="str"/>
      <x:c r="K33" s="59" t="n">
        <x:v>0.366</x:v>
      </x:c>
      <x:c r="L33" s="22" t="str">
        <x:v>용역</x:v>
      </x:c>
      <x:c r="M33" s="25" t="str">
        <x:v>베트남 메콩유역 롱안성 생활폐기물 분리배출 및 자원순환 촉진 사업('24·'28/1,083만불) 시공 용역</x:v>
      </x:c>
      <x:c r="N33" s="25" t="str">
        <x:v>퇴비화시설, 재활용 선별시설 설치를 위한 설계 및 기자재 제작 및 시공, 운영매뉴얼 작성 및 운영자 교육 실시</x:v>
      </x:c>
      <x:c r="O33" s="22" t="str">
        <x:v>KRW</x:v>
      </x:c>
      <x:c r="P33" s="31" t="n">
        <x:v>6407261416</x:v>
      </x:c>
      <x:c r="Q33" s="22" t="str">
        <x:v>planned_bid_ceiling</x:v>
      </x:c>
      <x:c r="R33" s="31"/>
      <x:c r="S33" s="31"/>
      <x:c r="T33" s="22" t="n">
        <x:v>0</x:v>
      </x:c>
      <x:c r="U33" s="22" t="str"/>
      <x:c r="V33" s="22" t="n">
        <x:v>0</x:v>
      </x:c>
      <x:c r="W33" s="22" t="n">
        <x:v>0</x:v>
      </x:c>
      <x:c r="X33" s="22" t="n">
        <x:v>0</x:v>
      </x:c>
      <x:c r="Y33" s="22" t="n">
        <x:v>0</x:v>
      </x:c>
      <x:c r="Z33" s="22" t="n">
        <x:v>0</x:v>
      </x:c>
      <x:c r="AA33" s="31"/>
      <x:c r="AB33" s="22" t="str"/>
      <x:c r="AC33" s="34"/>
      <x:c r="AD33" s="25" t="str"/>
      <x:c r="AE33" s="25" t="str">
        <x:v>품목 수량·단가 또는 범위 일치 GFA·공사금액 부족</x:v>
      </x:c>
      <x:c r="AF33" s="25" t="str">
        <x:v>https://www.data.go.kr/data/15085055/fileData.do</x:v>
      </x:c>
    </x:row>
    <x:row r="34">
      <x:c r="A34" s="22" t="n">
        <x:v>30</x:v>
      </x:c>
      <x:c r="B34" s="22" t="str">
        <x:v>C</x:v>
      </x:c>
      <x:c r="C34" s="22" t="str">
        <x:v>U</x:v>
      </x:c>
      <x:c r="D34" s="22" t="str">
        <x:v>X-물품</x:v>
      </x:c>
      <x:c r="E34" s="22" t="str">
        <x:v>베트남</x:v>
      </x:c>
      <x:c r="F34" s="22" t="str">
        <x:v>annual_procurement_plan</x:v>
      </x:c>
      <x:c r="G34" s="22" t="str">
        <x:v>15085055:150</x:v>
      </x:c>
      <x:c r="H34" s="22" t="str">
        <x:v>2022-00097</x:v>
      </x:c>
      <x:c r="I34" s="22" t="str">
        <x:v>2022-00097</x:v>
      </x:c>
      <x:c r="J34" s="22" t="str">
        <x:v>official_report_title_containment</x:v>
      </x:c>
      <x:c r="K34" s="59" t="n">
        <x:v>0.99</x:v>
      </x:c>
      <x:c r="L34" s="22" t="str">
        <x:v>물품</x:v>
      </x:c>
      <x:c r="M34" s="25" t="str">
        <x:v>베트남 한베 ICT 대학교 교육역량 강화 지원사업 스마트 캠퍼스 구축 물품(소프트웨어) 현지구매 계약</x:v>
      </x:c>
      <x:c r="N34" s="25" t="str">
        <x:v>총 9종의 소프트웨어 공급 · 가상화 소프트웨어, 백업 소프트웨어, 운영체제(OS), 동영상 편집 소프트웨어, 스마트 클래스 소프트웨어 (교수자용 및 학생용), IC 칩 설계 소프트웨어 포함 총 9종</x:v>
      </x:c>
      <x:c r="O34" s="22" t="str">
        <x:v>KRW</x:v>
      </x:c>
      <x:c r="P34" s="31" t="n">
        <x:v>498235600</x:v>
      </x:c>
      <x:c r="Q34" s="22" t="str">
        <x:v>planned_bid_ceiling</x:v>
      </x:c>
      <x:c r="R34" s="31"/>
      <x:c r="S34" s="31"/>
      <x:c r="T34" s="22" t="n">
        <x:v>0</x:v>
      </x:c>
      <x:c r="U34" s="22" t="str"/>
      <x:c r="V34" s="22" t="n">
        <x:v>0</x:v>
      </x:c>
      <x:c r="W34" s="22" t="n">
        <x:v>0</x:v>
      </x:c>
      <x:c r="X34" s="22" t="n">
        <x:v>0</x:v>
      </x:c>
      <x:c r="Y34" s="22" t="n">
        <x:v>0</x:v>
      </x:c>
      <x:c r="Z34" s="22" t="n">
        <x:v>0</x:v>
      </x:c>
      <x:c r="AA34" s="31"/>
      <x:c r="AB34" s="22" t="str"/>
      <x:c r="AC34" s="34"/>
      <x:c r="AD34" s="25" t="str"/>
      <x:c r="AE34" s="25" t="str">
        <x:v>품목 수량·단가 또는 범위 일치 GFA·공사금액 부족</x:v>
      </x:c>
      <x:c r="AF34" s="25" t="str">
        <x:v>https://www.data.go.kr/data/15085055/fileData.do</x:v>
      </x:c>
    </x:row>
    <x:row r="35">
      <x:c r="A35" s="22" t="n">
        <x:v>31</x:v>
      </x:c>
      <x:c r="B35" s="22" t="str">
        <x:v>C</x:v>
      </x:c>
      <x:c r="C35" s="22" t="str">
        <x:v>U</x:v>
      </x:c>
      <x:c r="D35" s="22" t="str">
        <x:v>U-근거부족</x:v>
      </x:c>
      <x:c r="E35" s="22" t="str">
        <x:v>베트남</x:v>
      </x:c>
      <x:c r="F35" s="22" t="str">
        <x:v>annual_procurement_plan</x:v>
      </x:c>
      <x:c r="G35" s="22" t="str">
        <x:v>15085055:193</x:v>
      </x:c>
      <x:c r="H35" s="22" t="str"/>
      <x:c r="I35" s="22" t="str"/>
      <x:c r="J35" s="22" t="str"/>
      <x:c r="K35" s="59" t="n">
        <x:v>0.609</x:v>
      </x:c>
      <x:c r="L35" s="22" t="str">
        <x:v>공사</x:v>
      </x:c>
      <x:c r="M35" s="25" t="str">
        <x:v>베트남 후에시 문화관광 스마트시티 조성 지원사업의 다비엔섬 스마트 복합문화공간 및 보행교량 건축시공</x:v>
      </x:c>
      <x:c r="N35" s="25" t="str">
        <x:v>다비엔섬 복합문화공간 시공(취수장시설의 리모델링을 통해 조성되는 복합문화공간, 다비엔섬과 향강 남측 연안을 연결하는 보행전용교량 1개소)· 복합문화공간 외부 사이니지 포함</x:v>
      </x:c>
      <x:c r="O35" s="22" t="str">
        <x:v>KRW</x:v>
      </x:c>
      <x:c r="P35" s="31" t="n">
        <x:v>9455900000</x:v>
      </x:c>
      <x:c r="Q35" s="22" t="str">
        <x:v>planned_bid_ceiling</x:v>
      </x:c>
      <x:c r="R35" s="31"/>
      <x:c r="S35" s="31"/>
      <x:c r="T35" s="22" t="n">
        <x:v>0</x:v>
      </x:c>
      <x:c r="U35" s="22" t="str"/>
      <x:c r="V35" s="22" t="n">
        <x:v>0</x:v>
      </x:c>
      <x:c r="W35" s="22" t="n">
        <x:v>0</x:v>
      </x:c>
      <x:c r="X35" s="22" t="n">
        <x:v>0</x:v>
      </x:c>
      <x:c r="Y35" s="22" t="n">
        <x:v>0</x:v>
      </x:c>
      <x:c r="Z35" s="22" t="n">
        <x:v>0</x:v>
      </x:c>
      <x:c r="AA35" s="31"/>
      <x:c r="AB35" s="22" t="str"/>
      <x:c r="AC35" s="34"/>
      <x:c r="AD35" s="25" t="str"/>
      <x:c r="AE35" s="25" t="str">
        <x:v>품목 수량·단가 또는 범위 일치 GFA·공사금액 부족</x:v>
      </x:c>
      <x:c r="AF35" s="25" t="str">
        <x:v>https://www.data.go.kr/data/15085055/fileData.do</x:v>
      </x:c>
    </x:row>
    <x:row r="36">
      <x:c r="A36" s="22" t="n">
        <x:v>32</x:v>
      </x:c>
      <x:c r="B36" s="22" t="str">
        <x:v>C</x:v>
      </x:c>
      <x:c r="C36" s="22" t="str">
        <x:v>U</x:v>
      </x:c>
      <x:c r="D36" s="22" t="str">
        <x:v>X-설계·감리·기타용역</x:v>
      </x:c>
      <x:c r="E36" s="22" t="str">
        <x:v>볼리비아</x:v>
      </x:c>
      <x:c r="F36" s="22" t="str">
        <x:v>annual_procurement_plan</x:v>
      </x:c>
      <x:c r="G36" s="22" t="str">
        <x:v>15085055:261</x:v>
      </x:c>
      <x:c r="H36" s="22" t="str"/>
      <x:c r="I36" s="22" t="str"/>
      <x:c r="J36" s="22" t="str"/>
      <x:c r="K36" s="59" t="n">
        <x:v>0.393</x:v>
      </x:c>
      <x:c r="L36" s="22" t="str">
        <x:v>용역</x:v>
      </x:c>
      <x:c r="M36" s="25" t="str">
        <x:v>볼리비아 감자생산 선진화를 위한 스마트팜 적용 시범사업 현지 설계사</x:v>
      </x:c>
      <x:c r="N36" s="25" t="str">
        <x:v>ㅇ 추키사카 주 : 추키사카 씨감자 교육 및 훈련센터, 조직배양연구소, 저온저장고, 부대시설(경비실, 팬스 등)ㅇ 코차밤바 주 : 교육관</x:v>
      </x:c>
      <x:c r="O36" s="22" t="str">
        <x:v>KRW</x:v>
      </x:c>
      <x:c r="P36" s="31" t="n">
        <x:v>120336000</x:v>
      </x:c>
      <x:c r="Q36" s="22" t="str">
        <x:v>planned_bid_ceiling</x:v>
      </x:c>
      <x:c r="R36" s="31"/>
      <x:c r="S36" s="31"/>
      <x:c r="T36" s="22" t="n">
        <x:v>0</x:v>
      </x:c>
      <x:c r="U36" s="22" t="str"/>
      <x:c r="V36" s="22" t="n">
        <x:v>0</x:v>
      </x:c>
      <x:c r="W36" s="22" t="n">
        <x:v>0</x:v>
      </x:c>
      <x:c r="X36" s="22" t="n">
        <x:v>0</x:v>
      </x:c>
      <x:c r="Y36" s="22" t="n">
        <x:v>0</x:v>
      </x:c>
      <x:c r="Z36" s="22" t="n">
        <x:v>0</x:v>
      </x:c>
      <x:c r="AA36" s="31"/>
      <x:c r="AB36" s="22" t="str"/>
      <x:c r="AC36" s="34"/>
      <x:c r="AD36" s="25" t="str"/>
      <x:c r="AE36" s="25" t="str">
        <x:v>품목 수량·단가 또는 범위 일치 GFA·공사금액 부족</x:v>
      </x:c>
      <x:c r="AF36" s="25" t="str">
        <x:v>https://www.data.go.kr/data/15085055/fileData.do</x:v>
      </x:c>
    </x:row>
    <x:row r="37">
      <x:c r="A37" s="22" t="n">
        <x:v>33</x:v>
      </x:c>
      <x:c r="B37" s="22" t="str">
        <x:v>B</x:v>
      </x:c>
      <x:c r="C37" s="22" t="str">
        <x:v>B</x:v>
      </x:c>
      <x:c r="D37" s="22" t="str">
        <x:v>B</x:v>
      </x:c>
      <x:c r="E37" s="22" t="str">
        <x:v>볼리비아</x:v>
      </x:c>
      <x:c r="F37" s="22" t="str">
        <x:v>annual_procurement_plan</x:v>
      </x:c>
      <x:c r="G37" s="22" t="str">
        <x:v>15085055:159</x:v>
      </x:c>
      <x:c r="H37" s="22" t="str">
        <x:v>2013-00064</x:v>
      </x:c>
      <x:c r="I37" s="22" t="str">
        <x:v>2013-00064</x:v>
      </x:c>
      <x:c r="J37" s="22" t="str">
        <x:v>existing_db_title_containment</x:v>
      </x:c>
      <x:c r="K37" s="59" t="n">
        <x:v>0.99</x:v>
      </x:c>
      <x:c r="L37" s="22" t="str">
        <x:v>공사</x:v>
      </x:c>
      <x:c r="M37" s="25" t="str">
        <x:v>볼리비아 고원 지역 농업 기계화 및 농민역량 강화를 통한 생산성 증대 사업 퀴노아 연구센터 차칼라 건립 공사 시공사 선정 현지 입찰</x:v>
      </x:c>
      <x:c r="N37" s="25" t="str">
        <x:v>1) 경계 및 지형측량, 지반조사2) 건설에 필요한 건축, 인테리어, 구조, 기계, 전기, Signage, 부대 시설 등 일괄 시설 공사 시공3) 기반 시설 연결 공사</x:v>
      </x:c>
      <x:c r="O37" s="22" t="str">
        <x:v>KRW</x:v>
      </x:c>
      <x:c r="P37" s="31" t="n">
        <x:v>136556520</x:v>
      </x:c>
      <x:c r="Q37" s="22" t="str">
        <x:v>planned_bid_ceiling</x:v>
      </x:c>
      <x:c r="R37" s="31"/>
      <x:c r="S37" s="31"/>
      <x:c r="T37" s="22" t="n">
        <x:v>7</x:v>
      </x:c>
      <x:c r="U37" s="22" t="str">
        <x:v>L2021-00005-1;L2023-00012-1;L2023-00015-1;L2023-00031-1;L2023-00031-2;L2025-00012-1;L2025-00012-2</x:v>
      </x:c>
      <x:c r="V37" s="22" t="n">
        <x:v>145</x:v>
      </x:c>
      <x:c r="W37" s="22" t="n">
        <x:v>12</x:v>
      </x:c>
      <x:c r="X37" s="22" t="n">
        <x:v>0</x:v>
      </x:c>
      <x:c r="Y37" s="22" t="n">
        <x:v>3</x:v>
      </x:c>
      <x:c r="Z37" s="22" t="n">
        <x:v>0</x:v>
      </x:c>
      <x:c r="AA37" s="31"/>
      <x:c r="AB37" s="22" t="str"/>
      <x:c r="AC37" s="34"/>
      <x:c r="AD37" s="25" t="str">
        <x:v>L2025-00012-1/.../Section 4. Q-Lab_Chacala_BOQ_blanked/</x:v>
      </x:c>
      <x:c r="AE37" s="25" t="str">
        <x:v>품목별 현지 단가 부재</x:v>
      </x:c>
      <x:c r="AF37" s="25" t="str">
        <x:v>https://www.data.go.kr/data/15085055/fileData.do</x:v>
      </x:c>
    </x:row>
    <x:row r="38">
      <x:c r="A38" s="22" t="n">
        <x:v>34</x:v>
      </x:c>
      <x:c r="B38" s="22" t="str">
        <x:v>C</x:v>
      </x:c>
      <x:c r="C38" s="22" t="str">
        <x:v>U</x:v>
      </x:c>
      <x:c r="D38" s="22" t="str">
        <x:v>X-설계·감리·기타용역</x:v>
      </x:c>
      <x:c r="E38" s="22" t="str">
        <x:v>볼리비아</x:v>
      </x:c>
      <x:c r="F38" s="22" t="str">
        <x:v>annual_procurement_plan</x:v>
      </x:c>
      <x:c r="G38" s="22" t="str">
        <x:v>15085055:107</x:v>
      </x:c>
      <x:c r="H38" s="22" t="str">
        <x:v>2022-00038</x:v>
      </x:c>
      <x:c r="I38" s="22" t="str">
        <x:v>2022-00038</x:v>
      </x:c>
      <x:c r="J38" s="22" t="str">
        <x:v>existing_db_title_containment</x:v>
      </x:c>
      <x:c r="K38" s="59" t="n">
        <x:v>0.99</x:v>
      </x:c>
      <x:c r="L38" s="22" t="str">
        <x:v>용역</x:v>
      </x:c>
      <x:c r="M38" s="25" t="str">
        <x:v>볼리비아 라파스주 임상병리검사실체계 강화사업 감염의학연구소 구축 감리사 선정</x:v>
      </x:c>
      <x:c r="N38" s="25" t="str">
        <x:v>ㅇ KOICA 볼리비아사무소에서 제공하는 입찰서류 및 설계도서에 따른 건축, 토목, 설비, 전기, 통신, 조경, 부대 시설 등 일괄공사에 대한 감리ㅇ 시청으로부터 건축 허가 사항 및 공사를 위한 관련 정부 기관 승인 입수, 건물 준공 승인 취득을 위한 관련 업무 협조ㅇ 시공 단계 검측 ㅇ 시공사 제출 서류 검토 및 보고  · 시공사 착공보고서, 자재 선정 요청서, 공정 현황 보고서  · 설계도서 오류, 누락, 하자 등에 대한 보고서  · 현장 시공 상세도(Shop Drawings)   · 공사와 관련한 기성 및 각종 제반 안전관리 및 사용 내역 등ㅇ 예비/준공 검사 실시 및 준공 서류 검토   · As·Built Drawing 및 Operation  Maintenance Manual 등ㅇ 준공 후 하자 현황 및 하자처리 현황 점검 및 보고</x:v>
      </x:c>
      <x:c r="O38" s="22" t="str">
        <x:v>KRW</x:v>
      </x:c>
      <x:c r="P38" s="31" t="n">
        <x:v>233576040</x:v>
      </x:c>
      <x:c r="Q38" s="22" t="str">
        <x:v>planned_bid_ceiling</x:v>
      </x:c>
      <x:c r="R38" s="31"/>
      <x:c r="S38" s="31"/>
      <x:c r="T38" s="22" t="n">
        <x:v>4</x:v>
      </x:c>
      <x:c r="U38" s="22" t="str">
        <x:v>L2023-00070-1;L2023-00070-2;L2025-00029-1;L2025-00030-1</x:v>
      </x:c>
      <x:c r="V38" s="22" t="n">
        <x:v>42</x:v>
      </x:c>
      <x:c r="W38" s="22" t="n">
        <x:v>0</x:v>
      </x:c>
      <x:c r="X38" s="22" t="n">
        <x:v>0</x:v>
      </x:c>
      <x:c r="Y38" s="22" t="n">
        <x:v>0</x:v>
      </x:c>
      <x:c r="Z38" s="22" t="n">
        <x:v>0</x:v>
      </x:c>
      <x:c r="AA38" s="31"/>
      <x:c r="AB38" s="22" t="str"/>
      <x:c r="AC38" s="34"/>
      <x:c r="AD38" s="25" t="str"/>
      <x:c r="AE38" s="25" t="str">
        <x:v>품목 수량·단가 또는 범위 일치 GFA·공사금액 부족</x:v>
      </x:c>
      <x:c r="AF38" s="25" t="str">
        <x:v>https://www.data.go.kr/data/15085055/fileData.do</x:v>
      </x:c>
    </x:row>
    <x:row r="39">
      <x:c r="A39" s="22" t="n">
        <x:v>35</x:v>
      </x:c>
      <x:c r="B39" s="22" t="str">
        <x:v>C</x:v>
      </x:c>
      <x:c r="C39" s="22" t="str">
        <x:v>U</x:v>
      </x:c>
      <x:c r="D39" s="22" t="str">
        <x:v>X-설계·감리·기타용역</x:v>
      </x:c>
      <x:c r="E39" s="22" t="str">
        <x:v>볼리비아</x:v>
      </x:c>
      <x:c r="F39" s="22" t="str">
        <x:v>annual_procurement_plan</x:v>
      </x:c>
      <x:c r="G39" s="22" t="str">
        <x:v>15085055:132</x:v>
      </x:c>
      <x:c r="H39" s="22" t="str">
        <x:v>2023-00004</x:v>
      </x:c>
      <x:c r="I39" s="22" t="str">
        <x:v>2023-00004</x:v>
      </x:c>
      <x:c r="J39" s="22" t="str">
        <x:v>existing_db_title_fuzzy</x:v>
      </x:c>
      <x:c r="K39" s="59" t="n">
        <x:v>0.941</x:v>
      </x:c>
      <x:c r="L39" s="22" t="str">
        <x:v>용역</x:v>
      </x:c>
      <x:c r="M39" s="25" t="str">
        <x:v>볼리비아 엘알또시 모성보건센터 신축/보수공사 설계사 선정</x:v>
      </x:c>
      <x:c r="N39" s="25" t="str">
        <x:v>볼리비아 엘알또 시 한국 네트워크 및 lotes y servicios 네트워크 내 2개 보건소 신축 및 증축(Villa Adela · 신축, Lotes y Servicios · 증축) 및 3개 보건소 보수공사 설계· 신축공사(1개소) : Villa Adela  • 대지면적 : 1,799.45㎡, 연면적 1,000㎡· 증축 공사(1개소) : Lotes y Servicios  • 대지면적 : 290㎡, 연면적 : 380㎡· 리모델링 공사(3개소) :   • Villa Avaroa : 모자병동 난방 설비공사(가스)   • 3 de Mayo : 모자병동 난방 설비공사(가스)   • 1ro de Mayo : 모자병동 창호공사 ㅇ 용도: 의료시설·모자보건센터(Medical Facility·Maternal Helthcare Center)ㅇ 과업 범위 : 지질조사, 지형조사, 건축설계, 인허가 지원 및 공사 기간 중 자문</x:v>
      </x:c>
      <x:c r="O39" s="22" t="str">
        <x:v>KRW</x:v>
      </x:c>
      <x:c r="P39" s="31" t="n">
        <x:v>271170000</x:v>
      </x:c>
      <x:c r="Q39" s="22" t="str">
        <x:v>planned_bid_ceiling</x:v>
      </x:c>
      <x:c r="R39" s="31"/>
      <x:c r="S39" s="31"/>
      <x:c r="T39" s="22" t="n">
        <x:v>1</x:v>
      </x:c>
      <x:c r="U39" s="22" t="str">
        <x:v>L2025-00078-1</x:v>
      </x:c>
      <x:c r="V39" s="22" t="n">
        <x:v>3</x:v>
      </x:c>
      <x:c r="W39" s="22" t="n">
        <x:v>0</x:v>
      </x:c>
      <x:c r="X39" s="22" t="n">
        <x:v>0</x:v>
      </x:c>
      <x:c r="Y39" s="22" t="n">
        <x:v>0</x:v>
      </x:c>
      <x:c r="Z39" s="22" t="n">
        <x:v>0</x:v>
      </x:c>
      <x:c r="AA39" s="31"/>
      <x:c r="AB39" s="22" t="str"/>
      <x:c r="AC39" s="34"/>
      <x:c r="AD39" s="25" t="str"/>
      <x:c r="AE39" s="25" t="str">
        <x:v>품목 수량·단가 또는 범위 일치 GFA·공사금액 부족</x:v>
      </x:c>
      <x:c r="AF39" s="25" t="str">
        <x:v>https://www.data.go.kr/data/15085055/fileData.do</x:v>
      </x:c>
    </x:row>
    <x:row r="40">
      <x:c r="A40" s="22" t="n">
        <x:v>36</x:v>
      </x:c>
      <x:c r="B40" s="22" t="str">
        <x:v>C</x:v>
      </x:c>
      <x:c r="C40" s="22" t="str">
        <x:v>U</x:v>
      </x:c>
      <x:c r="D40" s="22" t="str">
        <x:v>X-설계·감리·기타용역</x:v>
      </x:c>
      <x:c r="E40" s="22" t="str">
        <x:v>볼리비아</x:v>
      </x:c>
      <x:c r="F40" s="22" t="str">
        <x:v>annual_procurement_plan</x:v>
      </x:c>
      <x:c r="G40" s="22" t="str">
        <x:v>15085055:129</x:v>
      </x:c>
      <x:c r="H40" s="22" t="str"/>
      <x:c r="I40" s="22" t="str"/>
      <x:c r="J40" s="22" t="str"/>
      <x:c r="K40" s="59" t="n">
        <x:v>0.407</x:v>
      </x:c>
      <x:c r="L40" s="22" t="str">
        <x:v>용역</x:v>
      </x:c>
      <x:c r="M40" s="25" t="str">
        <x:v>볼리비아 오루로 주 응급의료통제센터 설립 및 강화 사업('24·'28/650만불) 설계 용역</x:v>
      </x:c>
      <x:c r="N40" s="25" t="str">
        <x:v>오루로 주 한국병원 블록 내 응급의료통제센터 설계</x:v>
      </x:c>
      <x:c r="O40" s="22" t="str">
        <x:v>KRW</x:v>
      </x:c>
      <x:c r="P40" s="31" t="n">
        <x:v>201448000</x:v>
      </x:c>
      <x:c r="Q40" s="22" t="str">
        <x:v>planned_bid_ceiling</x:v>
      </x:c>
      <x:c r="R40" s="31"/>
      <x:c r="S40" s="31"/>
      <x:c r="T40" s="22" t="n">
        <x:v>0</x:v>
      </x:c>
      <x:c r="U40" s="22" t="str"/>
      <x:c r="V40" s="22" t="n">
        <x:v>0</x:v>
      </x:c>
      <x:c r="W40" s="22" t="n">
        <x:v>0</x:v>
      </x:c>
      <x:c r="X40" s="22" t="n">
        <x:v>0</x:v>
      </x:c>
      <x:c r="Y40" s="22" t="n">
        <x:v>0</x:v>
      </x:c>
      <x:c r="Z40" s="22" t="n">
        <x:v>0</x:v>
      </x:c>
      <x:c r="AA40" s="31"/>
      <x:c r="AB40" s="22" t="str"/>
      <x:c r="AC40" s="34"/>
      <x:c r="AD40" s="25" t="str"/>
      <x:c r="AE40" s="25" t="str">
        <x:v>품목 수량·단가 또는 범위 일치 GFA·공사금액 부족</x:v>
      </x:c>
      <x:c r="AF40" s="25" t="str">
        <x:v>https://www.data.go.kr/data/15085055/fileData.do</x:v>
      </x:c>
    </x:row>
    <x:row r="41">
      <x:c r="A41" s="22" t="n">
        <x:v>37</x:v>
      </x:c>
      <x:c r="B41" s="22" t="str">
        <x:v>C</x:v>
      </x:c>
      <x:c r="C41" s="22" t="str">
        <x:v>U</x:v>
      </x:c>
      <x:c r="D41" s="22" t="str">
        <x:v>X-설계·감리·기타용역</x:v>
      </x:c>
      <x:c r="E41" s="22" t="str">
        <x:v>볼리비아</x:v>
      </x:c>
      <x:c r="F41" s="22" t="str">
        <x:v>annual_procurement_plan</x:v>
      </x:c>
      <x:c r="G41" s="22" t="str">
        <x:v>15085055:130</x:v>
      </x:c>
      <x:c r="H41" s="22" t="str"/>
      <x:c r="I41" s="22" t="str">
        <x:v>2024-00006</x:v>
      </x:c>
      <x:c r="J41" s="22" t="str">
        <x:v>verified_title_country_alias</x:v>
      </x:c>
      <x:c r="K41" s="59" t="n">
        <x:v>0.84</x:v>
      </x:c>
      <x:c r="L41" s="22" t="str">
        <x:v>용역</x:v>
      </x:c>
      <x:c r="M41" s="25" t="str">
        <x:v>볼리비아 추키사카주 과학수사기관 신축공사 설계사 입찰</x:v>
      </x:c>
      <x:c r="N41" s="25" t="str">
        <x:v>추키사카 IDIF 과학수사기관 건축설계</x:v>
      </x:c>
      <x:c r="O41" s="22" t="str">
        <x:v>KRW</x:v>
      </x:c>
      <x:c r="P41" s="31" t="n">
        <x:v>39978420</x:v>
      </x:c>
      <x:c r="Q41" s="22" t="str">
        <x:v>planned_bid_ceiling</x:v>
      </x:c>
      <x:c r="R41" s="31"/>
      <x:c r="S41" s="31"/>
      <x:c r="T41" s="22" t="n">
        <x:v>1</x:v>
      </x:c>
      <x:c r="U41" s="22" t="str">
        <x:v>L2025-00068-1</x:v>
      </x:c>
      <x:c r="V41" s="22" t="n">
        <x:v>4</x:v>
      </x:c>
      <x:c r="W41" s="22" t="n">
        <x:v>0</x:v>
      </x:c>
      <x:c r="X41" s="22" t="n">
        <x:v>0</x:v>
      </x:c>
      <x:c r="Y41" s="22" t="n">
        <x:v>0</x:v>
      </x:c>
      <x:c r="Z41" s="22" t="n">
        <x:v>0</x:v>
      </x:c>
      <x:c r="AA41" s="31"/>
      <x:c r="AB41" s="22" t="str"/>
      <x:c r="AC41" s="34"/>
      <x:c r="AD41" s="25" t="str"/>
      <x:c r="AE41" s="25" t="str">
        <x:v>품목 수량·단가 또는 범위 일치 GFA·공사금액 부족</x:v>
      </x:c>
      <x:c r="AF41" s="25" t="str">
        <x:v>https://www.data.go.kr/data/15085055/fileData.do</x:v>
      </x:c>
    </x:row>
    <x:row r="42">
      <x:c r="A42" s="22" t="n">
        <x:v>38</x:v>
      </x:c>
      <x:c r="B42" s="22" t="str">
        <x:v>C</x:v>
      </x:c>
      <x:c r="C42" s="22" t="str">
        <x:v>U</x:v>
      </x:c>
      <x:c r="D42" s="22" t="str">
        <x:v>U-근거부족</x:v>
      </x:c>
      <x:c r="E42" s="22" t="str">
        <x:v>세네갈</x:v>
      </x:c>
      <x:c r="F42" s="22" t="str">
        <x:v>annual_procurement_plan</x:v>
      </x:c>
      <x:c r="G42" s="22" t="str">
        <x:v>15085055:248</x:v>
      </x:c>
      <x:c r="H42" s="22" t="str">
        <x:v>2022-00003</x:v>
      </x:c>
      <x:c r="I42" s="22" t="str">
        <x:v>2022-00003</x:v>
      </x:c>
      <x:c r="J42" s="22" t="str">
        <x:v>official_report_title_containment</x:v>
      </x:c>
      <x:c r="K42" s="59" t="n">
        <x:v>0.99</x:v>
      </x:c>
      <x:c r="L42" s="22" t="str">
        <x:v>공사</x:v>
      </x:c>
      <x:c r="M42" s="25" t="str">
        <x:v>세네갈 국가공중보건 실험실 역량강화사업('22·'26/600만불) 실험실 리모델링 시공 용역</x:v>
      </x:c>
      <x:c r="N42" s="25" t="str">
        <x:v>세네갈 국가공중보건실험실 리모델링 시공</x:v>
      </x:c>
      <x:c r="O42" s="22" t="str">
        <x:v>KRW</x:v>
      </x:c>
      <x:c r="P42" s="31" t="n">
        <x:v>1007400000</x:v>
      </x:c>
      <x:c r="Q42" s="22" t="str">
        <x:v>planned_bid_ceiling</x:v>
      </x:c>
      <x:c r="R42" s="31"/>
      <x:c r="S42" s="31"/>
      <x:c r="T42" s="22" t="n">
        <x:v>3</x:v>
      </x:c>
      <x:c r="U42" s="22" t="str">
        <x:v>L2025-00080-1;L2025-00106-1;L2025-00107-1</x:v>
      </x:c>
      <x:c r="V42" s="22" t="n">
        <x:v>5</x:v>
      </x:c>
      <x:c r="W42" s="22" t="n">
        <x:v>0</x:v>
      </x:c>
      <x:c r="X42" s="22" t="n">
        <x:v>0</x:v>
      </x:c>
      <x:c r="Y42" s="22" t="n">
        <x:v>0</x:v>
      </x:c>
      <x:c r="Z42" s="22" t="n">
        <x:v>0</x:v>
      </x:c>
      <x:c r="AA42" s="31"/>
      <x:c r="AB42" s="22" t="str"/>
      <x:c r="AC42" s="34"/>
      <x:c r="AD42" s="25" t="str"/>
      <x:c r="AE42" s="25" t="str">
        <x:v>품목 수량·단가 또는 범위 일치 GFA·공사금액 부족</x:v>
      </x:c>
      <x:c r="AF42" s="25" t="str">
        <x:v>https://www.data.go.kr/data/15085055/fileData.do</x:v>
      </x:c>
    </x:row>
    <x:row r="43">
      <x:c r="A43" s="22" t="n">
        <x:v>39</x:v>
      </x:c>
      <x:c r="B43" s="22" t="str">
        <x:v>C</x:v>
      </x:c>
      <x:c r="C43" s="22" t="str">
        <x:v>U</x:v>
      </x:c>
      <x:c r="D43" s="22" t="str">
        <x:v>U-근거부족</x:v>
      </x:c>
      <x:c r="E43" s="22" t="str">
        <x:v>세네갈</x:v>
      </x:c>
      <x:c r="F43" s="22" t="str">
        <x:v>annual_procurement_plan</x:v>
      </x:c>
      <x:c r="G43" s="22" t="str">
        <x:v>15085055:16</x:v>
      </x:c>
      <x:c r="H43" s="22" t="str">
        <x:v>2022-00003</x:v>
      </x:c>
      <x:c r="I43" s="22" t="str">
        <x:v>2022-00003</x:v>
      </x:c>
      <x:c r="J43" s="22" t="str">
        <x:v>official_report_title_containment</x:v>
      </x:c>
      <x:c r="K43" s="59" t="n">
        <x:v>0.99</x:v>
      </x:c>
      <x:c r="L43" s="22" t="str">
        <x:v>용역</x:v>
      </x:c>
      <x:c r="M43" s="25" t="str">
        <x:v>세네갈 국가공중보건 실험실 역량강화사업(22·26/600만불) 실험실 리모델링 시공 감리 용역</x:v>
      </x:c>
      <x:c r="N43" s="25" t="str">
        <x:v>ㅇ 리모델링 시공 용역 감리</x:v>
      </x:c>
      <x:c r="O43" s="22" t="str">
        <x:v>KRW</x:v>
      </x:c>
      <x:c r="P43" s="31" t="n">
        <x:v>27462000</x:v>
      </x:c>
      <x:c r="Q43" s="22" t="str">
        <x:v>planned_bid_ceiling</x:v>
      </x:c>
      <x:c r="R43" s="31"/>
      <x:c r="S43" s="31"/>
      <x:c r="T43" s="22" t="n">
        <x:v>3</x:v>
      </x:c>
      <x:c r="U43" s="22" t="str">
        <x:v>L2025-00080-1;L2025-00106-1;L2025-00107-1</x:v>
      </x:c>
      <x:c r="V43" s="22" t="n">
        <x:v>5</x:v>
      </x:c>
      <x:c r="W43" s="22" t="n">
        <x:v>0</x:v>
      </x:c>
      <x:c r="X43" s="22" t="n">
        <x:v>0</x:v>
      </x:c>
      <x:c r="Y43" s="22" t="n">
        <x:v>0</x:v>
      </x:c>
      <x:c r="Z43" s="22" t="n">
        <x:v>0</x:v>
      </x:c>
      <x:c r="AA43" s="31"/>
      <x:c r="AB43" s="22" t="str"/>
      <x:c r="AC43" s="34"/>
      <x:c r="AD43" s="25" t="str"/>
      <x:c r="AE43" s="25" t="str">
        <x:v>품목 수량·단가 또는 범위 일치 GFA·공사금액 부족</x:v>
      </x:c>
      <x:c r="AF43" s="25" t="str">
        <x:v>https://www.data.go.kr/data/15085055/fileData.do</x:v>
      </x:c>
    </x:row>
    <x:row r="44">
      <x:c r="A44" s="22" t="n">
        <x:v>40</x:v>
      </x:c>
      <x:c r="B44" s="22" t="str">
        <x:v>C</x:v>
      </x:c>
      <x:c r="C44" s="22" t="str">
        <x:v>U</x:v>
      </x:c>
      <x:c r="D44" s="22" t="str">
        <x:v>U-근거부족</x:v>
      </x:c>
      <x:c r="E44" s="22" t="str">
        <x:v>세네갈</x:v>
      </x:c>
      <x:c r="F44" s="22" t="str">
        <x:v>annual_procurement_plan</x:v>
      </x:c>
      <x:c r="G44" s="22" t="str">
        <x:v>15085055:78</x:v>
      </x:c>
      <x:c r="H44" s="22" t="str"/>
      <x:c r="I44" s="22" t="str"/>
      <x:c r="J44" s="22" t="str"/>
      <x:c r="K44" s="59" t="n">
        <x:v>0.812</x:v>
      </x:c>
      <x:c r="L44" s="22" t="str">
        <x:v>용역</x:v>
      </x:c>
      <x:c r="M44" s="25" t="str">
        <x:v>세네갈 남부지역 농업기술 역량강화사업('25·'29/1,000만불)</x:v>
      </x:c>
      <x:c r="N44" s="25" t="str">
        <x:v>세네갈 콜다주 농업직업교육센터(CFPA) 신축</x:v>
      </x:c>
      <x:c r="O44" s="22" t="str">
        <x:v>KRW</x:v>
      </x:c>
      <x:c r="P44" s="31" t="n">
        <x:v>552000000</x:v>
      </x:c>
      <x:c r="Q44" s="22" t="str">
        <x:v>planned_bid_ceiling</x:v>
      </x:c>
      <x:c r="R44" s="31"/>
      <x:c r="S44" s="31"/>
      <x:c r="T44" s="22" t="n">
        <x:v>0</x:v>
      </x:c>
      <x:c r="U44" s="22" t="str"/>
      <x:c r="V44" s="22" t="n">
        <x:v>0</x:v>
      </x:c>
      <x:c r="W44" s="22" t="n">
        <x:v>0</x:v>
      </x:c>
      <x:c r="X44" s="22" t="n">
        <x:v>0</x:v>
      </x:c>
      <x:c r="Y44" s="22" t="n">
        <x:v>0</x:v>
      </x:c>
      <x:c r="Z44" s="22" t="n">
        <x:v>0</x:v>
      </x:c>
      <x:c r="AA44" s="31"/>
      <x:c r="AB44" s="22" t="str"/>
      <x:c r="AC44" s="34"/>
      <x:c r="AD44" s="25" t="str"/>
      <x:c r="AE44" s="25" t="str">
        <x:v>품목 수량·단가 또는 범위 일치 GFA·공사금액 부족</x:v>
      </x:c>
      <x:c r="AF44" s="25" t="str">
        <x:v>https://www.data.go.kr/data/15085055/fileData.do</x:v>
      </x:c>
    </x:row>
    <x:row r="45">
      <x:c r="A45" s="22" t="n">
        <x:v>41</x:v>
      </x:c>
      <x:c r="B45" s="22" t="str">
        <x:v>C</x:v>
      </x:c>
      <x:c r="C45" s="22" t="str">
        <x:v>U</x:v>
      </x:c>
      <x:c r="D45" s="22" t="str">
        <x:v>X-설계·감리·기타용역</x:v>
      </x:c>
      <x:c r="E45" s="22" t="str">
        <x:v>세네갈</x:v>
      </x:c>
      <x:c r="F45" s="22" t="str">
        <x:v>annual_procurement_plan</x:v>
      </x:c>
      <x:c r="G45" s="22" t="str">
        <x:v>15085055:152</x:v>
      </x:c>
      <x:c r="H45" s="22" t="str">
        <x:v>2020-00048</x:v>
      </x:c>
      <x:c r="I45" s="22" t="str">
        <x:v>2020-00048</x:v>
      </x:c>
      <x:c r="J45" s="22" t="str">
        <x:v>official_report_title_containment</x:v>
      </x:c>
      <x:c r="K45" s="59" t="n">
        <x:v>0.99</x:v>
      </x:c>
      <x:c r="L45" s="22" t="str">
        <x:v>용역</x:v>
      </x:c>
      <x:c r="M45" s="25" t="str">
        <x:v>세네갈 미곡가치사슬 강화 2차 사업('20·'26/1,100만불)</x:v>
      </x:c>
      <x:c r="N45" s="25" t="str">
        <x:v>ㅇ KOICA 세네갈 사무소에서 제공하는 입찰서류 및 설계도서에 따른 건축, 토목, 설비, 전기, 통신, 부대시설 등 일괄공사에 대한 감리ㅇ 건축 허가 및 공사 관련 대관 협의 및 준공 승인을 위한 업무 협조ㅇ 시공 단계 검측 ㅇ 시공사 제출서류 검토 및 보고  · 시공사 착공보고서, 자재선정 요청서, 공정현황 보고서  · 설계도서 오류, 누락, 하자 등에 대한 보고서  · 현장시공 상세도(Shop Drawings)   · 공사와 관련한 기성 및 각종 제반 안전관리 및 사용내역 등ㅇ 예비/준공 검사 실시 및 준공서류 검토   · As·Built Drawing 및 Operation &amp; Maintenance Manual 등ㅇ 준공 후 하자현황 및 하자처리 현황 점검 및 보고</x:v>
      </x:c>
      <x:c r="O45" s="22" t="str">
        <x:v>KRW</x:v>
      </x:c>
      <x:c r="P45" s="31" t="n">
        <x:v>138000000</x:v>
      </x:c>
      <x:c r="Q45" s="22" t="str">
        <x:v>planned_bid_ceiling</x:v>
      </x:c>
      <x:c r="R45" s="31"/>
      <x:c r="S45" s="31"/>
      <x:c r="T45" s="22" t="n">
        <x:v>4</x:v>
      </x:c>
      <x:c r="U45" s="22" t="str">
        <x:v>L2024-00062-1;L2024-00062-2;L2024-00062-3;L2025-00021-1</x:v>
      </x:c>
      <x:c r="V45" s="22" t="n">
        <x:v>19</x:v>
      </x:c>
      <x:c r="W45" s="22" t="n">
        <x:v>0</x:v>
      </x:c>
      <x:c r="X45" s="22" t="n">
        <x:v>0</x:v>
      </x:c>
      <x:c r="Y45" s="22" t="n">
        <x:v>0</x:v>
      </x:c>
      <x:c r="Z45" s="22" t="n">
        <x:v>0</x:v>
      </x:c>
      <x:c r="AA45" s="31"/>
      <x:c r="AB45" s="22" t="str"/>
      <x:c r="AC45" s="34"/>
      <x:c r="AD45" s="25" t="str"/>
      <x:c r="AE45" s="25" t="str">
        <x:v>품목 수량·단가 또는 범위 일치 GFA·공사금액 부족</x:v>
      </x:c>
      <x:c r="AF45" s="25" t="str">
        <x:v>https://www.data.go.kr/data/15085055/fileData.do</x:v>
      </x:c>
    </x:row>
    <x:row r="46">
      <x:c r="A46" s="22" t="n">
        <x:v>42</x:v>
      </x:c>
      <x:c r="B46" s="22" t="str">
        <x:v>C</x:v>
      </x:c>
      <x:c r="C46" s="22" t="str">
        <x:v>U</x:v>
      </x:c>
      <x:c r="D46" s="22" t="str">
        <x:v>X-설계·감리·기타용역</x:v>
      </x:c>
      <x:c r="E46" s="22" t="str">
        <x:v>세네갈</x:v>
      </x:c>
      <x:c r="F46" s="22" t="str">
        <x:v>annual_procurement_plan</x:v>
      </x:c>
      <x:c r="G46" s="22" t="str">
        <x:v>15085055:95</x:v>
      </x:c>
      <x:c r="H46" s="22" t="str"/>
      <x:c r="I46" s="22" t="str"/>
      <x:c r="J46" s="22" t="str"/>
      <x:c r="K46" s="59" t="n">
        <x:v>0.99</x:v>
      </x:c>
      <x:c r="L46" s="22" t="str">
        <x:v>용역</x:v>
      </x:c>
      <x:c r="M46" s="25" t="str">
        <x:v>세네갈 중부지역 모자보건체계 강화사업 2단계(24·28/1250만불) 보건소 설계 용역</x:v>
      </x:c>
      <x:c r="N46" s="25" t="str">
        <x:v>세네갈 중부지역 신축 보건소 설계(지질조사 포함)</x:v>
      </x:c>
      <x:c r="O46" s="22" t="str">
        <x:v>KRW</x:v>
      </x:c>
      <x:c r="P46" s="31" t="n">
        <x:v>368413500</x:v>
      </x:c>
      <x:c r="Q46" s="22" t="str">
        <x:v>planned_bid_ceiling</x:v>
      </x:c>
      <x:c r="R46" s="31"/>
      <x:c r="S46" s="31"/>
      <x:c r="T46" s="22" t="n">
        <x:v>0</x:v>
      </x:c>
      <x:c r="U46" s="22" t="str"/>
      <x:c r="V46" s="22" t="n">
        <x:v>0</x:v>
      </x:c>
      <x:c r="W46" s="22" t="n">
        <x:v>0</x:v>
      </x:c>
      <x:c r="X46" s="22" t="n">
        <x:v>0</x:v>
      </x:c>
      <x:c r="Y46" s="22" t="n">
        <x:v>0</x:v>
      </x:c>
      <x:c r="Z46" s="22" t="n">
        <x:v>0</x:v>
      </x:c>
      <x:c r="AA46" s="31"/>
      <x:c r="AB46" s="22" t="str"/>
      <x:c r="AC46" s="34"/>
      <x:c r="AD46" s="25" t="str"/>
      <x:c r="AE46" s="25" t="str">
        <x:v>품목 수량·단가 또는 범위 일치 GFA·공사금액 부족</x:v>
      </x:c>
      <x:c r="AF46" s="25" t="str">
        <x:v>https://www.data.go.kr/data/15085055/fileData.do</x:v>
      </x:c>
    </x:row>
    <x:row r="47">
      <x:c r="A47" s="22" t="n">
        <x:v>43</x:v>
      </x:c>
      <x:c r="B47" s="22" t="str">
        <x:v>C</x:v>
      </x:c>
      <x:c r="C47" s="22" t="str">
        <x:v>U</x:v>
      </x:c>
      <x:c r="D47" s="22" t="str">
        <x:v>X-설계·감리·기타용역</x:v>
      </x:c>
      <x:c r="E47" s="22" t="str">
        <x:v>세네갈</x:v>
      </x:c>
      <x:c r="F47" s="22" t="str">
        <x:v>annual_procurement_plan</x:v>
      </x:c>
      <x:c r="G47" s="22" t="str">
        <x:v>15085055:79</x:v>
      </x:c>
      <x:c r="H47" s="22" t="str">
        <x:v>2023-00061</x:v>
      </x:c>
      <x:c r="I47" s="22" t="str">
        <x:v>2023-00061</x:v>
      </x:c>
      <x:c r="J47" s="22" t="str">
        <x:v>official_report_title_containment</x:v>
      </x:c>
      <x:c r="K47" s="59" t="n">
        <x:v>0.99</x:v>
      </x:c>
      <x:c r="L47" s="22" t="str">
        <x:v>용역</x:v>
      </x:c>
      <x:c r="M47" s="25" t="str">
        <x:v>세네갈 콜다 주 통합적 접근을 통한 미곡가치사슬 강화사업('23·'28/1,450만불)</x:v>
      </x:c>
      <x:c r="N47" s="25" t="str">
        <x:v>세네갈 콜다주 관개 개보수 및 농업/보건 시설 설계감리 통합발주</x:v>
      </x:c>
      <x:c r="O47" s="22" t="str">
        <x:v>KRW</x:v>
      </x:c>
      <x:c r="P47" s="31" t="n">
        <x:v>238825560</x:v>
      </x:c>
      <x:c r="Q47" s="22" t="str">
        <x:v>planned_bid_ceiling</x:v>
      </x:c>
      <x:c r="R47" s="31"/>
      <x:c r="S47" s="31"/>
      <x:c r="T47" s="22" t="n">
        <x:v>1</x:v>
      </x:c>
      <x:c r="U47" s="22" t="str">
        <x:v>L2025-00077-1</x:v>
      </x:c>
      <x:c r="V47" s="22" t="n">
        <x:v>0</x:v>
      </x:c>
      <x:c r="W47" s="22" t="n">
        <x:v>0</x:v>
      </x:c>
      <x:c r="X47" s="22" t="n">
        <x:v>0</x:v>
      </x:c>
      <x:c r="Y47" s="22" t="n">
        <x:v>0</x:v>
      </x:c>
      <x:c r="Z47" s="22" t="n">
        <x:v>0</x:v>
      </x:c>
      <x:c r="AA47" s="31"/>
      <x:c r="AB47" s="22" t="str"/>
      <x:c r="AC47" s="34"/>
      <x:c r="AD47" s="25" t="str"/>
      <x:c r="AE47" s="25" t="str">
        <x:v>품목 수량·단가 또는 범위 일치 GFA·공사금액 부족</x:v>
      </x:c>
      <x:c r="AF47" s="25" t="str">
        <x:v>https://www.data.go.kr/data/15085055/fileData.do</x:v>
      </x:c>
    </x:row>
    <x:row r="48">
      <x:c r="A48" s="22" t="n">
        <x:v>44</x:v>
      </x:c>
      <x:c r="B48" s="22" t="str">
        <x:v>C</x:v>
      </x:c>
      <x:c r="C48" s="22" t="str">
        <x:v>U</x:v>
      </x:c>
      <x:c r="D48" s="22" t="str">
        <x:v>U-근거부족</x:v>
      </x:c>
      <x:c r="E48" s="22" t="str">
        <x:v>솔로몬군도</x:v>
      </x:c>
      <x:c r="F48" s="22" t="str">
        <x:v>annual_procurement_plan</x:v>
      </x:c>
      <x:c r="G48" s="22" t="str">
        <x:v>15085055:194</x:v>
      </x:c>
      <x:c r="H48" s="22" t="str">
        <x:v>2016-00062</x:v>
      </x:c>
      <x:c r="I48" s="22" t="str">
        <x:v>2016-00062</x:v>
      </x:c>
      <x:c r="J48" s="22" t="str">
        <x:v>official_report_title_containment</x:v>
      </x:c>
      <x:c r="K48" s="59" t="n">
        <x:v>0.99</x:v>
      </x:c>
      <x:c r="L48" s="22" t="str">
        <x:v>공사</x:v>
      </x:c>
      <x:c r="M48" s="25" t="str">
        <x:v>솔로몬군도 국립대학교 수산인력양성 지원사업(‘14·’18/500만불)</x:v>
      </x:c>
      <x:c r="N48" s="25" t="str">
        <x:v>학교 시설 개보수</x:v>
      </x:c>
      <x:c r="O48" s="22" t="str">
        <x:v>KRW</x:v>
      </x:c>
      <x:c r="P48" s="31" t="n">
        <x:v>100726847</x:v>
      </x:c>
      <x:c r="Q48" s="22" t="str">
        <x:v>planned_bid_ceiling</x:v>
      </x:c>
      <x:c r="R48" s="31"/>
      <x:c r="S48" s="31"/>
      <x:c r="T48" s="22" t="n">
        <x:v>0</x:v>
      </x:c>
      <x:c r="U48" s="22" t="str"/>
      <x:c r="V48" s="22" t="n">
        <x:v>0</x:v>
      </x:c>
      <x:c r="W48" s="22" t="n">
        <x:v>0</x:v>
      </x:c>
      <x:c r="X48" s="22" t="n">
        <x:v>0</x:v>
      </x:c>
      <x:c r="Y48" s="22" t="n">
        <x:v>0</x:v>
      </x:c>
      <x:c r="Z48" s="22" t="n">
        <x:v>0</x:v>
      </x:c>
      <x:c r="AA48" s="31"/>
      <x:c r="AB48" s="22" t="str"/>
      <x:c r="AC48" s="34"/>
      <x:c r="AD48" s="25" t="str"/>
      <x:c r="AE48" s="25" t="str">
        <x:v>품목 수량·단가 또는 범위 일치 GFA·공사금액 부족</x:v>
      </x:c>
      <x:c r="AF48" s="25" t="str">
        <x:v>https://www.data.go.kr/data/15085055/fileData.do</x:v>
      </x:c>
    </x:row>
    <x:row r="49">
      <x:c r="A49" s="22" t="n">
        <x:v>45</x:v>
      </x:c>
      <x:c r="B49" s="22" t="str">
        <x:v>C</x:v>
      </x:c>
      <x:c r="C49" s="22" t="str">
        <x:v>U</x:v>
      </x:c>
      <x:c r="D49" s="22" t="str">
        <x:v>X-설계·감리·기타용역</x:v>
      </x:c>
      <x:c r="E49" s="22" t="str">
        <x:v>알제리</x:v>
      </x:c>
      <x:c r="F49" s="22" t="str">
        <x:v>annual_procurement_plan</x:v>
      </x:c>
      <x:c r="G49" s="22" t="str">
        <x:v>15085055:1</x:v>
      </x:c>
      <x:c r="H49" s="22" t="str">
        <x:v>2025-00099</x:v>
      </x:c>
      <x:c r="I49" s="22" t="str">
        <x:v>2025-00099</x:v>
      </x:c>
      <x:c r="J49" s="22" t="str">
        <x:v>existing_db_title_containment</x:v>
      </x:c>
      <x:c r="K49" s="59" t="n">
        <x:v>0.99</x:v>
      </x:c>
      <x:c r="L49" s="22" t="str">
        <x:v>용역</x:v>
      </x:c>
      <x:c r="M49" s="25" t="str">
        <x:v>알제리 경찰청 과학수사역량강화사업 과학실험실 실시설계 감리 용역</x:v>
      </x:c>
      <x:c r="N49" s="25" t="str">
        <x:v>경찰청 과학수사국 건물 내 실험실 리노베이션 실시설계 면적 약 900m2</x:v>
      </x:c>
      <x:c r="O49" s="22" t="str">
        <x:v>KRW</x:v>
      </x:c>
      <x:c r="P49" s="31" t="n">
        <x:v>35000000</x:v>
      </x:c>
      <x:c r="Q49" s="22" t="str">
        <x:v>planned_bid_ceiling</x:v>
      </x:c>
      <x:c r="R49" s="31" t="n">
        <x:v>900</x:v>
      </x:c>
      <x:c r="S49" s="31"/>
      <x:c r="T49" s="22" t="n">
        <x:v>1</x:v>
      </x:c>
      <x:c r="U49" s="22" t="str">
        <x:v>L2025-00108-1</x:v>
      </x:c>
      <x:c r="V49" s="22" t="n">
        <x:v>1</x:v>
      </x:c>
      <x:c r="W49" s="22" t="n">
        <x:v>0</x:v>
      </x:c>
      <x:c r="X49" s="22" t="n">
        <x:v>0</x:v>
      </x:c>
      <x:c r="Y49" s="22" t="n">
        <x:v>0</x:v>
      </x:c>
      <x:c r="Z49" s="22" t="n">
        <x:v>0</x:v>
      </x:c>
      <x:c r="AA49" s="31"/>
      <x:c r="AB49" s="22" t="str"/>
      <x:c r="AC49" s="34"/>
      <x:c r="AD49" s="25" t="str"/>
      <x:c r="AE49" s="25" t="str">
        <x:v>품목 수량·단가 또는 범위 일치 GFA·공사금액 부족</x:v>
      </x:c>
      <x:c r="AF49" s="25" t="str">
        <x:v>https://www.data.go.kr/data/15085055/fileData.do</x:v>
      </x:c>
    </x:row>
    <x:row r="50">
      <x:c r="A50" s="22" t="n">
        <x:v>46</x:v>
      </x:c>
      <x:c r="B50" s="22" t="str">
        <x:v>C</x:v>
      </x:c>
      <x:c r="C50" s="22" t="str">
        <x:v>U</x:v>
      </x:c>
      <x:c r="D50" s="22" t="str">
        <x:v>X-설계·감리·기타용역</x:v>
      </x:c>
      <x:c r="E50" s="22" t="str">
        <x:v>에콰도르</x:v>
      </x:c>
      <x:c r="F50" s="22" t="str">
        <x:v>annual_procurement_plan</x:v>
      </x:c>
      <x:c r="G50" s="22" t="str">
        <x:v>15085055:350</x:v>
      </x:c>
      <x:c r="H50" s="22" t="str">
        <x:v>2022-00039</x:v>
      </x:c>
      <x:c r="I50" s="22" t="str">
        <x:v>2022-00039</x:v>
      </x:c>
      <x:c r="J50" s="22" t="str">
        <x:v>official_report_title_containment</x:v>
      </x:c>
      <x:c r="K50" s="59" t="n">
        <x:v>0.99</x:v>
      </x:c>
      <x:c r="L50" s="22" t="str">
        <x:v>용역</x:v>
      </x:c>
      <x:c r="M50" s="25" t="str">
        <x:v>에콰도르 생물다양성 보전과 지속가능한 이용을 위한 국가 유전자원 데이터 은행 설립사업('22·'28/900만불) 리모델링 시공 감리 용역</x:v>
      </x:c>
      <x:c r="N50" s="25" t="str">
        <x:v>리오꼬까 사무소 리모델링 시공 감리</x:v>
      </x:c>
      <x:c r="O50" s="22" t="str">
        <x:v>KRW</x:v>
      </x:c>
      <x:c r="P50" s="31" t="n">
        <x:v>16950000</x:v>
      </x:c>
      <x:c r="Q50" s="22" t="str">
        <x:v>planned_bid_ceiling</x:v>
      </x:c>
      <x:c r="R50" s="31"/>
      <x:c r="S50" s="31"/>
      <x:c r="T50" s="22" t="n">
        <x:v>0</x:v>
      </x:c>
      <x:c r="U50" s="22" t="str"/>
      <x:c r="V50" s="22" t="n">
        <x:v>0</x:v>
      </x:c>
      <x:c r="W50" s="22" t="n">
        <x:v>0</x:v>
      </x:c>
      <x:c r="X50" s="22" t="n">
        <x:v>0</x:v>
      </x:c>
      <x:c r="Y50" s="22" t="n">
        <x:v>0</x:v>
      </x:c>
      <x:c r="Z50" s="22" t="n">
        <x:v>0</x:v>
      </x:c>
      <x:c r="AA50" s="31"/>
      <x:c r="AB50" s="22" t="str"/>
      <x:c r="AC50" s="34"/>
      <x:c r="AD50" s="25" t="str"/>
      <x:c r="AE50" s="25" t="str">
        <x:v>품목 수량·단가 또는 범위 일치 GFA·공사금액 부족</x:v>
      </x:c>
      <x:c r="AF50" s="25" t="str">
        <x:v>https://www.data.go.kr/data/15085055/fileData.do</x:v>
      </x:c>
    </x:row>
    <x:row r="51">
      <x:c r="A51" s="22" t="n">
        <x:v>47</x:v>
      </x:c>
      <x:c r="B51" s="22" t="str">
        <x:v>C</x:v>
      </x:c>
      <x:c r="C51" s="22" t="str">
        <x:v>U</x:v>
      </x:c>
      <x:c r="D51" s="22" t="str">
        <x:v>U-근거부족</x:v>
      </x:c>
      <x:c r="E51" s="22" t="str">
        <x:v>에콰도르</x:v>
      </x:c>
      <x:c r="F51" s="22" t="str">
        <x:v>annual_procurement_plan</x:v>
      </x:c>
      <x:c r="G51" s="22" t="str">
        <x:v>15085055:351</x:v>
      </x:c>
      <x:c r="H51" s="22" t="str">
        <x:v>2022-00039</x:v>
      </x:c>
      <x:c r="I51" s="22" t="str">
        <x:v>2022-00039</x:v>
      </x:c>
      <x:c r="J51" s="22" t="str">
        <x:v>official_report_title_containment</x:v>
      </x:c>
      <x:c r="K51" s="59" t="n">
        <x:v>0.99</x:v>
      </x:c>
      <x:c r="L51" s="22" t="str">
        <x:v>공사</x:v>
      </x:c>
      <x:c r="M51" s="25" t="str">
        <x:v>에콰도르 생물다양성 보전과 지속가능한 이용을 위한 국가 유전자원 데이터 은행 설립사업('22·'28/900만불) 리모델링 시공 용역</x:v>
      </x:c>
      <x:c r="N51" s="25" t="str">
        <x:v>리오꼬까 사무소 리모델링 시공 용역</x:v>
      </x:c>
      <x:c r="O51" s="22" t="str">
        <x:v>KRW</x:v>
      </x:c>
      <x:c r="P51" s="31" t="n">
        <x:v>320097360</x:v>
      </x:c>
      <x:c r="Q51" s="22" t="str">
        <x:v>planned_bid_ceiling</x:v>
      </x:c>
      <x:c r="R51" s="31"/>
      <x:c r="S51" s="31"/>
      <x:c r="T51" s="22" t="n">
        <x:v>0</x:v>
      </x:c>
      <x:c r="U51" s="22" t="str"/>
      <x:c r="V51" s="22" t="n">
        <x:v>0</x:v>
      </x:c>
      <x:c r="W51" s="22" t="n">
        <x:v>0</x:v>
      </x:c>
      <x:c r="X51" s="22" t="n">
        <x:v>0</x:v>
      </x:c>
      <x:c r="Y51" s="22" t="n">
        <x:v>0</x:v>
      </x:c>
      <x:c r="Z51" s="22" t="n">
        <x:v>0</x:v>
      </x:c>
      <x:c r="AA51" s="31"/>
      <x:c r="AB51" s="22" t="str"/>
      <x:c r="AC51" s="34"/>
      <x:c r="AD51" s="25" t="str"/>
      <x:c r="AE51" s="25" t="str">
        <x:v>품목 수량·단가 또는 범위 일치 GFA·공사금액 부족</x:v>
      </x:c>
      <x:c r="AF51" s="25" t="str">
        <x:v>https://www.data.go.kr/data/15085055/fileData.do</x:v>
      </x:c>
    </x:row>
    <x:row r="52">
      <x:c r="A52" s="22" t="n">
        <x:v>48</x:v>
      </x:c>
      <x:c r="B52" s="22" t="str">
        <x:v>C</x:v>
      </x:c>
      <x:c r="C52" s="22" t="str">
        <x:v>U</x:v>
      </x:c>
      <x:c r="D52" s="22" t="str">
        <x:v>X-설계·감리·기타용역</x:v>
      </x:c>
      <x:c r="E52" s="22" t="str">
        <x:v>에콰도르</x:v>
      </x:c>
      <x:c r="F52" s="22" t="str">
        <x:v>annual_procurement_plan</x:v>
      </x:c>
      <x:c r="G52" s="22" t="str">
        <x:v>15085055:224</x:v>
      </x:c>
      <x:c r="H52" s="22" t="str">
        <x:v>2022-00040</x:v>
      </x:c>
      <x:c r="I52" s="22" t="str">
        <x:v>2022-00040</x:v>
      </x:c>
      <x:c r="J52" s="22" t="str">
        <x:v>existing_db_title_containment</x:v>
      </x:c>
      <x:c r="K52" s="59" t="n">
        <x:v>0.99</x:v>
      </x:c>
      <x:c r="L52" s="22" t="str">
        <x:v>용역</x:v>
      </x:c>
      <x:c r="M52" s="25" t="str">
        <x:v>에콰도르 쿠엔카시 순환경제를 위한 폐기물 통합 관리 및 자원순환 역량강화사업 피차카이 자원집적단지 3개시설 설계</x:v>
      </x:c>
      <x:c r="N52" s="25" t="str">
        <x:v>피차카이 자원집적단지 : 자원선별시설, 퇴비화 시설, 산업 폐기물 공동처리시설 설계</x:v>
      </x:c>
      <x:c r="O52" s="22" t="str">
        <x:v>KRW</x:v>
      </x:c>
      <x:c r="P52" s="31" t="n">
        <x:v>249599891</x:v>
      </x:c>
      <x:c r="Q52" s="22" t="str">
        <x:v>planned_bid_ceiling</x:v>
      </x:c>
      <x:c r="R52" s="31"/>
      <x:c r="S52" s="31"/>
      <x:c r="T52" s="22" t="n">
        <x:v>1</x:v>
      </x:c>
      <x:c r="U52" s="22" t="str">
        <x:v>L2025-00064-1</x:v>
      </x:c>
      <x:c r="V52" s="22" t="n">
        <x:v>0</x:v>
      </x:c>
      <x:c r="W52" s="22" t="n">
        <x:v>0</x:v>
      </x:c>
      <x:c r="X52" s="22" t="n">
        <x:v>0</x:v>
      </x:c>
      <x:c r="Y52" s="22" t="n">
        <x:v>0</x:v>
      </x:c>
      <x:c r="Z52" s="22" t="n">
        <x:v>0</x:v>
      </x:c>
      <x:c r="AA52" s="31"/>
      <x:c r="AB52" s="22" t="str"/>
      <x:c r="AC52" s="34"/>
      <x:c r="AD52" s="25" t="str"/>
      <x:c r="AE52" s="25" t="str">
        <x:v>품목 수량·단가 또는 범위 일치 GFA·공사금액 부족</x:v>
      </x:c>
      <x:c r="AF52" s="25" t="str">
        <x:v>https://www.data.go.kr/data/15085055/fileData.do</x:v>
      </x:c>
    </x:row>
    <x:row r="53">
      <x:c r="A53" s="22" t="n">
        <x:v>49</x:v>
      </x:c>
      <x:c r="B53" s="22" t="str">
        <x:v>C</x:v>
      </x:c>
      <x:c r="C53" s="22" t="str">
        <x:v>U</x:v>
      </x:c>
      <x:c r="D53" s="22" t="str">
        <x:v>U-근거부족</x:v>
      </x:c>
      <x:c r="E53" s="22" t="str">
        <x:v>에티오피아</x:v>
      </x:c>
      <x:c r="F53" s="22" t="str">
        <x:v>annual_procurement_plan</x:v>
      </x:c>
      <x:c r="G53" s="22" t="str">
        <x:v>15085055:73</x:v>
      </x:c>
      <x:c r="H53" s="22" t="str"/>
      <x:c r="I53" s="22" t="str"/>
      <x:c r="J53" s="22" t="str"/>
      <x:c r="K53" s="59" t="n">
        <x:v>0.458</x:v>
      </x:c>
      <x:c r="L53" s="22" t="str">
        <x:v>용역</x:v>
      </x:c>
      <x:c r="M53" s="25" t="str">
        <x:v>에티오피아 낙농가치사슬 및 이해관계자 역량강화를 통한 유제품 품질 개선사업('23·'28/1,000만불)</x:v>
      </x:c>
      <x:c r="N53" s="25" t="str">
        <x:v>수원기관(LDI) 리모델링을 위한 인테리어·구조·설비 등 종합 설계 및 시공용역 입찰 지원 업무</x:v>
      </x:c>
      <x:c r="O53" s="22" t="str">
        <x:v>KRW</x:v>
      </x:c>
      <x:c r="P53" s="31" t="n">
        <x:v>7452483</x:v>
      </x:c>
      <x:c r="Q53" s="22" t="str">
        <x:v>planned_bid_ceiling</x:v>
      </x:c>
      <x:c r="R53" s="31"/>
      <x:c r="S53" s="31"/>
      <x:c r="T53" s="22" t="n">
        <x:v>0</x:v>
      </x:c>
      <x:c r="U53" s="22" t="str"/>
      <x:c r="V53" s="22" t="n">
        <x:v>0</x:v>
      </x:c>
      <x:c r="W53" s="22" t="n">
        <x:v>0</x:v>
      </x:c>
      <x:c r="X53" s="22" t="n">
        <x:v>0</x:v>
      </x:c>
      <x:c r="Y53" s="22" t="n">
        <x:v>0</x:v>
      </x:c>
      <x:c r="Z53" s="22" t="n">
        <x:v>0</x:v>
      </x:c>
      <x:c r="AA53" s="31"/>
      <x:c r="AB53" s="22" t="str"/>
      <x:c r="AC53" s="34"/>
      <x:c r="AD53" s="25" t="str"/>
      <x:c r="AE53" s="25" t="str">
        <x:v>품목 수량·단가 또는 범위 일치 GFA·공사금액 부족</x:v>
      </x:c>
      <x:c r="AF53" s="25" t="str">
        <x:v>https://www.data.go.kr/data/15085055/fileData.do</x:v>
      </x:c>
    </x:row>
    <x:row r="54">
      <x:c r="A54" s="22" t="n">
        <x:v>50</x:v>
      </x:c>
      <x:c r="B54" s="22" t="str">
        <x:v>C</x:v>
      </x:c>
      <x:c r="C54" s="22" t="str">
        <x:v>U</x:v>
      </x:c>
      <x:c r="D54" s="22" t="str">
        <x:v>X-설계·감리·기타용역</x:v>
      </x:c>
      <x:c r="E54" s="22" t="str">
        <x:v>엘살바도르</x:v>
      </x:c>
      <x:c r="F54" s="22" t="str">
        <x:v>annual_procurement_plan</x:v>
      </x:c>
      <x:c r="G54" s="22" t="str">
        <x:v>15085055:247</x:v>
      </x:c>
      <x:c r="H54" s="22" t="str"/>
      <x:c r="I54" s="22" t="str"/>
      <x:c r="J54" s="22" t="str"/>
      <x:c r="K54" s="59" t="n">
        <x:v>0.593</x:v>
      </x:c>
      <x:c r="L54" s="22" t="str">
        <x:v>용역</x:v>
      </x:c>
      <x:c r="M54" s="25" t="str">
        <x:v>엘살바도르 산살바도르 도시교통 마스터플랜 수립 및 버스관리정보시스템 구축사업(시범시스템) 시스템개발 PC용역</x:v>
      </x:c>
      <x:c r="N54" s="25" t="str">
        <x:v>버스관리정보 시범시스템 실시설계 및 구축</x:v>
      </x:c>
      <x:c r="O54" s="22" t="str">
        <x:v>KRW</x:v>
      </x:c>
      <x:c r="P54" s="31" t="n">
        <x:v>2841585625</x:v>
      </x:c>
      <x:c r="Q54" s="22" t="str">
        <x:v>planned_bid_ceiling</x:v>
      </x:c>
      <x:c r="R54" s="31"/>
      <x:c r="S54" s="31"/>
      <x:c r="T54" s="22" t="n">
        <x:v>0</x:v>
      </x:c>
      <x:c r="U54" s="22" t="str"/>
      <x:c r="V54" s="22" t="n">
        <x:v>0</x:v>
      </x:c>
      <x:c r="W54" s="22" t="n">
        <x:v>0</x:v>
      </x:c>
      <x:c r="X54" s="22" t="n">
        <x:v>0</x:v>
      </x:c>
      <x:c r="Y54" s="22" t="n">
        <x:v>0</x:v>
      </x:c>
      <x:c r="Z54" s="22" t="n">
        <x:v>0</x:v>
      </x:c>
      <x:c r="AA54" s="31"/>
      <x:c r="AB54" s="22" t="str"/>
      <x:c r="AC54" s="34"/>
      <x:c r="AD54" s="25" t="str"/>
      <x:c r="AE54" s="25" t="str">
        <x:v>품목 수량·단가 또는 범위 일치 GFA·공사금액 부족</x:v>
      </x:c>
      <x:c r="AF54" s="25" t="str">
        <x:v>https://www.data.go.kr/data/15085055/fileData.do</x:v>
      </x:c>
    </x:row>
    <x:row r="55">
      <x:c r="A55" s="22" t="n">
        <x:v>51</x:v>
      </x:c>
      <x:c r="B55" s="22" t="str">
        <x:v>C</x:v>
      </x:c>
      <x:c r="C55" s="22" t="str">
        <x:v>U</x:v>
      </x:c>
      <x:c r="D55" s="22" t="str">
        <x:v>X-설계·감리·기타용역</x:v>
      </x:c>
      <x:c r="E55" s="22" t="str">
        <x:v>우즈베키스탄</x:v>
      </x:c>
      <x:c r="F55" s="22" t="str">
        <x:v>annual_procurement_plan</x:v>
      </x:c>
      <x:c r="G55" s="22" t="str">
        <x:v>15085055:363</x:v>
      </x:c>
      <x:c r="H55" s="22" t="str">
        <x:v>2021-00085</x:v>
      </x:c>
      <x:c r="I55" s="22" t="str">
        <x:v>2021-00085</x:v>
      </x:c>
      <x:c r="J55" s="22" t="str">
        <x:v>existing_db_title_containment</x:v>
      </x:c>
      <x:c r="K55" s="59" t="n">
        <x:v>0.99</x:v>
      </x:c>
      <x:c r="L55" s="22" t="str">
        <x:v>용역</x:v>
      </x:c>
      <x:c r="M55" s="25" t="str">
        <x:v>우즈베키스탄 교수학습개발복합센터 건립을 통한 유아교사 역량강화사업 전시 계획 및 설치용역</x:v>
      </x:c>
      <x:c r="N55" s="25" t="str">
        <x:v>유아체험관 전시 설계 및 설치</x:v>
      </x:c>
      <x:c r="O55" s="22" t="str">
        <x:v>KRW</x:v>
      </x:c>
      <x:c r="P55" s="31" t="n">
        <x:v>940000000</x:v>
      </x:c>
      <x:c r="Q55" s="22" t="str">
        <x:v>planned_bid_ceiling</x:v>
      </x:c>
      <x:c r="R55" s="31"/>
      <x:c r="S55" s="31"/>
      <x:c r="T55" s="22" t="n">
        <x:v>1</x:v>
      </x:c>
      <x:c r="U55" s="22" t="str">
        <x:v>L2023-00065-1</x:v>
      </x:c>
      <x:c r="V55" s="22" t="n">
        <x:v>14</x:v>
      </x:c>
      <x:c r="W55" s="22" t="n">
        <x:v>0</x:v>
      </x:c>
      <x:c r="X55" s="22" t="n">
        <x:v>0</x:v>
      </x:c>
      <x:c r="Y55" s="22" t="n">
        <x:v>0</x:v>
      </x:c>
      <x:c r="Z55" s="22" t="n">
        <x:v>0</x:v>
      </x:c>
      <x:c r="AA55" s="31"/>
      <x:c r="AB55" s="22" t="str"/>
      <x:c r="AC55" s="34"/>
      <x:c r="AD55" s="25" t="str"/>
      <x:c r="AE55" s="25" t="str">
        <x:v>품목 수량·단가 또는 범위 일치 GFA·공사금액 부족</x:v>
      </x:c>
      <x:c r="AF55" s="25" t="str">
        <x:v>https://www.data.go.kr/data/15085055/fileData.do</x:v>
      </x:c>
    </x:row>
    <x:row r="56">
      <x:c r="A56" s="22" t="n">
        <x:v>52</x:v>
      </x:c>
      <x:c r="B56" s="22" t="str">
        <x:v>C</x:v>
      </x:c>
      <x:c r="C56" s="22" t="str">
        <x:v>U</x:v>
      </x:c>
      <x:c r="D56" s="22" t="str">
        <x:v>X-설계·감리·기타용역</x:v>
      </x:c>
      <x:c r="E56" s="22" t="str">
        <x:v>우즈베키스탄</x:v>
      </x:c>
      <x:c r="F56" s="22" t="str">
        <x:v>annual_procurement_plan</x:v>
      </x:c>
      <x:c r="G56" s="22" t="str">
        <x:v>15085055:279</x:v>
      </x:c>
      <x:c r="H56" s="22" t="str"/>
      <x:c r="I56" s="22" t="str"/>
      <x:c r="J56" s="22" t="str"/>
      <x:c r="K56" s="59" t="n">
        <x:v>0.35</x:v>
      </x:c>
      <x:c r="L56" s="22" t="str">
        <x:v>용역</x:v>
      </x:c>
      <x:c r="M56" s="25" t="str">
        <x:v>우즈베키스탄 세계경제외교대학(UWED) 사이버대학 설립을 위한 온라인교육 제도 구축 및 환경 조성 사업(25·29/690만불) PMC 용역</x:v>
      </x:c>
      <x:c r="N56" s="25" t="str">
        <x:v>ㅇ 이러닝 마스터플랜 수립   ㅇ 이러닝 학사운영 규정 수립   ㅇ 이러닝 학과 운영방안 수립   ㅇ 이러닝 콘텐츠 개발   ㅇ 리모델링(6개) 공간에 대한 스페이스 프로그램 도출   ㅇ PC(기자재, 설계시공, 감리) 입찰 지원(입찰서류 작성 등) 및 검수   ㅇ 교수진/교직원 역량강화(초청연수, 현지연수)   ㅇ 이러닝 플랫폼(LMS, EMIS) 개발을 위한 BPR/ISP   ㅇ 이러닝 플랫폼(LMS, EMIS) 개발   ㅇ 사업관리(성과, 모니터링, 홍보)</x:v>
      </x:c>
      <x:c r="O56" s="22" t="str">
        <x:v>KRW</x:v>
      </x:c>
      <x:c r="P56" s="31" t="n">
        <x:v>5520819038</x:v>
      </x:c>
      <x:c r="Q56" s="22" t="str">
        <x:v>planned_bid_ceiling</x:v>
      </x:c>
      <x:c r="R56" s="31"/>
      <x:c r="S56" s="31"/>
      <x:c r="T56" s="22" t="n">
        <x:v>0</x:v>
      </x:c>
      <x:c r="U56" s="22" t="str"/>
      <x:c r="V56" s="22" t="n">
        <x:v>0</x:v>
      </x:c>
      <x:c r="W56" s="22" t="n">
        <x:v>0</x:v>
      </x:c>
      <x:c r="X56" s="22" t="n">
        <x:v>0</x:v>
      </x:c>
      <x:c r="Y56" s="22" t="n">
        <x:v>0</x:v>
      </x:c>
      <x:c r="Z56" s="22" t="n">
        <x:v>0</x:v>
      </x:c>
      <x:c r="AA56" s="31"/>
      <x:c r="AB56" s="22" t="str"/>
      <x:c r="AC56" s="34"/>
      <x:c r="AD56" s="25" t="str"/>
      <x:c r="AE56" s="25" t="str">
        <x:v>품목 수량·단가 또는 범위 일치 GFA·공사금액 부족</x:v>
      </x:c>
      <x:c r="AF56" s="25" t="str">
        <x:v>https://www.data.go.kr/data/15085055/fileData.do</x:v>
      </x:c>
    </x:row>
    <x:row r="57">
      <x:c r="A57" s="22" t="n">
        <x:v>53</x:v>
      </x:c>
      <x:c r="B57" s="22" t="str">
        <x:v>B</x:v>
      </x:c>
      <x:c r="C57" s="22" t="str">
        <x:v>B</x:v>
      </x:c>
      <x:c r="D57" s="22" t="str">
        <x:v>X-물품</x:v>
      </x:c>
      <x:c r="E57" s="22" t="str">
        <x:v>우즈베키스탄</x:v>
      </x:c>
      <x:c r="F57" s="22" t="str">
        <x:v>annual_procurement_plan</x:v>
      </x:c>
      <x:c r="G57" s="22" t="str">
        <x:v>15085055:180</x:v>
      </x:c>
      <x:c r="H57" s="22" t="str">
        <x:v>2020-00086</x:v>
      </x:c>
      <x:c r="I57" s="22" t="str">
        <x:v>2020-00086</x:v>
      </x:c>
      <x:c r="J57" s="22" t="str">
        <x:v>official_report_title_containment</x:v>
      </x:c>
      <x:c r="K57" s="59" t="n">
        <x:v>0.99</x:v>
      </x:c>
      <x:c r="L57" s="22" t="str">
        <x:v>물품</x:v>
      </x:c>
      <x:c r="M57" s="25" t="str">
        <x:v>우즈베키스탄 우르겐치 직업훈련원 건립 및 직업훈련 제도역량 공고화 지원 사업(20·25/1,400만불) 가구 공급 및 설치</x:v>
      </x:c>
      <x:c r="N57" s="25" t="str">
        <x:v>우르겐치 직업훈련원과 타슈켄트 교사연수센터 가구  제조/공급/설치</x:v>
      </x:c>
      <x:c r="O57" s="22" t="str">
        <x:v>KRW</x:v>
      </x:c>
      <x:c r="P57" s="31" t="n">
        <x:v>371945490</x:v>
      </x:c>
      <x:c r="Q57" s="22" t="str">
        <x:v>planned_bid_ceiling</x:v>
      </x:c>
      <x:c r="R57" s="31"/>
      <x:c r="S57" s="31"/>
      <x:c r="T57" s="22" t="n">
        <x:v>4</x:v>
      </x:c>
      <x:c r="U57" s="22" t="str">
        <x:v>L2022-00003-1;L2023-00007-1;L2023-00036-1;L2023-00053-1</x:v>
      </x:c>
      <x:c r="V57" s="22" t="n">
        <x:v>609</x:v>
      </x:c>
      <x:c r="W57" s="22" t="n">
        <x:v>520</x:v>
      </x:c>
      <x:c r="X57" s="22" t="n">
        <x:v>550</x:v>
      </x:c>
      <x:c r="Y57" s="22" t="n">
        <x:v>102</x:v>
      </x:c>
      <x:c r="Z57" s="22" t="n">
        <x:v>0</x:v>
      </x:c>
      <x:c r="AA57" s="31"/>
      <x:c r="AB57" s="22" t="str"/>
      <x:c r="AC57" s="34"/>
      <x:c r="AD57" s="25" t="str">
        <x:v>L2023-00036-1/.../Section 4. Bill of Quantities(Not-Priced)/공내역서/</x:v>
      </x:c>
      <x:c r="AE57" s="25" t="str">
        <x:v>품목별 현지 단가 부재; 재공고 파일 중복 제거 필요</x:v>
      </x:c>
      <x:c r="AF57" s="25" t="str">
        <x:v>https://www.data.go.kr/data/15085055/fileData.do</x:v>
      </x:c>
    </x:row>
    <x:row r="58">
      <x:c r="A58" s="22" t="n">
        <x:v>54</x:v>
      </x:c>
      <x:c r="B58" s="22" t="str">
        <x:v>B</x:v>
      </x:c>
      <x:c r="C58" s="22" t="str">
        <x:v>B</x:v>
      </x:c>
      <x:c r="D58" s="22" t="str">
        <x:v>X-물품</x:v>
      </x:c>
      <x:c r="E58" s="22" t="str">
        <x:v>우즈베키스탄</x:v>
      </x:c>
      <x:c r="F58" s="22" t="str">
        <x:v>annual_procurement_plan</x:v>
      </x:c>
      <x:c r="G58" s="22" t="str">
        <x:v>15085055:179</x:v>
      </x:c>
      <x:c r="H58" s="22" t="str">
        <x:v>2020-00086</x:v>
      </x:c>
      <x:c r="I58" s="22" t="str">
        <x:v>2020-00086</x:v>
      </x:c>
      <x:c r="J58" s="22" t="str">
        <x:v>official_report_title_containment</x:v>
      </x:c>
      <x:c r="K58" s="59" t="n">
        <x:v>0.99</x:v>
      </x:c>
      <x:c r="L58" s="22" t="str">
        <x:v>물품</x:v>
      </x:c>
      <x:c r="M58" s="25" t="str">
        <x:v>우즈베키스탄 우르겐치 직업훈련원 건립 및 직업훈련 제도역량 공고화 지원 사업(20·25/1,400만불) 기자재 공급 및 설치</x:v>
      </x:c>
      <x:c r="N58" s="25" t="str">
        <x:v>우르겐치 소재 직업훈련원 및 타슈켄트 소재 교사연수센터에 직훈 기자재 제작/납품/설치</x:v>
      </x:c>
      <x:c r="O58" s="22" t="str">
        <x:v>KRW</x:v>
      </x:c>
      <x:c r="P58" s="31" t="n">
        <x:v>2215233821</x:v>
      </x:c>
      <x:c r="Q58" s="22" t="str">
        <x:v>planned_bid_ceiling</x:v>
      </x:c>
      <x:c r="R58" s="31"/>
      <x:c r="S58" s="31"/>
      <x:c r="T58" s="22" t="n">
        <x:v>4</x:v>
      </x:c>
      <x:c r="U58" s="22" t="str">
        <x:v>L2022-00003-1;L2023-00007-1;L2023-00036-1;L2023-00053-1</x:v>
      </x:c>
      <x:c r="V58" s="22" t="n">
        <x:v>609</x:v>
      </x:c>
      <x:c r="W58" s="22" t="n">
        <x:v>520</x:v>
      </x:c>
      <x:c r="X58" s="22" t="n">
        <x:v>550</x:v>
      </x:c>
      <x:c r="Y58" s="22" t="n">
        <x:v>102</x:v>
      </x:c>
      <x:c r="Z58" s="22" t="n">
        <x:v>0</x:v>
      </x:c>
      <x:c r="AA58" s="31"/>
      <x:c r="AB58" s="22" t="str"/>
      <x:c r="AC58" s="34"/>
      <x:c r="AD58" s="25" t="str">
        <x:v>L2023-00036-1/.../Section 4. Bill of Quantities(Not-Priced)/공내역서/</x:v>
      </x:c>
      <x:c r="AE58" s="25" t="str">
        <x:v>품목별 현지 단가 부재; 재공고 파일 중복 제거 필요</x:v>
      </x:c>
      <x:c r="AF58" s="25" t="str">
        <x:v>https://www.data.go.kr/data/15085055/fileData.do</x:v>
      </x:c>
    </x:row>
    <x:row r="59">
      <x:c r="A59" s="22" t="n">
        <x:v>55</x:v>
      </x:c>
      <x:c r="B59" s="22" t="str">
        <x:v>C</x:v>
      </x:c>
      <x:c r="C59" s="22" t="str">
        <x:v>U</x:v>
      </x:c>
      <x:c r="D59" s="22" t="str">
        <x:v>U-근거부족</x:v>
      </x:c>
      <x:c r="E59" s="22" t="str">
        <x:v>우즈베키스탄</x:v>
      </x:c>
      <x:c r="F59" s="22" t="str">
        <x:v>annual_procurement_plan</x:v>
      </x:c>
      <x:c r="G59" s="22" t="str">
        <x:v>15085055:66</x:v>
      </x:c>
      <x:c r="H59" s="22" t="str"/>
      <x:c r="I59" s="22" t="str">
        <x:v>2021-00085</x:v>
      </x:c>
      <x:c r="J59" s="22" t="str">
        <x:v>verified_title_country_alias</x:v>
      </x:c>
      <x:c r="K59" s="59" t="n">
        <x:v>0.553</x:v>
      </x:c>
      <x:c r="L59" s="22" t="str">
        <x:v>공사</x:v>
      </x:c>
      <x:c r="M59" s="25" t="str">
        <x:v>우즈베키스탄 유아교사 역량강화 및 유아교육진흥센터 건립사업('21·'26/1,199만불)</x:v>
      </x:c>
      <x:c r="N59" s="25" t="str">
        <x:v>ㅇ 체험관 내 체험 시설 및 공용 공간 설계ㅇ 체험 시설물 제작 및 설치</x:v>
      </x:c>
      <x:c r="O59" s="22" t="str">
        <x:v>KRW</x:v>
      </x:c>
      <x:c r="P59" s="31" t="n">
        <x:v>2434370300</x:v>
      </x:c>
      <x:c r="Q59" s="22" t="str">
        <x:v>planned_bid_ceiling</x:v>
      </x:c>
      <x:c r="R59" s="31"/>
      <x:c r="S59" s="31"/>
      <x:c r="T59" s="22" t="n">
        <x:v>1</x:v>
      </x:c>
      <x:c r="U59" s="22" t="str">
        <x:v>L2023-00065-1</x:v>
      </x:c>
      <x:c r="V59" s="22" t="n">
        <x:v>14</x:v>
      </x:c>
      <x:c r="W59" s="22" t="n">
        <x:v>0</x:v>
      </x:c>
      <x:c r="X59" s="22" t="n">
        <x:v>0</x:v>
      </x:c>
      <x:c r="Y59" s="22" t="n">
        <x:v>0</x:v>
      </x:c>
      <x:c r="Z59" s="22" t="n">
        <x:v>0</x:v>
      </x:c>
      <x:c r="AA59" s="31"/>
      <x:c r="AB59" s="22" t="str"/>
      <x:c r="AC59" s="34"/>
      <x:c r="AD59" s="25" t="str"/>
      <x:c r="AE59" s="25" t="str">
        <x:v>품목 수량·단가 또는 범위 일치 GFA·공사금액 부족</x:v>
      </x:c>
      <x:c r="AF59" s="25" t="str">
        <x:v>https://www.data.go.kr/data/15085055/fileData.do</x:v>
      </x:c>
    </x:row>
    <x:row r="60">
      <x:c r="A60" s="22" t="n">
        <x:v>56</x:v>
      </x:c>
      <x:c r="B60" s="22" t="str">
        <x:v>C</x:v>
      </x:c>
      <x:c r="C60" s="22" t="str">
        <x:v>U</x:v>
      </x:c>
      <x:c r="D60" s="22" t="str">
        <x:v>X-설계·감리·기타용역</x:v>
      </x:c>
      <x:c r="E60" s="22" t="str">
        <x:v>우크라이나</x:v>
      </x:c>
      <x:c r="F60" s="22" t="str">
        <x:v>annual_procurement_plan</x:v>
      </x:c>
      <x:c r="G60" s="22" t="str">
        <x:v>15085055:265</x:v>
      </x:c>
      <x:c r="H60" s="22" t="str"/>
      <x:c r="I60" s="22" t="str"/>
      <x:c r="J60" s="22" t="str"/>
      <x:c r="K60" s="59" t="n">
        <x:v>0.528</x:v>
      </x:c>
      <x:c r="L60" s="22" t="str">
        <x:v>용역</x:v>
      </x:c>
      <x:c r="M60" s="25" t="str">
        <x:v>우크라이나 국립아동병원 오흐마디트 소아 트라우마 및 재활의료 서비스 강화 사업('25·'28/1,400만불)</x:v>
      </x:c>
      <x:c r="N60" s="25" t="str">
        <x:v>ㅇ 오흐마디트 국립아동병원 분원 1층 및 3층 리모델링 관련 지원  · 건축 스페이스 프로그램 최종안 협의 및 확정  · 기자재·집기 설치 관련사항 및 인테리어 관련사항에 대한 설계단계별 기술검토 의견 제공  · CM 요청 시, 시공단계 등 설계 시 특이점이나 기자재 설치 등과 관련된 자문 제공ㅇ 소아 외상·재활환자 진단 및 치료를 위한 의료기자재 조달 관련 지원  · 소아 외상·재활환자 진단 및 치료를 위한 영상의학, 정형외과, 재활치료 의료기자재 지원 목록 검토 및 최종 확정  · 기자재 유지관리 및 우크라이나 법령 제한사항 등을 고려한 기자재 RfP 작성(RfP 내용, 병원 측과 사전합의 必)    ※ 우크라이나 현행법상 수원국 반입 가능여부 등 면밀히 확인 필요  · 기자재 조달 모니터링 및 검수ㅇ 소아 외상·재활치료 의료진 역량강화  · 소아 외상·재활환자 진단 및 치료 강화를 위한 재활치료, 영상의학, 정형외과 의료인력 현지 직무훈련  · 소아 외상·재활환자 진단 및 치료 강화를 위한 재활치료, 영상의학, 정형외과 의료인력 대상 초청연수 (한국/실무자)  · 초청연수 교육 효과성 확산을 위한 동료 간 연수결과 전파교육 현지워크샵ㅇ 소아 외상·재활 행정역량 강화  · 소아 외상·재활환자의 오흐마디트 국립아동병원 분원 이용시의 편리성 증대를 위한 병원의료행정 역량강화 초청연수(한국/고위급)  · 소아 외상·재활환자의 오흐마디트 국립아동병원 분원 이용 시의 편리성 증대를 위한 병원행정 강화 컨설팅 ㅇ 우크라이나 내 면세를 위해 수원총괄기관(내각사무처)의 사업(ITA: International Technical Assistance) 등록·재등록 ·수정 시 필요한 서류 준비 지원ㅇ 사업관리(성과관리, 모니터링, 홍보, PC 관리 등)  · 전문가 투입 관리  · 기초선/중간선/종료선 조사, 성과관리, 성과 품질관리, 모니터링 등   ※ 사업 종료 후 종료평가 협조 必  · 사업운영위원회, 사업수행위원회 등 관련 회의 준비 및 주관  · 현지인력 계약(계약 전, 현지 인건비 수준 등 KOICA 우크라이나사무소와 사전 협의 권고)  · 행정 및 회계 지원  · 사업 홍보</x:v>
      </x:c>
      <x:c r="O60" s="22" t="str">
        <x:v>KRW</x:v>
      </x:c>
      <x:c r="P60" s="31" t="n">
        <x:v>2434103340</x:v>
      </x:c>
      <x:c r="Q60" s="22" t="str">
        <x:v>planned_bid_ceiling</x:v>
      </x:c>
      <x:c r="R60" s="31"/>
      <x:c r="S60" s="31"/>
      <x:c r="T60" s="22" t="n">
        <x:v>0</x:v>
      </x:c>
      <x:c r="U60" s="22" t="str"/>
      <x:c r="V60" s="22" t="n">
        <x:v>0</x:v>
      </x:c>
      <x:c r="W60" s="22" t="n">
        <x:v>0</x:v>
      </x:c>
      <x:c r="X60" s="22" t="n">
        <x:v>0</x:v>
      </x:c>
      <x:c r="Y60" s="22" t="n">
        <x:v>0</x:v>
      </x:c>
      <x:c r="Z60" s="22" t="n">
        <x:v>0</x:v>
      </x:c>
      <x:c r="AA60" s="31"/>
      <x:c r="AB60" s="22" t="str"/>
      <x:c r="AC60" s="34"/>
      <x:c r="AD60" s="25" t="str"/>
      <x:c r="AE60" s="25" t="str">
        <x:v>품목 수량·단가 또는 범위 일치 GFA·공사금액 부족</x:v>
      </x:c>
      <x:c r="AF60" s="25" t="str">
        <x:v>https://www.data.go.kr/data/15085055/fileData.do</x:v>
      </x:c>
    </x:row>
    <x:row r="61">
      <x:c r="A61" s="22" t="n">
        <x:v>57</x:v>
      </x:c>
      <x:c r="B61" s="22" t="str">
        <x:v>C</x:v>
      </x:c>
      <x:c r="C61" s="22" t="str">
        <x:v>U</x:v>
      </x:c>
      <x:c r="D61" s="22" t="str">
        <x:v>X-설계·감리·기타용역</x:v>
      </x:c>
      <x:c r="E61" s="22" t="str">
        <x:v>우크라이나</x:v>
      </x:c>
      <x:c r="F61" s="22" t="str">
        <x:v>annual_procurement_plan</x:v>
      </x:c>
      <x:c r="G61" s="22" t="str">
        <x:v>15085055:104</x:v>
      </x:c>
      <x:c r="H61" s="22" t="str">
        <x:v>2023-00096</x:v>
      </x:c>
      <x:c r="I61" s="22" t="str">
        <x:v>2023-00096</x:v>
      </x:c>
      <x:c r="J61" s="22" t="str">
        <x:v>existing_db_title_containment</x:v>
      </x:c>
      <x:c r="K61" s="59" t="n">
        <x:v>0.99</x:v>
      </x:c>
      <x:c r="L61" s="22" t="str">
        <x:v>용역</x:v>
      </x:c>
      <x:c r="M61" s="25" t="str">
        <x:v>우크라이나 키이우주 재활의료 역량강화 사업('23·'27/500만불)</x:v>
      </x:c>
      <x:c r="N61" s="25" t="str">
        <x:v>1) 현황 조사 및 구조안전 진단 :    ·기존 건물(#4병동)에 대한 건축구조, 및 설비 상태 등에 대한 현황 측량 조사 (지질조사 포함)   ·리모델링 범위에 대한 구조 안전 진단 및 구조보강 계획    ·리모델링 설계를 위한 기존현황의 건축, 구조 및 설비 관련 기초 설계자료 작성 등2) 재활센터 리모델링 과업을 위한 실시설계 : 건축, 구조, 토목, 전기, 위생, 급배수, 오하수처리, 기계, 통신, 소방, 조경, 내외부 싸이니지, 건물외부공간 포장 등(설계 시 SD, DD, CD 단계별 KOICA(CM,PMC포함) 및 수원국의 승인 또는 동의 필수)</x:v>
      </x:c>
      <x:c r="O61" s="22" t="str">
        <x:v>KRW</x:v>
      </x:c>
      <x:c r="P61" s="31" t="n">
        <x:v>204506340</x:v>
      </x:c>
      <x:c r="Q61" s="22" t="str">
        <x:v>planned_bid_ceiling</x:v>
      </x:c>
      <x:c r="R61" s="31"/>
      <x:c r="S61" s="31"/>
      <x:c r="T61" s="22" t="n">
        <x:v>2</x:v>
      </x:c>
      <x:c r="U61" s="22" t="str">
        <x:v>L2025-00049-1;L2025-00049-2</x:v>
      </x:c>
      <x:c r="V61" s="22" t="n">
        <x:v>2</x:v>
      </x:c>
      <x:c r="W61" s="22" t="n">
        <x:v>0</x:v>
      </x:c>
      <x:c r="X61" s="22" t="n">
        <x:v>0</x:v>
      </x:c>
      <x:c r="Y61" s="22" t="n">
        <x:v>0</x:v>
      </x:c>
      <x:c r="Z61" s="22" t="n">
        <x:v>0</x:v>
      </x:c>
      <x:c r="AA61" s="31"/>
      <x:c r="AB61" s="22" t="str"/>
      <x:c r="AC61" s="34"/>
      <x:c r="AD61" s="25" t="str"/>
      <x:c r="AE61" s="25" t="str">
        <x:v>품목 수량·단가 또는 범위 일치 GFA·공사금액 부족</x:v>
      </x:c>
      <x:c r="AF61" s="25" t="str">
        <x:v>https://www.data.go.kr/data/15085055/fileData.do</x:v>
      </x:c>
    </x:row>
    <x:row r="62">
      <x:c r="A62" s="22" t="n">
        <x:v>58</x:v>
      </x:c>
      <x:c r="B62" s="22" t="str">
        <x:v>C</x:v>
      </x:c>
      <x:c r="C62" s="22" t="str">
        <x:v>U</x:v>
      </x:c>
      <x:c r="D62" s="22" t="str">
        <x:v>X-설계·감리·기타용역</x:v>
      </x:c>
      <x:c r="E62" s="22" t="str">
        <x:v>우크라이나</x:v>
      </x:c>
      <x:c r="F62" s="22" t="str">
        <x:v>annual_procurement_plan</x:v>
      </x:c>
      <x:c r="G62" s="22" t="str">
        <x:v>15085055:267</x:v>
      </x:c>
      <x:c r="H62" s="22" t="str">
        <x:v>2023-00096</x:v>
      </x:c>
      <x:c r="I62" s="22" t="str">
        <x:v>2023-00096</x:v>
      </x:c>
      <x:c r="J62" s="22" t="str">
        <x:v>existing_db_title_containment</x:v>
      </x:c>
      <x:c r="K62" s="59" t="n">
        <x:v>0.99</x:v>
      </x:c>
      <x:c r="L62" s="22" t="str">
        <x:v>용역</x:v>
      </x:c>
      <x:c r="M62" s="25" t="str">
        <x:v>우크라이나 키이우주 재활의료 역량강화 사업('23·'27/500만불) 설계 용역</x:v>
      </x:c>
      <x:c r="N62" s="25" t="str">
        <x:v>키이우주 재활병원(수원기관) 사업대상 병동 리모델링 설계 용역</x:v>
      </x:c>
      <x:c r="O62" s="22" t="str">
        <x:v>KRW</x:v>
      </x:c>
      <x:c r="P62" s="31" t="n">
        <x:v>1</x:v>
      </x:c>
      <x:c r="Q62" s="22" t="str">
        <x:v>planned_bid_ceiling</x:v>
      </x:c>
      <x:c r="R62" s="31"/>
      <x:c r="S62" s="31"/>
      <x:c r="T62" s="22" t="n">
        <x:v>2</x:v>
      </x:c>
      <x:c r="U62" s="22" t="str">
        <x:v>L2025-00049-1;L2025-00049-2</x:v>
      </x:c>
      <x:c r="V62" s="22" t="n">
        <x:v>2</x:v>
      </x:c>
      <x:c r="W62" s="22" t="n">
        <x:v>0</x:v>
      </x:c>
      <x:c r="X62" s="22" t="n">
        <x:v>0</x:v>
      </x:c>
      <x:c r="Y62" s="22" t="n">
        <x:v>0</x:v>
      </x:c>
      <x:c r="Z62" s="22" t="n">
        <x:v>0</x:v>
      </x:c>
      <x:c r="AA62" s="31"/>
      <x:c r="AB62" s="22" t="str"/>
      <x:c r="AC62" s="34"/>
      <x:c r="AD62" s="25" t="str"/>
      <x:c r="AE62" s="25" t="str">
        <x:v>품목 수량·단가 또는 범위 일치 GFA·공사금액 부족</x:v>
      </x:c>
      <x:c r="AF62" s="25" t="str">
        <x:v>https://www.data.go.kr/data/15085055/fileData.do</x:v>
      </x:c>
    </x:row>
    <x:row r="63">
      <x:c r="A63" s="22" t="n">
        <x:v>59</x:v>
      </x:c>
      <x:c r="B63" s="22" t="str">
        <x:v>B</x:v>
      </x:c>
      <x:c r="C63" s="22" t="str">
        <x:v>B-부분</x:v>
      </x:c>
      <x:c r="D63" s="22" t="str">
        <x:v>X-설계·감리·기타용역</x:v>
      </x:c>
      <x:c r="E63" s="22" t="str">
        <x:v>이라크</x:v>
      </x:c>
      <x:c r="F63" s="22" t="str">
        <x:v>annual_procurement_plan</x:v>
      </x:c>
      <x:c r="G63" s="22" t="str">
        <x:v>15085055:105</x:v>
      </x:c>
      <x:c r="H63" s="22" t="str">
        <x:v>2023-00087</x:v>
      </x:c>
      <x:c r="I63" s="22" t="str">
        <x:v>2023-00087</x:v>
      </x:c>
      <x:c r="J63" s="22" t="str">
        <x:v>official_report_title_containment</x:v>
      </x:c>
      <x:c r="K63" s="59" t="n">
        <x:v>0.99</x:v>
      </x:c>
      <x:c r="L63" s="22" t="str">
        <x:v>용역</x:v>
      </x:c>
      <x:c r="M63" s="25" t="str">
        <x:v>이라크 쿠르드 지역학교 내 난민통합교육 강화사업 (23·28/1,200만불) 설계</x:v>
      </x:c>
      <x:c r="N63" s="25" t="str">
        <x:v>1) 부지 조사 및 설계과업2) 측량 및 조사성과물, 도면, 시방서, 수량내역서, 구조계산서, 기계용량계산서, 전기용량계산서, 보고서 등 현지 인허가기관 및 발주처가 승인한 최종납품도서와 공사에 필요한 제반도서 및 시공사 선정을 위한 입찰관련 서류 제출3) 시공사 선정 입찰기간에 발주처 요청시 업무 지원 (계약체결용 상세산출내역서의 검토 포함)4) 시공감리업무 일체: 2개 현장에 대한 시공기간 동안의 기술 시공 감리 및 설계변경(필요시)과업 등 5) 건축인허가 취득 6) 관련 행정업무 협조</x:v>
      </x:c>
      <x:c r="O63" s="22" t="str">
        <x:v>KRW</x:v>
      </x:c>
      <x:c r="P63" s="31" t="n">
        <x:v>567180000</x:v>
      </x:c>
      <x:c r="Q63" s="22" t="str">
        <x:v>planned_bid_ceiling</x:v>
      </x:c>
      <x:c r="R63" s="31"/>
      <x:c r="S63" s="31"/>
      <x:c r="T63" s="22" t="n">
        <x:v>4</x:v>
      </x:c>
      <x:c r="U63" s="22" t="str">
        <x:v>L2025-00017-1;L2025-00017-2;L2025-00045-1;L2025-00045-2</x:v>
      </x:c>
      <x:c r="V63" s="22" t="n">
        <x:v>56</x:v>
      </x:c>
      <x:c r="W63" s="22" t="n">
        <x:v>2</x:v>
      </x:c>
      <x:c r="X63" s="22" t="n">
        <x:v>2</x:v>
      </x:c>
      <x:c r="Y63" s="22" t="n">
        <x:v>1</x:v>
      </x:c>
      <x:c r="Z63" s="22" t="n">
        <x:v>0</x:v>
      </x:c>
      <x:c r="AA63" s="31"/>
      <x:c r="AB63" s="22" t="str"/>
      <x:c r="AC63" s="34"/>
      <x:c r="AD63" s="25" t="str">
        <x:v>L2025-00017-2/1. BOQ for Zaytun Library_non-priced for 2 stages.xlsx</x:v>
      </x:c>
      <x:c r="AE63" s="25" t="str">
        <x:v>도서관 부분자료이며 품목별 현지 단가 부재</x:v>
      </x:c>
      <x:c r="AF63" s="25" t="str">
        <x:v>https://www.data.go.kr/data/15085055/fileData.do</x:v>
      </x:c>
    </x:row>
    <x:row r="64">
      <x:c r="A64" s="22" t="n">
        <x:v>60</x:v>
      </x:c>
      <x:c r="B64" s="22" t="str">
        <x:v>A</x:v>
      </x:c>
      <x:c r="C64" s="22" t="str">
        <x:v>A-부분</x:v>
      </x:c>
      <x:c r="D64" s="22" t="str">
        <x:v>A-부분</x:v>
      </x:c>
      <x:c r="E64" s="22" t="str">
        <x:v>이라크</x:v>
      </x:c>
      <x:c r="F64" s="22" t="str">
        <x:v>annual_procurement_plan</x:v>
      </x:c>
      <x:c r="G64" s="22" t="str">
        <x:v>15085055:114</x:v>
      </x:c>
      <x:c r="H64" s="22" t="str">
        <x:v>2020-00119</x:v>
      </x:c>
      <x:c r="I64" s="22" t="str">
        <x:v>2020-00119</x:v>
      </x:c>
      <x:c r="J64" s="22" t="str">
        <x:v>official_report_title_containment</x:v>
      </x:c>
      <x:c r="K64" s="59" t="n">
        <x:v>0.99</x:v>
      </x:c>
      <x:c r="L64" s="22" t="str">
        <x:v>공사</x:v>
      </x:c>
      <x:c r="M64" s="25" t="str">
        <x:v>이라크 한·이라크 심장병 어린이 전문 병원 건립사업('20·'30/2,793만불)</x:v>
      </x:c>
      <x:c r="N64" s="25" t="str">
        <x:v>심장병 어린이 전문병원 건립 4층, 5,486㎡</x:v>
      </x:c>
      <x:c r="O64" s="22" t="str">
        <x:v>KRW</x:v>
      </x:c>
      <x:c r="P64" s="31" t="n">
        <x:v>17940000000</x:v>
      </x:c>
      <x:c r="Q64" s="22" t="str">
        <x:v>planned_bid_ceiling</x:v>
      </x:c>
      <x:c r="R64" s="31" t="n">
        <x:v>5486</x:v>
      </x:c>
      <x:c r="S64" s="31" t="n">
        <x:v>3270142</x:v>
      </x:c>
      <x:c r="T64" s="22" t="n">
        <x:v>3</x:v>
      </x:c>
      <x:c r="U64" s="22" t="str">
        <x:v>L2025-00070-1;L2025-00071-1;L2025-00085-1</x:v>
      </x:c>
      <x:c r="V64" s="22" t="n">
        <x:v>119</x:v>
      </x:c>
      <x:c r="W64" s="22" t="n">
        <x:v>91</x:v>
      </x:c>
      <x:c r="X64" s="22" t="n">
        <x:v>97</x:v>
      </x:c>
      <x:c r="Y64" s="22" t="n">
        <x:v>35</x:v>
      </x:c>
      <x:c r="Z64" s="22" t="n">
        <x:v>16</x:v>
      </x:c>
      <x:c r="AA64" s="31" t="n">
        <x:v>8372712.422776788</x:v>
      </x:c>
      <x:c r="AB64" s="22" t="str">
        <x:v>USD</x:v>
      </x:c>
      <x:c r="AC64" s="34" t="n">
        <x:v>1526.196212682608</x:v>
      </x:c>
      <x:c r="AD64" s="25" t="str">
        <x:v>L2025-00085-1/.../BILL No1 -Architectural Works-01. HOSPITAL(BLANK BILL).xlsx</x:v>
      </x:c>
      <x:c r="AE64" s="25" t="str">
        <x:v>건축 Bill No.01만 포함; 토목·기계·전기·통신·소방 등 제외</x:v>
      </x:c>
      <x:c r="AF64" s="25" t="str">
        <x:v>https://www.data.go.kr/data/15085055/fileData.do</x:v>
      </x:c>
    </x:row>
    <x:row r="65">
      <x:c r="A65" s="22" t="n">
        <x:v>61</x:v>
      </x:c>
      <x:c r="B65" s="22" t="str">
        <x:v>C</x:v>
      </x:c>
      <x:c r="C65" s="22" t="str">
        <x:v>C?</x:v>
      </x:c>
      <x:c r="D65" s="22" t="str">
        <x:v>C?</x:v>
      </x:c>
      <x:c r="E65" s="22" t="str">
        <x:v>인도네시아</x:v>
      </x:c>
      <x:c r="F65" s="22" t="str">
        <x:v>annual_procurement_plan</x:v>
      </x:c>
      <x:c r="G65" s="22" t="str">
        <x:v>15085055:185</x:v>
      </x:c>
      <x:c r="H65" s="22" t="str">
        <x:v>2021-00009</x:v>
      </x:c>
      <x:c r="I65" s="22" t="str">
        <x:v>2021-00009</x:v>
      </x:c>
      <x:c r="J65" s="22" t="str">
        <x:v>existing_db_title_containment</x:v>
      </x:c>
      <x:c r="K65" s="59" t="n">
        <x:v>0.99</x:v>
      </x:c>
      <x:c r="L65" s="22" t="str">
        <x:v>공사</x:v>
      </x:c>
      <x:c r="M65" s="25" t="str">
        <x:v>인도네시아 국립대학교 ICT기반 통합지식교육센터 구축 사업(21·26/985만불) 시공 용역</x:v>
      </x:c>
      <x:c r="N65" s="25" t="str">
        <x:v>· 용도 : 교육시설· 대지면적 : 4,517m2· 건축면적 : 1,003m2· 연면적 : 7,687m2· 규모 : 지하1층, 지상8층, 1개동· 구조 : RC구조· 공사기간 : 착공일로부터 15개월</x:v>
      </x:c>
      <x:c r="O65" s="22" t="str">
        <x:v>KRW</x:v>
      </x:c>
      <x:c r="P65" s="31" t="n">
        <x:v>6776000000</x:v>
      </x:c>
      <x:c r="Q65" s="22" t="str">
        <x:v>planned_bid_ceiling</x:v>
      </x:c>
      <x:c r="R65" s="31" t="n">
        <x:v>7687</x:v>
      </x:c>
      <x:c r="S65" s="31" t="n">
        <x:v>881488</x:v>
      </x:c>
      <x:c r="T65" s="22" t="n">
        <x:v>2</x:v>
      </x:c>
      <x:c r="U65" s="22" t="str">
        <x:v>L2024-00063-1;L2025-00004-1</x:v>
      </x:c>
      <x:c r="V65" s="22" t="n">
        <x:v>0</x:v>
      </x:c>
      <x:c r="W65" s="22" t="n">
        <x:v>0</x:v>
      </x:c>
      <x:c r="X65" s="22" t="n">
        <x:v>0</x:v>
      </x:c>
      <x:c r="Y65" s="22" t="n">
        <x:v>0</x:v>
      </x:c>
      <x:c r="Z65" s="22" t="n">
        <x:v>0</x:v>
      </x:c>
      <x:c r="AA65" s="31"/>
      <x:c r="AB65" s="22" t="str"/>
      <x:c r="AC65" s="34"/>
      <x:c r="AD65" s="25" t="str"/>
      <x:c r="AE65" s="25" t="str">
        <x:v>품목 수량·단가 또는 범위 일치 GFA·공사금액 부족</x:v>
      </x:c>
      <x:c r="AF65" s="25" t="str">
        <x:v>https://www.data.go.kr/data/15085055/fileData.do</x:v>
      </x:c>
    </x:row>
    <x:row r="66">
      <x:c r="A66" s="22" t="n">
        <x:v>62</x:v>
      </x:c>
      <x:c r="B66" s="22" t="str">
        <x:v>C</x:v>
      </x:c>
      <x:c r="C66" s="22" t="str">
        <x:v>C?</x:v>
      </x:c>
      <x:c r="D66" s="22" t="str">
        <x:v>C?</x:v>
      </x:c>
      <x:c r="E66" s="22" t="str">
        <x:v>인도네시아</x:v>
      </x:c>
      <x:c r="F66" s="22" t="str">
        <x:v>annual_procurement_plan</x:v>
      </x:c>
      <x:c r="G66" s="22" t="str">
        <x:v>15085055:40</x:v>
      </x:c>
      <x:c r="H66" s="22" t="str">
        <x:v>2021-00156</x:v>
      </x:c>
      <x:c r="I66" s="22" t="str">
        <x:v>2021-00156</x:v>
      </x:c>
      <x:c r="J66" s="22" t="str">
        <x:v>existing_db_title_containment</x:v>
      </x:c>
      <x:c r="K66" s="59" t="n">
        <x:v>0.99</x:v>
      </x:c>
      <x:c r="L66" s="22" t="str">
        <x:v>공사</x:v>
      </x:c>
      <x:c r="M66" s="25" t="str">
        <x:v>인도네시아 보고르대학교 농업생명과학연구센터 역량강화 사업(21·28/1,100만불)</x:v>
      </x:c>
      <x:c r="N66" s="25" t="str">
        <x:v>· 용도 : 연구시설· 연면적 : 2,281.2m2· 규모 : 지상3층 본건물 1개동, 지상1층 부속동 2개동 · 공사내용 :   1) 구조물, 건축,인테리어, 전기, 설비, 소방, 통신, 조경공사  2) 상수도, 하수도, 전기, 전화, 인터넷 연결공사 등 부대공사  3) 정화조 등 기타 설계 도서에 포함된 공사 일체  4) 공사 중 Shop Drawing 및 준공 후 As·Built Drawing</x:v>
      </x:c>
      <x:c r="O66" s="22" t="str">
        <x:v>KRW</x:v>
      </x:c>
      <x:c r="P66" s="31" t="n">
        <x:v>3135564900</x:v>
      </x:c>
      <x:c r="Q66" s="22" t="str">
        <x:v>planned_bid_ceiling</x:v>
      </x:c>
      <x:c r="R66" s="31" t="n">
        <x:v>2281.2</x:v>
      </x:c>
      <x:c r="S66" s="31" t="n">
        <x:v>1374524</x:v>
      </x:c>
      <x:c r="T66" s="22" t="n">
        <x:v>2</x:v>
      </x:c>
      <x:c r="U66" s="22" t="str">
        <x:v>L2024-00052-1;L2025-00079-1</x:v>
      </x:c>
      <x:c r="V66" s="22" t="n">
        <x:v>16</x:v>
      </x:c>
      <x:c r="W66" s="22" t="n">
        <x:v>0</x:v>
      </x:c>
      <x:c r="X66" s="22" t="n">
        <x:v>0</x:v>
      </x:c>
      <x:c r="Y66" s="22" t="n">
        <x:v>0</x:v>
      </x:c>
      <x:c r="Z66" s="22" t="n">
        <x:v>0</x:v>
      </x:c>
      <x:c r="AA66" s="31"/>
      <x:c r="AB66" s="22" t="str"/>
      <x:c r="AC66" s="34"/>
      <x:c r="AD66" s="25" t="str"/>
      <x:c r="AE66" s="25" t="str">
        <x:v>품목 수량·단가 또는 범위 일치 GFA·공사금액 부족</x:v>
      </x:c>
      <x:c r="AF66" s="25" t="str">
        <x:v>https://www.data.go.kr/data/15085055/fileData.do</x:v>
      </x:c>
    </x:row>
    <x:row r="67">
      <x:c r="A67" s="22" t="n">
        <x:v>63</x:v>
      </x:c>
      <x:c r="B67" s="22" t="str">
        <x:v>C</x:v>
      </x:c>
      <x:c r="C67" s="22" t="str">
        <x:v>U</x:v>
      </x:c>
      <x:c r="D67" s="22" t="str">
        <x:v>U-근거부족</x:v>
      </x:c>
      <x:c r="E67" s="22" t="str">
        <x:v>인도네시아</x:v>
      </x:c>
      <x:c r="F67" s="22" t="str">
        <x:v>annual_procurement_plan</x:v>
      </x:c>
      <x:c r="G67" s="22" t="str">
        <x:v>15085055:294</x:v>
      </x:c>
      <x:c r="H67" s="22" t="str">
        <x:v>2022-00079</x:v>
      </x:c>
      <x:c r="I67" s="22" t="str">
        <x:v>2022-00079</x:v>
      </x:c>
      <x:c r="J67" s="22" t="str">
        <x:v>existing_db_title_containment</x:v>
      </x:c>
      <x:c r="K67" s="59" t="n">
        <x:v>0.99</x:v>
      </x:c>
      <x:c r="L67" s="22" t="str">
        <x:v>공사</x:v>
      </x:c>
      <x:c r="M67" s="25" t="str">
        <x:v>인도네시아 사이버보안 전문인력양성 역량강화사업('22·'27/740만불) 사이버보안 훈련센터 신축공사 시공사 선정</x:v>
      </x:c>
      <x:c r="N67" s="25" t="str">
        <x:v>인도네시아 사이버보안 훈련센터 신축 시공사 선정 입찰</x:v>
      </x:c>
      <x:c r="O67" s="22" t="str">
        <x:v>KRW</x:v>
      </x:c>
      <x:c r="P67" s="31" t="n">
        <x:v>2667930000</x:v>
      </x:c>
      <x:c r="Q67" s="22" t="str">
        <x:v>planned_bid_ceiling</x:v>
      </x:c>
      <x:c r="R67" s="31"/>
      <x:c r="S67" s="31"/>
      <x:c r="T67" s="22" t="n">
        <x:v>3</x:v>
      </x:c>
      <x:c r="U67" s="22" t="str">
        <x:v>L2023-00071-1;L2024-00053-1;L2025-00002-1</x:v>
      </x:c>
      <x:c r="V67" s="22" t="n">
        <x:v>24</x:v>
      </x:c>
      <x:c r="W67" s="22" t="n">
        <x:v>0</x:v>
      </x:c>
      <x:c r="X67" s="22" t="n">
        <x:v>0</x:v>
      </x:c>
      <x:c r="Y67" s="22" t="n">
        <x:v>0</x:v>
      </x:c>
      <x:c r="Z67" s="22" t="n">
        <x:v>0</x:v>
      </x:c>
      <x:c r="AA67" s="31"/>
      <x:c r="AB67" s="22" t="str"/>
      <x:c r="AC67" s="34"/>
      <x:c r="AD67" s="25" t="str"/>
      <x:c r="AE67" s="25" t="str">
        <x:v>품목 수량·단가 또는 범위 일치 GFA·공사금액 부족</x:v>
      </x:c>
      <x:c r="AF67" s="25" t="str">
        <x:v>https://www.data.go.kr/data/15085055/fileData.do</x:v>
      </x:c>
    </x:row>
    <x:row r="68">
      <x:c r="A68" s="22" t="n">
        <x:v>64</x:v>
      </x:c>
      <x:c r="B68" s="22" t="str">
        <x:v>C</x:v>
      </x:c>
      <x:c r="C68" s="22" t="str">
        <x:v>U</x:v>
      </x:c>
      <x:c r="D68" s="22" t="str">
        <x:v>X-설계·감리·기타용역</x:v>
      </x:c>
      <x:c r="E68" s="22" t="str">
        <x:v>인도네시아</x:v>
      </x:c>
      <x:c r="F68" s="22" t="str">
        <x:v>annual_procurement_plan</x:v>
      </x:c>
      <x:c r="G68" s="22" t="str">
        <x:v>15085055:19</x:v>
      </x:c>
      <x:c r="H68" s="22" t="str">
        <x:v>2022-00084</x:v>
      </x:c>
      <x:c r="I68" s="22" t="str">
        <x:v>2022-00084</x:v>
      </x:c>
      <x:c r="J68" s="22" t="str">
        <x:v>existing_db_title_containment</x:v>
      </x:c>
      <x:c r="K68" s="59" t="n">
        <x:v>0.99</x:v>
      </x:c>
      <x:c r="L68" s="22" t="str">
        <x:v>용역</x:v>
      </x:c>
      <x:c r="M68" s="25" t="str">
        <x:v>인도네시아 재난대응 공공의료 훈련 역량강화사업('22·'28/1,200만불)</x:v>
      </x:c>
      <x:c r="N68" s="25" t="str">
        <x:v>연면적 2,400.m2 규모 지상2층 교육훈련센터 설계</x:v>
      </x:c>
      <x:c r="O68" s="22" t="str">
        <x:v>KRW</x:v>
      </x:c>
      <x:c r="P68" s="31" t="n">
        <x:v>200100000</x:v>
      </x:c>
      <x:c r="Q68" s="22" t="str">
        <x:v>planned_bid_ceiling</x:v>
      </x:c>
      <x:c r="R68" s="31"/>
      <x:c r="S68" s="31"/>
      <x:c r="T68" s="22" t="n">
        <x:v>2</x:v>
      </x:c>
      <x:c r="U68" s="22" t="str">
        <x:v>L2025-00090-1;L2025-00090-2</x:v>
      </x:c>
      <x:c r="V68" s="22" t="n">
        <x:v>0</x:v>
      </x:c>
      <x:c r="W68" s="22" t="n">
        <x:v>0</x:v>
      </x:c>
      <x:c r="X68" s="22" t="n">
        <x:v>0</x:v>
      </x:c>
      <x:c r="Y68" s="22" t="n">
        <x:v>0</x:v>
      </x:c>
      <x:c r="Z68" s="22" t="n">
        <x:v>0</x:v>
      </x:c>
      <x:c r="AA68" s="31"/>
      <x:c r="AB68" s="22" t="str"/>
      <x:c r="AC68" s="34"/>
      <x:c r="AD68" s="25" t="str"/>
      <x:c r="AE68" s="25" t="str">
        <x:v>품목 수량·단가 또는 범위 일치 GFA·공사금액 부족</x:v>
      </x:c>
      <x:c r="AF68" s="25" t="str">
        <x:v>https://www.data.go.kr/data/15085055/fileData.do</x:v>
      </x:c>
    </x:row>
    <x:row r="69">
      <x:c r="A69" s="22" t="n">
        <x:v>65</x:v>
      </x:c>
      <x:c r="B69" s="22" t="str">
        <x:v>C</x:v>
      </x:c>
      <x:c r="C69" s="22" t="str">
        <x:v>U</x:v>
      </x:c>
      <x:c r="D69" s="22" t="str">
        <x:v>X-설계·감리·기타용역</x:v>
      </x:c>
      <x:c r="E69" s="22" t="str">
        <x:v>카메룬</x:v>
      </x:c>
      <x:c r="F69" s="22" t="str">
        <x:v>annual_procurement_plan</x:v>
      </x:c>
      <x:c r="G69" s="22" t="str">
        <x:v>15085055:342</x:v>
      </x:c>
      <x:c r="H69" s="22" t="str">
        <x:v>2023-00084</x:v>
      </x:c>
      <x:c r="I69" s="22" t="str">
        <x:v>2023-00084</x:v>
      </x:c>
      <x:c r="J69" s="22" t="str">
        <x:v>official_report_title_containment</x:v>
      </x:c>
      <x:c r="K69" s="59" t="n">
        <x:v>0.99</x:v>
      </x:c>
      <x:c r="L69" s="22" t="str">
        <x:v>용역</x:v>
      </x:c>
      <x:c r="M69" s="25" t="str">
        <x:v>카메룬 응급의료체계 구축 사업('23·'28/1,400만불) 건축 설계 용역</x:v>
      </x:c>
      <x:c r="N69" s="25" t="str">
        <x:v>카메룬 중앙 응급의료조정센터(가칭) 건축을 위한 설계 용역</x:v>
      </x:c>
      <x:c r="O69" s="22" t="str">
        <x:v>KRW</x:v>
      </x:c>
      <x:c r="P69" s="31" t="n">
        <x:v>444115150</x:v>
      </x:c>
      <x:c r="Q69" s="22" t="str">
        <x:v>planned_bid_ceiling</x:v>
      </x:c>
      <x:c r="R69" s="31"/>
      <x:c r="S69" s="31"/>
      <x:c r="T69" s="22" t="n">
        <x:v>0</x:v>
      </x:c>
      <x:c r="U69" s="22" t="str"/>
      <x:c r="V69" s="22" t="n">
        <x:v>0</x:v>
      </x:c>
      <x:c r="W69" s="22" t="n">
        <x:v>0</x:v>
      </x:c>
      <x:c r="X69" s="22" t="n">
        <x:v>0</x:v>
      </x:c>
      <x:c r="Y69" s="22" t="n">
        <x:v>0</x:v>
      </x:c>
      <x:c r="Z69" s="22" t="n">
        <x:v>0</x:v>
      </x:c>
      <x:c r="AA69" s="31"/>
      <x:c r="AB69" s="22" t="str"/>
      <x:c r="AC69" s="34"/>
      <x:c r="AD69" s="25" t="str"/>
      <x:c r="AE69" s="25" t="str">
        <x:v>품목 수량·단가 또는 범위 일치 GFA·공사금액 부족</x:v>
      </x:c>
      <x:c r="AF69" s="25" t="str">
        <x:v>https://www.data.go.kr/data/15085055/fileData.do</x:v>
      </x:c>
    </x:row>
    <x:row r="70">
      <x:c r="A70" s="22" t="n">
        <x:v>66</x:v>
      </x:c>
      <x:c r="B70" s="22" t="str">
        <x:v>C</x:v>
      </x:c>
      <x:c r="C70" s="22" t="str">
        <x:v>U</x:v>
      </x:c>
      <x:c r="D70" s="22" t="str">
        <x:v>U-근거부족</x:v>
      </x:c>
      <x:c r="E70" s="22" t="str">
        <x:v>카메룬</x:v>
      </x:c>
      <x:c r="F70" s="22" t="str">
        <x:v>annual_procurement_plan</x:v>
      </x:c>
      <x:c r="G70" s="22" t="str">
        <x:v>15085055:116</x:v>
      </x:c>
      <x:c r="H70" s="22" t="str">
        <x:v>2022-00142</x:v>
      </x:c>
      <x:c r="I70" s="22" t="str">
        <x:v>2022-00142</x:v>
      </x:c>
      <x:c r="J70" s="22" t="str">
        <x:v>official_report_title_containment</x:v>
      </x:c>
      <x:c r="K70" s="59" t="n">
        <x:v>0.99</x:v>
      </x:c>
      <x:c r="L70" s="22" t="str">
        <x:v>공사</x:v>
      </x:c>
      <x:c r="M70" s="25" t="str">
        <x:v>카메룬 전자정부 인식개선 및 역량강화 사업 신축 시공 용역</x:v>
      </x:c>
      <x:c r="N70" s="25" t="str">
        <x:v>카메룬 전자정부 인식개선 및 역량강화사업(22·26/823만불) 시공 용역</x:v>
      </x:c>
      <x:c r="O70" s="22" t="str">
        <x:v>KRW</x:v>
      </x:c>
      <x:c r="P70" s="31" t="n">
        <x:v>3312000000</x:v>
      </x:c>
      <x:c r="Q70" s="22" t="str">
        <x:v>planned_bid_ceiling</x:v>
      </x:c>
      <x:c r="R70" s="31"/>
      <x:c r="S70" s="31"/>
      <x:c r="T70" s="22" t="n">
        <x:v>4</x:v>
      </x:c>
      <x:c r="U70" s="22" t="str">
        <x:v>L2024-00015-1;L2024-00015-2;L2025-00032-1;L2025-00032-2</x:v>
      </x:c>
      <x:c r="V70" s="22" t="n">
        <x:v>0</x:v>
      </x:c>
      <x:c r="W70" s="22" t="n">
        <x:v>0</x:v>
      </x:c>
      <x:c r="X70" s="22" t="n">
        <x:v>0</x:v>
      </x:c>
      <x:c r="Y70" s="22" t="n">
        <x:v>0</x:v>
      </x:c>
      <x:c r="Z70" s="22" t="n">
        <x:v>0</x:v>
      </x:c>
      <x:c r="AA70" s="31"/>
      <x:c r="AB70" s="22" t="str"/>
      <x:c r="AC70" s="34"/>
      <x:c r="AD70" s="25" t="str"/>
      <x:c r="AE70" s="25" t="str">
        <x:v>품목 수량·단가 또는 범위 일치 GFA·공사금액 부족</x:v>
      </x:c>
      <x:c r="AF70" s="25" t="str">
        <x:v>https://www.data.go.kr/data/15085055/fileData.do</x:v>
      </x:c>
    </x:row>
    <x:row r="71">
      <x:c r="A71" s="22" t="n">
        <x:v>67</x:v>
      </x:c>
      <x:c r="B71" s="22" t="str">
        <x:v>C</x:v>
      </x:c>
      <x:c r="C71" s="22" t="str">
        <x:v>U</x:v>
      </x:c>
      <x:c r="D71" s="22" t="str">
        <x:v>X-설계·감리·기타용역</x:v>
      </x:c>
      <x:c r="E71" s="22" t="str">
        <x:v>카메룬</x:v>
      </x:c>
      <x:c r="F71" s="22" t="str">
        <x:v>annual_procurement_plan</x:v>
      </x:c>
      <x:c r="G71" s="22" t="str">
        <x:v>15085055:357</x:v>
      </x:c>
      <x:c r="H71" s="22" t="str">
        <x:v>2022-00142</x:v>
      </x:c>
      <x:c r="I71" s="22" t="str">
        <x:v>2022-00142</x:v>
      </x:c>
      <x:c r="J71" s="22" t="str">
        <x:v>official_report_title_containment</x:v>
      </x:c>
      <x:c r="K71" s="59" t="n">
        <x:v>0.99</x:v>
      </x:c>
      <x:c r="L71" s="22" t="str">
        <x:v>용역</x:v>
      </x:c>
      <x:c r="M71" s="25" t="str">
        <x:v>카메룬 전자정부 인식개선 및 역량강화 사업('22·'26/823만불)</x:v>
      </x:c>
      <x:c r="N71" s="25" t="str">
        <x:v>1) 계획안(3개 대안제시), 기본설계, 실시설계 도서 작성   ※ 현지 설계사를 선정, 기본계획부터 실시설계에 이르기까지 협업하여 프로젝트 수행계획 수립2) 현지조사 (on·site investigation)3) 지적도, 지질조사보고서, 현황측량도 및 지적 경계측량도4) 건축협의(해당국가 관련기관 협의 포함)5) PMC사 및 기자재 업체와의 협의6) 각종 인허가 지원 업무 등</x:v>
      </x:c>
      <x:c r="O71" s="22" t="str">
        <x:v>KRW</x:v>
      </x:c>
      <x:c r="P71" s="31" t="n">
        <x:v>609574350</x:v>
      </x:c>
      <x:c r="Q71" s="22" t="str">
        <x:v>planned_bid_ceiling</x:v>
      </x:c>
      <x:c r="R71" s="31"/>
      <x:c r="S71" s="31"/>
      <x:c r="T71" s="22" t="n">
        <x:v>4</x:v>
      </x:c>
      <x:c r="U71" s="22" t="str">
        <x:v>L2024-00015-1;L2024-00015-2;L2025-00032-1;L2025-00032-2</x:v>
      </x:c>
      <x:c r="V71" s="22" t="n">
        <x:v>0</x:v>
      </x:c>
      <x:c r="W71" s="22" t="n">
        <x:v>0</x:v>
      </x:c>
      <x:c r="X71" s="22" t="n">
        <x:v>0</x:v>
      </x:c>
      <x:c r="Y71" s="22" t="n">
        <x:v>0</x:v>
      </x:c>
      <x:c r="Z71" s="22" t="n">
        <x:v>0</x:v>
      </x:c>
      <x:c r="AA71" s="31"/>
      <x:c r="AB71" s="22" t="str"/>
      <x:c r="AC71" s="34"/>
      <x:c r="AD71" s="25" t="str"/>
      <x:c r="AE71" s="25" t="str">
        <x:v>품목 수량·단가 또는 범위 일치 GFA·공사금액 부족</x:v>
      </x:c>
      <x:c r="AF71" s="25" t="str">
        <x:v>https://www.data.go.kr/data/15085055/fileData.do</x:v>
      </x:c>
    </x:row>
    <x:row r="72">
      <x:c r="A72" s="22" t="n">
        <x:v>68</x:v>
      </x:c>
      <x:c r="B72" s="22" t="str">
        <x:v>B</x:v>
      </x:c>
      <x:c r="C72" s="22" t="str">
        <x:v>B</x:v>
      </x:c>
      <x:c r="D72" s="22" t="str">
        <x:v>B</x:v>
      </x:c>
      <x:c r="E72" s="22" t="str">
        <x:v>캄보디아</x:v>
      </x:c>
      <x:c r="F72" s="22" t="str">
        <x:v>annual_procurement_plan</x:v>
      </x:c>
      <x:c r="G72" s="22" t="str">
        <x:v>15085055:339</x:v>
      </x:c>
      <x:c r="H72" s="22" t="str">
        <x:v>2022-00027</x:v>
      </x:c>
      <x:c r="I72" s="22" t="str">
        <x:v>2022-00027</x:v>
      </x:c>
      <x:c r="J72" s="22" t="str">
        <x:v>official_report_title_containment</x:v>
      </x:c>
      <x:c r="K72" s="59" t="n">
        <x:v>0.99</x:v>
      </x:c>
      <x:c r="L72" s="22" t="str">
        <x:v>공사</x:v>
      </x:c>
      <x:c r="M72" s="25" t="str">
        <x:v>캄보디아 국립소아병원 내과계 병동건립 및 의료인력 역량강화사업(22·27/1,600만불) 시공입찰</x:v>
      </x:c>
      <x:c r="N72" s="25" t="str">
        <x:v>지상 5층,  연면적 약 8,880m2 병원건물 신축</x:v>
      </x:c>
      <x:c r="O72" s="22" t="str">
        <x:v>KRW</x:v>
      </x:c>
      <x:c r="P72" s="31" t="n">
        <x:v>10800000000</x:v>
      </x:c>
      <x:c r="Q72" s="22" t="str">
        <x:v>planned_bid_ceiling</x:v>
      </x:c>
      <x:c r="R72" s="31" t="n">
        <x:v>8880</x:v>
      </x:c>
      <x:c r="S72" s="31" t="n">
        <x:v>1216216</x:v>
      </x:c>
      <x:c r="T72" s="22" t="n">
        <x:v>1</x:v>
      </x:c>
      <x:c r="U72" s="22" t="str">
        <x:v>L2025-00073-1</x:v>
      </x:c>
      <x:c r="V72" s="22" t="n">
        <x:v>9</x:v>
      </x:c>
      <x:c r="W72" s="22" t="n">
        <x:v>1</x:v>
      </x:c>
      <x:c r="X72" s="22" t="n">
        <x:v>1</x:v>
      </x:c>
      <x:c r="Y72" s="22" t="n">
        <x:v>1</x:v>
      </x:c>
      <x:c r="Z72" s="22" t="n">
        <x:v>0</x:v>
      </x:c>
      <x:c r="AA72" s="31"/>
      <x:c r="AB72" s="22" t="str"/>
      <x:c r="AC72" s="34"/>
      <x:c r="AD72" s="25" t="str">
        <x:v>L2025-00073-1/.../Section 4_BLANK BOQ.xlsx</x:v>
      </x:c>
      <x:c r="AE72" s="25" t="str">
        <x:v>품목별 캄보디아 현지 단가 부재</x:v>
      </x:c>
      <x:c r="AF72" s="25" t="str">
        <x:v>https://www.data.go.kr/data/15085055/fileData.do</x:v>
      </x:c>
    </x:row>
    <x:row r="73">
      <x:c r="A73" s="22" t="n">
        <x:v>69</x:v>
      </x:c>
      <x:c r="B73" s="22" t="str">
        <x:v>C</x:v>
      </x:c>
      <x:c r="C73" s="22" t="str">
        <x:v>U</x:v>
      </x:c>
      <x:c r="D73" s="22" t="str">
        <x:v>X-설계·감리·기타용역</x:v>
      </x:c>
      <x:c r="E73" s="22" t="str">
        <x:v>캄보디아</x:v>
      </x:c>
      <x:c r="F73" s="22" t="str">
        <x:v>annual_procurement_plan</x:v>
      </x:c>
      <x:c r="G73" s="22" t="str">
        <x:v>15085055:178</x:v>
      </x:c>
      <x:c r="H73" s="22" t="str">
        <x:v>2024-00015</x:v>
      </x:c>
      <x:c r="I73" s="22" t="str">
        <x:v>2024-00015</x:v>
      </x:c>
      <x:c r="J73" s="22" t="str">
        <x:v>official_report_title_containment</x:v>
      </x:c>
      <x:c r="K73" s="59" t="n">
        <x:v>0.99</x:v>
      </x:c>
      <x:c r="L73" s="22" t="str">
        <x:v>용역</x:v>
      </x:c>
      <x:c r="M73" s="25" t="str">
        <x:v>캄보디아 당까오 후송병원 공공의료서비스 개선사업 병원설계용역</x:v>
      </x:c>
      <x:c r="N73" s="25" t="str">
        <x:v>건축 연면적 3,700m2 3개층 규모 병원 건물 설계</x:v>
      </x:c>
      <x:c r="O73" s="22" t="str">
        <x:v>KRW</x:v>
      </x:c>
      <x:c r="P73" s="31" t="n">
        <x:v>413452000</x:v>
      </x:c>
      <x:c r="Q73" s="22" t="str">
        <x:v>planned_bid_ceiling</x:v>
      </x:c>
      <x:c r="R73" s="31" t="n">
        <x:v>3700</x:v>
      </x:c>
      <x:c r="S73" s="31"/>
      <x:c r="T73" s="22" t="n">
        <x:v>1</x:v>
      </x:c>
      <x:c r="U73" s="22" t="str">
        <x:v>L2025-00036-1</x:v>
      </x:c>
      <x:c r="V73" s="22" t="n">
        <x:v>19</x:v>
      </x:c>
      <x:c r="W73" s="22" t="n">
        <x:v>0</x:v>
      </x:c>
      <x:c r="X73" s="22" t="n">
        <x:v>0</x:v>
      </x:c>
      <x:c r="Y73" s="22" t="n">
        <x:v>0</x:v>
      </x:c>
      <x:c r="Z73" s="22" t="n">
        <x:v>0</x:v>
      </x:c>
      <x:c r="AA73" s="31"/>
      <x:c r="AB73" s="22" t="str"/>
      <x:c r="AC73" s="34"/>
      <x:c r="AD73" s="25" t="str"/>
      <x:c r="AE73" s="25" t="str">
        <x:v>품목 수량·단가 또는 범위 일치 GFA·공사금액 부족</x:v>
      </x:c>
      <x:c r="AF73" s="25" t="str">
        <x:v>https://www.data.go.kr/data/15085055/fileData.do</x:v>
      </x:c>
    </x:row>
    <x:row r="74">
      <x:c r="A74" s="22" t="n">
        <x:v>70</x:v>
      </x:c>
      <x:c r="B74" s="22" t="str">
        <x:v>C</x:v>
      </x:c>
      <x:c r="C74" s="22" t="str">
        <x:v>U</x:v>
      </x:c>
      <x:c r="D74" s="22" t="str">
        <x:v>X-설계·감리·기타용역</x:v>
      </x:c>
      <x:c r="E74" s="22" t="str">
        <x:v>케냐</x:v>
      </x:c>
      <x:c r="F74" s="22" t="str">
        <x:v>annual_procurement_plan</x:v>
      </x:c>
      <x:c r="G74" s="22" t="str">
        <x:v>15085055:71</x:v>
      </x:c>
      <x:c r="H74" s="22" t="str">
        <x:v>2024-02690</x:v>
      </x:c>
      <x:c r="I74" s="22" t="str">
        <x:v>2024-02690</x:v>
      </x:c>
      <x:c r="J74" s="22" t="str">
        <x:v>official_report_title_containment</x:v>
      </x:c>
      <x:c r="K74" s="59" t="n">
        <x:v>0.99</x:v>
      </x:c>
      <x:c r="L74" s="22" t="str">
        <x:v>용역</x:v>
      </x:c>
      <x:c r="M74" s="25" t="str">
        <x:v>케냐 분고마 주 보편적 식수접근성 향상을 위한 상수도 구축 및 통합적 운영관리 역량강화사업(25·32/1,300만불) PMC 용역</x:v>
      </x:c>
      <x:c r="N74" s="25" t="str">
        <x:v>ㅇ 사업수행총괄 · 사업수행계획 수립 · 사업 단계별 진행사항 점검(일정 관리) · 분쟁‧소송 해결 지원 및 관리 · 사업 착수보고, 종료보고, 최종보고 · 사업 홍보ㅇ현지 설계 및 시공사 선정 입찰지원 · 입찰계획 수립 · 입찰문서 및 계약서 작성 · 입찰서류 접수, 검토 및 평가 지원 · 입찰결과 보고 · 협상 및 계약지원ㅇ 분고마주 6개 sub·county 용수공급을 위한 상수도 공급시설 설계 감리 · 설계 수행계획 검토 · 현지조사, 관련 자료입수 지원 · 설계기준 등 주요 결정사항 검토 및 협의 · 기성 및 준공검사 · 착수/중간/준공보고ㅇ 분고마주 6개 sub·county 용수공급을 위한 상수도 공급시설 시공 감리 · 공사 수행계획 검토 · 현장 품질/공정/안전/환경관리 · 기성 및 준공검사 · 민원, 인허가 및 용지보상 등 수원기관 업무지원 · 착수보고, 월간공정보고, 준공보고ㅇ 기자재 지원 (수질시험장비) ㅇ 운영관리 · 시설운전 현황 및 기록 점검 · 운영관리 기술 지원 · 운영관리 매뉴얼 검토 및 보완ㅇ 상수도 운영인력 역량강화 (초청연수, 현지연수, 실무교육) · 교육훈련계획 수립 및 연수생 선발 · 초청연수/현지연수/운영자 실무교육 시행 · 교육훈련 모니터링 및 평가 · 교육훈련 시행결과 보고ㅇ 사업 성과관리 (모니터링, 평가 및 홍보) · 사업 착수/기초선조사(Base·line) · 사업 중간점검(Mid·line) · 사업 연차점검(Year·line) · 사업 종료선 조사(End·line)</x:v>
      </x:c>
      <x:c r="O74" s="22" t="str">
        <x:v>KRW</x:v>
      </x:c>
      <x:c r="P74" s="31" t="n">
        <x:v>4611189450</x:v>
      </x:c>
      <x:c r="Q74" s="22" t="str">
        <x:v>planned_bid_ceiling</x:v>
      </x:c>
      <x:c r="R74" s="31"/>
      <x:c r="S74" s="31"/>
      <x:c r="T74" s="22" t="n">
        <x:v>0</x:v>
      </x:c>
      <x:c r="U74" s="22" t="str"/>
      <x:c r="V74" s="22" t="n">
        <x:v>0</x:v>
      </x:c>
      <x:c r="W74" s="22" t="n">
        <x:v>0</x:v>
      </x:c>
      <x:c r="X74" s="22" t="n">
        <x:v>0</x:v>
      </x:c>
      <x:c r="Y74" s="22" t="n">
        <x:v>0</x:v>
      </x:c>
      <x:c r="Z74" s="22" t="n">
        <x:v>0</x:v>
      </x:c>
      <x:c r="AA74" s="31"/>
      <x:c r="AB74" s="22" t="str"/>
      <x:c r="AC74" s="34"/>
      <x:c r="AD74" s="25" t="str"/>
      <x:c r="AE74" s="25" t="str">
        <x:v>품목 수량·단가 또는 범위 일치 GFA·공사금액 부족</x:v>
      </x:c>
      <x:c r="AF74" s="25" t="str">
        <x:v>https://www.data.go.kr/data/15085055/fileData.do</x:v>
      </x:c>
    </x:row>
    <x:row r="75">
      <x:c r="A75" s="22" t="n">
        <x:v>71</x:v>
      </x:c>
      <x:c r="B75" s="22" t="str">
        <x:v>C</x:v>
      </x:c>
      <x:c r="C75" s="22" t="str">
        <x:v>U</x:v>
      </x:c>
      <x:c r="D75" s="22" t="str">
        <x:v>X-설계·감리·기타용역</x:v>
      </x:c>
      <x:c r="E75" s="22" t="str">
        <x:v>케냐</x:v>
      </x:c>
      <x:c r="F75" s="22" t="str">
        <x:v>annual_procurement_plan</x:v>
      </x:c>
      <x:c r="G75" s="22" t="str">
        <x:v>15085055:125</x:v>
      </x:c>
      <x:c r="H75" s="22" t="str"/>
      <x:c r="I75" s="22" t="str"/>
      <x:c r="J75" s="22" t="str"/>
      <x:c r="K75" s="59" t="n">
        <x:v>0.536</x:v>
      </x:c>
      <x:c r="L75" s="22" t="str">
        <x:v>용역</x:v>
      </x:c>
      <x:c r="M75" s="25" t="str">
        <x:v>케냐 청년 생산적 고용 및 소득 증대를 위한 국가산업훈련청 아띠리버 센터 역량강화사업('24·'28/700만불) PMC 용역</x:v>
      </x:c>
      <x:c r="N75" s="25" t="str">
        <x:v>ㅇ 전문가파견: 건축과 훈련과정 개발, 직업기초역량 모듈 개발, NITA 교사대상 교수법 보수교육, 경력개발유닛(CDU) 운영매뉴얼 개발 등 ㅇ 역량강화: 초청연수(총 2회: 고위급 10명, 센터관리자 및 실무급 15명) ㅇ 건축: 아띠리버 센터 건축과 스페이스 프로그램 구성 및 설계 단계 검토, 실시설계 및 시공 단계 모니터링 등 ㅇ 기자재: 아띠리버 센터 건축과 기자재(실습기자재 및 가구 등) 목록 및 세부사양서 작성, 기자재 검수 실시, 기자재 조달과정 모니터링 등  ㅇ 사업관리: 성과관리(기초선/종료선조사), 연간모니터링, 사업보고회(착수/중간/준공식/종료), 홍보 등)</x:v>
      </x:c>
      <x:c r="O75" s="22" t="str">
        <x:v>KRW</x:v>
      </x:c>
      <x:c r="P75" s="31" t="n">
        <x:v>3215937214</x:v>
      </x:c>
      <x:c r="Q75" s="22" t="str">
        <x:v>planned_bid_ceiling</x:v>
      </x:c>
      <x:c r="R75" s="31"/>
      <x:c r="S75" s="31"/>
      <x:c r="T75" s="22" t="n">
        <x:v>0</x:v>
      </x:c>
      <x:c r="U75" s="22" t="str"/>
      <x:c r="V75" s="22" t="n">
        <x:v>0</x:v>
      </x:c>
      <x:c r="W75" s="22" t="n">
        <x:v>0</x:v>
      </x:c>
      <x:c r="X75" s="22" t="n">
        <x:v>0</x:v>
      </x:c>
      <x:c r="Y75" s="22" t="n">
        <x:v>0</x:v>
      </x:c>
      <x:c r="Z75" s="22" t="n">
        <x:v>0</x:v>
      </x:c>
      <x:c r="AA75" s="31"/>
      <x:c r="AB75" s="22" t="str"/>
      <x:c r="AC75" s="34"/>
      <x:c r="AD75" s="25" t="str"/>
      <x:c r="AE75" s="25" t="str">
        <x:v>품목 수량·단가 또는 범위 일치 GFA·공사금액 부족</x:v>
      </x:c>
      <x:c r="AF75" s="25" t="str">
        <x:v>https://www.data.go.kr/data/15085055/fileData.do</x:v>
      </x:c>
    </x:row>
    <x:row r="76">
      <x:c r="A76" s="22" t="n">
        <x:v>72</x:v>
      </x:c>
      <x:c r="B76" s="22" t="str">
        <x:v>C</x:v>
      </x:c>
      <x:c r="C76" s="22" t="str">
        <x:v>U</x:v>
      </x:c>
      <x:c r="D76" s="22" t="str">
        <x:v>X-설계·감리·기타용역</x:v>
      </x:c>
      <x:c r="E76" s="22" t="str">
        <x:v>코트디부아르</x:v>
      </x:c>
      <x:c r="F76" s="22" t="str">
        <x:v>annual_procurement_plan</x:v>
      </x:c>
      <x:c r="G76" s="22" t="str">
        <x:v>15085055:264</x:v>
      </x:c>
      <x:c r="H76" s="22" t="str">
        <x:v>2024-00029</x:v>
      </x:c>
      <x:c r="I76" s="22" t="str">
        <x:v>2024-00029</x:v>
      </x:c>
      <x:c r="J76" s="22" t="str">
        <x:v>official_report_title_containment</x:v>
      </x:c>
      <x:c r="K76" s="59" t="n">
        <x:v>0.99</x:v>
      </x:c>
      <x:c r="L76" s="22" t="str">
        <x:v>용역</x:v>
      </x:c>
      <x:c r="M76" s="25" t="str">
        <x:v>코트디부아르 지역균형발전을 위한 중부지역 직업전문학교 역량강화사업 설계 및 감리 용역</x:v>
      </x:c>
      <x:c r="N76" s="25" t="str">
        <x:v>ㅇ LPMMS 기존건물 리모델링, LPMMS 기숙사, 교실 6실, 실습실 6실 증축(신축)을 위한 설계 * LPMMS 기숙사(200명), 강의실(6), 실습실(6) 증축 및 구내식당 및 교실 개보수ㅇ 시공단계 관리(공정, 품질, 기성, 안전, 환경등)</x:v>
      </x:c>
      <x:c r="O76" s="22" t="str">
        <x:v>KRW</x:v>
      </x:c>
      <x:c r="P76" s="31" t="n">
        <x:v>591965400</x:v>
      </x:c>
      <x:c r="Q76" s="22" t="str">
        <x:v>planned_bid_ceiling</x:v>
      </x:c>
      <x:c r="R76" s="31"/>
      <x:c r="S76" s="31"/>
      <x:c r="T76" s="22" t="n">
        <x:v>1</x:v>
      </x:c>
      <x:c r="U76" s="22" t="str">
        <x:v>L2025-00060-1</x:v>
      </x:c>
      <x:c r="V76" s="22" t="n">
        <x:v>19</x:v>
      </x:c>
      <x:c r="W76" s="22" t="n">
        <x:v>0</x:v>
      </x:c>
      <x:c r="X76" s="22" t="n">
        <x:v>0</x:v>
      </x:c>
      <x:c r="Y76" s="22" t="n">
        <x:v>0</x:v>
      </x:c>
      <x:c r="Z76" s="22" t="n">
        <x:v>0</x:v>
      </x:c>
      <x:c r="AA76" s="31"/>
      <x:c r="AB76" s="22" t="str"/>
      <x:c r="AC76" s="34"/>
      <x:c r="AD76" s="25" t="str"/>
      <x:c r="AE76" s="25" t="str">
        <x:v>품목 수량·단가 또는 범위 일치 GFA·공사금액 부족</x:v>
      </x:c>
      <x:c r="AF76" s="25" t="str">
        <x:v>https://www.data.go.kr/data/15085055/fileData.do</x:v>
      </x:c>
    </x:row>
    <x:row r="77">
      <x:c r="A77" s="22" t="n">
        <x:v>73</x:v>
      </x:c>
      <x:c r="B77" s="22" t="str">
        <x:v>C</x:v>
      </x:c>
      <x:c r="C77" s="22" t="str">
        <x:v>U</x:v>
      </x:c>
      <x:c r="D77" s="22" t="str">
        <x:v>X-설계·감리·기타용역</x:v>
      </x:c>
      <x:c r="E77" s="22" t="str">
        <x:v>코트디부아르</x:v>
      </x:c>
      <x:c r="F77" s="22" t="str">
        <x:v>annual_procurement_plan</x:v>
      </x:c>
      <x:c r="G77" s="22" t="str">
        <x:v>15085055:92</x:v>
      </x:c>
      <x:c r="H77" s="22" t="str">
        <x:v>2024-00029</x:v>
      </x:c>
      <x:c r="I77" s="22" t="str">
        <x:v>2024-00029</x:v>
      </x:c>
      <x:c r="J77" s="22" t="str">
        <x:v>official_report_title_containment</x:v>
      </x:c>
      <x:c r="K77" s="59" t="n">
        <x:v>0.99</x:v>
      </x:c>
      <x:c r="L77" s="22" t="str">
        <x:v>용역</x:v>
      </x:c>
      <x:c r="M77" s="25" t="str">
        <x:v>코트디부아르 지역균형발전을 위한 중부지역 직업전문학교 역량강화사업('24·'29/1,100만불)</x:v>
      </x:c>
      <x:c r="N77" s="25" t="str">
        <x:v>계획안, 기본설계 및 실시설계, 공사 입찰 지원, 시공감리 · 코트디부아르 부아케의 Lycee Professionnel des Metiers de la Mode et du Social(LPMMS) 건물 리모델링 및 증축</x:v>
      </x:c>
      <x:c r="O77" s="22" t="str">
        <x:v>KRW</x:v>
      </x:c>
      <x:c r="P77" s="31" t="n">
        <x:v>721326000</x:v>
      </x:c>
      <x:c r="Q77" s="22" t="str">
        <x:v>planned_bid_ceiling</x:v>
      </x:c>
      <x:c r="R77" s="31"/>
      <x:c r="S77" s="31"/>
      <x:c r="T77" s="22" t="n">
        <x:v>1</x:v>
      </x:c>
      <x:c r="U77" s="22" t="str">
        <x:v>L2025-00060-1</x:v>
      </x:c>
      <x:c r="V77" s="22" t="n">
        <x:v>19</x:v>
      </x:c>
      <x:c r="W77" s="22" t="n">
        <x:v>0</x:v>
      </x:c>
      <x:c r="X77" s="22" t="n">
        <x:v>0</x:v>
      </x:c>
      <x:c r="Y77" s="22" t="n">
        <x:v>0</x:v>
      </x:c>
      <x:c r="Z77" s="22" t="n">
        <x:v>0</x:v>
      </x:c>
      <x:c r="AA77" s="31"/>
      <x:c r="AB77" s="22" t="str"/>
      <x:c r="AC77" s="34"/>
      <x:c r="AD77" s="25" t="str"/>
      <x:c r="AE77" s="25" t="str">
        <x:v>품목 수량·단가 또는 범위 일치 GFA·공사금액 부족</x:v>
      </x:c>
      <x:c r="AF77" s="25" t="str">
        <x:v>https://www.data.go.kr/data/15085055/fileData.do</x:v>
      </x:c>
    </x:row>
    <x:row r="78">
      <x:c r="A78" s="22" t="n">
        <x:v>74</x:v>
      </x:c>
      <x:c r="B78" s="22" t="str">
        <x:v>C</x:v>
      </x:c>
      <x:c r="C78" s="22" t="str">
        <x:v>U</x:v>
      </x:c>
      <x:c r="D78" s="22" t="str">
        <x:v>U-근거부족</x:v>
      </x:c>
      <x:c r="E78" s="22" t="str">
        <x:v>코트디부아르</x:v>
      </x:c>
      <x:c r="F78" s="22" t="str">
        <x:v>annual_procurement_plan</x:v>
      </x:c>
      <x:c r="G78" s="22" t="str">
        <x:v>15085055:337</x:v>
      </x:c>
      <x:c r="H78" s="22" t="str">
        <x:v>2023-00067</x:v>
      </x:c>
      <x:c r="I78" s="22" t="str">
        <x:v>2023-00067</x:v>
      </x:c>
      <x:c r="J78" s="22" t="str">
        <x:v>official_report_title_containment</x:v>
      </x:c>
      <x:c r="K78" s="59" t="n">
        <x:v>0.99</x:v>
      </x:c>
      <x:c r="L78" s="22" t="str">
        <x:v>공사</x:v>
      </x:c>
      <x:c r="M78" s="25" t="str">
        <x:v>코트디부아르 펠릭스 우푸에 부아니대학교 ICT 교육역량 강화 및 ICT 혁신센터 설립 사업('23·'27/995만불) 리모델링 시공</x:v>
      </x:c>
      <x:c r="N78" s="25" t="str">
        <x:v>펠릭스 우푸에 부아니대학교 PETROCI 빌딩 리모델링</x:v>
      </x:c>
      <x:c r="O78" s="22" t="str">
        <x:v>KRW</x:v>
      </x:c>
      <x:c r="P78" s="31" t="n">
        <x:v>2709334680</x:v>
      </x:c>
      <x:c r="Q78" s="22" t="str">
        <x:v>planned_bid_ceiling</x:v>
      </x:c>
      <x:c r="R78" s="31"/>
      <x:c r="S78" s="31"/>
      <x:c r="T78" s="22" t="n">
        <x:v>4</x:v>
      </x:c>
      <x:c r="U78" s="22" t="str">
        <x:v>L2024-00048-1;L2024-00056-1;L2024-00056-2;L2025-00052-1</x:v>
      </x:c>
      <x:c r="V78" s="22" t="n">
        <x:v>75</x:v>
      </x:c>
      <x:c r="W78" s="22" t="n">
        <x:v>1</x:v>
      </x:c>
      <x:c r="X78" s="22" t="n">
        <x:v>0</x:v>
      </x:c>
      <x:c r="Y78" s="22" t="n">
        <x:v>0</x:v>
      </x:c>
      <x:c r="Z78" s="22" t="n">
        <x:v>0</x:v>
      </x:c>
      <x:c r="AA78" s="31"/>
      <x:c r="AB78" s="22" t="str"/>
      <x:c r="AC78" s="34"/>
      <x:c r="AD78" s="25" t="str"/>
      <x:c r="AE78" s="25" t="str">
        <x:v>품목 수량·단가 또는 범위 일치 GFA·공사금액 부족</x:v>
      </x:c>
      <x:c r="AF78" s="25" t="str">
        <x:v>https://www.data.go.kr/data/15085055/fileData.do</x:v>
      </x:c>
    </x:row>
    <x:row r="79">
      <x:c r="A79" s="22" t="n">
        <x:v>75</x:v>
      </x:c>
      <x:c r="B79" s="22" t="str">
        <x:v>C</x:v>
      </x:c>
      <x:c r="C79" s="22" t="str">
        <x:v>U</x:v>
      </x:c>
      <x:c r="D79" s="22" t="str">
        <x:v>X-설계·감리·기타용역</x:v>
      </x:c>
      <x:c r="E79" s="22" t="str">
        <x:v>콜롬비아</x:v>
      </x:c>
      <x:c r="F79" s="22" t="str">
        <x:v>annual_procurement_plan</x:v>
      </x:c>
      <x:c r="G79" s="22" t="str">
        <x:v>15085055:169</x:v>
      </x:c>
      <x:c r="H79" s="22" t="str"/>
      <x:c r="I79" s="22" t="str"/>
      <x:c r="J79" s="22" t="str"/>
      <x:c r="K79" s="59" t="n">
        <x:v>0.429</x:v>
      </x:c>
      <x:c r="L79" s="22" t="str">
        <x:v>용역</x:v>
      </x:c>
      <x:c r="M79" s="25" t="str">
        <x:v>콜롬비아 다목적지적을 위한 공간정보 역량강화 체계 구축사업(24·26/600만불) PMC 용역</x:v>
      </x:c>
      <x:c r="N79" s="25" t="str">
        <x:v>ㅇ 국가 다목적지적 역량강화 마스터플랜 수립ㅇ 다목적지적 자격체계 컨설팅ㅇ 다목적지적 분야별 교육과정 개발ㅇ 다목적지적 분야별 전문강사 양성ㅇ 초청연수ㅇ 역량강화 성과 모니터링(시범지역)ㅇ 국가 다목적지적 교육센터 구축(리모델링)ㅇ 교육용 기자재 도입 및 설치 ㅇ 사업 관리 및 성과관리</x:v>
      </x:c>
      <x:c r="O79" s="22" t="str">
        <x:v>KRW</x:v>
      </x:c>
      <x:c r="P79" s="31" t="n">
        <x:v>4071405231</x:v>
      </x:c>
      <x:c r="Q79" s="22" t="str">
        <x:v>planned_bid_ceiling</x:v>
      </x:c>
      <x:c r="R79" s="31"/>
      <x:c r="S79" s="31"/>
      <x:c r="T79" s="22" t="n">
        <x:v>0</x:v>
      </x:c>
      <x:c r="U79" s="22" t="str"/>
      <x:c r="V79" s="22" t="n">
        <x:v>0</x:v>
      </x:c>
      <x:c r="W79" s="22" t="n">
        <x:v>0</x:v>
      </x:c>
      <x:c r="X79" s="22" t="n">
        <x:v>0</x:v>
      </x:c>
      <x:c r="Y79" s="22" t="n">
        <x:v>0</x:v>
      </x:c>
      <x:c r="Z79" s="22" t="n">
        <x:v>0</x:v>
      </x:c>
      <x:c r="AA79" s="31"/>
      <x:c r="AB79" s="22" t="str"/>
      <x:c r="AC79" s="34"/>
      <x:c r="AD79" s="25" t="str"/>
      <x:c r="AE79" s="25" t="str">
        <x:v>품목 수량·단가 또는 범위 일치 GFA·공사금액 부족</x:v>
      </x:c>
      <x:c r="AF79" s="25" t="str">
        <x:v>https://www.data.go.kr/data/15085055/fileData.do</x:v>
      </x:c>
    </x:row>
    <x:row r="80">
      <x:c r="A80" s="22" t="n">
        <x:v>76</x:v>
      </x:c>
      <x:c r="B80" s="22" t="str">
        <x:v>C</x:v>
      </x:c>
      <x:c r="C80" s="22" t="str">
        <x:v>C?</x:v>
      </x:c>
      <x:c r="D80" s="22" t="str">
        <x:v>X-설계·감리·기타용역</x:v>
      </x:c>
      <x:c r="E80" s="22" t="str">
        <x:v>키르기스스탄</x:v>
      </x:c>
      <x:c r="F80" s="22" t="str">
        <x:v>annual_procurement_plan</x:v>
      </x:c>
      <x:c r="G80" s="22" t="str">
        <x:v>15085055:269</x:v>
      </x:c>
      <x:c r="H80" s="22" t="str">
        <x:v>2023-00030</x:v>
      </x:c>
      <x:c r="I80" s="22" t="str">
        <x:v>2023-00030</x:v>
      </x:c>
      <x:c r="J80" s="22" t="str">
        <x:v>official_report_title_containment</x:v>
      </x:c>
      <x:c r="K80" s="59" t="n">
        <x:v>0.99</x:v>
      </x:c>
      <x:c r="L80" s="22" t="str">
        <x:v>용역</x:v>
      </x:c>
      <x:c r="M80" s="25" t="str">
        <x:v>키르기스스탄 가축 품종개량 및 인공수정인력 역량강화사업 바이오센터 리모델링 및 연수센터 신축 기술감리</x:v>
      </x:c>
      <x:c r="N80" s="25" t="str">
        <x:v>표제사업 수원기관 바이오센터 2개실(정액체취실, 견학실) 리모델링 및 연수센터(1,852m2) 신축 기술감리 용역</x:v>
      </x:c>
      <x:c r="O80" s="22" t="str">
        <x:v>KRW</x:v>
      </x:c>
      <x:c r="P80" s="31" t="n">
        <x:v>3096000</x:v>
      </x:c>
      <x:c r="Q80" s="22" t="str">
        <x:v>planned_bid_ceiling</x:v>
      </x:c>
      <x:c r="R80" s="31" t="n">
        <x:v>1852</x:v>
      </x:c>
      <x:c r="S80" s="31"/>
      <x:c r="T80" s="22" t="n">
        <x:v>1</x:v>
      </x:c>
      <x:c r="U80" s="22" t="str">
        <x:v>L2024-00041-1</x:v>
      </x:c>
      <x:c r="V80" s="22" t="n">
        <x:v>19</x:v>
      </x:c>
      <x:c r="W80" s="22" t="n">
        <x:v>0</x:v>
      </x:c>
      <x:c r="X80" s="22" t="n">
        <x:v>0</x:v>
      </x:c>
      <x:c r="Y80" s="22" t="n">
        <x:v>0</x:v>
      </x:c>
      <x:c r="Z80" s="22" t="n">
        <x:v>0</x:v>
      </x:c>
      <x:c r="AA80" s="31"/>
      <x:c r="AB80" s="22" t="str"/>
      <x:c r="AC80" s="34"/>
      <x:c r="AD80" s="25" t="str"/>
      <x:c r="AE80" s="25" t="str">
        <x:v>품목 수량·단가 또는 범위 일치 GFA·공사금액 부족</x:v>
      </x:c>
      <x:c r="AF80" s="25" t="str">
        <x:v>https://www.data.go.kr/data/15085055/fileData.do</x:v>
      </x:c>
    </x:row>
    <x:row r="81">
      <x:c r="A81" s="22" t="n">
        <x:v>77</x:v>
      </x:c>
      <x:c r="B81" s="22" t="str">
        <x:v>C</x:v>
      </x:c>
      <x:c r="C81" s="22" t="str">
        <x:v>C?</x:v>
      </x:c>
      <x:c r="D81" s="22" t="str">
        <x:v>U-근거부족</x:v>
      </x:c>
      <x:c r="E81" s="22" t="str">
        <x:v>키르기스스탄</x:v>
      </x:c>
      <x:c r="F81" s="22" t="str">
        <x:v>annual_procurement_plan</x:v>
      </x:c>
      <x:c r="G81" s="22" t="str">
        <x:v>15085055:271</x:v>
      </x:c>
      <x:c r="H81" s="22" t="str">
        <x:v>2023-00030</x:v>
      </x:c>
      <x:c r="I81" s="22" t="str">
        <x:v>2023-00030</x:v>
      </x:c>
      <x:c r="J81" s="22" t="str">
        <x:v>official_report_title_containment</x:v>
      </x:c>
      <x:c r="K81" s="59" t="n">
        <x:v>0.99</x:v>
      </x:c>
      <x:c r="L81" s="22" t="str">
        <x:v>공사</x:v>
      </x:c>
      <x:c r="M81" s="25" t="str">
        <x:v>키르기스스탄 가축 품종개량 및 인공수정인력 역량강화사업 바이오센터 리모델링 시공</x:v>
      </x:c>
      <x:c r="N81" s="25" t="str">
        <x:v>표제사업 바이오 센터 4개실(정액체취실, 정액 냉동실, 정액보관실, 견학실) 리모델링 시공</x:v>
      </x:c>
      <x:c r="O81" s="22" t="str">
        <x:v>KRW</x:v>
      </x:c>
      <x:c r="P81" s="31" t="n">
        <x:v>86190060</x:v>
      </x:c>
      <x:c r="Q81" s="22" t="str">
        <x:v>planned_bid_ceiling</x:v>
      </x:c>
      <x:c r="R81" s="31"/>
      <x:c r="S81" s="31"/>
      <x:c r="T81" s="22" t="n">
        <x:v>1</x:v>
      </x:c>
      <x:c r="U81" s="22" t="str">
        <x:v>L2024-00041-1</x:v>
      </x:c>
      <x:c r="V81" s="22" t="n">
        <x:v>19</x:v>
      </x:c>
      <x:c r="W81" s="22" t="n">
        <x:v>0</x:v>
      </x:c>
      <x:c r="X81" s="22" t="n">
        <x:v>0</x:v>
      </x:c>
      <x:c r="Y81" s="22" t="n">
        <x:v>0</x:v>
      </x:c>
      <x:c r="Z81" s="22" t="n">
        <x:v>0</x:v>
      </x:c>
      <x:c r="AA81" s="31"/>
      <x:c r="AB81" s="22" t="str"/>
      <x:c r="AC81" s="34"/>
      <x:c r="AD81" s="25" t="str"/>
      <x:c r="AE81" s="25" t="str">
        <x:v>품목 수량·단가 또는 범위 일치 GFA·공사금액 부족</x:v>
      </x:c>
      <x:c r="AF81" s="25" t="str">
        <x:v>https://www.data.go.kr/data/15085055/fileData.do</x:v>
      </x:c>
    </x:row>
    <x:row r="82">
      <x:c r="A82" s="22" t="n">
        <x:v>78</x:v>
      </x:c>
      <x:c r="B82" s="22" t="str">
        <x:v>C</x:v>
      </x:c>
      <x:c r="C82" s="22" t="str">
        <x:v>C?</x:v>
      </x:c>
      <x:c r="D82" s="22" t="str">
        <x:v>X-설계·감리·기타용역</x:v>
      </x:c>
      <x:c r="E82" s="22" t="str">
        <x:v>키르기스스탄</x:v>
      </x:c>
      <x:c r="F82" s="22" t="str">
        <x:v>annual_procurement_plan</x:v>
      </x:c>
      <x:c r="G82" s="22" t="str">
        <x:v>15085055:266</x:v>
      </x:c>
      <x:c r="H82" s="22" t="str">
        <x:v>2023-00030</x:v>
      </x:c>
      <x:c r="I82" s="22" t="str">
        <x:v>2023-00030</x:v>
      </x:c>
      <x:c r="J82" s="22" t="str">
        <x:v>official_report_title_containment</x:v>
      </x:c>
      <x:c r="K82" s="59" t="n">
        <x:v>0.99</x:v>
      </x:c>
      <x:c r="L82" s="22" t="str">
        <x:v>용역</x:v>
      </x:c>
      <x:c r="M82" s="25" t="str">
        <x:v>키르기스스탄 가축 품종개량 및 인공수정인력 역량강화사업 연수센터 신축 기술감리 현지입찰</x:v>
      </x:c>
      <x:c r="N82" s="25" t="str">
        <x:v>표제사업 연수센터 신축 (1,825m2) 기술감리 용역</x:v>
      </x:c>
      <x:c r="O82" s="22" t="str">
        <x:v>KRW</x:v>
      </x:c>
      <x:c r="P82" s="31" t="n">
        <x:v>12696000</x:v>
      </x:c>
      <x:c r="Q82" s="22" t="str">
        <x:v>planned_bid_ceiling</x:v>
      </x:c>
      <x:c r="R82" s="31" t="n">
        <x:v>1825</x:v>
      </x:c>
      <x:c r="S82" s="31"/>
      <x:c r="T82" s="22" t="n">
        <x:v>1</x:v>
      </x:c>
      <x:c r="U82" s="22" t="str">
        <x:v>L2024-00041-1</x:v>
      </x:c>
      <x:c r="V82" s="22" t="n">
        <x:v>19</x:v>
      </x:c>
      <x:c r="W82" s="22" t="n">
        <x:v>0</x:v>
      </x:c>
      <x:c r="X82" s="22" t="n">
        <x:v>0</x:v>
      </x:c>
      <x:c r="Y82" s="22" t="n">
        <x:v>0</x:v>
      </x:c>
      <x:c r="Z82" s="22" t="n">
        <x:v>0</x:v>
      </x:c>
      <x:c r="AA82" s="31"/>
      <x:c r="AB82" s="22" t="str"/>
      <x:c r="AC82" s="34"/>
      <x:c r="AD82" s="25" t="str"/>
      <x:c r="AE82" s="25" t="str">
        <x:v>품목 수량·단가 또는 범위 일치 GFA·공사금액 부족</x:v>
      </x:c>
      <x:c r="AF82" s="25" t="str">
        <x:v>https://www.data.go.kr/data/15085055/fileData.do</x:v>
      </x:c>
    </x:row>
    <x:row r="83">
      <x:c r="A83" s="22" t="n">
        <x:v>79</x:v>
      </x:c>
      <x:c r="B83" s="22" t="str">
        <x:v>C</x:v>
      </x:c>
      <x:c r="C83" s="22" t="str">
        <x:v>C?</x:v>
      </x:c>
      <x:c r="D83" s="22" t="str">
        <x:v>C?</x:v>
      </x:c>
      <x:c r="E83" s="22" t="str">
        <x:v>키르기스스탄</x:v>
      </x:c>
      <x:c r="F83" s="22" t="str">
        <x:v>annual_procurement_plan</x:v>
      </x:c>
      <x:c r="G83" s="22" t="str">
        <x:v>15085055:268</x:v>
      </x:c>
      <x:c r="H83" s="22" t="str">
        <x:v>2023-00030</x:v>
      </x:c>
      <x:c r="I83" s="22" t="str">
        <x:v>2023-00030</x:v>
      </x:c>
      <x:c r="J83" s="22" t="str">
        <x:v>official_report_title_containment</x:v>
      </x:c>
      <x:c r="K83" s="59" t="n">
        <x:v>0.99</x:v>
      </x:c>
      <x:c r="L83" s="22" t="str">
        <x:v>공사</x:v>
      </x:c>
      <x:c r="M83" s="25" t="str">
        <x:v>키르기스스탄 가축 품종개량 및 인공수정인력 역량강화사업 연수센터 신축 현지입찰</x:v>
      </x:c>
      <x:c r="N83" s="25" t="str">
        <x:v>표세사업 연수센터(연면적 1,825m2) 신축 시공</x:v>
      </x:c>
      <x:c r="O83" s="22" t="str">
        <x:v>KRW</x:v>
      </x:c>
      <x:c r="P83" s="31" t="n">
        <x:v>3200772000</x:v>
      </x:c>
      <x:c r="Q83" s="22" t="str">
        <x:v>planned_bid_ceiling</x:v>
      </x:c>
      <x:c r="R83" s="31" t="n">
        <x:v>1825</x:v>
      </x:c>
      <x:c r="S83" s="31" t="n">
        <x:v>1753848</x:v>
      </x:c>
      <x:c r="T83" s="22" t="n">
        <x:v>1</x:v>
      </x:c>
      <x:c r="U83" s="22" t="str">
        <x:v>L2024-00041-1</x:v>
      </x:c>
      <x:c r="V83" s="22" t="n">
        <x:v>19</x:v>
      </x:c>
      <x:c r="W83" s="22" t="n">
        <x:v>0</x:v>
      </x:c>
      <x:c r="X83" s="22" t="n">
        <x:v>0</x:v>
      </x:c>
      <x:c r="Y83" s="22" t="n">
        <x:v>0</x:v>
      </x:c>
      <x:c r="Z83" s="22" t="n">
        <x:v>0</x:v>
      </x:c>
      <x:c r="AA83" s="31"/>
      <x:c r="AB83" s="22" t="str"/>
      <x:c r="AC83" s="34"/>
      <x:c r="AD83" s="25" t="str"/>
      <x:c r="AE83" s="25" t="str">
        <x:v>품목 수량·단가 또는 범위 일치 GFA·공사금액 부족</x:v>
      </x:c>
      <x:c r="AF83" s="25" t="str">
        <x:v>https://www.data.go.kr/data/15085055/fileData.do</x:v>
      </x:c>
    </x:row>
    <x:row r="84">
      <x:c r="A84" s="22" t="n">
        <x:v>80</x:v>
      </x:c>
      <x:c r="B84" s="22" t="str">
        <x:v>C</x:v>
      </x:c>
      <x:c r="C84" s="22" t="str">
        <x:v>U</x:v>
      </x:c>
      <x:c r="D84" s="22" t="str">
        <x:v>U-근거부족</x:v>
      </x:c>
      <x:c r="E84" s="22" t="str">
        <x:v>키르기스스탄</x:v>
      </x:c>
      <x:c r="F84" s="22" t="str">
        <x:v>annual_procurement_plan</x:v>
      </x:c>
      <x:c r="G84" s="22" t="str">
        <x:v>15085055:61</x:v>
      </x:c>
      <x:c r="H84" s="22" t="str">
        <x:v>2023-00027</x:v>
      </x:c>
      <x:c r="I84" s="22" t="str">
        <x:v>2023-00027</x:v>
      </x:c>
      <x:c r="J84" s="22" t="str">
        <x:v>official_report_title_containment</x:v>
      </x:c>
      <x:c r="K84" s="59" t="n">
        <x:v>0.99</x:v>
      </x:c>
      <x:c r="L84" s="22" t="str">
        <x:v>용역</x:v>
      </x:c>
      <x:c r="M84" s="25" t="str">
        <x:v>키르기스스탄 국회 디지털화 사업(23·27/840만불) 시공업체(PC) 선정</x:v>
      </x:c>
      <x:c r="N84" s="25" t="str">
        <x:v>▲국회 지하 1층·지상 7층에 대한 네트워크 설치▲1층 데이터 센터에 대한 리모델링, 설비, 소방 분야 부속인입시설 공사▲공사 범위에 따른 시공상세도면(shop drawings) 일체 작성 등</x:v>
      </x:c>
      <x:c r="O84" s="22" t="str">
        <x:v>KRW</x:v>
      </x:c>
      <x:c r="P84" s="31" t="n">
        <x:v>2210000000</x:v>
      </x:c>
      <x:c r="Q84" s="22" t="str">
        <x:v>planned_bid_ceiling</x:v>
      </x:c>
      <x:c r="R84" s="31"/>
      <x:c r="S84" s="31"/>
      <x:c r="T84" s="22" t="n">
        <x:v>5</x:v>
      </x:c>
      <x:c r="U84" s="22" t="str">
        <x:v>L2025-00003-1;L2025-00003-2;L2025-00028-1;L2025-00054-1;L2025-00058-1</x:v>
      </x:c>
      <x:c r="V84" s="22" t="n">
        <x:v>82</x:v>
      </x:c>
      <x:c r="W84" s="22" t="n">
        <x:v>0</x:v>
      </x:c>
      <x:c r="X84" s="22" t="n">
        <x:v>0</x:v>
      </x:c>
      <x:c r="Y84" s="22" t="n">
        <x:v>0</x:v>
      </x:c>
      <x:c r="Z84" s="22" t="n">
        <x:v>0</x:v>
      </x:c>
      <x:c r="AA84" s="31"/>
      <x:c r="AB84" s="22" t="str"/>
      <x:c r="AC84" s="34"/>
      <x:c r="AD84" s="25" t="str"/>
      <x:c r="AE84" s="25" t="str">
        <x:v>품목 수량·단가 또는 범위 일치 GFA·공사금액 부족</x:v>
      </x:c>
      <x:c r="AF84" s="25" t="str">
        <x:v>https://www.data.go.kr/data/15085055/fileData.do</x:v>
      </x:c>
    </x:row>
    <x:row r="85">
      <x:c r="A85" s="22" t="n">
        <x:v>81</x:v>
      </x:c>
      <x:c r="B85" s="22" t="str">
        <x:v>C</x:v>
      </x:c>
      <x:c r="C85" s="22" t="str">
        <x:v>U</x:v>
      </x:c>
      <x:c r="D85" s="22" t="str">
        <x:v>X-설계·감리·기타용역</x:v>
      </x:c>
      <x:c r="E85" s="22" t="str">
        <x:v>키르기스스탄</x:v>
      </x:c>
      <x:c r="F85" s="22" t="str">
        <x:v>annual_procurement_plan</x:v>
      </x:c>
      <x:c r="G85" s="22" t="str">
        <x:v>15085055:70</x:v>
      </x:c>
      <x:c r="H85" s="22" t="str">
        <x:v>2024-00105</x:v>
      </x:c>
      <x:c r="I85" s="22" t="str">
        <x:v>2024-00105</x:v>
      </x:c>
      <x:c r="J85" s="22" t="str">
        <x:v>official_report_title_containment</x:v>
      </x:c>
      <x:c r="K85" s="59" t="n">
        <x:v>0.99</x:v>
      </x:c>
      <x:c r="L85" s="22" t="str">
        <x:v>용역</x:v>
      </x:c>
      <x:c r="M85" s="25" t="str">
        <x:v>키르기스스탄 디지털 전환을 위한 국가 정보화 역량 강화 사업('24·'27/700만불)</x:v>
      </x:c>
      <x:c r="N85" s="25" t="str">
        <x:v>1) ICT 교육센터 신축과업을 위한 부지 조사 및 설계과업2) 인테리어 설계 및 내부 집기/가구 사양 확정3) 측량 및 조사성과물, 설계도면, 시방서, 수량내역서, 구조계산서, 기계용량계산서, 전기용량계산서, 보고서 등 현지 인허가기관 및 발주처가 승인한 최종 공사용 실시설계 납품도서와 공사에 필요한 제반도서 및 시공사 선정을 위한 입찰관련 서류 제출4) 시공사 선정 입찰기간에 발주처 요청시 업무 지원5) 저작권감리업무6) 건축인허가 취득 7) 관련 행정업무 협조</x:v>
      </x:c>
      <x:c r="O85" s="22" t="str">
        <x:v>KRW</x:v>
      </x:c>
      <x:c r="P85" s="31" t="n">
        <x:v>155068550</x:v>
      </x:c>
      <x:c r="Q85" s="22" t="str">
        <x:v>planned_bid_ceiling</x:v>
      </x:c>
      <x:c r="R85" s="31"/>
      <x:c r="S85" s="31"/>
      <x:c r="T85" s="22" t="n">
        <x:v>1</x:v>
      </x:c>
      <x:c r="U85" s="22" t="str">
        <x:v>L2025-00097-1</x:v>
      </x:c>
      <x:c r="V85" s="22" t="n">
        <x:v>27</x:v>
      </x:c>
      <x:c r="W85" s="22" t="n">
        <x:v>0</x:v>
      </x:c>
      <x:c r="X85" s="22" t="n">
        <x:v>0</x:v>
      </x:c>
      <x:c r="Y85" s="22" t="n">
        <x:v>0</x:v>
      </x:c>
      <x:c r="Z85" s="22" t="n">
        <x:v>0</x:v>
      </x:c>
      <x:c r="AA85" s="31"/>
      <x:c r="AB85" s="22" t="str"/>
      <x:c r="AC85" s="34"/>
      <x:c r="AD85" s="25" t="str"/>
      <x:c r="AE85" s="25" t="str">
        <x:v>품목 수량·단가 또는 범위 일치 GFA·공사금액 부족</x:v>
      </x:c>
      <x:c r="AF85" s="25" t="str">
        <x:v>https://www.data.go.kr/data/15085055/fileData.do</x:v>
      </x:c>
    </x:row>
    <x:row r="86">
      <x:c r="A86" s="22" t="n">
        <x:v>82</x:v>
      </x:c>
      <x:c r="B86" s="22" t="str">
        <x:v>C</x:v>
      </x:c>
      <x:c r="C86" s="22" t="str">
        <x:v>U</x:v>
      </x:c>
      <x:c r="D86" s="22" t="str">
        <x:v>U-근거부족</x:v>
      </x:c>
      <x:c r="E86" s="22" t="str">
        <x:v>키르기스스탄</x:v>
      </x:c>
      <x:c r="F86" s="22" t="str">
        <x:v>annual_procurement_plan</x:v>
      </x:c>
      <x:c r="G86" s="22" t="str">
        <x:v>15085055:6</x:v>
      </x:c>
      <x:c r="H86" s="22" t="str">
        <x:v>2019-03655</x:v>
      </x:c>
      <x:c r="I86" s="22" t="str">
        <x:v>2019-03655</x:v>
      </x:c>
      <x:c r="J86" s="22" t="str">
        <x:v>existing_db_title_fuzzy</x:v>
      </x:c>
      <x:c r="K86" s="59" t="n">
        <x:v>0.904</x:v>
      </x:c>
      <x:c r="L86" s="22" t="str">
        <x:v>공사</x:v>
      </x:c>
      <x:c r="M86" s="25" t="str">
        <x:v>키르기스스탄 추이 주 교내 위생환경 개선사업 리모델링 시공업체 선정 현지입찰</x:v>
      </x:c>
      <x:c r="N86" s="25" t="str">
        <x:v>시공범위 : 추이 주 가브릴로브카 종합학교, 보옌노·안토노브카 종합학교 리모델링 1.화장실, 보건실, 샤워실, 교내 식당 리모델링, 난방, 환풍 및 공기조화(HVAC), 전반적인 전선 배치 포함한 시공 과정에서 필수로 수반되는 인프라 시공 2. 착공부터 준공까지의 과정에서 필요한 인허가 및 민사 소송 관련 업무 포함  3. 준공도면 및운영·유지관리 매뉴얼 작성  계약기간 : 계약체결일로부터 120일 (계약체결일로부터 14일 이내 착공)</x:v>
      </x:c>
      <x:c r="O86" s="22" t="str">
        <x:v>KRW</x:v>
      </x:c>
      <x:c r="P86" s="31" t="n">
        <x:v>276333603</x:v>
      </x:c>
      <x:c r="Q86" s="22" t="str">
        <x:v>planned_bid_ceiling</x:v>
      </x:c>
      <x:c r="R86" s="31"/>
      <x:c r="S86" s="31"/>
      <x:c r="T86" s="22" t="n">
        <x:v>1</x:v>
      </x:c>
      <x:c r="U86" s="22" t="str">
        <x:v>L2025-00099-1</x:v>
      </x:c>
      <x:c r="V86" s="22" t="n">
        <x:v>9</x:v>
      </x:c>
      <x:c r="W86" s="22" t="n">
        <x:v>0</x:v>
      </x:c>
      <x:c r="X86" s="22" t="n">
        <x:v>0</x:v>
      </x:c>
      <x:c r="Y86" s="22" t="n">
        <x:v>0</x:v>
      </x:c>
      <x:c r="Z86" s="22" t="n">
        <x:v>0</x:v>
      </x:c>
      <x:c r="AA86" s="31"/>
      <x:c r="AB86" s="22" t="str"/>
      <x:c r="AC86" s="34"/>
      <x:c r="AD86" s="25" t="str"/>
      <x:c r="AE86" s="25" t="str">
        <x:v>품목 수량·단가 또는 범위 일치 GFA·공사금액 부족</x:v>
      </x:c>
      <x:c r="AF86" s="25" t="str">
        <x:v>https://www.data.go.kr/data/15085055/fileData.do</x:v>
      </x:c>
    </x:row>
    <x:row r="87">
      <x:c r="A87" s="22" t="n">
        <x:v>83</x:v>
      </x:c>
      <x:c r="B87" s="22" t="str">
        <x:v>C</x:v>
      </x:c>
      <x:c r="C87" s="22" t="str">
        <x:v>U</x:v>
      </x:c>
      <x:c r="D87" s="22" t="str">
        <x:v>X-설계·감리·기타용역</x:v>
      </x:c>
      <x:c r="E87" s="22" t="str">
        <x:v>키르기스스탄</x:v>
      </x:c>
      <x:c r="F87" s="22" t="str">
        <x:v>annual_procurement_plan</x:v>
      </x:c>
      <x:c r="G87" s="22" t="str">
        <x:v>15085055:119</x:v>
      </x:c>
      <x:c r="H87" s="22" t="str"/>
      <x:c r="I87" s="22" t="str">
        <x:v>2019-03655</x:v>
      </x:c>
      <x:c r="J87" s="22" t="str">
        <x:v>verified_title_country_alias</x:v>
      </x:c>
      <x:c r="K87" s="59" t="n">
        <x:v>0.537</x:v>
      </x:c>
      <x:c r="L87" s="22" t="str">
        <x:v>용역</x:v>
      </x:c>
      <x:c r="M87" s="25" t="str">
        <x:v>키르기스스탄 프로젝트봉사단 추이 주 교내 위생환경 개선사업 위생 및 보건시설 개보수 현지 설계 용역</x:v>
      </x:c>
      <x:c r="N87" s="25" t="str">
        <x:v>*사업대상지 2개곳 교내 보건위생시설 개보수 관련 현지 설계 용역 1. 가브릴로브카 종합학교· 초등학생 건물 1층 학생용 남.여 화장실 각 1개 개보수 · 고등학생 건물 2층 학생용 남.여 화장실 각 1개 개보수 · 2층 급식실 배수관, 환풍기 등 개보수· 2층 보건실 개보수2. 보옌노·안토노브카 종합학교 · 초등학생 건물 1층 교사용 화장실 1개, 학생용 화장실 1개, 샤워실 2개 개보수 · 초등학생 건물 2층 남.여 화장실 각 1개, 샤워실 2개 개보수 · 고등학생 건물 1층 교사용 화장실 1개, 남.여 화장실 각 1개 · 1층 급식실 배수관, 환풍기 등 개보수· 1층 보건실 복도 및 보건실 개보수</x:v>
      </x:c>
      <x:c r="O87" s="22" t="str">
        <x:v>KRW</x:v>
      </x:c>
      <x:c r="P87" s="31" t="n">
        <x:v>22841584</x:v>
      </x:c>
      <x:c r="Q87" s="22" t="str">
        <x:v>planned_bid_ceiling</x:v>
      </x:c>
      <x:c r="R87" s="31"/>
      <x:c r="S87" s="31"/>
      <x:c r="T87" s="22" t="n">
        <x:v>1</x:v>
      </x:c>
      <x:c r="U87" s="22" t="str">
        <x:v>L2025-00099-1</x:v>
      </x:c>
      <x:c r="V87" s="22" t="n">
        <x:v>9</x:v>
      </x:c>
      <x:c r="W87" s="22" t="n">
        <x:v>0</x:v>
      </x:c>
      <x:c r="X87" s="22" t="n">
        <x:v>0</x:v>
      </x:c>
      <x:c r="Y87" s="22" t="n">
        <x:v>0</x:v>
      </x:c>
      <x:c r="Z87" s="22" t="n">
        <x:v>0</x:v>
      </x:c>
      <x:c r="AA87" s="31"/>
      <x:c r="AB87" s="22" t="str"/>
      <x:c r="AC87" s="34"/>
      <x:c r="AD87" s="25" t="str"/>
      <x:c r="AE87" s="25" t="str">
        <x:v>품목 수량·단가 또는 범위 일치 GFA·공사금액 부족</x:v>
      </x:c>
      <x:c r="AF87" s="25" t="str">
        <x:v>https://www.data.go.kr/data/15085055/fileData.do</x:v>
      </x:c>
    </x:row>
    <x:row r="88">
      <x:c r="A88" s="22" t="n">
        <x:v>84</x:v>
      </x:c>
      <x:c r="B88" s="22" t="str">
        <x:v>C</x:v>
      </x:c>
      <x:c r="C88" s="22" t="str">
        <x:v>U</x:v>
      </x:c>
      <x:c r="D88" s="22" t="str">
        <x:v>X-설계·감리·기타용역</x:v>
      </x:c>
      <x:c r="E88" s="22" t="str">
        <x:v>타지키스탄</x:v>
      </x:c>
      <x:c r="F88" s="22" t="str">
        <x:v>annual_procurement_plan</x:v>
      </x:c>
      <x:c r="G88" s="22" t="str">
        <x:v>15085055:303</x:v>
      </x:c>
      <x:c r="H88" s="22" t="str"/>
      <x:c r="I88" s="22" t="str"/>
      <x:c r="J88" s="22" t="str"/>
      <x:c r="K88" s="59" t="n">
        <x:v>0.34</x:v>
      </x:c>
      <x:c r="L88" s="22" t="str">
        <x:v>용역</x:v>
      </x:c>
      <x:c r="M88" s="25" t="str">
        <x:v>타지키스탄 섬유산업 전문기술인력 양성을 위한 섬유기술센터 설립 사업 PMC 선정</x:v>
      </x:c>
      <x:c r="N88" s="25" t="str">
        <x:v>· 사업관리 총괄· 섬유기술텐터 운영계획 수립· 섬유기술센터 교육과정 개발 및 과정별 교보재 제작· 시공업체 선정 및 기자재 조달 지원· 산학협력 프로그램 운영· 인력 역량강화 등</x:v>
      </x:c>
      <x:c r="O88" s="22" t="str">
        <x:v>KRW</x:v>
      </x:c>
      <x:c r="P88" s="31" t="n">
        <x:v>2940917093</x:v>
      </x:c>
      <x:c r="Q88" s="22" t="str">
        <x:v>planned_bid_ceiling</x:v>
      </x:c>
      <x:c r="R88" s="31"/>
      <x:c r="S88" s="31"/>
      <x:c r="T88" s="22" t="n">
        <x:v>0</x:v>
      </x:c>
      <x:c r="U88" s="22" t="str"/>
      <x:c r="V88" s="22" t="n">
        <x:v>0</x:v>
      </x:c>
      <x:c r="W88" s="22" t="n">
        <x:v>0</x:v>
      </x:c>
      <x:c r="X88" s="22" t="n">
        <x:v>0</x:v>
      </x:c>
      <x:c r="Y88" s="22" t="n">
        <x:v>0</x:v>
      </x:c>
      <x:c r="Z88" s="22" t="n">
        <x:v>0</x:v>
      </x:c>
      <x:c r="AA88" s="31"/>
      <x:c r="AB88" s="22" t="str"/>
      <x:c r="AC88" s="34"/>
      <x:c r="AD88" s="25" t="str"/>
      <x:c r="AE88" s="25" t="str">
        <x:v>품목 수량·단가 또는 범위 일치 GFA·공사금액 부족</x:v>
      </x:c>
      <x:c r="AF88" s="25" t="str">
        <x:v>https://www.data.go.kr/data/15085055/fileData.do</x:v>
      </x:c>
    </x:row>
    <x:row r="89">
      <x:c r="A89" s="22" t="n">
        <x:v>85</x:v>
      </x:c>
      <x:c r="B89" s="22" t="str">
        <x:v>C</x:v>
      </x:c>
      <x:c r="C89" s="22" t="str">
        <x:v>U</x:v>
      </x:c>
      <x:c r="D89" s="22" t="str">
        <x:v>X-설계·감리·기타용역</x:v>
      </x:c>
      <x:c r="E89" s="22" t="str">
        <x:v>탄자니아</x:v>
      </x:c>
      <x:c r="F89" s="22" t="str">
        <x:v>annual_procurement_plan</x:v>
      </x:c>
      <x:c r="G89" s="22" t="str">
        <x:v>15085055:346</x:v>
      </x:c>
      <x:c r="H89" s="22" t="str">
        <x:v>2023-00100</x:v>
      </x:c>
      <x:c r="I89" s="22" t="str">
        <x:v>2023-00100</x:v>
      </x:c>
      <x:c r="J89" s="22" t="str">
        <x:v>official_report_title_containment</x:v>
      </x:c>
      <x:c r="K89" s="59" t="n">
        <x:v>0.99</x:v>
      </x:c>
      <x:c r="L89" s="22" t="str">
        <x:v>용역</x:v>
      </x:c>
      <x:c r="M89" s="25" t="str">
        <x:v>탄자니아 도도마주 유수율 제고 시범모델 구축 및 상수도 시설 개선사업(23·26/382만불) 설계</x:v>
      </x:c>
      <x:c r="N89" s="25" t="str">
        <x:v>· 설계업무 수행 · 측량 및 토질조사 · 농촌지역의 상수도 공급시설 신설/교체 설계   (취수시설, 송·배수관로, 공동급수대 등) · 도도마시의 Pilot DMA 구축계획 및 기존 시설개량 설계 · 현지인허가 취득</x:v>
      </x:c>
      <x:c r="O89" s="22" t="str">
        <x:v>KRW</x:v>
      </x:c>
      <x:c r="P89" s="31" t="n">
        <x:v>160150662</x:v>
      </x:c>
      <x:c r="Q89" s="22" t="str">
        <x:v>planned_bid_ceiling</x:v>
      </x:c>
      <x:c r="R89" s="31"/>
      <x:c r="S89" s="31"/>
      <x:c r="T89" s="22" t="n">
        <x:v>1</x:v>
      </x:c>
      <x:c r="U89" s="22" t="str">
        <x:v>L2025-00006-1</x:v>
      </x:c>
      <x:c r="V89" s="22" t="n">
        <x:v>17</x:v>
      </x:c>
      <x:c r="W89" s="22" t="n">
        <x:v>0</x:v>
      </x:c>
      <x:c r="X89" s="22" t="n">
        <x:v>0</x:v>
      </x:c>
      <x:c r="Y89" s="22" t="n">
        <x:v>0</x:v>
      </x:c>
      <x:c r="Z89" s="22" t="n">
        <x:v>0</x:v>
      </x:c>
      <x:c r="AA89" s="31"/>
      <x:c r="AB89" s="22" t="str"/>
      <x:c r="AC89" s="34"/>
      <x:c r="AD89" s="25" t="str"/>
      <x:c r="AE89" s="25" t="str">
        <x:v>품목 수량·단가 또는 범위 일치 GFA·공사금액 부족</x:v>
      </x:c>
      <x:c r="AF89" s="25" t="str">
        <x:v>https://www.data.go.kr/data/15085055/fileData.do</x:v>
      </x:c>
    </x:row>
    <x:row r="90">
      <x:c r="A90" s="22" t="n">
        <x:v>86</x:v>
      </x:c>
      <x:c r="B90" s="22" t="str">
        <x:v>C</x:v>
      </x:c>
      <x:c r="C90" s="22" t="str">
        <x:v>U</x:v>
      </x:c>
      <x:c r="D90" s="22" t="str">
        <x:v>X-설계·감리·기타용역</x:v>
      </x:c>
      <x:c r="E90" s="22" t="str">
        <x:v>탄자니아</x:v>
      </x:c>
      <x:c r="F90" s="22" t="str">
        <x:v>annual_procurement_plan</x:v>
      </x:c>
      <x:c r="G90" s="22" t="str">
        <x:v>15085055:188</x:v>
      </x:c>
      <x:c r="H90" s="22" t="str"/>
      <x:c r="I90" s="22" t="str"/>
      <x:c r="J90" s="22" t="str"/>
      <x:c r="K90" s="59" t="n">
        <x:v>0.333</x:v>
      </x:c>
      <x:c r="L90" s="22" t="str">
        <x:v>용역</x:v>
      </x:c>
      <x:c r="M90" s="25" t="str">
        <x:v>탄자니아 모로고로 주 폴리텍대학 건립 및 기술교육훈련 사업(25·30/1,950만불) PMC 용역</x:v>
      </x:c>
      <x:c r="N90" s="25" t="str">
        <x:v>폴리텍대학의 설계, 시공 및 기자재 공급을 제외한 전체 과업에 대한 실행 및 관리</x:v>
      </x:c>
      <x:c r="O90" s="22" t="str">
        <x:v>KRW</x:v>
      </x:c>
      <x:c r="P90" s="31" t="n">
        <x:v>3864000000</x:v>
      </x:c>
      <x:c r="Q90" s="22" t="str">
        <x:v>planned_bid_ceiling</x:v>
      </x:c>
      <x:c r="R90" s="31"/>
      <x:c r="S90" s="31"/>
      <x:c r="T90" s="22" t="n">
        <x:v>0</x:v>
      </x:c>
      <x:c r="U90" s="22" t="str"/>
      <x:c r="V90" s="22" t="n">
        <x:v>0</x:v>
      </x:c>
      <x:c r="W90" s="22" t="n">
        <x:v>0</x:v>
      </x:c>
      <x:c r="X90" s="22" t="n">
        <x:v>0</x:v>
      </x:c>
      <x:c r="Y90" s="22" t="n">
        <x:v>0</x:v>
      </x:c>
      <x:c r="Z90" s="22" t="n">
        <x:v>0</x:v>
      </x:c>
      <x:c r="AA90" s="31"/>
      <x:c r="AB90" s="22" t="str"/>
      <x:c r="AC90" s="34"/>
      <x:c r="AD90" s="25" t="str"/>
      <x:c r="AE90" s="25" t="str">
        <x:v>품목 수량·단가 또는 범위 일치 GFA·공사금액 부족</x:v>
      </x:c>
      <x:c r="AF90" s="25" t="str">
        <x:v>https://www.data.go.kr/data/15085055/fileData.do</x:v>
      </x:c>
    </x:row>
    <x:row r="91">
      <x:c r="A91" s="22" t="n">
        <x:v>87</x:v>
      </x:c>
      <x:c r="B91" s="22" t="str">
        <x:v>C</x:v>
      </x:c>
      <x:c r="C91" s="22" t="str">
        <x:v>U</x:v>
      </x:c>
      <x:c r="D91" s="22" t="str">
        <x:v>X-설계·감리·기타용역</x:v>
      </x:c>
      <x:c r="E91" s="22" t="str">
        <x:v>탄자니아</x:v>
      </x:c>
      <x:c r="F91" s="22" t="str">
        <x:v>annual_procurement_plan</x:v>
      </x:c>
      <x:c r="G91" s="22" t="str">
        <x:v>15085055:109</x:v>
      </x:c>
      <x:c r="H91" s="22" t="str"/>
      <x:c r="I91" s="22" t="str"/>
      <x:c r="J91" s="22" t="str"/>
      <x:c r="K91" s="59" t="n">
        <x:v>0.607</x:v>
      </x:c>
      <x:c r="L91" s="22" t="str">
        <x:v>용역</x:v>
      </x:c>
      <x:c r="M91" s="25" t="str">
        <x:v>탄자니아 프와니주 농촌지역 상수도 공급시설 구축 사업('25·'29/1,100만불) 설계 용역</x:v>
      </x:c>
      <x:c r="N91" s="25" t="str">
        <x:v>▪ 측량 및 토질조사▪ 상수도 공급시설 설계▪ 환경사회영향평가(ESIA)</x:v>
      </x:c>
      <x:c r="O91" s="22" t="str">
        <x:v>KRW</x:v>
      </x:c>
      <x:c r="P91" s="31" t="n">
        <x:v>730434000</x:v>
      </x:c>
      <x:c r="Q91" s="22" t="str">
        <x:v>planned_bid_ceiling</x:v>
      </x:c>
      <x:c r="R91" s="31"/>
      <x:c r="S91" s="31"/>
      <x:c r="T91" s="22" t="n">
        <x:v>0</x:v>
      </x:c>
      <x:c r="U91" s="22" t="str"/>
      <x:c r="V91" s="22" t="n">
        <x:v>0</x:v>
      </x:c>
      <x:c r="W91" s="22" t="n">
        <x:v>0</x:v>
      </x:c>
      <x:c r="X91" s="22" t="n">
        <x:v>0</x:v>
      </x:c>
      <x:c r="Y91" s="22" t="n">
        <x:v>0</x:v>
      </x:c>
      <x:c r="Z91" s="22" t="n">
        <x:v>0</x:v>
      </x:c>
      <x:c r="AA91" s="31"/>
      <x:c r="AB91" s="22" t="str"/>
      <x:c r="AC91" s="34"/>
      <x:c r="AD91" s="25" t="str"/>
      <x:c r="AE91" s="25" t="str">
        <x:v>품목 수량·단가 또는 범위 일치 GFA·공사금액 부족</x:v>
      </x:c>
      <x:c r="AF91" s="25" t="str">
        <x:v>https://www.data.go.kr/data/15085055/fileData.do</x:v>
      </x:c>
    </x:row>
    <x:row r="92">
      <x:c r="A92" s="22" t="n">
        <x:v>88</x:v>
      </x:c>
      <x:c r="B92" s="22" t="str">
        <x:v>C</x:v>
      </x:c>
      <x:c r="C92" s="22" t="str">
        <x:v>U</x:v>
      </x:c>
      <x:c r="D92" s="22" t="str">
        <x:v>X-설계·감리·기타용역</x:v>
      </x:c>
      <x:c r="E92" s="22" t="str">
        <x:v>튀니지</x:v>
      </x:c>
      <x:c r="F92" s="22" t="str">
        <x:v>annual_procurement_plan</x:v>
      </x:c>
      <x:c r="G92" s="22" t="str">
        <x:v>15085055:226</x:v>
      </x:c>
      <x:c r="H92" s="22" t="str"/>
      <x:c r="I92" s="22" t="str"/>
      <x:c r="J92" s="22" t="str"/>
      <x:c r="K92" s="59" t="n">
        <x:v>0.35</x:v>
      </x:c>
      <x:c r="L92" s="22" t="str">
        <x:v>용역</x:v>
      </x:c>
      <x:c r="M92" s="25" t="str">
        <x:v>튀니지 글로벌 공공조달교육원 건립 사업(25·30/1,100만불) PMC 용역 입찰</x:v>
      </x:c>
      <x:c r="N92" s="25" t="str">
        <x:v>사업관리, 조달교육 컨설팅, 조달시스템 컨설팅, 교육역량강화, 모니터링, 성과관리</x:v>
      </x:c>
      <x:c r="O92" s="22" t="str">
        <x:v>KRW</x:v>
      </x:c>
      <x:c r="P92" s="31" t="n">
        <x:v>4563830865</x:v>
      </x:c>
      <x:c r="Q92" s="22" t="str">
        <x:v>planned_bid_ceiling</x:v>
      </x:c>
      <x:c r="R92" s="31"/>
      <x:c r="S92" s="31"/>
      <x:c r="T92" s="22" t="n">
        <x:v>0</x:v>
      </x:c>
      <x:c r="U92" s="22" t="str"/>
      <x:c r="V92" s="22" t="n">
        <x:v>0</x:v>
      </x:c>
      <x:c r="W92" s="22" t="n">
        <x:v>0</x:v>
      </x:c>
      <x:c r="X92" s="22" t="n">
        <x:v>0</x:v>
      </x:c>
      <x:c r="Y92" s="22" t="n">
        <x:v>0</x:v>
      </x:c>
      <x:c r="Z92" s="22" t="n">
        <x:v>0</x:v>
      </x:c>
      <x:c r="AA92" s="31"/>
      <x:c r="AB92" s="22" t="str"/>
      <x:c r="AC92" s="34"/>
      <x:c r="AD92" s="25" t="str"/>
      <x:c r="AE92" s="25" t="str">
        <x:v>품목 수량·단가 또는 범위 일치 GFA·공사금액 부족</x:v>
      </x:c>
      <x:c r="AF92" s="25" t="str">
        <x:v>https://www.data.go.kr/data/15085055/fileData.do</x:v>
      </x:c>
    </x:row>
    <x:row r="93">
      <x:c r="A93" s="22" t="n">
        <x:v>89</x:v>
      </x:c>
      <x:c r="B93" s="22" t="str">
        <x:v>C</x:v>
      </x:c>
      <x:c r="C93" s="22" t="str">
        <x:v>U</x:v>
      </x:c>
      <x:c r="D93" s="22" t="str">
        <x:v>X-설계·감리·기타용역</x:v>
      </x:c>
      <x:c r="E93" s="22" t="str">
        <x:v>파키스탄</x:v>
      </x:c>
      <x:c r="F93" s="22" t="str">
        <x:v>annual_procurement_plan</x:v>
      </x:c>
      <x:c r="G93" s="22" t="str">
        <x:v>15085055:157</x:v>
      </x:c>
      <x:c r="H93" s="22" t="str">
        <x:v>2013-00059</x:v>
      </x:c>
      <x:c r="I93" s="22" t="str">
        <x:v>2013-00059</x:v>
      </x:c>
      <x:c r="J93" s="22" t="str">
        <x:v>official_report_title_containment</x:v>
      </x:c>
      <x:c r="K93" s="59" t="n">
        <x:v>0.99</x:v>
      </x:c>
      <x:c r="L93" s="22" t="str">
        <x:v>용역</x:v>
      </x:c>
      <x:c r="M93" s="25" t="str">
        <x:v>파키스탄 국립섬유대학 산업용 섬유센터 설립사업 2차사업('22·'28/795만불) 감리용역</x:v>
      </x:c>
      <x:c r="N93" s="25" t="str">
        <x:v>표제사업 산업용 섬유센터 건축 감리용역</x:v>
      </x:c>
      <x:c r="O93" s="22" t="str">
        <x:v>KRW</x:v>
      </x:c>
      <x:c r="P93" s="31" t="n">
        <x:v>78000000</x:v>
      </x:c>
      <x:c r="Q93" s="22" t="str">
        <x:v>planned_bid_ceiling</x:v>
      </x:c>
      <x:c r="R93" s="31"/>
      <x:c r="S93" s="31"/>
      <x:c r="T93" s="22" t="n">
        <x:v>0</x:v>
      </x:c>
      <x:c r="U93" s="22" t="str"/>
      <x:c r="V93" s="22" t="n">
        <x:v>0</x:v>
      </x:c>
      <x:c r="W93" s="22" t="n">
        <x:v>0</x:v>
      </x:c>
      <x:c r="X93" s="22" t="n">
        <x:v>0</x:v>
      </x:c>
      <x:c r="Y93" s="22" t="n">
        <x:v>0</x:v>
      </x:c>
      <x:c r="Z93" s="22" t="n">
        <x:v>0</x:v>
      </x:c>
      <x:c r="AA93" s="31"/>
      <x:c r="AB93" s="22" t="str"/>
      <x:c r="AC93" s="34"/>
      <x:c r="AD93" s="25" t="str"/>
      <x:c r="AE93" s="25" t="str">
        <x:v>품목 수량·단가 또는 범위 일치 GFA·공사금액 부족</x:v>
      </x:c>
      <x:c r="AF93" s="25" t="str">
        <x:v>https://www.data.go.kr/data/15085055/fileData.do</x:v>
      </x:c>
    </x:row>
    <x:row r="94">
      <x:c r="A94" s="22" t="n">
        <x:v>90</x:v>
      </x:c>
      <x:c r="B94" s="22" t="str">
        <x:v>C</x:v>
      </x:c>
      <x:c r="C94" s="22" t="str">
        <x:v>U</x:v>
      </x:c>
      <x:c r="D94" s="22" t="str">
        <x:v>X-설계·감리·기타용역</x:v>
      </x:c>
      <x:c r="E94" s="22" t="str">
        <x:v>파키스탄</x:v>
      </x:c>
      <x:c r="F94" s="22" t="str">
        <x:v>annual_procurement_plan</x:v>
      </x:c>
      <x:c r="G94" s="22" t="str">
        <x:v>15085055:162</x:v>
      </x:c>
      <x:c r="H94" s="22" t="str">
        <x:v>2013-00059</x:v>
      </x:c>
      <x:c r="I94" s="22" t="str">
        <x:v>2013-00059</x:v>
      </x:c>
      <x:c r="J94" s="22" t="str">
        <x:v>official_report_title_containment</x:v>
      </x:c>
      <x:c r="K94" s="59" t="n">
        <x:v>0.99</x:v>
      </x:c>
      <x:c r="L94" s="22" t="str">
        <x:v>용역</x:v>
      </x:c>
      <x:c r="M94" s="25" t="str">
        <x:v>파키스탄 국립섬유대학 산업용 섬유센터 설립사업 2차사업(22·28/795만불) 감리용역</x:v>
      </x:c>
      <x:c r="N94" s="25" t="str">
        <x:v>표제사업 섬유센터 건축 감리용역</x:v>
      </x:c>
      <x:c r="O94" s="22" t="str">
        <x:v>KRW</x:v>
      </x:c>
      <x:c r="P94" s="31" t="n">
        <x:v>78000000</x:v>
      </x:c>
      <x:c r="Q94" s="22" t="str">
        <x:v>planned_bid_ceiling</x:v>
      </x:c>
      <x:c r="R94" s="31"/>
      <x:c r="S94" s="31"/>
      <x:c r="T94" s="22" t="n">
        <x:v>0</x:v>
      </x:c>
      <x:c r="U94" s="22" t="str"/>
      <x:c r="V94" s="22" t="n">
        <x:v>0</x:v>
      </x:c>
      <x:c r="W94" s="22" t="n">
        <x:v>0</x:v>
      </x:c>
      <x:c r="X94" s="22" t="n">
        <x:v>0</x:v>
      </x:c>
      <x:c r="Y94" s="22" t="n">
        <x:v>0</x:v>
      </x:c>
      <x:c r="Z94" s="22" t="n">
        <x:v>0</x:v>
      </x:c>
      <x:c r="AA94" s="31"/>
      <x:c r="AB94" s="22" t="str"/>
      <x:c r="AC94" s="34"/>
      <x:c r="AD94" s="25" t="str"/>
      <x:c r="AE94" s="25" t="str">
        <x:v>품목 수량·단가 또는 범위 일치 GFA·공사금액 부족</x:v>
      </x:c>
      <x:c r="AF94" s="25" t="str">
        <x:v>https://www.data.go.kr/data/15085055/fileData.do</x:v>
      </x:c>
    </x:row>
    <x:row r="95">
      <x:c r="A95" s="22" t="n">
        <x:v>91</x:v>
      </x:c>
      <x:c r="B95" s="22" t="str">
        <x:v>C</x:v>
      </x:c>
      <x:c r="C95" s="22" t="str">
        <x:v>U</x:v>
      </x:c>
      <x:c r="D95" s="22" t="str">
        <x:v>U-근거부족</x:v>
      </x:c>
      <x:c r="E95" s="22" t="str">
        <x:v>파키스탄</x:v>
      </x:c>
      <x:c r="F95" s="22" t="str">
        <x:v>annual_procurement_plan</x:v>
      </x:c>
      <x:c r="G95" s="22" t="str">
        <x:v>15085055:270</x:v>
      </x:c>
      <x:c r="H95" s="22" t="str">
        <x:v>2013-00059</x:v>
      </x:c>
      <x:c r="I95" s="22" t="str">
        <x:v>2013-00059</x:v>
      </x:c>
      <x:c r="J95" s="22" t="str">
        <x:v>official_report_title_containment</x:v>
      </x:c>
      <x:c r="K95" s="59" t="n">
        <x:v>0.99</x:v>
      </x:c>
      <x:c r="L95" s="22" t="str">
        <x:v>공사</x:v>
      </x:c>
      <x:c r="M95" s="25" t="str">
        <x:v>파키스탄 국립섬유대학 산업용 섬유센터 설립사업 2차사업(22·28/795만불) 공사</x:v>
      </x:c>
      <x:c r="N95" s="25" t="str">
        <x:v>파키스탄 국립섬유대학 산업용 섬유센터 신축 시공</x:v>
      </x:c>
      <x:c r="O95" s="22" t="str">
        <x:v>KRW</x:v>
      </x:c>
      <x:c r="P95" s="31" t="n">
        <x:v>2219625100</x:v>
      </x:c>
      <x:c r="Q95" s="22" t="str">
        <x:v>planned_bid_ceiling</x:v>
      </x:c>
      <x:c r="R95" s="31"/>
      <x:c r="S95" s="31"/>
      <x:c r="T95" s="22" t="n">
        <x:v>0</x:v>
      </x:c>
      <x:c r="U95" s="22" t="str"/>
      <x:c r="V95" s="22" t="n">
        <x:v>0</x:v>
      </x:c>
      <x:c r="W95" s="22" t="n">
        <x:v>0</x:v>
      </x:c>
      <x:c r="X95" s="22" t="n">
        <x:v>0</x:v>
      </x:c>
      <x:c r="Y95" s="22" t="n">
        <x:v>0</x:v>
      </x:c>
      <x:c r="Z95" s="22" t="n">
        <x:v>0</x:v>
      </x:c>
      <x:c r="AA95" s="31"/>
      <x:c r="AB95" s="22" t="str"/>
      <x:c r="AC95" s="34"/>
      <x:c r="AD95" s="25" t="str"/>
      <x:c r="AE95" s="25" t="str">
        <x:v>품목 수량·단가 또는 범위 일치 GFA·공사금액 부족</x:v>
      </x:c>
      <x:c r="AF95" s="25" t="str">
        <x:v>https://www.data.go.kr/data/15085055/fileData.do</x:v>
      </x:c>
    </x:row>
    <x:row r="96">
      <x:c r="A96" s="22" t="n">
        <x:v>92</x:v>
      </x:c>
      <x:c r="B96" s="22" t="str">
        <x:v>C</x:v>
      </x:c>
      <x:c r="C96" s="22" t="str">
        <x:v>U</x:v>
      </x:c>
      <x:c r="D96" s="22" t="str">
        <x:v>X-설계·감리·기타용역</x:v>
      </x:c>
      <x:c r="E96" s="22" t="str">
        <x:v>파키스탄</x:v>
      </x:c>
      <x:c r="F96" s="22" t="str">
        <x:v>annual_procurement_plan</x:v>
      </x:c>
      <x:c r="G96" s="22" t="str">
        <x:v>15085055:213</x:v>
      </x:c>
      <x:c r="H96" s="22" t="str"/>
      <x:c r="I96" s="22" t="str">
        <x:v>2024-00107</x:v>
      </x:c>
      <x:c r="J96" s="22" t="str">
        <x:v>verified_title_country_alias</x:v>
      </x:c>
      <x:c r="K96" s="59" t="n">
        <x:v>0.874</x:v>
      </x:c>
      <x:c r="L96" s="22" t="str">
        <x:v>용역</x:v>
      </x:c>
      <x:c r="M96" s="25" t="str">
        <x:v>파키스탄 펀잡주 물탄시티 기후변화 적응을 위한 홍수방재 마스터플랜 수립 및 우수저류시설 설치사업 설계 용역</x:v>
      </x:c>
      <x:c r="N96" s="25" t="str">
        <x:v>파키스탄 펀잡주 물탄시티 기후변화 적응을 위한 홍수방재 마스터플랜 수립 및 우수저류시설 설치사업 설계 용역 현지입찰</x:v>
      </x:c>
      <x:c r="O96" s="22" t="str">
        <x:v>KRW</x:v>
      </x:c>
      <x:c r="P96" s="31" t="n">
        <x:v>351000062</x:v>
      </x:c>
      <x:c r="Q96" s="22" t="str">
        <x:v>planned_bid_ceiling</x:v>
      </x:c>
      <x:c r="R96" s="31"/>
      <x:c r="S96" s="31"/>
      <x:c r="T96" s="22" t="n">
        <x:v>1</x:v>
      </x:c>
      <x:c r="U96" s="22" t="str">
        <x:v>L2025-00066-1</x:v>
      </x:c>
      <x:c r="V96" s="22" t="n">
        <x:v>16</x:v>
      </x:c>
      <x:c r="W96" s="22" t="n">
        <x:v>0</x:v>
      </x:c>
      <x:c r="X96" s="22" t="n">
        <x:v>0</x:v>
      </x:c>
      <x:c r="Y96" s="22" t="n">
        <x:v>0</x:v>
      </x:c>
      <x:c r="Z96" s="22" t="n">
        <x:v>0</x:v>
      </x:c>
      <x:c r="AA96" s="31"/>
      <x:c r="AB96" s="22" t="str"/>
      <x:c r="AC96" s="34"/>
      <x:c r="AD96" s="25" t="str"/>
      <x:c r="AE96" s="25" t="str">
        <x:v>품목 수량·단가 또는 범위 일치 GFA·공사금액 부족</x:v>
      </x:c>
      <x:c r="AF96" s="25" t="str">
        <x:v>https://www.data.go.kr/data/15085055/fileData.do</x:v>
      </x:c>
    </x:row>
    <x:row r="97">
      <x:c r="A97" s="22" t="n">
        <x:v>93</x:v>
      </x:c>
      <x:c r="B97" s="22" t="str">
        <x:v>B</x:v>
      </x:c>
      <x:c r="C97" s="22" t="str">
        <x:v>B</x:v>
      </x:c>
      <x:c r="D97" s="22" t="str">
        <x:v>B</x:v>
      </x:c>
      <x:c r="E97" s="22" t="str">
        <x:v>피지</x:v>
      </x:c>
      <x:c r="F97" s="22" t="str">
        <x:v>annual_procurement_plan</x:v>
      </x:c>
      <x:c r="G97" s="22" t="str">
        <x:v>15085055:196</x:v>
      </x:c>
      <x:c r="H97" s="22" t="str">
        <x:v>2022-00076</x:v>
      </x:c>
      <x:c r="I97" s="22" t="str">
        <x:v>2022-00076</x:v>
      </x:c>
      <x:c r="J97" s="22" t="str">
        <x:v>official_report_title_containment</x:v>
      </x:c>
      <x:c r="K97" s="59" t="n">
        <x:v>0.99</x:v>
      </x:c>
      <x:c r="L97" s="22" t="str">
        <x:v>공사</x:v>
      </x:c>
      <x:c r="M97" s="25" t="str">
        <x:v>피지 국립재활센터 건립사업(22·27/1,000만불) 시공 용역</x:v>
      </x:c>
      <x:c r="N97" s="25" t="str">
        <x:v>재활센터 시공</x:v>
      </x:c>
      <x:c r="O97" s="22" t="str">
        <x:v>KRW</x:v>
      </x:c>
      <x:c r="P97" s="31" t="n">
        <x:v>7259095740</x:v>
      </x:c>
      <x:c r="Q97" s="22" t="str">
        <x:v>planned_bid_ceiling</x:v>
      </x:c>
      <x:c r="R97" s="31"/>
      <x:c r="S97" s="31"/>
      <x:c r="T97" s="22" t="n">
        <x:v>3</x:v>
      </x:c>
      <x:c r="U97" s="22" t="str">
        <x:v>L2023-00038-1;L2025-00051-1;L2025-00051-2</x:v>
      </x:c>
      <x:c r="V97" s="22" t="n">
        <x:v>46</x:v>
      </x:c>
      <x:c r="W97" s="22" t="n">
        <x:v>3</x:v>
      </x:c>
      <x:c r="X97" s="22" t="n">
        <x:v>2</x:v>
      </x:c>
      <x:c r="Y97" s="22" t="n">
        <x:v>1</x:v>
      </x:c>
      <x:c r="Z97" s="22" t="n">
        <x:v>0</x:v>
      </x:c>
      <x:c r="AA97" s="31"/>
      <x:c r="AB97" s="22" t="str"/>
      <x:c r="AC97" s="34"/>
      <x:c r="AD97" s="25" t="str">
        <x:v>L2025-00051-1/Section 4 - Bill of Quantity.xlsx</x:v>
      </x:c>
      <x:c r="AE97" s="25" t="str">
        <x:v>품목별 피지 현지 단가 부재; 재공고 파일 해시 동일</x:v>
      </x:c>
      <x:c r="AF97" s="25" t="str">
        <x:v>https://www.data.go.kr/data/15085055/fileData.do</x:v>
      </x:c>
    </x:row>
    <x:row r="98">
      <x:c r="A98" s="22" t="n">
        <x:v>94</x:v>
      </x:c>
      <x:c r="B98" s="22" t="str">
        <x:v>C</x:v>
      </x:c>
      <x:c r="C98" s="22" t="str">
        <x:v>U</x:v>
      </x:c>
      <x:c r="D98" s="22" t="str">
        <x:v>U-근거부족</x:v>
      </x:c>
      <x:c r="E98" s="22" t="str">
        <x:v>피지</x:v>
      </x:c>
      <x:c r="F98" s="22" t="str">
        <x:v>annual_procurement_plan</x:v>
      </x:c>
      <x:c r="G98" s="22" t="str">
        <x:v>15085055:364</x:v>
      </x:c>
      <x:c r="H98" s="22" t="str">
        <x:v>2021-00097</x:v>
      </x:c>
      <x:c r="I98" s="22" t="str">
        <x:v>2021-00097</x:v>
      </x:c>
      <x:c r="J98" s="22" t="str">
        <x:v>official_report_title_containment</x:v>
      </x:c>
      <x:c r="K98" s="59" t="n">
        <x:v>0.99</x:v>
      </x:c>
      <x:c r="L98" s="22" t="str">
        <x:v>공사</x:v>
      </x:c>
      <x:c r="M98" s="25" t="str">
        <x:v>피지 농업공존형 태양광 발전사업(GCF)(21·24/800만불) 영농기술센터 및 농기자재 보관창고 시공</x:v>
      </x:c>
      <x:c r="N98" s="25" t="str">
        <x:v>영농기술센터 및 농기자재 보관창고 시공</x:v>
      </x:c>
      <x:c r="O98" s="22" t="str">
        <x:v>KRW</x:v>
      </x:c>
      <x:c r="P98" s="31" t="n">
        <x:v>2710764854</x:v>
      </x:c>
      <x:c r="Q98" s="22" t="str">
        <x:v>planned_bid_ceiling</x:v>
      </x:c>
      <x:c r="R98" s="31"/>
      <x:c r="S98" s="31"/>
      <x:c r="T98" s="22" t="n">
        <x:v>4</x:v>
      </x:c>
      <x:c r="U98" s="22" t="str">
        <x:v>L2023-00030-1;L2024-00036-1;L2025-00015-1;L2025-00015-2</x:v>
      </x:c>
      <x:c r="V98" s="22" t="n">
        <x:v>2</x:v>
      </x:c>
      <x:c r="W98" s="22" t="n">
        <x:v>0</x:v>
      </x:c>
      <x:c r="X98" s="22" t="n">
        <x:v>0</x:v>
      </x:c>
      <x:c r="Y98" s="22" t="n">
        <x:v>0</x:v>
      </x:c>
      <x:c r="Z98" s="22" t="n">
        <x:v>0</x:v>
      </x:c>
      <x:c r="AA98" s="31"/>
      <x:c r="AB98" s="22" t="str"/>
      <x:c r="AC98" s="34"/>
      <x:c r="AD98" s="25" t="str"/>
      <x:c r="AE98" s="25" t="str">
        <x:v>품목 수량·단가 또는 범위 일치 GFA·공사금액 부족</x:v>
      </x:c>
      <x:c r="AF98" s="25" t="str">
        <x:v>https://www.data.go.kr/data/15085055/fileData.do</x:v>
      </x:c>
    </x:row>
    <x:row r="99">
      <x:c r="A99" s="22" t="n">
        <x:v>95</x:v>
      </x:c>
      <x:c r="B99" s="22" t="str">
        <x:v>C</x:v>
      </x:c>
      <x:c r="C99" s="22" t="str">
        <x:v>U</x:v>
      </x:c>
      <x:c r="D99" s="22" t="str">
        <x:v>X-설계·감리·기타용역</x:v>
      </x:c>
      <x:c r="E99" s="22" t="str">
        <x:v>필리핀</x:v>
      </x:c>
      <x:c r="F99" s="22" t="str">
        <x:v>annual_procurement_plan</x:v>
      </x:c>
      <x:c r="G99" s="22" t="str">
        <x:v>15085055:336</x:v>
      </x:c>
      <x:c r="H99" s="22" t="str"/>
      <x:c r="I99" s="22" t="str"/>
      <x:c r="J99" s="22" t="str"/>
      <x:c r="K99" s="59" t="n">
        <x:v>0.517</x:v>
      </x:c>
      <x:c r="L99" s="22" t="str">
        <x:v>용역</x:v>
      </x:c>
      <x:c r="M99" s="25" t="str">
        <x:v>필리핀 경찰청 범죄수사정보 통합관리 시스템 구축 사업 시스템 감리 용역</x:v>
      </x:c>
      <x:c r="N99" s="25" t="str">
        <x:v>․ 범죄수사통합관리시스템 구축  데이터클라우드센터 구축 사업  감리 실시</x:v>
      </x:c>
      <x:c r="O99" s="22" t="str">
        <x:v>KRW</x:v>
      </x:c>
      <x:c r="P99" s="31" t="n">
        <x:v>300000000</x:v>
      </x:c>
      <x:c r="Q99" s="22" t="str">
        <x:v>planned_bid_ceiling</x:v>
      </x:c>
      <x:c r="R99" s="31"/>
      <x:c r="S99" s="31"/>
      <x:c r="T99" s="22" t="n">
        <x:v>0</x:v>
      </x:c>
      <x:c r="U99" s="22" t="str"/>
      <x:c r="V99" s="22" t="n">
        <x:v>0</x:v>
      </x:c>
      <x:c r="W99" s="22" t="n">
        <x:v>0</x:v>
      </x:c>
      <x:c r="X99" s="22" t="n">
        <x:v>0</x:v>
      </x:c>
      <x:c r="Y99" s="22" t="n">
        <x:v>0</x:v>
      </x:c>
      <x:c r="Z99" s="22" t="n">
        <x:v>0</x:v>
      </x:c>
      <x:c r="AA99" s="31"/>
      <x:c r="AB99" s="22" t="str"/>
      <x:c r="AC99" s="34"/>
      <x:c r="AD99" s="25" t="str"/>
      <x:c r="AE99" s="25" t="str">
        <x:v>품목 수량·단가 또는 범위 일치 GFA·공사금액 부족</x:v>
      </x:c>
      <x:c r="AF99" s="25" t="str">
        <x:v>https://www.data.go.kr/data/15085055/fileData.do</x:v>
      </x:c>
    </x:row>
    <x:row r="100">
      <x:c r="A100" s="22" t="n">
        <x:v>96</x:v>
      </x:c>
      <x:c r="B100" s="22" t="str">
        <x:v>C</x:v>
      </x:c>
      <x:c r="C100" s="22" t="str">
        <x:v>U</x:v>
      </x:c>
      <x:c r="D100" s="22" t="str">
        <x:v>U-근거부족</x:v>
      </x:c>
      <x:c r="E100" s="22" t="str">
        <x:v>필리핀</x:v>
      </x:c>
      <x:c r="F100" s="22" t="str">
        <x:v>annual_procurement_plan</x:v>
      </x:c>
      <x:c r="G100" s="22" t="str">
        <x:v>15085055:260</x:v>
      </x:c>
      <x:c r="H100" s="22" t="str">
        <x:v>2022-00069</x:v>
      </x:c>
      <x:c r="I100" s="22" t="str">
        <x:v>2022-00069</x:v>
      </x:c>
      <x:c r="J100" s="22" t="str">
        <x:v>existing_db_title_containment</x:v>
      </x:c>
      <x:c r="K100" s="59" t="n">
        <x:v>0.99</x:v>
      </x:c>
      <x:c r="L100" s="22" t="str">
        <x:v>공사</x:v>
      </x:c>
      <x:c r="M100" s="25" t="str">
        <x:v>필리핀 기마라스주 수산양식 역량강화를 통한 양식어민 소득증대 지원사업('22·'28/1,000만불)현지 설계 입찰</x:v>
      </x:c>
      <x:c r="N100" s="25" t="str">
        <x:v>수산양식 인프라 건축 및 시설 구축</x:v>
      </x:c>
      <x:c r="O100" s="22" t="str">
        <x:v>KRW</x:v>
      </x:c>
      <x:c r="P100" s="31" t="n">
        <x:v>404540000</x:v>
      </x:c>
      <x:c r="Q100" s="22" t="str">
        <x:v>planned_bid_ceiling</x:v>
      </x:c>
      <x:c r="R100" s="31"/>
      <x:c r="S100" s="31"/>
      <x:c r="T100" s="22" t="n">
        <x:v>3</x:v>
      </x:c>
      <x:c r="U100" s="22" t="str">
        <x:v>L2025-00059-1;L2025-00075-1;L2025-00094-1</x:v>
      </x:c>
      <x:c r="V100" s="22" t="n">
        <x:v>29</x:v>
      </x:c>
      <x:c r="W100" s="22" t="n">
        <x:v>0</x:v>
      </x:c>
      <x:c r="X100" s="22" t="n">
        <x:v>0</x:v>
      </x:c>
      <x:c r="Y100" s="22" t="n">
        <x:v>0</x:v>
      </x:c>
      <x:c r="Z100" s="22" t="n">
        <x:v>0</x:v>
      </x:c>
      <x:c r="AA100" s="31"/>
      <x:c r="AB100" s="22" t="str"/>
      <x:c r="AC100" s="34"/>
      <x:c r="AD100" s="25" t="str"/>
      <x:c r="AE100" s="25" t="str">
        <x:v>품목 수량·단가 또는 범위 일치 GFA·공사금액 부족</x:v>
      </x:c>
      <x:c r="AF100" s="25" t="str">
        <x:v>https://www.data.go.kr/data/15085055/fileData.do</x:v>
      </x:c>
    </x:row>
    <x:row r="101">
      <x:c r="A101" s="22" t="n">
        <x:v>97</x:v>
      </x:c>
      <x:c r="B101" s="22" t="str">
        <x:v>C</x:v>
      </x:c>
      <x:c r="C101" s="22" t="str">
        <x:v>U</x:v>
      </x:c>
      <x:c r="D101" s="22" t="str">
        <x:v>U-근거부족</x:v>
      </x:c>
      <x:c r="E101" s="22" t="str">
        <x:v>필리핀</x:v>
      </x:c>
      <x:c r="F101" s="22" t="str">
        <x:v>annual_procurement_plan</x:v>
      </x:c>
      <x:c r="G101" s="22" t="str">
        <x:v>15085055:259</x:v>
      </x:c>
      <x:c r="H101" s="22" t="str">
        <x:v>2022-00069</x:v>
      </x:c>
      <x:c r="I101" s="22" t="str">
        <x:v>2022-00069</x:v>
      </x:c>
      <x:c r="J101" s="22" t="str">
        <x:v>existing_db_title_containment</x:v>
      </x:c>
      <x:c r="K101" s="59" t="n">
        <x:v>0.99</x:v>
      </x:c>
      <x:c r="L101" s="22" t="str">
        <x:v>공사</x:v>
      </x:c>
      <x:c r="M101" s="25" t="str">
        <x:v>필리핀 기마라스주 수산양식 역량강화를 통한 양식어민 소득증대 지원사업('22·'28/1,000만불)현지 시공 입찰</x:v>
      </x:c>
      <x:c r="N101" s="25" t="str">
        <x:v>수산양식 인프라 건축 및 시설 구축</x:v>
      </x:c>
      <x:c r="O101" s="22" t="str">
        <x:v>KRW</x:v>
      </x:c>
      <x:c r="P101" s="31" t="n">
        <x:v>2022700000</x:v>
      </x:c>
      <x:c r="Q101" s="22" t="str">
        <x:v>planned_bid_ceiling</x:v>
      </x:c>
      <x:c r="R101" s="31"/>
      <x:c r="S101" s="31"/>
      <x:c r="T101" s="22" t="n">
        <x:v>3</x:v>
      </x:c>
      <x:c r="U101" s="22" t="str">
        <x:v>L2025-00059-1;L2025-00075-1;L2025-00094-1</x:v>
      </x:c>
      <x:c r="V101" s="22" t="n">
        <x:v>29</x:v>
      </x:c>
      <x:c r="W101" s="22" t="n">
        <x:v>0</x:v>
      </x:c>
      <x:c r="X101" s="22" t="n">
        <x:v>0</x:v>
      </x:c>
      <x:c r="Y101" s="22" t="n">
        <x:v>0</x:v>
      </x:c>
      <x:c r="Z101" s="22" t="n">
        <x:v>0</x:v>
      </x:c>
      <x:c r="AA101" s="31"/>
      <x:c r="AB101" s="22" t="str"/>
      <x:c r="AC101" s="34"/>
      <x:c r="AD101" s="25" t="str"/>
      <x:c r="AE101" s="25" t="str">
        <x:v>품목 수량·단가 또는 범위 일치 GFA·공사금액 부족</x:v>
      </x:c>
      <x:c r="AF101" s="25" t="str">
        <x:v>https://www.data.go.kr/data/15085055/fileData.do</x:v>
      </x:c>
    </x:row>
    <x:row r="102">
      <x:c r="A102" s="22" t="n">
        <x:v>98</x:v>
      </x:c>
      <x:c r="B102" s="22" t="str">
        <x:v>C</x:v>
      </x:c>
      <x:c r="C102" s="22" t="str">
        <x:v>U</x:v>
      </x:c>
      <x:c r="D102" s="22" t="str">
        <x:v>X-설계·감리·기타용역</x:v>
      </x:c>
      <x:c r="E102" s="22" t="str">
        <x:v>필리핀</x:v>
      </x:c>
      <x:c r="F102" s="22" t="str">
        <x:v>annual_procurement_plan</x:v>
      </x:c>
      <x:c r="G102" s="22" t="str">
        <x:v>15085055:330</x:v>
      </x:c>
      <x:c r="H102" s="22" t="str"/>
      <x:c r="I102" s="22" t="str"/>
      <x:c r="J102" s="22" t="str"/>
      <x:c r="K102" s="59" t="n">
        <x:v>0.455</x:v>
      </x:c>
      <x:c r="L102" s="22" t="str">
        <x:v>용역</x:v>
      </x:c>
      <x:c r="M102" s="25" t="str">
        <x:v>필리핀 팔라완 지역 식량 안보 및 기후변화 대응을 위한 환경자원정보시스템 개발 사업('24·'28/1,000만불)</x:v>
      </x:c>
      <x:c r="N102" s="25" t="str">
        <x:v>· 사업 총괄 관리· 환경자원정보 시스템(ENRIS) 구축 지원· 고밀도 관측망 및 통합 모니터링 센터 설계, 선정, 검토· 인력 역량 강화 · ENRIS 정보화 마스터플랜</x:v>
      </x:c>
      <x:c r="O102" s="22" t="str">
        <x:v>KRW</x:v>
      </x:c>
      <x:c r="P102" s="31" t="n">
        <x:v>2799888628</x:v>
      </x:c>
      <x:c r="Q102" s="22" t="str">
        <x:v>planned_bid_ceiling</x:v>
      </x:c>
      <x:c r="R102" s="31"/>
      <x:c r="S102" s="31"/>
      <x:c r="T102" s="22" t="n">
        <x:v>0</x:v>
      </x:c>
      <x:c r="U102" s="22" t="str"/>
      <x:c r="V102" s="22" t="n">
        <x:v>0</x:v>
      </x:c>
      <x:c r="W102" s="22" t="n">
        <x:v>0</x:v>
      </x:c>
      <x:c r="X102" s="22" t="n">
        <x:v>0</x:v>
      </x:c>
      <x:c r="Y102" s="22" t="n">
        <x:v>0</x:v>
      </x:c>
      <x:c r="Z102" s="22" t="n">
        <x:v>0</x:v>
      </x:c>
      <x:c r="AA102" s="31"/>
      <x:c r="AB102" s="22" t="str"/>
      <x:c r="AC102" s="34"/>
      <x:c r="AD102" s="25" t="str"/>
      <x:c r="AE102" s="25" t="str">
        <x:v>품목 수량·단가 또는 범위 일치 GFA·공사금액 부족</x:v>
      </x:c>
      <x:c r="AF102" s="25" t="str">
        <x:v>https://www.data.go.kr/data/15085055/fileData.do</x:v>
      </x:c>
    </x:row>
    <x:row r="103">
      <x:c r="A103" s="22" t="n">
        <x:v>99</x:v>
      </x:c>
      <x:c r="B103" s="22" t="str">
        <x:v>C</x:v>
      </x:c>
      <x:c r="C103" s="22" t="str">
        <x:v>U</x:v>
      </x:c>
      <x:c r="D103" s="22" t="str">
        <x:v>U-전체사업정보</x:v>
      </x:c>
      <x:c r="E103" s="22" t="str">
        <x:v>미상</x:v>
      </x:c>
      <x:c r="F103" s="22" t="str">
        <x:v>country_project_reports</x:v>
      </x:c>
      <x:c r="G103" s="22" t="str">
        <x:v>15052832:655</x:v>
      </x:c>
      <x:c r="H103" s="22" t="str">
        <x:v>2011-00050</x:v>
      </x:c>
      <x:c r="I103" s="22" t="str">
        <x:v>2011-00050</x:v>
      </x:c>
      <x:c r="J103" s="22" t="str">
        <x:v>source_direct</x:v>
      </x:c>
      <x:c r="K103" s="59" t="n">
        <x:v>1</x:v>
      </x:c>
      <x:c r="L103" s="22" t="str"/>
      <x:c r="M103" s="25" t="str">
        <x:v>수단 농업기술훈련원 건립사업('11-'18/666만불)...</x:v>
      </x:c>
      <x:c r="N103" s="25" t="str"/>
      <x:c r="O103" s="22" t="str">
        <x:v>USD</x:v>
      </x:c>
      <x:c r="P103" s="31" t="n">
        <x:v>6660000</x:v>
      </x:c>
      <x:c r="Q103" s="22" t="str">
        <x:v>whole_program_budget_from_title</x:v>
      </x:c>
      <x:c r="R103" s="31"/>
      <x:c r="S103" s="31"/>
      <x:c r="T103" s="22" t="n">
        <x:v>0</x:v>
      </x:c>
      <x:c r="U103" s="22" t="str"/>
      <x:c r="V103" s="22" t="n">
        <x:v>0</x:v>
      </x:c>
      <x:c r="W103" s="22" t="n">
        <x:v>0</x:v>
      </x:c>
      <x:c r="X103" s="22" t="n">
        <x:v>0</x:v>
      </x:c>
      <x:c r="Y103" s="22" t="n">
        <x:v>0</x:v>
      </x:c>
      <x:c r="Z103" s="22" t="n">
        <x:v>0</x:v>
      </x:c>
      <x:c r="AA103" s="31"/>
      <x:c r="AB103" s="22" t="str"/>
      <x:c r="AC103" s="34"/>
      <x:c r="AD103" s="25" t="str"/>
      <x:c r="AE103" s="25" t="str">
        <x:v>품목 수량·단가 또는 범위 일치 GFA·공사금액 부족</x:v>
      </x:c>
      <x:c r="AF103" s="25" t="str">
        <x:v>https://www.oda.go.kr/opo/bsin/bsnsSumryDocDetail.do?P_BSNS_NO=2011-00050</x:v>
      </x:c>
    </x:row>
    <x:row r="104">
      <x:c r="A104" s="22" t="n">
        <x:v>100</x:v>
      </x:c>
      <x:c r="B104" s="22" t="str">
        <x:v>C</x:v>
      </x:c>
      <x:c r="C104" s="22" t="str">
        <x:v>U</x:v>
      </x:c>
      <x:c r="D104" s="22" t="str">
        <x:v>U-전체사업정보</x:v>
      </x:c>
      <x:c r="E104" s="22" t="str">
        <x:v>미상</x:v>
      </x:c>
      <x:c r="F104" s="22" t="str">
        <x:v>country_project_reports</x:v>
      </x:c>
      <x:c r="G104" s="22" t="str">
        <x:v>15052832:625</x:v>
      </x:c>
      <x:c r="H104" s="22" t="str">
        <x:v>2013-00020</x:v>
      </x:c>
      <x:c r="I104" s="22" t="str">
        <x:v>2013-00020</x:v>
      </x:c>
      <x:c r="J104" s="22" t="str">
        <x:v>source_direct</x:v>
      </x:c>
      <x:c r="K104" s="59" t="n">
        <x:v>1</x:v>
      </x:c>
      <x:c r="L104" s="22" t="str"/>
      <x:c r="M104" s="25" t="str">
        <x:v>아이티 까라꼴 의류기술 훈련원 건립사업('13-'17/373만불)...</x:v>
      </x:c>
      <x:c r="N104" s="25" t="str"/>
      <x:c r="O104" s="22" t="str">
        <x:v>USD</x:v>
      </x:c>
      <x:c r="P104" s="31" t="n">
        <x:v>3730000</x:v>
      </x:c>
      <x:c r="Q104" s="22" t="str">
        <x:v>whole_program_budget_from_title</x:v>
      </x:c>
      <x:c r="R104" s="31"/>
      <x:c r="S104" s="31"/>
      <x:c r="T104" s="22" t="n">
        <x:v>0</x:v>
      </x:c>
      <x:c r="U104" s="22" t="str"/>
      <x:c r="V104" s="22" t="n">
        <x:v>0</x:v>
      </x:c>
      <x:c r="W104" s="22" t="n">
        <x:v>0</x:v>
      </x:c>
      <x:c r="X104" s="22" t="n">
        <x:v>0</x:v>
      </x:c>
      <x:c r="Y104" s="22" t="n">
        <x:v>0</x:v>
      </x:c>
      <x:c r="Z104" s="22" t="n">
        <x:v>0</x:v>
      </x:c>
      <x:c r="AA104" s="31"/>
      <x:c r="AB104" s="22" t="str"/>
      <x:c r="AC104" s="34"/>
      <x:c r="AD104" s="25" t="str"/>
      <x:c r="AE104" s="25" t="str">
        <x:v>품목 수량·단가 또는 범위 일치 GFA·공사금액 부족</x:v>
      </x:c>
      <x:c r="AF104" s="25" t="str">
        <x:v>https://www.oda.go.kr/opo/bsin/bsnsSumryDocDetail.do?P_BSNS_NO=2013-00020</x:v>
      </x:c>
    </x:row>
    <x:row r="105">
      <x:c r="A105" s="22" t="n">
        <x:v>101</x:v>
      </x:c>
      <x:c r="B105" s="22" t="str">
        <x:v>C</x:v>
      </x:c>
      <x:c r="C105" s="22" t="str">
        <x:v>U</x:v>
      </x:c>
      <x:c r="D105" s="22" t="str">
        <x:v>U-전체사업정보</x:v>
      </x:c>
      <x:c r="E105" s="22" t="str">
        <x:v>미상</x:v>
      </x:c>
      <x:c r="F105" s="22" t="str">
        <x:v>country_project_reports</x:v>
      </x:c>
      <x:c r="G105" s="22" t="str">
        <x:v>15052832:197</x:v>
      </x:c>
      <x:c r="H105" s="22" t="str">
        <x:v>2021-00070</x:v>
      </x:c>
      <x:c r="I105" s="22" t="str">
        <x:v>2021-00070</x:v>
      </x:c>
      <x:c r="J105" s="22" t="str">
        <x:v>source_direct</x:v>
      </x:c>
      <x:c r="K105" s="59" t="n">
        <x:v>1</x:v>
      </x:c>
      <x:c r="L105" s="22" t="str"/>
      <x:c r="M105" s="25" t="str">
        <x:v>한-메콩 생물다양성 센터 건립 및 역량강화사업('21-'26/1,000만...</x:v>
      </x:c>
      <x:c r="N105" s="25" t="str"/>
      <x:c r="O105" s="22" t="str"/>
      <x:c r="P105" s="31"/>
      <x:c r="Q105" s="22" t="str"/>
      <x:c r="R105" s="31"/>
      <x:c r="S105" s="31"/>
      <x:c r="T105" s="22" t="n">
        <x:v>0</x:v>
      </x:c>
      <x:c r="U105" s="22" t="str"/>
      <x:c r="V105" s="22" t="n">
        <x:v>0</x:v>
      </x:c>
      <x:c r="W105" s="22" t="n">
        <x:v>0</x:v>
      </x:c>
      <x:c r="X105" s="22" t="n">
        <x:v>0</x:v>
      </x:c>
      <x:c r="Y105" s="22" t="n">
        <x:v>0</x:v>
      </x:c>
      <x:c r="Z105" s="22" t="n">
        <x:v>0</x:v>
      </x:c>
      <x:c r="AA105" s="31"/>
      <x:c r="AB105" s="22" t="str"/>
      <x:c r="AC105" s="34"/>
      <x:c r="AD105" s="25" t="str"/>
      <x:c r="AE105" s="25" t="str">
        <x:v>품목 수량·단가 또는 범위 일치 GFA·공사금액 부족</x:v>
      </x:c>
      <x:c r="AF105" s="25" t="str">
        <x:v>https://www.oda.go.kr/opo/bsin/bsnsSumryDocDetail.do?P_BSNS_NO=2021-00070</x:v>
      </x:c>
    </x:row>
    <x:row r="106">
      <x:c r="A106" s="22" t="n">
        <x:v>102</x:v>
      </x:c>
      <x:c r="B106" s="22" t="str">
        <x:v>C</x:v>
      </x:c>
      <x:c r="C106" s="22" t="str">
        <x:v>U</x:v>
      </x:c>
      <x:c r="D106" s="22" t="str">
        <x:v>U-전체사업정보</x:v>
      </x:c>
      <x:c r="E106" s="22" t="str">
        <x:v>DR콩고</x:v>
      </x:c>
      <x:c r="F106" s="22" t="str">
        <x:v>country_project_reports</x:v>
      </x:c>
      <x:c r="G106" s="22" t="str">
        <x:v>15052832:447</x:v>
      </x:c>
      <x:c r="H106" s="22" t="str">
        <x:v>2016-00042</x:v>
      </x:c>
      <x:c r="I106" s="22" t="str">
        <x:v>2016-00042</x:v>
      </x:c>
      <x:c r="J106" s="22" t="str">
        <x:v>source_direct</x:v>
      </x:c>
      <x:c r="K106" s="59" t="n">
        <x:v>1</x:v>
      </x:c>
      <x:c r="L106" s="22" t="str"/>
      <x:c r="M106" s="25" t="str">
        <x:v>DR콩고 국립박물관 건립사업('12-'20/2,100만불)...</x:v>
      </x:c>
      <x:c r="N106" s="25" t="str"/>
      <x:c r="O106" s="22" t="str">
        <x:v>USD</x:v>
      </x:c>
      <x:c r="P106" s="31" t="n">
        <x:v>21000000</x:v>
      </x:c>
      <x:c r="Q106" s="22" t="str">
        <x:v>whole_program_budget_from_title</x:v>
      </x:c>
      <x:c r="R106" s="31"/>
      <x:c r="S106" s="31"/>
      <x:c r="T106" s="22" t="n">
        <x:v>0</x:v>
      </x:c>
      <x:c r="U106" s="22" t="str"/>
      <x:c r="V106" s="22" t="n">
        <x:v>0</x:v>
      </x:c>
      <x:c r="W106" s="22" t="n">
        <x:v>0</x:v>
      </x:c>
      <x:c r="X106" s="22" t="n">
        <x:v>0</x:v>
      </x:c>
      <x:c r="Y106" s="22" t="n">
        <x:v>0</x:v>
      </x:c>
      <x:c r="Z106" s="22" t="n">
        <x:v>0</x:v>
      </x:c>
      <x:c r="AA106" s="31"/>
      <x:c r="AB106" s="22" t="str"/>
      <x:c r="AC106" s="34"/>
      <x:c r="AD106" s="25" t="str"/>
      <x:c r="AE106" s="25" t="str">
        <x:v>품목 수량·단가 또는 범위 일치 GFA·공사금액 부족</x:v>
      </x:c>
      <x:c r="AF106" s="25" t="str">
        <x:v>https://www.oda.go.kr/opo/bsin/bsnsSumryDocDetail.do?P_BSNS_NO=2016-00042</x:v>
      </x:c>
    </x:row>
    <x:row r="107">
      <x:c r="A107" s="22" t="n">
        <x:v>103</x:v>
      </x:c>
      <x:c r="B107" s="22" t="str">
        <x:v>A</x:v>
      </x:c>
      <x:c r="C107" s="22" t="str">
        <x:v>A</x:v>
      </x:c>
      <x:c r="D107" s="22" t="str">
        <x:v>U-전체사업정보</x:v>
      </x:c>
      <x:c r="E107" s="22" t="str">
        <x:v>가나</x:v>
      </x:c>
      <x:c r="F107" s="22" t="str">
        <x:v>country_project_reports</x:v>
      </x:c>
      <x:c r="G107" s="22" t="str">
        <x:v>15052832:219</x:v>
      </x:c>
      <x:c r="H107" s="22" t="str">
        <x:v>2021-00016</x:v>
      </x:c>
      <x:c r="I107" s="22" t="str">
        <x:v>2021-00016</x:v>
      </x:c>
      <x:c r="J107" s="22" t="str">
        <x:v>source_direct</x:v>
      </x:c>
      <x:c r="K107" s="59" t="n">
        <x:v>1</x:v>
      </x:c>
      <x:c r="L107" s="22" t="str"/>
      <x:c r="M107" s="25" t="str">
        <x:v>가나대학교 연구 및 ICT 혁신센터 건립 사업('21-'25/900만불)...</x:v>
      </x:c>
      <x:c r="N107" s="25" t="str"/>
      <x:c r="O107" s="22" t="str">
        <x:v>USD</x:v>
      </x:c>
      <x:c r="P107" s="31" t="n">
        <x:v>9000000</x:v>
      </x:c>
      <x:c r="Q107" s="22" t="str">
        <x:v>whole_program_budget_from_title</x:v>
      </x:c>
      <x:c r="R107" s="31"/>
      <x:c r="S107" s="31"/>
      <x:c r="T107" s="22" t="n">
        <x:v>3</x:v>
      </x:c>
      <x:c r="U107" s="22" t="str">
        <x:v>L2025-00018-1;L2025-00048-1;L2025-00063-1</x:v>
      </x:c>
      <x:c r="V107" s="22" t="n">
        <x:v>20</x:v>
      </x:c>
      <x:c r="W107" s="22" t="n">
        <x:v>1</x:v>
      </x:c>
      <x:c r="X107" s="22" t="n">
        <x:v>0</x:v>
      </x:c>
      <x:c r="Y107" s="22" t="n">
        <x:v>1</x:v>
      </x:c>
      <x:c r="Z107" s="22" t="n">
        <x:v>1</x:v>
      </x:c>
      <x:c r="AA107" s="31" t="n">
        <x:v>4333426.767765368</x:v>
      </x:c>
      <x:c r="AB107" s="22" t="str">
        <x:v>USD</x:v>
      </x:c>
      <x:c r="AC107" s="34" t="n">
        <x:v>1666.70260298668</x:v>
      </x:c>
      <x:c r="AD107" s="25" t="str">
        <x:v>L2025-00018-1/3. 집행한도금액 예산(안).xlsx</x:v>
      </x:c>
      <x:c r="AE107" s="25" t="str">
        <x:v>설계예산이며 낙찰·계약·준공가 아님; 가격시점·세금·환율 재확인</x:v>
      </x:c>
      <x:c r="AF107" s="25" t="str">
        <x:v>https://www.oda.go.kr/opo/bsin/bsnsSumryDocDetail.do?P_BSNS_NO=2021-00016</x:v>
      </x:c>
    </x:row>
    <x:row r="108">
      <x:c r="A108" s="22" t="n">
        <x:v>104</x:v>
      </x:c>
      <x:c r="B108" s="22" t="str">
        <x:v>C</x:v>
      </x:c>
      <x:c r="C108" s="22" t="str">
        <x:v>U</x:v>
      </x:c>
      <x:c r="D108" s="22" t="str">
        <x:v>U-전체사업정보</x:v>
      </x:c>
      <x:c r="E108" s="22" t="str">
        <x:v>가나</x:v>
      </x:c>
      <x:c r="F108" s="22" t="str">
        <x:v>country_project_reports</x:v>
      </x:c>
      <x:c r="G108" s="22" t="str">
        <x:v>15052832:345</x:v>
      </x:c>
      <x:c r="H108" s="22" t="str">
        <x:v>2017-07115</x:v>
      </x:c>
      <x:c r="I108" s="22" t="str">
        <x:v>2017-07115</x:v>
      </x:c>
      <x:c r="J108" s="22" t="str">
        <x:v>source_direct</x:v>
      </x:c>
      <x:c r="K108" s="59" t="n">
        <x:v>1</x:v>
      </x:c>
      <x:c r="L108" s="22" t="str"/>
      <x:c r="M108" s="25" t="str">
        <x:v>우즈벡 페르가나 직업훈련원 건립사업('18-'22/983만불)  ...</x:v>
      </x:c>
      <x:c r="N108" s="25" t="str"/>
      <x:c r="O108" s="22" t="str">
        <x:v>USD</x:v>
      </x:c>
      <x:c r="P108" s="31" t="n">
        <x:v>9830000</x:v>
      </x:c>
      <x:c r="Q108" s="22" t="str">
        <x:v>whole_program_budget_from_title</x:v>
      </x:c>
      <x:c r="R108" s="31"/>
      <x:c r="S108" s="31"/>
      <x:c r="T108" s="22" t="n">
        <x:v>2</x:v>
      </x:c>
      <x:c r="U108" s="22" t="str">
        <x:v>L2018-00015-1;L2019-00021-1</x:v>
      </x:c>
      <x:c r="V108" s="22" t="n">
        <x:v>0</x:v>
      </x:c>
      <x:c r="W108" s="22" t="n">
        <x:v>0</x:v>
      </x:c>
      <x:c r="X108" s="22" t="n">
        <x:v>0</x:v>
      </x:c>
      <x:c r="Y108" s="22" t="n">
        <x:v>0</x:v>
      </x:c>
      <x:c r="Z108" s="22" t="n">
        <x:v>0</x:v>
      </x:c>
      <x:c r="AA108" s="31"/>
      <x:c r="AB108" s="22" t="str"/>
      <x:c r="AC108" s="34"/>
      <x:c r="AD108" s="25" t="str"/>
      <x:c r="AE108" s="25" t="str">
        <x:v>품목 수량·단가 또는 범위 일치 GFA·공사금액 부족</x:v>
      </x:c>
      <x:c r="AF108" s="25" t="str">
        <x:v>https://www.oda.go.kr/opo/bsin/bsnsSumryDocDetail.do?P_BSNS_NO=2017-07115</x:v>
      </x:c>
    </x:row>
    <x:row r="109">
      <x:c r="A109" s="22" t="n">
        <x:v>105</x:v>
      </x:c>
      <x:c r="B109" s="22" t="str">
        <x:v>C</x:v>
      </x:c>
      <x:c r="C109" s="22" t="str">
        <x:v>U</x:v>
      </x:c>
      <x:c r="D109" s="22" t="str">
        <x:v>U-전체사업정보</x:v>
      </x:c>
      <x:c r="E109" s="22" t="str">
        <x:v>나이지리아</x:v>
      </x:c>
      <x:c r="F109" s="22" t="str">
        <x:v>country_project_reports</x:v>
      </x:c>
      <x:c r="G109" s="22" t="str">
        <x:v>15052832:464</x:v>
      </x:c>
      <x:c r="H109" s="22" t="str">
        <x:v>2016-00021</x:v>
      </x:c>
      <x:c r="I109" s="22" t="str">
        <x:v>2016-00021</x:v>
      </x:c>
      <x:c r="J109" s="22" t="str">
        <x:v>source_direct</x:v>
      </x:c>
      <x:c r="K109" s="59" t="n">
        <x:v>1</x:v>
      </x:c>
      <x:c r="L109" s="22" t="str"/>
      <x:c r="M109" s="25" t="str">
        <x:v>나이지리아 초중등시범학교단지 건립사업('13-'19/1,500만불)...</x:v>
      </x:c>
      <x:c r="N109" s="25" t="str"/>
      <x:c r="O109" s="22" t="str">
        <x:v>USD</x:v>
      </x:c>
      <x:c r="P109" s="31" t="n">
        <x:v>15000000</x:v>
      </x:c>
      <x:c r="Q109" s="22" t="str">
        <x:v>whole_program_budget_from_title</x:v>
      </x:c>
      <x:c r="R109" s="31"/>
      <x:c r="S109" s="31"/>
      <x:c r="T109" s="22" t="n">
        <x:v>1</x:v>
      </x:c>
      <x:c r="U109" s="22" t="str">
        <x:v>L2018-00009-1</x:v>
      </x:c>
      <x:c r="V109" s="22" t="n">
        <x:v>0</x:v>
      </x:c>
      <x:c r="W109" s="22" t="n">
        <x:v>0</x:v>
      </x:c>
      <x:c r="X109" s="22" t="n">
        <x:v>0</x:v>
      </x:c>
      <x:c r="Y109" s="22" t="n">
        <x:v>0</x:v>
      </x:c>
      <x:c r="Z109" s="22" t="n">
        <x:v>0</x:v>
      </x:c>
      <x:c r="AA109" s="31"/>
      <x:c r="AB109" s="22" t="str"/>
      <x:c r="AC109" s="34"/>
      <x:c r="AD109" s="25" t="str"/>
      <x:c r="AE109" s="25" t="str">
        <x:v>품목 수량·단가 또는 범위 일치 GFA·공사금액 부족</x:v>
      </x:c>
      <x:c r="AF109" s="25" t="str">
        <x:v>https://www.oda.go.kr/opo/bsin/bsnsSumryDocDetail.do?P_BSNS_NO=2016-00021</x:v>
      </x:c>
    </x:row>
    <x:row r="110">
      <x:c r="A110" s="22" t="n">
        <x:v>106</x:v>
      </x:c>
      <x:c r="B110" s="22" t="str">
        <x:v>C</x:v>
      </x:c>
      <x:c r="C110" s="22" t="str">
        <x:v>U</x:v>
      </x:c>
      <x:c r="D110" s="22" t="str">
        <x:v>U-전체사업정보</x:v>
      </x:c>
      <x:c r="E110" s="22" t="str">
        <x:v>네팔</x:v>
      </x:c>
      <x:c r="F110" s="22" t="str">
        <x:v>country_project_reports</x:v>
      </x:c>
      <x:c r="G110" s="22" t="str">
        <x:v>15052832:9</x:v>
      </x:c>
      <x:c r="H110" s="22" t="str">
        <x:v>2024-00053</x:v>
      </x:c>
      <x:c r="I110" s="22" t="str">
        <x:v>2024-00053</x:v>
      </x:c>
      <x:c r="J110" s="22" t="str">
        <x:v>source_direct</x:v>
      </x:c>
      <x:c r="K110" s="59" t="n">
        <x:v>1</x:v>
      </x:c>
      <x:c r="L110" s="22" t="str"/>
      <x:c r="M110" s="25" t="str">
        <x:v>네팔 Province4 직업교육학교 건립사업('24-'30/900만불)</x:v>
      </x:c>
      <x:c r="N110" s="25" t="str"/>
      <x:c r="O110" s="22" t="str">
        <x:v>USD</x:v>
      </x:c>
      <x:c r="P110" s="31" t="n">
        <x:v>9000000</x:v>
      </x:c>
      <x:c r="Q110" s="22" t="str">
        <x:v>whole_program_budget_from_title</x:v>
      </x:c>
      <x:c r="R110" s="31"/>
      <x:c r="S110" s="31"/>
      <x:c r="T110" s="22" t="n">
        <x:v>1</x:v>
      </x:c>
      <x:c r="U110" s="22" t="str">
        <x:v>L2025-00086-1</x:v>
      </x:c>
      <x:c r="V110" s="22" t="n">
        <x:v>0</x:v>
      </x:c>
      <x:c r="W110" s="22" t="n">
        <x:v>0</x:v>
      </x:c>
      <x:c r="X110" s="22" t="n">
        <x:v>0</x:v>
      </x:c>
      <x:c r="Y110" s="22" t="n">
        <x:v>0</x:v>
      </x:c>
      <x:c r="Z110" s="22" t="n">
        <x:v>0</x:v>
      </x:c>
      <x:c r="AA110" s="31"/>
      <x:c r="AB110" s="22" t="str"/>
      <x:c r="AC110" s="34"/>
      <x:c r="AD110" s="25" t="str"/>
      <x:c r="AE110" s="25" t="str">
        <x:v>품목 수량·단가 또는 범위 일치 GFA·공사금액 부족</x:v>
      </x:c>
      <x:c r="AF110" s="25" t="str">
        <x:v>https://www.oda.go.kr/opo/bsin/bsnsSumryDocDetail.do?P_BSNS_NO=2024-00053</x:v>
      </x:c>
    </x:row>
    <x:row r="111">
      <x:c r="A111" s="22" t="n">
        <x:v>107</x:v>
      </x:c>
      <x:c r="B111" s="22" t="str">
        <x:v>C</x:v>
      </x:c>
      <x:c r="C111" s="22" t="str">
        <x:v>U</x:v>
      </x:c>
      <x:c r="D111" s="22" t="str">
        <x:v>U-전체사업정보</x:v>
      </x:c>
      <x:c r="E111" s="22" t="str">
        <x:v>모잠비크</x:v>
      </x:c>
      <x:c r="F111" s="22" t="str">
        <x:v>country_project_reports</x:v>
      </x:c>
      <x:c r="G111" s="22" t="str">
        <x:v>15052832:21</x:v>
      </x:c>
      <x:c r="H111" s="22" t="str">
        <x:v>2026-00044</x:v>
      </x:c>
      <x:c r="I111" s="22" t="str">
        <x:v>2026-00044</x:v>
      </x:c>
      <x:c r="J111" s="22" t="str">
        <x:v>source_direct</x:v>
      </x:c>
      <x:c r="K111" s="59" t="n">
        <x:v>1</x:v>
      </x:c>
      <x:c r="L111" s="22" t="str"/>
      <x:c r="M111" s="25" t="str">
        <x:v>모잠비크 마푸토 카템베 지역병원 건립사업('26-'30/1,340만불)</x:v>
      </x:c>
      <x:c r="N111" s="25" t="str"/>
      <x:c r="O111" s="22" t="str">
        <x:v>USD</x:v>
      </x:c>
      <x:c r="P111" s="31" t="n">
        <x:v>13400000</x:v>
      </x:c>
      <x:c r="Q111" s="22" t="str">
        <x:v>whole_program_budget_from_title</x:v>
      </x:c>
      <x:c r="R111" s="31"/>
      <x:c r="S111" s="31"/>
      <x:c r="T111" s="22" t="n">
        <x:v>0</x:v>
      </x:c>
      <x:c r="U111" s="22" t="str"/>
      <x:c r="V111" s="22" t="n">
        <x:v>0</x:v>
      </x:c>
      <x:c r="W111" s="22" t="n">
        <x:v>0</x:v>
      </x:c>
      <x:c r="X111" s="22" t="n">
        <x:v>0</x:v>
      </x:c>
      <x:c r="Y111" s="22" t="n">
        <x:v>0</x:v>
      </x:c>
      <x:c r="Z111" s="22" t="n">
        <x:v>0</x:v>
      </x:c>
      <x:c r="AA111" s="31"/>
      <x:c r="AB111" s="22" t="str"/>
      <x:c r="AC111" s="34"/>
      <x:c r="AD111" s="25" t="str"/>
      <x:c r="AE111" s="25" t="str">
        <x:v>품목 수량·단가 또는 범위 일치 GFA·공사금액 부족</x:v>
      </x:c>
      <x:c r="AF111" s="25" t="str">
        <x:v>https://www.oda.go.kr/opo/bsin/bsnsSumryDocDetail.do?P_BSNS_NO=2026-00044</x:v>
      </x:c>
    </x:row>
    <x:row r="112">
      <x:c r="A112" s="22" t="n">
        <x:v>108</x:v>
      </x:c>
      <x:c r="B112" s="22" t="str">
        <x:v>C</x:v>
      </x:c>
      <x:c r="C112" s="22" t="str">
        <x:v>U</x:v>
      </x:c>
      <x:c r="D112" s="22" t="str">
        <x:v>U-전체사업정보</x:v>
      </x:c>
      <x:c r="E112" s="22" t="str">
        <x:v>몽골</x:v>
      </x:c>
      <x:c r="F112" s="22" t="str">
        <x:v>country_project_reports</x:v>
      </x:c>
      <x:c r="G112" s="22" t="str">
        <x:v>15052832:217</x:v>
      </x:c>
      <x:c r="H112" s="22" t="str">
        <x:v>2021-00018</x:v>
      </x:c>
      <x:c r="I112" s="22" t="str">
        <x:v>2021-00018</x:v>
      </x:c>
      <x:c r="J112" s="22" t="str">
        <x:v>source_direct</x:v>
      </x:c>
      <x:c r="K112" s="59" t="n">
        <x:v>1</x:v>
      </x:c>
      <x:c r="L112" s="22" t="str"/>
      <x:c r="M112" s="25" t="str">
        <x:v>몽골 철도교통관제센터 건립 및  운영 역량강화를 통한 철도교통 경쟁력 강...</x:v>
      </x:c>
      <x:c r="N112" s="25" t="str"/>
      <x:c r="O112" s="22" t="str"/>
      <x:c r="P112" s="31"/>
      <x:c r="Q112" s="22" t="str"/>
      <x:c r="R112" s="31"/>
      <x:c r="S112" s="31"/>
      <x:c r="T112" s="22" t="n">
        <x:v>2</x:v>
      </x:c>
      <x:c r="U112" s="22" t="str">
        <x:v>L2023-00050-1;L2023-00075-1</x:v>
      </x:c>
      <x:c r="V112" s="22" t="n">
        <x:v>6</x:v>
      </x:c>
      <x:c r="W112" s="22" t="n">
        <x:v>0</x:v>
      </x:c>
      <x:c r="X112" s="22" t="n">
        <x:v>0</x:v>
      </x:c>
      <x:c r="Y112" s="22" t="n">
        <x:v>0</x:v>
      </x:c>
      <x:c r="Z112" s="22" t="n">
        <x:v>0</x:v>
      </x:c>
      <x:c r="AA112" s="31"/>
      <x:c r="AB112" s="22" t="str"/>
      <x:c r="AC112" s="34"/>
      <x:c r="AD112" s="25" t="str"/>
      <x:c r="AE112" s="25" t="str">
        <x:v>품목 수량·단가 또는 범위 일치 GFA·공사금액 부족</x:v>
      </x:c>
      <x:c r="AF112" s="25" t="str">
        <x:v>https://www.oda.go.kr/opo/bsin/bsnsSumryDocDetail.do?P_BSNS_NO=2021-00018</x:v>
      </x:c>
    </x:row>
    <x:row r="113">
      <x:c r="A113" s="22" t="n">
        <x:v>109</x:v>
      </x:c>
      <x:c r="B113" s="22" t="str">
        <x:v>C</x:v>
      </x:c>
      <x:c r="C113" s="22" t="str">
        <x:v>U</x:v>
      </x:c>
      <x:c r="D113" s="22" t="str">
        <x:v>U-전체사업정보</x:v>
      </x:c>
      <x:c r="E113" s="22" t="str">
        <x:v>에콰도르</x:v>
      </x:c>
      <x:c r="F113" s="22" t="str">
        <x:v>country_project_reports</x:v>
      </x:c>
      <x:c r="G113" s="22" t="str">
        <x:v>15052832:581</x:v>
      </x:c>
      <x:c r="H113" s="22" t="str">
        <x:v>2014-00008</x:v>
      </x:c>
      <x:c r="I113" s="22" t="str">
        <x:v>2014-00008</x:v>
      </x:c>
      <x:c r="J113" s="22" t="str">
        <x:v>source_direct</x:v>
      </x:c>
      <x:c r="K113" s="59" t="n">
        <x:v>1</x:v>
      </x:c>
      <x:c r="L113" s="22" t="str"/>
      <x:c r="M113" s="25" t="str">
        <x:v>에콰도르 과야스주 보건의료센터 건립 및 의료인력 역량강화사업('14-'2...</x:v>
      </x:c>
      <x:c r="N113" s="25" t="str"/>
      <x:c r="O113" s="22" t="str"/>
      <x:c r="P113" s="31"/>
      <x:c r="Q113" s="22" t="str"/>
      <x:c r="R113" s="31"/>
      <x:c r="S113" s="31"/>
      <x:c r="T113" s="22" t="n">
        <x:v>0</x:v>
      </x:c>
      <x:c r="U113" s="22" t="str"/>
      <x:c r="V113" s="22" t="n">
        <x:v>0</x:v>
      </x:c>
      <x:c r="W113" s="22" t="n">
        <x:v>0</x:v>
      </x:c>
      <x:c r="X113" s="22" t="n">
        <x:v>0</x:v>
      </x:c>
      <x:c r="Y113" s="22" t="n">
        <x:v>0</x:v>
      </x:c>
      <x:c r="Z113" s="22" t="n">
        <x:v>0</x:v>
      </x:c>
      <x:c r="AA113" s="31"/>
      <x:c r="AB113" s="22" t="str"/>
      <x:c r="AC113" s="34"/>
      <x:c r="AD113" s="25" t="str"/>
      <x:c r="AE113" s="25" t="str">
        <x:v>품목 수량·단가 또는 범위 일치 GFA·공사금액 부족</x:v>
      </x:c>
      <x:c r="AF113" s="25" t="str">
        <x:v>https://www.oda.go.kr/opo/bsin/bsnsSumryDocDetail.do?P_BSNS_NO=2014-00008</x:v>
      </x:c>
    </x:row>
    <x:row r="114">
      <x:c r="A114" s="22" t="n">
        <x:v>110</x:v>
      </x:c>
      <x:c r="B114" s="22" t="str">
        <x:v>C</x:v>
      </x:c>
      <x:c r="C114" s="22" t="str">
        <x:v>U</x:v>
      </x:c>
      <x:c r="D114" s="22" t="str">
        <x:v>U-전체사업정보</x:v>
      </x:c>
      <x:c r="E114" s="22" t="str">
        <x:v>에콰도르</x:v>
      </x:c>
      <x:c r="F114" s="22" t="str">
        <x:v>country_project_reports</x:v>
      </x:c>
      <x:c r="G114" s="22" t="str">
        <x:v>15052832:254</x:v>
      </x:c>
      <x:c r="H114" s="22" t="str">
        <x:v>2020-00073</x:v>
      </x:c>
      <x:c r="I114" s="22" t="str">
        <x:v>2020-00073</x:v>
      </x:c>
      <x:c r="J114" s="22" t="str">
        <x:v>source_direct</x:v>
      </x:c>
      <x:c r="K114" s="59" t="n">
        <x:v>1</x:v>
      </x:c>
      <x:c r="L114" s="22" t="str"/>
      <x:c r="M114" s="25" t="str">
        <x:v>에콰도르 키토시 혁신센터 건립을 통한 창업 및 기업혁신 지원체계 강화 사...</x:v>
      </x:c>
      <x:c r="N114" s="25" t="str"/>
      <x:c r="O114" s="22" t="str"/>
      <x:c r="P114" s="31"/>
      <x:c r="Q114" s="22" t="str"/>
      <x:c r="R114" s="31"/>
      <x:c r="S114" s="31"/>
      <x:c r="T114" s="22" t="n">
        <x:v>1</x:v>
      </x:c>
      <x:c r="U114" s="22" t="str">
        <x:v>L2022-00027-1</x:v>
      </x:c>
      <x:c r="V114" s="22" t="n">
        <x:v>8</x:v>
      </x:c>
      <x:c r="W114" s="22" t="n">
        <x:v>0</x:v>
      </x:c>
      <x:c r="X114" s="22" t="n">
        <x:v>0</x:v>
      </x:c>
      <x:c r="Y114" s="22" t="n">
        <x:v>0</x:v>
      </x:c>
      <x:c r="Z114" s="22" t="n">
        <x:v>0</x:v>
      </x:c>
      <x:c r="AA114" s="31"/>
      <x:c r="AB114" s="22" t="str"/>
      <x:c r="AC114" s="34"/>
      <x:c r="AD114" s="25" t="str"/>
      <x:c r="AE114" s="25" t="str">
        <x:v>품목 수량·단가 또는 범위 일치 GFA·공사금액 부족</x:v>
      </x:c>
      <x:c r="AF114" s="25" t="str">
        <x:v>https://www.oda.go.kr/opo/bsin/bsnsSumryDocDetail.do?P_BSNS_NO=2020-00073</x:v>
      </x:c>
    </x:row>
    <x:row r="115">
      <x:c r="A115" s="22" t="n">
        <x:v>111</x:v>
      </x:c>
      <x:c r="B115" s="22" t="str">
        <x:v>C</x:v>
      </x:c>
      <x:c r="C115" s="22" t="str">
        <x:v>U</x:v>
      </x:c>
      <x:c r="D115" s="22" t="str">
        <x:v>U-전체사업정보</x:v>
      </x:c>
      <x:c r="E115" s="22" t="str">
        <x:v>에티오피아</x:v>
      </x:c>
      <x:c r="F115" s="22" t="str">
        <x:v>country_project_reports</x:v>
      </x:c>
      <x:c r="G115" s="22" t="str">
        <x:v>15052832:665</x:v>
      </x:c>
      <x:c r="H115" s="22" t="str">
        <x:v>2011-00023</x:v>
      </x:c>
      <x:c r="I115" s="22" t="str">
        <x:v>2011-00023</x:v>
      </x:c>
      <x:c r="J115" s="22" t="str">
        <x:v>source_direct</x:v>
      </x:c>
      <x:c r="K115" s="59" t="n">
        <x:v>1</x:v>
      </x:c>
      <x:c r="L115" s="22" t="str"/>
      <x:c r="M115" s="25" t="str">
        <x:v>에티오피아 아드와시 중학교 건립사업('11-'17/420만불)...</x:v>
      </x:c>
      <x:c r="N115" s="25" t="str"/>
      <x:c r="O115" s="22" t="str">
        <x:v>USD</x:v>
      </x:c>
      <x:c r="P115" s="31" t="n">
        <x:v>4200000</x:v>
      </x:c>
      <x:c r="Q115" s="22" t="str">
        <x:v>whole_program_budget_from_title</x:v>
      </x:c>
      <x:c r="R115" s="31"/>
      <x:c r="S115" s="31"/>
      <x:c r="T115" s="22" t="n">
        <x:v>0</x:v>
      </x:c>
      <x:c r="U115" s="22" t="str"/>
      <x:c r="V115" s="22" t="n">
        <x:v>0</x:v>
      </x:c>
      <x:c r="W115" s="22" t="n">
        <x:v>0</x:v>
      </x:c>
      <x:c r="X115" s="22" t="n">
        <x:v>0</x:v>
      </x:c>
      <x:c r="Y115" s="22" t="n">
        <x:v>0</x:v>
      </x:c>
      <x:c r="Z115" s="22" t="n">
        <x:v>0</x:v>
      </x:c>
      <x:c r="AA115" s="31"/>
      <x:c r="AB115" s="22" t="str"/>
      <x:c r="AC115" s="34"/>
      <x:c r="AD115" s="25" t="str"/>
      <x:c r="AE115" s="25" t="str">
        <x:v>품목 수량·단가 또는 범위 일치 GFA·공사금액 부족</x:v>
      </x:c>
      <x:c r="AF115" s="25" t="str">
        <x:v>https://www.oda.go.kr/opo/bsin/bsnsSumryDocDetail.do?P_BSNS_NO=2011-00023</x:v>
      </x:c>
    </x:row>
    <x:row r="116">
      <x:c r="A116" s="22" t="n">
        <x:v>112</x:v>
      </x:c>
      <x:c r="B116" s="22" t="str">
        <x:v>C</x:v>
      </x:c>
      <x:c r="C116" s="22" t="str">
        <x:v>U</x:v>
      </x:c>
      <x:c r="D116" s="22" t="str">
        <x:v>U-전체사업정보</x:v>
      </x:c>
      <x:c r="E116" s="22" t="str">
        <x:v>에티오피아</x:v>
      </x:c>
      <x:c r="F116" s="22" t="str">
        <x:v>country_project_reports</x:v>
      </x:c>
      <x:c r="G116" s="22" t="str">
        <x:v>15052832:621</x:v>
      </x:c>
      <x:c r="H116" s="22" t="str">
        <x:v>2013-00027</x:v>
      </x:c>
      <x:c r="I116" s="22" t="str">
        <x:v>2013-00027</x:v>
      </x:c>
      <x:c r="J116" s="22" t="str">
        <x:v>source_direct</x:v>
      </x:c>
      <x:c r="K116" s="59" t="n">
        <x:v>1</x:v>
      </x:c>
      <x:c r="L116" s="22" t="str"/>
      <x:c r="M116" s="25" t="str">
        <x:v>에티오피아 티그라이주 직업훈련학교 건립사업('13-'19/687만불)...</x:v>
      </x:c>
      <x:c r="N116" s="25" t="str"/>
      <x:c r="O116" s="22" t="str">
        <x:v>USD</x:v>
      </x:c>
      <x:c r="P116" s="31" t="n">
        <x:v>6870000</x:v>
      </x:c>
      <x:c r="Q116" s="22" t="str">
        <x:v>whole_program_budget_from_title</x:v>
      </x:c>
      <x:c r="R116" s="31"/>
      <x:c r="S116" s="31"/>
      <x:c r="T116" s="22" t="n">
        <x:v>0</x:v>
      </x:c>
      <x:c r="U116" s="22" t="str"/>
      <x:c r="V116" s="22" t="n">
        <x:v>0</x:v>
      </x:c>
      <x:c r="W116" s="22" t="n">
        <x:v>0</x:v>
      </x:c>
      <x:c r="X116" s="22" t="n">
        <x:v>0</x:v>
      </x:c>
      <x:c r="Y116" s="22" t="n">
        <x:v>0</x:v>
      </x:c>
      <x:c r="Z116" s="22" t="n">
        <x:v>0</x:v>
      </x:c>
      <x:c r="AA116" s="31"/>
      <x:c r="AB116" s="22" t="str"/>
      <x:c r="AC116" s="34"/>
      <x:c r="AD116" s="25" t="str"/>
      <x:c r="AE116" s="25" t="str">
        <x:v>품목 수량·단가 또는 범위 일치 GFA·공사금액 부족</x:v>
      </x:c>
      <x:c r="AF116" s="25" t="str">
        <x:v>https://www.oda.go.kr/opo/bsin/bsnsSumryDocDetail.do?P_BSNS_NO=2013-00027</x:v>
      </x:c>
    </x:row>
    <x:row r="117">
      <x:c r="A117" s="22" t="n">
        <x:v>113</x:v>
      </x:c>
      <x:c r="B117" s="22" t="str">
        <x:v>C</x:v>
      </x:c>
      <x:c r="C117" s="22" t="str">
        <x:v>U</x:v>
      </x:c>
      <x:c r="D117" s="22" t="str">
        <x:v>U-전체사업정보</x:v>
      </x:c>
      <x:c r="E117" s="22" t="str">
        <x:v>엘살바도르</x:v>
      </x:c>
      <x:c r="F117" s="22" t="str">
        <x:v>country_project_reports</x:v>
      </x:c>
      <x:c r="G117" s="22" t="str">
        <x:v>15052832:635</x:v>
      </x:c>
      <x:c r="H117" s="22" t="str">
        <x:v>2013-00009</x:v>
      </x:c>
      <x:c r="I117" s="22" t="str">
        <x:v>2013-00009</x:v>
      </x:c>
      <x:c r="J117" s="22" t="str">
        <x:v>source_direct</x:v>
      </x:c>
      <x:c r="K117" s="59" t="n">
        <x:v>1</x:v>
      </x:c>
      <x:c r="L117" s="22" t="str"/>
      <x:c r="M117" s="25" t="str">
        <x:v>엘살바도르 한-엘 의료센터 건립사업('13-'20/355만불)...</x:v>
      </x:c>
      <x:c r="N117" s="25" t="str"/>
      <x:c r="O117" s="22" t="str">
        <x:v>USD</x:v>
      </x:c>
      <x:c r="P117" s="31" t="n">
        <x:v>3550000</x:v>
      </x:c>
      <x:c r="Q117" s="22" t="str">
        <x:v>whole_program_budget_from_title</x:v>
      </x:c>
      <x:c r="R117" s="31"/>
      <x:c r="S117" s="31"/>
      <x:c r="T117" s="22" t="n">
        <x:v>0</x:v>
      </x:c>
      <x:c r="U117" s="22" t="str"/>
      <x:c r="V117" s="22" t="n">
        <x:v>0</x:v>
      </x:c>
      <x:c r="W117" s="22" t="n">
        <x:v>0</x:v>
      </x:c>
      <x:c r="X117" s="22" t="n">
        <x:v>0</x:v>
      </x:c>
      <x:c r="Y117" s="22" t="n">
        <x:v>0</x:v>
      </x:c>
      <x:c r="Z117" s="22" t="n">
        <x:v>0</x:v>
      </x:c>
      <x:c r="AA117" s="31"/>
      <x:c r="AB117" s="22" t="str"/>
      <x:c r="AC117" s="34"/>
      <x:c r="AD117" s="25" t="str"/>
      <x:c r="AE117" s="25" t="str">
        <x:v>품목 수량·단가 또는 범위 일치 GFA·공사금액 부족</x:v>
      </x:c>
      <x:c r="AF117" s="25" t="str">
        <x:v>https://www.oda.go.kr/opo/bsin/bsnsSumryDocDetail.do?P_BSNS_NO=2013-00009</x:v>
      </x:c>
    </x:row>
    <x:row r="118">
      <x:c r="A118" s="22" t="n">
        <x:v>114</x:v>
      </x:c>
      <x:c r="B118" s="22" t="str">
        <x:v>C</x:v>
      </x:c>
      <x:c r="C118" s="22" t="str">
        <x:v>U</x:v>
      </x:c>
      <x:c r="D118" s="22" t="str">
        <x:v>U-전체사업정보</x:v>
      </x:c>
      <x:c r="E118" s="22" t="str">
        <x:v>요르단</x:v>
      </x:c>
      <x:c r="F118" s="22" t="str">
        <x:v>country_project_reports</x:v>
      </x:c>
      <x:c r="G118" s="22" t="str">
        <x:v>15052832:583</x:v>
      </x:c>
      <x:c r="H118" s="22" t="str">
        <x:v>2014-00004</x:v>
      </x:c>
      <x:c r="I118" s="22" t="str">
        <x:v>2014-00004</x:v>
      </x:c>
      <x:c r="J118" s="22" t="str">
        <x:v>source_direct</x:v>
      </x:c>
      <x:c r="K118" s="59" t="n">
        <x:v>1</x:v>
      </x:c>
      <x:c r="L118" s="22" t="str"/>
      <x:c r="M118" s="25" t="str">
        <x:v>요르단 3개 지역 보건소 건립사업('14-'19/516만불)...</x:v>
      </x:c>
      <x:c r="N118" s="25" t="str"/>
      <x:c r="O118" s="22" t="str">
        <x:v>USD</x:v>
      </x:c>
      <x:c r="P118" s="31" t="n">
        <x:v>5160000</x:v>
      </x:c>
      <x:c r="Q118" s="22" t="str">
        <x:v>whole_program_budget_from_title</x:v>
      </x:c>
      <x:c r="R118" s="31"/>
      <x:c r="S118" s="31"/>
      <x:c r="T118" s="22" t="n">
        <x:v>0</x:v>
      </x:c>
      <x:c r="U118" s="22" t="str"/>
      <x:c r="V118" s="22" t="n">
        <x:v>0</x:v>
      </x:c>
      <x:c r="W118" s="22" t="n">
        <x:v>0</x:v>
      </x:c>
      <x:c r="X118" s="22" t="n">
        <x:v>0</x:v>
      </x:c>
      <x:c r="Y118" s="22" t="n">
        <x:v>0</x:v>
      </x:c>
      <x:c r="Z118" s="22" t="n">
        <x:v>0</x:v>
      </x:c>
      <x:c r="AA118" s="31"/>
      <x:c r="AB118" s="22" t="str"/>
      <x:c r="AC118" s="34"/>
      <x:c r="AD118" s="25" t="str"/>
      <x:c r="AE118" s="25" t="str">
        <x:v>품목 수량·단가 또는 범위 일치 GFA·공사금액 부족</x:v>
      </x:c>
      <x:c r="AF118" s="25" t="str">
        <x:v>https://www.oda.go.kr/opo/bsin/bsnsSumryDocDetail.do?P_BSNS_NO=2014-00004</x:v>
      </x:c>
    </x:row>
    <x:row r="119">
      <x:c r="A119" s="22" t="n">
        <x:v>115</x:v>
      </x:c>
      <x:c r="B119" s="22" t="str">
        <x:v>C</x:v>
      </x:c>
      <x:c r="C119" s="22" t="str">
        <x:v>U</x:v>
      </x:c>
      <x:c r="D119" s="22" t="str">
        <x:v>U-전체사업정보</x:v>
      </x:c>
      <x:c r="E119" s="22" t="str">
        <x:v>요르단</x:v>
      </x:c>
      <x:c r="F119" s="22" t="str">
        <x:v>country_project_reports</x:v>
      </x:c>
      <x:c r="G119" s="22" t="str">
        <x:v>15052832:400</x:v>
      </x:c>
      <x:c r="H119" s="22" t="str">
        <x:v>2016-00206</x:v>
      </x:c>
      <x:c r="I119" s="22" t="str">
        <x:v>2016-00206</x:v>
      </x:c>
      <x:c r="J119" s="22" t="str">
        <x:v>source_direct</x:v>
      </x:c>
      <x:c r="K119" s="59" t="n">
        <x:v>1</x:v>
      </x:c>
      <x:c r="L119" s="22" t="str"/>
      <x:c r="M119" s="25" t="str">
        <x:v>요르단 시리아 난민 밀집지역 취약계층 아동을 위한 3개 학교 건립사업('...</x:v>
      </x:c>
      <x:c r="N119" s="25" t="str"/>
      <x:c r="O119" s="22" t="str"/>
      <x:c r="P119" s="31"/>
      <x:c r="Q119" s="22" t="str"/>
      <x:c r="R119" s="31"/>
      <x:c r="S119" s="31"/>
      <x:c r="T119" s="22" t="n">
        <x:v>4</x:v>
      </x:c>
      <x:c r="U119" s="22" t="str">
        <x:v>L2018-00005-1;L2018-00020-1;L2019-00043-1;L2020-00007-1</x:v>
      </x:c>
      <x:c r="V119" s="22" t="n">
        <x:v>0</x:v>
      </x:c>
      <x:c r="W119" s="22" t="n">
        <x:v>0</x:v>
      </x:c>
      <x:c r="X119" s="22" t="n">
        <x:v>0</x:v>
      </x:c>
      <x:c r="Y119" s="22" t="n">
        <x:v>0</x:v>
      </x:c>
      <x:c r="Z119" s="22" t="n">
        <x:v>0</x:v>
      </x:c>
      <x:c r="AA119" s="31"/>
      <x:c r="AB119" s="22" t="str"/>
      <x:c r="AC119" s="34"/>
      <x:c r="AD119" s="25" t="str"/>
      <x:c r="AE119" s="25" t="str">
        <x:v>품목 수량·단가 또는 범위 일치 GFA·공사금액 부족</x:v>
      </x:c>
      <x:c r="AF119" s="25" t="str">
        <x:v>https://www.oda.go.kr/opo/bsin/bsnsSumryDocDetail.do?P_BSNS_NO=2016-00206</x:v>
      </x:c>
    </x:row>
    <x:row r="120">
      <x:c r="A120" s="22" t="n">
        <x:v>116</x:v>
      </x:c>
      <x:c r="B120" s="22" t="str">
        <x:v>C</x:v>
      </x:c>
      <x:c r="C120" s="22" t="str">
        <x:v>U</x:v>
      </x:c>
      <x:c r="D120" s="22" t="str">
        <x:v>U-전체사업정보</x:v>
      </x:c>
      <x:c r="E120" s="22" t="str">
        <x:v>요르단</x:v>
      </x:c>
      <x:c r="F120" s="22" t="str">
        <x:v>country_project_reports</x:v>
      </x:c>
      <x:c r="G120" s="22" t="str">
        <x:v>15052832:573</x:v>
      </x:c>
      <x:c r="H120" s="22" t="str">
        <x:v>2014-00019</x:v>
      </x:c>
      <x:c r="I120" s="22" t="str">
        <x:v>2014-00019</x:v>
      </x:c>
      <x:c r="J120" s="22" t="str">
        <x:v>source_direct</x:v>
      </x:c>
      <x:c r="K120" s="59" t="n">
        <x:v>1</x:v>
      </x:c>
      <x:c r="L120" s="22" t="str"/>
      <x:c r="M120" s="25" t="str">
        <x:v>요르단 청각장애 특수학교 건립사업('14-'17/520만불)...</x:v>
      </x:c>
      <x:c r="N120" s="25" t="str"/>
      <x:c r="O120" s="22" t="str">
        <x:v>USD</x:v>
      </x:c>
      <x:c r="P120" s="31" t="n">
        <x:v>5200000</x:v>
      </x:c>
      <x:c r="Q120" s="22" t="str">
        <x:v>whole_program_budget_from_title</x:v>
      </x:c>
      <x:c r="R120" s="31"/>
      <x:c r="S120" s="31"/>
      <x:c r="T120" s="22" t="n">
        <x:v>0</x:v>
      </x:c>
      <x:c r="U120" s="22" t="str"/>
      <x:c r="V120" s="22" t="n">
        <x:v>0</x:v>
      </x:c>
      <x:c r="W120" s="22" t="n">
        <x:v>0</x:v>
      </x:c>
      <x:c r="X120" s="22" t="n">
        <x:v>0</x:v>
      </x:c>
      <x:c r="Y120" s="22" t="n">
        <x:v>0</x:v>
      </x:c>
      <x:c r="Z120" s="22" t="n">
        <x:v>0</x:v>
      </x:c>
      <x:c r="AA120" s="31"/>
      <x:c r="AB120" s="22" t="str"/>
      <x:c r="AC120" s="34"/>
      <x:c r="AD120" s="25" t="str"/>
      <x:c r="AE120" s="25" t="str">
        <x:v>품목 수량·단가 또는 범위 일치 GFA·공사금액 부족</x:v>
      </x:c>
      <x:c r="AF120" s="25" t="str">
        <x:v>https://www.oda.go.kr/opo/bsin/bsnsSumryDocDetail.do?P_BSNS_NO=2014-00019</x:v>
      </x:c>
    </x:row>
    <x:row r="121">
      <x:c r="A121" s="22" t="n">
        <x:v>117</x:v>
      </x:c>
      <x:c r="B121" s="22" t="str">
        <x:v>C</x:v>
      </x:c>
      <x:c r="C121" s="22" t="str">
        <x:v>U</x:v>
      </x:c>
      <x:c r="D121" s="22" t="str">
        <x:v>U-전체사업정보</x:v>
      </x:c>
      <x:c r="E121" s="22" t="str">
        <x:v>우즈베키스탄</x:v>
      </x:c>
      <x:c r="F121" s="22" t="str">
        <x:v>country_project_reports</x:v>
      </x:c>
      <x:c r="G121" s="22" t="str">
        <x:v>15052832:189</x:v>
      </x:c>
      <x:c r="H121" s="22" t="str">
        <x:v>2021-00085</x:v>
      </x:c>
      <x:c r="I121" s="22" t="str">
        <x:v>2021-00085</x:v>
      </x:c>
      <x:c r="J121" s="22" t="str">
        <x:v>source_direct</x:v>
      </x:c>
      <x:c r="K121" s="59" t="n">
        <x:v>1</x:v>
      </x:c>
      <x:c r="L121" s="22" t="str"/>
      <x:c r="M121" s="25" t="str">
        <x:v>우즈베키스탄 교수학습개발복합센터 건립을 통한 유아교사 역량강화사업('21...</x:v>
      </x:c>
      <x:c r="N121" s="25" t="str"/>
      <x:c r="O121" s="22" t="str"/>
      <x:c r="P121" s="31"/>
      <x:c r="Q121" s="22" t="str"/>
      <x:c r="R121" s="31"/>
      <x:c r="S121" s="31"/>
      <x:c r="T121" s="22" t="n">
        <x:v>1</x:v>
      </x:c>
      <x:c r="U121" s="22" t="str">
        <x:v>L2023-00065-1</x:v>
      </x:c>
      <x:c r="V121" s="22" t="n">
        <x:v>14</x:v>
      </x:c>
      <x:c r="W121" s="22" t="n">
        <x:v>0</x:v>
      </x:c>
      <x:c r="X121" s="22" t="n">
        <x:v>0</x:v>
      </x:c>
      <x:c r="Y121" s="22" t="n">
        <x:v>0</x:v>
      </x:c>
      <x:c r="Z121" s="22" t="n">
        <x:v>0</x:v>
      </x:c>
      <x:c r="AA121" s="31"/>
      <x:c r="AB121" s="22" t="str"/>
      <x:c r="AC121" s="34"/>
      <x:c r="AD121" s="25" t="str"/>
      <x:c r="AE121" s="25" t="str">
        <x:v>품목 수량·단가 또는 범위 일치 GFA·공사금액 부족</x:v>
      </x:c>
      <x:c r="AF121" s="25" t="str">
        <x:v>https://www.oda.go.kr/opo/bsin/bsnsSumryDocDetail.do?P_BSNS_NO=2021-00085</x:v>
      </x:c>
    </x:row>
    <x:row r="122">
      <x:c r="A122" s="22" t="n">
        <x:v>118</x:v>
      </x:c>
      <x:c r="B122" s="22" t="str">
        <x:v>B</x:v>
      </x:c>
      <x:c r="C122" s="22" t="str">
        <x:v>B</x:v>
      </x:c>
      <x:c r="D122" s="22" t="str">
        <x:v>U-전체사업정보</x:v>
      </x:c>
      <x:c r="E122" s="22" t="str">
        <x:v>우즈베키스탄</x:v>
      </x:c>
      <x:c r="F122" s="22" t="str">
        <x:v>country_project_reports</x:v>
      </x:c>
      <x:c r="G122" s="22" t="str">
        <x:v>15052832:247</x:v>
      </x:c>
      <x:c r="H122" s="22" t="str">
        <x:v>2020-00086</x:v>
      </x:c>
      <x:c r="I122" s="22" t="str">
        <x:v>2020-00086</x:v>
      </x:c>
      <x:c r="J122" s="22" t="str">
        <x:v>source_direct</x:v>
      </x:c>
      <x:c r="K122" s="59" t="n">
        <x:v>1</x:v>
      </x:c>
      <x:c r="L122" s="22" t="str"/>
      <x:c r="M122" s="25" t="str">
        <x:v>우즈베키스탄 우르겐치 직업훈련원 건립 및 직업훈련 제도역량 공고화 지원 ...</x:v>
      </x:c>
      <x:c r="N122" s="25" t="str"/>
      <x:c r="O122" s="22" t="str"/>
      <x:c r="P122" s="31"/>
      <x:c r="Q122" s="22" t="str"/>
      <x:c r="R122" s="31"/>
      <x:c r="S122" s="31"/>
      <x:c r="T122" s="22" t="n">
        <x:v>4</x:v>
      </x:c>
      <x:c r="U122" s="22" t="str">
        <x:v>L2022-00003-1;L2023-00007-1;L2023-00036-1;L2023-00053-1</x:v>
      </x:c>
      <x:c r="V122" s="22" t="n">
        <x:v>609</x:v>
      </x:c>
      <x:c r="W122" s="22" t="n">
        <x:v>520</x:v>
      </x:c>
      <x:c r="X122" s="22" t="n">
        <x:v>550</x:v>
      </x:c>
      <x:c r="Y122" s="22" t="n">
        <x:v>102</x:v>
      </x:c>
      <x:c r="Z122" s="22" t="n">
        <x:v>0</x:v>
      </x:c>
      <x:c r="AA122" s="31"/>
      <x:c r="AB122" s="22" t="str"/>
      <x:c r="AC122" s="34"/>
      <x:c r="AD122" s="25" t="str">
        <x:v>L2023-00036-1/.../Section 4. Bill of Quantities(Not-Priced)/공내역서/</x:v>
      </x:c>
      <x:c r="AE122" s="25" t="str">
        <x:v>품목별 현지 단가 부재; 재공고 파일 중복 제거 필요</x:v>
      </x:c>
      <x:c r="AF122" s="25" t="str">
        <x:v>https://www.oda.go.kr/opo/bsin/bsnsSumryDocDetail.do?P_BSNS_NO=2020-00086</x:v>
      </x:c>
    </x:row>
    <x:row r="123">
      <x:c r="A123" s="22" t="n">
        <x:v>119</x:v>
      </x:c>
      <x:c r="B123" s="22" t="str">
        <x:v>A</x:v>
      </x:c>
      <x:c r="C123" s="22" t="str">
        <x:v>A-부분</x:v>
      </x:c>
      <x:c r="D123" s="22" t="str">
        <x:v>U-전체사업정보</x:v>
      </x:c>
      <x:c r="E123" s="22" t="str">
        <x:v>이라크</x:v>
      </x:c>
      <x:c r="F123" s="22" t="str">
        <x:v>country_project_reports</x:v>
      </x:c>
      <x:c r="G123" s="22" t="str">
        <x:v>15052832:224</x:v>
      </x:c>
      <x:c r="H123" s="22" t="str">
        <x:v>2020-00119</x:v>
      </x:c>
      <x:c r="I123" s="22" t="str">
        <x:v>2020-00119</x:v>
      </x:c>
      <x:c r="J123" s="22" t="str">
        <x:v>source_direct</x:v>
      </x:c>
      <x:c r="K123" s="59" t="n">
        <x:v>1</x:v>
      </x:c>
      <x:c r="L123" s="22" t="str"/>
      <x:c r="M123" s="25" t="str">
        <x:v>이라크 한-이라크 심장병 어린이 전문 병원 건립사업(`20-`25/2,5...</x:v>
      </x:c>
      <x:c r="N123" s="25" t="str"/>
      <x:c r="O123" s="22" t="str"/>
      <x:c r="P123" s="31"/>
      <x:c r="Q123" s="22" t="str"/>
      <x:c r="R123" s="31"/>
      <x:c r="S123" s="31"/>
      <x:c r="T123" s="22" t="n">
        <x:v>3</x:v>
      </x:c>
      <x:c r="U123" s="22" t="str">
        <x:v>L2025-00070-1;L2025-00071-1;L2025-00085-1</x:v>
      </x:c>
      <x:c r="V123" s="22" t="n">
        <x:v>119</x:v>
      </x:c>
      <x:c r="W123" s="22" t="n">
        <x:v>91</x:v>
      </x:c>
      <x:c r="X123" s="22" t="n">
        <x:v>97</x:v>
      </x:c>
      <x:c r="Y123" s="22" t="n">
        <x:v>35</x:v>
      </x:c>
      <x:c r="Z123" s="22" t="n">
        <x:v>16</x:v>
      </x:c>
      <x:c r="AA123" s="31" t="n">
        <x:v>8372712.422776788</x:v>
      </x:c>
      <x:c r="AB123" s="22" t="str">
        <x:v>USD</x:v>
      </x:c>
      <x:c r="AC123" s="34" t="n">
        <x:v>1526.196212682608</x:v>
      </x:c>
      <x:c r="AD123" s="25" t="str">
        <x:v>L2025-00085-1/.../BILL No1 -Architectural Works-01. HOSPITAL(BLANK BILL).xlsx</x:v>
      </x:c>
      <x:c r="AE123" s="25" t="str">
        <x:v>건축 Bill No.01만 포함; 토목·기계·전기·통신·소방 등 제외</x:v>
      </x:c>
      <x:c r="AF123" s="25" t="str">
        <x:v>https://www.oda.go.kr/opo/bsin/bsnsSumryDocDetail.do?P_BSNS_NO=2020-00119</x:v>
      </x:c>
    </x:row>
    <x:row r="124">
      <x:c r="A124" s="22" t="n">
        <x:v>120</x:v>
      </x:c>
      <x:c r="B124" s="22" t="str">
        <x:v>C</x:v>
      </x:c>
      <x:c r="C124" s="22" t="str">
        <x:v>U</x:v>
      </x:c>
      <x:c r="D124" s="22" t="str">
        <x:v>U-전체사업정보</x:v>
      </x:c>
      <x:c r="E124" s="22" t="str">
        <x:v>카메룬</x:v>
      </x:c>
      <x:c r="F124" s="22" t="str">
        <x:v>country_project_reports</x:v>
      </x:c>
      <x:c r="G124" s="22" t="str">
        <x:v>15052832:463</x:v>
      </x:c>
      <x:c r="H124" s="22" t="str">
        <x:v>2016-00022</x:v>
      </x:c>
      <x:c r="I124" s="22" t="str">
        <x:v>2016-00022</x:v>
      </x:c>
      <x:c r="J124" s="22" t="str">
        <x:v>source_direct</x:v>
      </x:c>
      <x:c r="K124" s="59" t="n">
        <x:v>1</x:v>
      </x:c>
      <x:c r="L124" s="22" t="str"/>
      <x:c r="M124" s="25" t="str">
        <x:v>카메룬 국립직업훈련교육원 건립사업(`13-`21/680만불)...</x:v>
      </x:c>
      <x:c r="N124" s="25" t="str"/>
      <x:c r="O124" s="22" t="str">
        <x:v>USD</x:v>
      </x:c>
      <x:c r="P124" s="31" t="n">
        <x:v>6800000</x:v>
      </x:c>
      <x:c r="Q124" s="22" t="str">
        <x:v>whole_program_budget_from_title</x:v>
      </x:c>
      <x:c r="R124" s="31"/>
      <x:c r="S124" s="31"/>
      <x:c r="T124" s="22" t="n">
        <x:v>0</x:v>
      </x:c>
      <x:c r="U124" s="22" t="str"/>
      <x:c r="V124" s="22" t="n">
        <x:v>0</x:v>
      </x:c>
      <x:c r="W124" s="22" t="n">
        <x:v>0</x:v>
      </x:c>
      <x:c r="X124" s="22" t="n">
        <x:v>0</x:v>
      </x:c>
      <x:c r="Y124" s="22" t="n">
        <x:v>0</x:v>
      </x:c>
      <x:c r="Z124" s="22" t="n">
        <x:v>0</x:v>
      </x:c>
      <x:c r="AA124" s="31"/>
      <x:c r="AB124" s="22" t="str"/>
      <x:c r="AC124" s="34"/>
      <x:c r="AD124" s="25" t="str"/>
      <x:c r="AE124" s="25" t="str">
        <x:v>품목 수량·단가 또는 범위 일치 GFA·공사금액 부족</x:v>
      </x:c>
      <x:c r="AF124" s="25" t="str">
        <x:v>https://www.oda.go.kr/opo/bsin/bsnsSumryDocDetail.do?P_BSNS_NO=2016-00022</x:v>
      </x:c>
    </x:row>
    <x:row r="125">
      <x:c r="A125" s="22" t="n">
        <x:v>121</x:v>
      </x:c>
      <x:c r="B125" s="22" t="str">
        <x:v>B</x:v>
      </x:c>
      <x:c r="C125" s="22" t="str">
        <x:v>B</x:v>
      </x:c>
      <x:c r="D125" s="22" t="str">
        <x:v>U-전체사업정보</x:v>
      </x:c>
      <x:c r="E125" s="22" t="str">
        <x:v>캄보디아</x:v>
      </x:c>
      <x:c r="F125" s="22" t="str">
        <x:v>country_project_reports</x:v>
      </x:c>
      <x:c r="G125" s="22" t="str">
        <x:v>15052832:133</x:v>
      </x:c>
      <x:c r="H125" s="22" t="str">
        <x:v>2022-00027</x:v>
      </x:c>
      <x:c r="I125" s="22" t="str">
        <x:v>2022-00027</x:v>
      </x:c>
      <x:c r="J125" s="22" t="str">
        <x:v>source_direct</x:v>
      </x:c>
      <x:c r="K125" s="59" t="n">
        <x:v>1</x:v>
      </x:c>
      <x:c r="L125" s="22" t="str"/>
      <x:c r="M125" s="25" t="str">
        <x:v>캄보디아 국립소아병원 내과계 병동건립 및 의료인력 역량강화사업('22-'27/1,600만불)</x:v>
      </x:c>
      <x:c r="N125" s="25" t="str"/>
      <x:c r="O125" s="22" t="str">
        <x:v>USD</x:v>
      </x:c>
      <x:c r="P125" s="31" t="n">
        <x:v>16000000</x:v>
      </x:c>
      <x:c r="Q125" s="22" t="str">
        <x:v>whole_program_budget_from_title</x:v>
      </x:c>
      <x:c r="R125" s="31"/>
      <x:c r="S125" s="31"/>
      <x:c r="T125" s="22" t="n">
        <x:v>1</x:v>
      </x:c>
      <x:c r="U125" s="22" t="str">
        <x:v>L2025-00073-1</x:v>
      </x:c>
      <x:c r="V125" s="22" t="n">
        <x:v>9</x:v>
      </x:c>
      <x:c r="W125" s="22" t="n">
        <x:v>1</x:v>
      </x:c>
      <x:c r="X125" s="22" t="n">
        <x:v>1</x:v>
      </x:c>
      <x:c r="Y125" s="22" t="n">
        <x:v>1</x:v>
      </x:c>
      <x:c r="Z125" s="22" t="n">
        <x:v>0</x:v>
      </x:c>
      <x:c r="AA125" s="31"/>
      <x:c r="AB125" s="22" t="str"/>
      <x:c r="AC125" s="34"/>
      <x:c r="AD125" s="25" t="str">
        <x:v>L2025-00073-1/.../Section 4_BLANK BOQ.xlsx</x:v>
      </x:c>
      <x:c r="AE125" s="25" t="str">
        <x:v>품목별 캄보디아 현지 단가 부재</x:v>
      </x:c>
      <x:c r="AF125" s="25" t="str">
        <x:v>https://www.oda.go.kr/opo/bsin/bsnsSumryDocDetail.do?P_BSNS_NO=2022-00027</x:v>
      </x:c>
    </x:row>
    <x:row r="126">
      <x:c r="A126" s="22" t="n">
        <x:v>122</x:v>
      </x:c>
      <x:c r="B126" s="22" t="str">
        <x:v>C</x:v>
      </x:c>
      <x:c r="C126" s="22" t="str">
        <x:v>U</x:v>
      </x:c>
      <x:c r="D126" s="22" t="str">
        <x:v>U-전체사업정보</x:v>
      </x:c>
      <x:c r="E126" s="22" t="str">
        <x:v>캄보디아</x:v>
      </x:c>
      <x:c r="F126" s="22" t="str">
        <x:v>country_project_reports</x:v>
      </x:c>
      <x:c r="G126" s="22" t="str">
        <x:v>15052832:603</x:v>
      </x:c>
      <x:c r="H126" s="22" t="str">
        <x:v>2013-00054</x:v>
      </x:c>
      <x:c r="I126" s="22" t="str">
        <x:v>2013-00054</x:v>
      </x:c>
      <x:c r="J126" s="22" t="str">
        <x:v>source_direct</x:v>
      </x:c>
      <x:c r="K126" s="59" t="n">
        <x:v>1</x:v>
      </x:c>
      <x:c r="L126" s="22" t="str"/>
      <x:c r="M126" s="25" t="str">
        <x:v>캄보디아 민간항공 관리역량 제고 및 교육센터 건립사업('13-'18/1,...</x:v>
      </x:c>
      <x:c r="N126" s="25" t="str"/>
      <x:c r="O126" s="22" t="str"/>
      <x:c r="P126" s="31"/>
      <x:c r="Q126" s="22" t="str"/>
      <x:c r="R126" s="31"/>
      <x:c r="S126" s="31"/>
      <x:c r="T126" s="22" t="n">
        <x:v>0</x:v>
      </x:c>
      <x:c r="U126" s="22" t="str"/>
      <x:c r="V126" s="22" t="n">
        <x:v>0</x:v>
      </x:c>
      <x:c r="W126" s="22" t="n">
        <x:v>0</x:v>
      </x:c>
      <x:c r="X126" s="22" t="n">
        <x:v>0</x:v>
      </x:c>
      <x:c r="Y126" s="22" t="n">
        <x:v>0</x:v>
      </x:c>
      <x:c r="Z126" s="22" t="n">
        <x:v>0</x:v>
      </x:c>
      <x:c r="AA126" s="31"/>
      <x:c r="AB126" s="22" t="str"/>
      <x:c r="AC126" s="34"/>
      <x:c r="AD126" s="25" t="str"/>
      <x:c r="AE126" s="25" t="str">
        <x:v>품목 수량·단가 또는 범위 일치 GFA·공사금액 부족</x:v>
      </x:c>
      <x:c r="AF126" s="25" t="str">
        <x:v>https://www.oda.go.kr/opo/bsin/bsnsSumryDocDetail.do?P_BSNS_NO=2013-00054</x:v>
      </x:c>
    </x:row>
    <x:row r="127">
      <x:c r="A127" s="22" t="n">
        <x:v>123</x:v>
      </x:c>
      <x:c r="B127" s="22" t="str">
        <x:v>C</x:v>
      </x:c>
      <x:c r="C127" s="22" t="str">
        <x:v>U</x:v>
      </x:c>
      <x:c r="D127" s="22" t="str">
        <x:v>U-전체사업정보</x:v>
      </x:c>
      <x:c r="E127" s="22" t="str">
        <x:v>코트디부아르</x:v>
      </x:c>
      <x:c r="F127" s="22" t="str">
        <x:v>country_project_reports</x:v>
      </x:c>
      <x:c r="G127" s="22" t="str">
        <x:v>15052832:516</x:v>
      </x:c>
      <x:c r="H127" s="22" t="str">
        <x:v>2015-00019</x:v>
      </x:c>
      <x:c r="I127" s="22" t="str">
        <x:v>2015-00019</x:v>
      </x:c>
      <x:c r="J127" s="22" t="str">
        <x:v>source_direct</x:v>
      </x:c>
      <x:c r="K127" s="59" t="n">
        <x:v>1</x:v>
      </x:c>
      <x:c r="L127" s="22" t="str"/>
      <x:c r="M127" s="25" t="str">
        <x:v>코트디부아르 한-코 협력센터 건립사업(15-20/950만불)...</x:v>
      </x:c>
      <x:c r="N127" s="25" t="str"/>
      <x:c r="O127" s="22" t="str">
        <x:v>USD</x:v>
      </x:c>
      <x:c r="P127" s="31" t="n">
        <x:v>9500000</x:v>
      </x:c>
      <x:c r="Q127" s="22" t="str">
        <x:v>whole_program_budget_from_title</x:v>
      </x:c>
      <x:c r="R127" s="31"/>
      <x:c r="S127" s="31"/>
      <x:c r="T127" s="22" t="n">
        <x:v>2</x:v>
      </x:c>
      <x:c r="U127" s="22" t="str">
        <x:v>L2021-00022-1;L2021-00028-1</x:v>
      </x:c>
      <x:c r="V127" s="22" t="n">
        <x:v>19</x:v>
      </x:c>
      <x:c r="W127" s="22" t="n">
        <x:v>0</x:v>
      </x:c>
      <x:c r="X127" s="22" t="n">
        <x:v>0</x:v>
      </x:c>
      <x:c r="Y127" s="22" t="n">
        <x:v>0</x:v>
      </x:c>
      <x:c r="Z127" s="22" t="n">
        <x:v>0</x:v>
      </x:c>
      <x:c r="AA127" s="31"/>
      <x:c r="AB127" s="22" t="str"/>
      <x:c r="AC127" s="34"/>
      <x:c r="AD127" s="25" t="str"/>
      <x:c r="AE127" s="25" t="str">
        <x:v>품목 수량·단가 또는 범위 일치 GFA·공사금액 부족</x:v>
      </x:c>
      <x:c r="AF127" s="25" t="str">
        <x:v>https://www.oda.go.kr/opo/bsin/bsnsSumryDocDetail.do?P_BSNS_NO=2015-00019</x:v>
      </x:c>
    </x:row>
    <x:row r="128">
      <x:c r="A128" s="22" t="n">
        <x:v>124</x:v>
      </x:c>
      <x:c r="B128" s="22" t="str">
        <x:v>C</x:v>
      </x:c>
      <x:c r="C128" s="22" t="str">
        <x:v>U</x:v>
      </x:c>
      <x:c r="D128" s="22" t="str">
        <x:v>U-전체사업정보</x:v>
      </x:c>
      <x:c r="E128" s="22" t="str">
        <x:v>콜롬비아</x:v>
      </x:c>
      <x:c r="F128" s="22" t="str">
        <x:v>country_project_reports</x:v>
      </x:c>
      <x:c r="G128" s="22" t="str">
        <x:v>15052832:673</x:v>
      </x:c>
      <x:c r="H128" s="22" t="str">
        <x:v>2007-00015</x:v>
      </x:c>
      <x:c r="I128" s="22" t="str">
        <x:v>2007-00015</x:v>
      </x:c>
      <x:c r="J128" s="22" t="str">
        <x:v>source_direct</x:v>
      </x:c>
      <x:c r="K128" s="59" t="n">
        <x:v>1</x:v>
      </x:c>
      <x:c r="L128" s="22" t="str"/>
      <x:c r="M128" s="25" t="str">
        <x:v>콜롬비아 한-콜롬비아 우호재활센터 건립사업('07-'16/1,150만불)...</x:v>
      </x:c>
      <x:c r="N128" s="25" t="str"/>
      <x:c r="O128" s="22" t="str">
        <x:v>USD</x:v>
      </x:c>
      <x:c r="P128" s="31" t="n">
        <x:v>11500000</x:v>
      </x:c>
      <x:c r="Q128" s="22" t="str">
        <x:v>whole_program_budget_from_title</x:v>
      </x:c>
      <x:c r="R128" s="31"/>
      <x:c r="S128" s="31"/>
      <x:c r="T128" s="22" t="n">
        <x:v>0</x:v>
      </x:c>
      <x:c r="U128" s="22" t="str"/>
      <x:c r="V128" s="22" t="n">
        <x:v>0</x:v>
      </x:c>
      <x:c r="W128" s="22" t="n">
        <x:v>0</x:v>
      </x:c>
      <x:c r="X128" s="22" t="n">
        <x:v>0</x:v>
      </x:c>
      <x:c r="Y128" s="22" t="n">
        <x:v>0</x:v>
      </x:c>
      <x:c r="Z128" s="22" t="n">
        <x:v>0</x:v>
      </x:c>
      <x:c r="AA128" s="31"/>
      <x:c r="AB128" s="22" t="str"/>
      <x:c r="AC128" s="34"/>
      <x:c r="AD128" s="25" t="str"/>
      <x:c r="AE128" s="25" t="str">
        <x:v>품목 수량·단가 또는 범위 일치 GFA·공사금액 부족</x:v>
      </x:c>
      <x:c r="AF128" s="25" t="str">
        <x:v>https://www.oda.go.kr/opo/bsin/bsnsSumryDocDetail.do?P_BSNS_NO=2007-00015</x:v>
      </x:c>
    </x:row>
    <x:row r="129">
      <x:c r="A129" s="22" t="n">
        <x:v>125</x:v>
      </x:c>
      <x:c r="B129" s="22" t="str">
        <x:v>C</x:v>
      </x:c>
      <x:c r="C129" s="22" t="str">
        <x:v>U</x:v>
      </x:c>
      <x:c r="D129" s="22" t="str">
        <x:v>U-전체사업정보</x:v>
      </x:c>
      <x:c r="E129" s="22" t="str">
        <x:v>파라과이</x:v>
      </x:c>
      <x:c r="F129" s="22" t="str">
        <x:v>country_project_reports</x:v>
      </x:c>
      <x:c r="G129" s="22" t="str">
        <x:v>15052832:672</x:v>
      </x:c>
      <x:c r="H129" s="22" t="str">
        <x:v>2008-00040</x:v>
      </x:c>
      <x:c r="I129" s="22" t="str">
        <x:v>2008-00040</x:v>
      </x:c>
      <x:c r="J129" s="22" t="str">
        <x:v>source_direct</x:v>
      </x:c>
      <x:c r="K129" s="59" t="n">
        <x:v>1</x:v>
      </x:c>
      <x:c r="L129" s="22" t="str"/>
      <x:c r="M129" s="25" t="str">
        <x:v>파라과이 아순시온시 취약아동 청소년 재활훈련원 건립사업('08-'10/1...</x:v>
      </x:c>
      <x:c r="N129" s="25" t="str"/>
      <x:c r="O129" s="22" t="str"/>
      <x:c r="P129" s="31"/>
      <x:c r="Q129" s="22" t="str"/>
      <x:c r="R129" s="31"/>
      <x:c r="S129" s="31"/>
      <x:c r="T129" s="22" t="n">
        <x:v>0</x:v>
      </x:c>
      <x:c r="U129" s="22" t="str"/>
      <x:c r="V129" s="22" t="n">
        <x:v>0</x:v>
      </x:c>
      <x:c r="W129" s="22" t="n">
        <x:v>0</x:v>
      </x:c>
      <x:c r="X129" s="22" t="n">
        <x:v>0</x:v>
      </x:c>
      <x:c r="Y129" s="22" t="n">
        <x:v>0</x:v>
      </x:c>
      <x:c r="Z129" s="22" t="n">
        <x:v>0</x:v>
      </x:c>
      <x:c r="AA129" s="31"/>
      <x:c r="AB129" s="22" t="str"/>
      <x:c r="AC129" s="34"/>
      <x:c r="AD129" s="25" t="str"/>
      <x:c r="AE129" s="25" t="str">
        <x:v>품목 수량·단가 또는 범위 일치 GFA·공사금액 부족</x:v>
      </x:c>
      <x:c r="AF129" s="25" t="str">
        <x:v>https://www.oda.go.kr/opo/bsin/bsnsSumryDocDetail.do?P_BSNS_NO=2008-00040</x:v>
      </x:c>
    </x:row>
    <x:row r="130">
      <x:c r="A130" s="22" t="n">
        <x:v>126</x:v>
      </x:c>
      <x:c r="B130" s="22" t="str">
        <x:v>C</x:v>
      </x:c>
      <x:c r="C130" s="22" t="str">
        <x:v>U</x:v>
      </x:c>
      <x:c r="D130" s="22" t="str">
        <x:v>U-전체사업정보</x:v>
      </x:c>
      <x:c r="E130" s="22" t="str">
        <x:v>팔레스타인</x:v>
      </x:c>
      <x:c r="F130" s="22" t="str">
        <x:v>country_project_reports</x:v>
      </x:c>
      <x:c r="G130" s="22" t="str">
        <x:v>15052832:614</x:v>
      </x:c>
      <x:c r="H130" s="22" t="str">
        <x:v>2013-00034</x:v>
      </x:c>
      <x:c r="I130" s="22" t="str">
        <x:v>2013-00034</x:v>
      </x:c>
      <x:c r="J130" s="22" t="str">
        <x:v>source_direct</x:v>
      </x:c>
      <x:c r="K130" s="59" t="n">
        <x:v>1</x:v>
      </x:c>
      <x:c r="L130" s="22" t="str"/>
      <x:c r="M130" s="25" t="str">
        <x:v>팔레스타인 제닌 청소년센터 건립사업('13-'18/360만불)...</x:v>
      </x:c>
      <x:c r="N130" s="25" t="str"/>
      <x:c r="O130" s="22" t="str">
        <x:v>USD</x:v>
      </x:c>
      <x:c r="P130" s="31" t="n">
        <x:v>3600000</x:v>
      </x:c>
      <x:c r="Q130" s="22" t="str">
        <x:v>whole_program_budget_from_title</x:v>
      </x:c>
      <x:c r="R130" s="31"/>
      <x:c r="S130" s="31"/>
      <x:c r="T130" s="22" t="n">
        <x:v>0</x:v>
      </x:c>
      <x:c r="U130" s="22" t="str"/>
      <x:c r="V130" s="22" t="n">
        <x:v>0</x:v>
      </x:c>
      <x:c r="W130" s="22" t="n">
        <x:v>0</x:v>
      </x:c>
      <x:c r="X130" s="22" t="n">
        <x:v>0</x:v>
      </x:c>
      <x:c r="Y130" s="22" t="n">
        <x:v>0</x:v>
      </x:c>
      <x:c r="Z130" s="22" t="n">
        <x:v>0</x:v>
      </x:c>
      <x:c r="AA130" s="31"/>
      <x:c r="AB130" s="22" t="str"/>
      <x:c r="AC130" s="34"/>
      <x:c r="AD130" s="25" t="str"/>
      <x:c r="AE130" s="25" t="str">
        <x:v>품목 수량·단가 또는 범위 일치 GFA·공사금액 부족</x:v>
      </x:c>
      <x:c r="AF130" s="25" t="str">
        <x:v>https://www.oda.go.kr/opo/bsin/bsnsSumryDocDetail.do?P_BSNS_NO=2013-00034</x:v>
      </x:c>
    </x:row>
    <x:row r="131">
      <x:c r="A131" s="23" t="n">
        <x:v>127</x:v>
      </x:c>
      <x:c r="B131" s="23" t="str">
        <x:v>B</x:v>
      </x:c>
      <x:c r="C131" s="23" t="str">
        <x:v>B</x:v>
      </x:c>
      <x:c r="D131" s="23" t="str">
        <x:v>U-전체사업정보</x:v>
      </x:c>
      <x:c r="E131" s="23" t="str">
        <x:v>피지</x:v>
      </x:c>
      <x:c r="F131" s="23" t="str">
        <x:v>country_project_reports</x:v>
      </x:c>
      <x:c r="G131" s="23" t="str">
        <x:v>15052832:116</x:v>
      </x:c>
      <x:c r="H131" s="23" t="str">
        <x:v>2022-00076</x:v>
      </x:c>
      <x:c r="I131" s="23" t="str">
        <x:v>2022-00076</x:v>
      </x:c>
      <x:c r="J131" s="23" t="str">
        <x:v>source_direct</x:v>
      </x:c>
      <x:c r="K131" s="60" t="n">
        <x:v>1</x:v>
      </x:c>
      <x:c r="L131" s="23" t="str"/>
      <x:c r="M131" s="26" t="str">
        <x:v>피지 국립재활센터 건립사업('22-'27/1,000만불)</x:v>
      </x:c>
      <x:c r="N131" s="26" t="str"/>
      <x:c r="O131" s="23" t="str">
        <x:v>USD</x:v>
      </x:c>
      <x:c r="P131" s="32" t="n">
        <x:v>10000000</x:v>
      </x:c>
      <x:c r="Q131" s="23" t="str">
        <x:v>whole_program_budget_from_title</x:v>
      </x:c>
      <x:c r="R131" s="32"/>
      <x:c r="S131" s="32"/>
      <x:c r="T131" s="23" t="n">
        <x:v>3</x:v>
      </x:c>
      <x:c r="U131" s="23" t="str">
        <x:v>L2023-00038-1;L2025-00051-1;L2025-00051-2</x:v>
      </x:c>
      <x:c r="V131" s="23" t="n">
        <x:v>46</x:v>
      </x:c>
      <x:c r="W131" s="23" t="n">
        <x:v>3</x:v>
      </x:c>
      <x:c r="X131" s="23" t="n">
        <x:v>2</x:v>
      </x:c>
      <x:c r="Y131" s="23" t="n">
        <x:v>1</x:v>
      </x:c>
      <x:c r="Z131" s="23" t="n">
        <x:v>0</x:v>
      </x:c>
      <x:c r="AA131" s="32"/>
      <x:c r="AB131" s="23" t="str"/>
      <x:c r="AC131" s="35"/>
      <x:c r="AD131" s="26" t="str">
        <x:v>L2025-00051-1/Section 4 - Bill of Quantity.xlsx</x:v>
      </x:c>
      <x:c r="AE131" s="26" t="str">
        <x:v>품목별 피지 현지 단가 부재; 재공고 파일 해시 동일</x:v>
      </x:c>
      <x:c r="AF131" s="26" t="str">
        <x:v>https://www.oda.go.kr/opo/bsin/bsnsSumryDocDetail.do?P_BSNS_NO=2022-00076</x:v>
      </x:c>
    </x:row>
  </x:sheetData>
  <x:mergeCells>
    <x:mergeCell ref="A1:AF1"/>
    <x:mergeCell ref="A2:AF2"/>
  </x:mergeCells>
  <x:conditionalFormatting sqref="B5:D131">
    <x:cfRule type="beginsWith" dxfId="15" priority="1" operator="beginsWith" text="A"/>
    <x:cfRule type="beginsWith" dxfId="16" priority="2" operator="beginsWith" text="B"/>
    <x:cfRule type="beginsWith" dxfId="17" priority="3" operator="beginsWith" text="C"/>
    <x:cfRule type="beginsWith" dxfId="18" priority="4" operator="beginsWith" text="U"/>
    <x:cfRule type="beginsWith" dxfId="19" priority="5" operator="beginsWith" text="X"/>
  </x:conditionalFormatting>
  <x:pageMargins left="0.7" right="0.7" top="0.75" bottom="0.75" header="0.3" footer="0.3"/>
  <x:tableParts count="1">
    <x:tablePart xmlns:r="http://schemas.openxmlformats.org/officeDocument/2006/relationships" r:id="R51d6c31798ca48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38" hidden="0" customWidth="1"/>
    <x:col min="5" max="5" width="12" hidden="0" customWidth="1"/>
    <x:col min="6" max="6" width="9" hidden="0" customWidth="1"/>
    <x:col min="7" max="7" width="58" hidden="0" customWidth="1"/>
    <x:col min="8" max="8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3" hidden="0" customWidth="1"/>
    <x:col min="13" max="13" width="10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22" hidden="0" customWidth="1"/>
    <x:col min="19" max="19" width="11" hidden="0" customWidth="1"/>
    <x:col min="20" max="20" width="28" hidden="0" customWidth="1"/>
  </x:cols>
  <x:sheetData>
    <x:row r="1" ht="34" customHeight="1">
      <x:c r="A1" s="3" t="str">
        <x:v>후보 연결 첨부파일 일괄검사</x:v>
      </x:c>
    </x:row>
    <x:row r="2" ht="38" customHeight="1">
      <x:c r="A2" s="7" t="str">
        <x:v>현재 공고 72개의 중첩 파일 1,642개를 색인했고, 공사공고의 스프레드시트에서 BOQ 헤더·수량행·가격행을 검사했습니다. 파일명만으로 등급을 올리지 않습니다.</x:v>
      </x:c>
    </x:row>
    <x:row r="4" ht="30" customHeight="1">
      <x:c r="A4" s="13" t="str">
        <x:v>사업키</x:v>
      </x:c>
      <x:c r="B4" s="13" t="str">
        <x:v>공고번호</x:v>
      </x:c>
      <x:c r="C4" s="13" t="str">
        <x:v>계약구분</x:v>
      </x:c>
      <x:c r="D4" s="13" t="str">
        <x:v>공고명</x:v>
      </x:c>
      <x:c r="E4" s="13" t="str">
        <x:v>공사비관련공고</x:v>
      </x:c>
      <x:c r="F4" s="13" t="str">
        <x:v>확장자</x:v>
      </x:c>
      <x:c r="G4" s="13" t="str">
        <x:v>원본파일</x:v>
      </x:c>
      <x:c r="H4" s="13" t="str">
        <x:v>바이트</x:v>
      </x:c>
      <x:c r="I4" s="13" t="str">
        <x:v>SHA-256</x:v>
      </x:c>
      <x:c r="J4" s="13" t="str">
        <x:v>중복스캔재사용</x:v>
      </x:c>
      <x:c r="K4" s="13" t="str">
        <x:v>BOQ명칭후보</x:v>
      </x:c>
      <x:c r="L4" s="13" t="str">
        <x:v>blank/unpriced</x:v>
      </x:c>
      <x:c r="M4" s="13" t="str">
        <x:v>검출표수</x:v>
      </x:c>
      <x:c r="N4" s="13" t="str">
        <x:v>최대수량행</x:v>
      </x:c>
      <x:c r="O4" s="13" t="str">
        <x:v>최대가격행</x:v>
      </x:c>
      <x:c r="P4" s="13" t="str">
        <x:v>가격행비율</x:v>
      </x:c>
      <x:c r="Q4" s="13" t="str">
        <x:v>강한가격표</x:v>
      </x:c>
      <x:c r="R4" s="13" t="str">
        <x:v>대표시트</x:v>
      </x:c>
      <x:c r="S4" s="13" t="str">
        <x:v>시트상태</x:v>
      </x:c>
      <x:c r="T4" s="13" t="str">
        <x:v>스캔오류</x:v>
      </x:c>
    </x:row>
    <x:row r="5">
      <x:c r="A5" s="21" t="str">
        <x:v>2021-00042</x:v>
      </x:c>
      <x:c r="B5" s="21" t="str">
        <x:v>L2023-00028-1</x:v>
      </x:c>
      <x:c r="C5" s="21" t="str">
        <x:v>용역</x:v>
      </x:c>
      <x:c r="D5" s="24" t="str">
        <x:v>우간다 농업지도자연수원 자립적 운영체계 구축 및 연수역량강화 사업을 위한 설계 및 감리 용역</x:v>
      </x:c>
      <x:c r="E5" s="21" t="n">
        <x:v>0</x:v>
      </x:c>
      <x:c r="F5" s="21" t="str">
        <x:v>.zip</x:v>
      </x:c>
      <x:c r="G5" s="24" t="str">
        <x:v>L2023-00028-1/1. 입찰계획안(국, 영문).zip</x:v>
      </x:c>
      <x:c r="H5" s="27" t="n">
        <x:v>5172957</x:v>
      </x:c>
      <x:c r="I5" s="21" t="str">
        <x:v>32ce2f03faf963871ff190dd99f8e2c66f6ffc97e60332ee1bec661e6ea9df0c</x:v>
      </x:c>
      <x:c r="J5" s="21" t="n">
        <x:v>0</x:v>
      </x:c>
      <x:c r="K5" s="21" t="n">
        <x:v>0</x:v>
      </x:c>
      <x:c r="L5" s="21" t="n">
        <x:v>0</x:v>
      </x:c>
      <x:c r="M5" s="27" t="n">
        <x:v>0</x:v>
      </x:c>
      <x:c r="N5" s="27" t="n">
        <x:v>0</x:v>
      </x:c>
      <x:c r="O5" s="27" t="n">
        <x:v>0</x:v>
      </x:c>
      <x:c r="P5" s="61" t="n">
        <x:v>0</x:v>
      </x:c>
      <x:c r="Q5" s="21" t="n">
        <x:v>0</x:v>
      </x:c>
      <x:c r="R5" s="21" t="str"/>
      <x:c r="S5" s="21" t="str"/>
      <x:c r="T5" s="21" t="str"/>
    </x:row>
    <x:row r="6">
      <x:c r="A6" s="22" t="str">
        <x:v>2021-00042</x:v>
      </x:c>
      <x:c r="B6" s="22" t="str">
        <x:v>L2023-00028-1</x:v>
      </x:c>
      <x:c r="C6" s="22" t="str">
        <x:v>용역</x:v>
      </x:c>
      <x:c r="D6" s="25" t="str">
        <x:v>우간다 농업지도자연수원 자립적 운영체계 구축 및 연수역량강화 사업을 위한 설계 및 감리 용역</x:v>
      </x:c>
      <x:c r="E6" s="22" t="n">
        <x:v>0</x:v>
      </x:c>
      <x:c r="F6" s="22" t="str">
        <x:v>.zip</x:v>
      </x:c>
      <x:c r="G6" s="25" t="str">
        <x:v>L2023-00028-1/2. 입찰서류(영문).zip</x:v>
      </x:c>
      <x:c r="H6" s="28" t="n">
        <x:v>8251178</x:v>
      </x:c>
      <x:c r="I6" s="22" t="str">
        <x:v>9c25451a86a97756e511864c0b1b30490c969ec2a5633b043d4b124392a42682</x:v>
      </x:c>
      <x:c r="J6" s="22" t="n">
        <x:v>0</x:v>
      </x:c>
      <x:c r="K6" s="22" t="n">
        <x:v>0</x:v>
      </x:c>
      <x:c r="L6" s="22" t="n">
        <x:v>0</x:v>
      </x:c>
      <x:c r="M6" s="28" t="n">
        <x:v>0</x:v>
      </x:c>
      <x:c r="N6" s="28" t="n">
        <x:v>0</x:v>
      </x:c>
      <x:c r="O6" s="28" t="n">
        <x:v>0</x:v>
      </x:c>
      <x:c r="P6" s="62" t="n">
        <x:v>0</x:v>
      </x:c>
      <x:c r="Q6" s="22" t="n">
        <x:v>0</x:v>
      </x:c>
      <x:c r="R6" s="22" t="str"/>
      <x:c r="S6" s="22" t="str"/>
      <x:c r="T6" s="22" t="str"/>
    </x:row>
    <x:row r="7">
      <x:c r="A7" s="22" t="str">
        <x:v>2021-00042</x:v>
      </x:c>
      <x:c r="B7" s="22" t="str">
        <x:v>L2023-00028-1</x:v>
      </x:c>
      <x:c r="C7" s="22" t="str">
        <x:v>용역</x:v>
      </x:c>
      <x:c r="D7" s="25" t="str">
        <x:v>우간다 농업지도자연수원 자립적 운영체계 구축 및 연수역량강화 사업을 위한 설계 및 감리 용역</x:v>
      </x:c>
      <x:c r="E7" s="22" t="n">
        <x:v>0</x:v>
      </x:c>
      <x:c r="F7" s="22" t="str">
        <x:v>.docx</x:v>
      </x:c>
      <x:c r="G7" s="25" t="str">
        <x:v>L2023-00028-1/1. 입찰계획안(국, 영문)/1-1. Bidding Guideline_KOR_230622.docx</x:v>
      </x:c>
      <x:c r="H7" s="28" t="n">
        <x:v>2588298</x:v>
      </x:c>
      <x:c r="I7" s="22" t="str">
        <x:v>9f48e000d2730d4f3c41e71999c46f46c46d2e385e3f2b39a9120767a8b472e4</x:v>
      </x:c>
      <x:c r="J7" s="22" t="n">
        <x:v>0</x:v>
      </x:c>
      <x:c r="K7" s="22" t="n">
        <x:v>0</x:v>
      </x:c>
      <x:c r="L7" s="22" t="n">
        <x:v>0</x:v>
      </x:c>
      <x:c r="M7" s="28" t="n">
        <x:v>0</x:v>
      </x:c>
      <x:c r="N7" s="28" t="n">
        <x:v>0</x:v>
      </x:c>
      <x:c r="O7" s="28" t="n">
        <x:v>0</x:v>
      </x:c>
      <x:c r="P7" s="62" t="n">
        <x:v>0</x:v>
      </x:c>
      <x:c r="Q7" s="22" t="n">
        <x:v>0</x:v>
      </x:c>
      <x:c r="R7" s="22" t="str"/>
      <x:c r="S7" s="22" t="str"/>
      <x:c r="T7" s="22" t="str"/>
    </x:row>
    <x:row r="8">
      <x:c r="A8" s="22" t="str">
        <x:v>2021-00042</x:v>
      </x:c>
      <x:c r="B8" s="22" t="str">
        <x:v>L2023-00028-1</x:v>
      </x:c>
      <x:c r="C8" s="22" t="str">
        <x:v>용역</x:v>
      </x:c>
      <x:c r="D8" s="25" t="str">
        <x:v>우간다 농업지도자연수원 자립적 운영체계 구축 및 연수역량강화 사업을 위한 설계 및 감리 용역</x:v>
      </x:c>
      <x:c r="E8" s="22" t="n">
        <x:v>0</x:v>
      </x:c>
      <x:c r="F8" s="22" t="str">
        <x:v>.docx</x:v>
      </x:c>
      <x:c r="G8" s="25" t="str">
        <x:v>L2023-00028-1/1. 입찰계획안(국, 영문)/1-2. Bidding Guideline_ENG_230622.docx</x:v>
      </x:c>
      <x:c r="H8" s="28" t="n">
        <x:v>2591895</x:v>
      </x:c>
      <x:c r="I8" s="22" t="str">
        <x:v>1b8282613f01cecf289c3275f3c81ab21ce1a39e44038d77b6ebeec4b400afef</x:v>
      </x:c>
      <x:c r="J8" s="22" t="n">
        <x:v>0</x:v>
      </x:c>
      <x:c r="K8" s="22" t="n">
        <x:v>0</x:v>
      </x:c>
      <x:c r="L8" s="22" t="n">
        <x:v>0</x:v>
      </x:c>
      <x:c r="M8" s="28" t="n">
        <x:v>0</x:v>
      </x:c>
      <x:c r="N8" s="28" t="n">
        <x:v>0</x:v>
      </x:c>
      <x:c r="O8" s="28" t="n">
        <x:v>0</x:v>
      </x:c>
      <x:c r="P8" s="62" t="n">
        <x:v>0</x:v>
      </x:c>
      <x:c r="Q8" s="22" t="n">
        <x:v>0</x:v>
      </x:c>
      <x:c r="R8" s="22" t="str"/>
      <x:c r="S8" s="22" t="str"/>
      <x:c r="T8" s="22" t="str"/>
    </x:row>
    <x:row r="9">
      <x:c r="A9" s="22" t="str">
        <x:v>2021-00042</x:v>
      </x:c>
      <x:c r="B9" s="22" t="str">
        <x:v>L2023-00028-1</x:v>
      </x:c>
      <x:c r="C9" s="22" t="str">
        <x:v>용역</x:v>
      </x:c>
      <x:c r="D9" s="25" t="str">
        <x:v>우간다 농업지도자연수원 자립적 운영체계 구축 및 연수역량강화 사업을 위한 설계 및 감리 용역</x:v>
      </x:c>
      <x:c r="E9" s="22" t="n">
        <x:v>0</x:v>
      </x:c>
      <x:c r="F9" s="22" t="str">
        <x:v>.docx</x:v>
      </x:c>
      <x:c r="G9" s="25" t="str">
        <x:v>L2023-00028-1/2. 입찰서류(영문)/2. Bidding for the Provision of Services.docx</x:v>
      </x:c>
      <x:c r="H9" s="28" t="n">
        <x:v>35313</x:v>
      </x:c>
      <x:c r="I9" s="22" t="str">
        <x:v>7211988f637958395d3bed6425f05f5120c1a81d5c2ae8f61d092d40e565a87c</x:v>
      </x:c>
      <x:c r="J9" s="22" t="n">
        <x:v>0</x:v>
      </x:c>
      <x:c r="K9" s="22" t="n">
        <x:v>0</x:v>
      </x:c>
      <x:c r="L9" s="22" t="n">
        <x:v>0</x:v>
      </x:c>
      <x:c r="M9" s="28" t="n">
        <x:v>0</x:v>
      </x:c>
      <x:c r="N9" s="28" t="n">
        <x:v>0</x:v>
      </x:c>
      <x:c r="O9" s="28" t="n">
        <x:v>0</x:v>
      </x:c>
      <x:c r="P9" s="62" t="n">
        <x:v>0</x:v>
      </x:c>
      <x:c r="Q9" s="22" t="n">
        <x:v>0</x:v>
      </x:c>
      <x:c r="R9" s="22" t="str"/>
      <x:c r="S9" s="22" t="str"/>
      <x:c r="T9" s="22" t="str"/>
    </x:row>
    <x:row r="10">
      <x:c r="A10" s="22" t="str">
        <x:v>2021-00042</x:v>
      </x:c>
      <x:c r="B10" s="22" t="str">
        <x:v>L2023-00028-1</x:v>
      </x:c>
      <x:c r="C10" s="22" t="str">
        <x:v>용역</x:v>
      </x:c>
      <x:c r="D10" s="25" t="str">
        <x:v>우간다 농업지도자연수원 자립적 운영체계 구축 및 연수역량강화 사업을 위한 설계 및 감리 용역</x:v>
      </x:c>
      <x:c r="E10" s="22" t="n">
        <x:v>0</x:v>
      </x:c>
      <x:c r="F10" s="22" t="str">
        <x:v>.docx</x:v>
      </x:c>
      <x:c r="G10" s="25" t="str">
        <x:v>L2023-00028-1/2. 입찰서류(영문)/5. Standard Forms of Contract.docx</x:v>
      </x:c>
      <x:c r="H10" s="28" t="n">
        <x:v>47998</x:v>
      </x:c>
      <x:c r="I10" s="22" t="str">
        <x:v>48229709a5667916a96e11d5aeb5dfd98f9b277c7dad4aed5be53e536691a339</x:v>
      </x:c>
      <x:c r="J10" s="22" t="n">
        <x:v>0</x:v>
      </x:c>
      <x:c r="K10" s="22" t="n">
        <x:v>0</x:v>
      </x:c>
      <x:c r="L10" s="22" t="n">
        <x:v>0</x:v>
      </x:c>
      <x:c r="M10" s="28" t="n">
        <x:v>0</x:v>
      </x:c>
      <x:c r="N10" s="28" t="n">
        <x:v>0</x:v>
      </x:c>
      <x:c r="O10" s="28" t="n">
        <x:v>0</x:v>
      </x:c>
      <x:c r="P10" s="62" t="n">
        <x:v>0</x:v>
      </x:c>
      <x:c r="Q10" s="22" t="n">
        <x:v>0</x:v>
      </x:c>
      <x:c r="R10" s="22" t="str"/>
      <x:c r="S10" s="22" t="str"/>
      <x:c r="T10" s="22" t="str"/>
    </x:row>
    <x:row r="11">
      <x:c r="A11" s="22" t="str">
        <x:v>2021-00042</x:v>
      </x:c>
      <x:c r="B11" s="22" t="str">
        <x:v>L2023-00028-1</x:v>
      </x:c>
      <x:c r="C11" s="22" t="str">
        <x:v>용역</x:v>
      </x:c>
      <x:c r="D11" s="25" t="str">
        <x:v>우간다 농업지도자연수원 자립적 운영체계 구축 및 연수역량강화 사업을 위한 설계 및 감리 용역</x:v>
      </x:c>
      <x:c r="E11" s="22" t="n">
        <x:v>0</x:v>
      </x:c>
      <x:c r="F11" s="22" t="str">
        <x:v>.docx</x:v>
      </x:c>
      <x:c r="G11" s="25" t="str">
        <x:v>L2023-00028-1/2. 입찰서류(영문)/1. Bidding Guideline_ENG_230622.docx</x:v>
      </x:c>
      <x:c r="H11" s="28" t="n">
        <x:v>2591895</x:v>
      </x:c>
      <x:c r="I11" s="22" t="str">
        <x:v>1b8282613f01cecf289c3275f3c81ab21ce1a39e44038d77b6ebeec4b400afef</x:v>
      </x:c>
      <x:c r="J11" s="22" t="n">
        <x:v>0</x:v>
      </x:c>
      <x:c r="K11" s="22" t="n">
        <x:v>0</x:v>
      </x:c>
      <x:c r="L11" s="22" t="n">
        <x:v>0</x:v>
      </x:c>
      <x:c r="M11" s="28" t="n">
        <x:v>0</x:v>
      </x:c>
      <x:c r="N11" s="28" t="n">
        <x:v>0</x:v>
      </x:c>
      <x:c r="O11" s="28" t="n">
        <x:v>0</x:v>
      </x:c>
      <x:c r="P11" s="62" t="n">
        <x:v>0</x:v>
      </x:c>
      <x:c r="Q11" s="22" t="n">
        <x:v>0</x:v>
      </x:c>
      <x:c r="R11" s="22" t="str"/>
      <x:c r="S11" s="22" t="str"/>
      <x:c r="T11" s="22" t="str"/>
    </x:row>
    <x:row r="12">
      <x:c r="A12" s="22" t="str">
        <x:v>2021-00042</x:v>
      </x:c>
      <x:c r="B12" s="22" t="str">
        <x:v>L2023-00028-1</x:v>
      </x:c>
      <x:c r="C12" s="22" t="str">
        <x:v>용역</x:v>
      </x:c>
      <x:c r="D12" s="25" t="str">
        <x:v>우간다 농업지도자연수원 자립적 운영체계 구축 및 연수역량강화 사업을 위한 설계 및 감리 용역</x:v>
      </x:c>
      <x:c r="E12" s="22" t="n">
        <x:v>0</x:v>
      </x:c>
      <x:c r="F12" s="22" t="str">
        <x:v>.zip</x:v>
      </x:c>
      <x:c r="G12" s="25" t="str">
        <x:v>L2023-00028-1/2. 입찰서류(영문)/4. Terms of Reference with CM forms.zip</x:v>
      </x:c>
      <x:c r="H12" s="28" t="n">
        <x:v>5546052</x:v>
      </x:c>
      <x:c r="I12" s="22" t="str">
        <x:v>53f7507b746fdb98b4f73c4fae8c7d0751e64a1799f0acf5db486ab80db4ce39</x:v>
      </x:c>
      <x:c r="J12" s="22" t="n">
        <x:v>0</x:v>
      </x:c>
      <x:c r="K12" s="22" t="n">
        <x:v>0</x:v>
      </x:c>
      <x:c r="L12" s="22" t="n">
        <x:v>0</x:v>
      </x:c>
      <x:c r="M12" s="28" t="n">
        <x:v>0</x:v>
      </x:c>
      <x:c r="N12" s="28" t="n">
        <x:v>0</x:v>
      </x:c>
      <x:c r="O12" s="28" t="n">
        <x:v>0</x:v>
      </x:c>
      <x:c r="P12" s="62" t="n">
        <x:v>0</x:v>
      </x:c>
      <x:c r="Q12" s="22" t="n">
        <x:v>0</x:v>
      </x:c>
      <x:c r="R12" s="22" t="str"/>
      <x:c r="S12" s="22" t="str"/>
      <x:c r="T12" s="22" t="str"/>
    </x:row>
    <x:row r="13">
      <x:c r="A13" s="22" t="str">
        <x:v>2021-00042</x:v>
      </x:c>
      <x:c r="B13" s="22" t="str">
        <x:v>L2023-00028-1</x:v>
      </x:c>
      <x:c r="C13" s="22" t="str">
        <x:v>용역</x:v>
      </x:c>
      <x:c r="D13" s="25" t="str">
        <x:v>우간다 농업지도자연수원 자립적 운영체계 구축 및 연수역량강화 사업을 위한 설계 및 감리 용역</x:v>
      </x:c>
      <x:c r="E13" s="22" t="n">
        <x:v>0</x:v>
      </x:c>
      <x:c r="F13" s="22" t="str">
        <x:v>.docx</x:v>
      </x:c>
      <x:c r="G13" s="25" t="str">
        <x:v>L2023-00028-1/2. 입찰서류(영문)/3. Bidding Forms.docx</x:v>
      </x:c>
      <x:c r="H13" s="28" t="n">
        <x:v>44331</x:v>
      </x:c>
      <x:c r="I13" s="22" t="str">
        <x:v>f1b30ad3cd00feef20f3dff428209ef12caae6aaf5cad4466c427a5bd4fb0ae2</x:v>
      </x:c>
      <x:c r="J13" s="22" t="n">
        <x:v>0</x:v>
      </x:c>
      <x:c r="K13" s="22" t="n">
        <x:v>0</x:v>
      </x:c>
      <x:c r="L13" s="22" t="n">
        <x:v>0</x:v>
      </x:c>
      <x:c r="M13" s="28" t="n">
        <x:v>0</x:v>
      </x:c>
      <x:c r="N13" s="28" t="n">
        <x:v>0</x:v>
      </x:c>
      <x:c r="O13" s="28" t="n">
        <x:v>0</x:v>
      </x:c>
      <x:c r="P13" s="62" t="n">
        <x:v>0</x:v>
      </x:c>
      <x:c r="Q13" s="22" t="n">
        <x:v>0</x:v>
      </x:c>
      <x:c r="R13" s="22" t="str"/>
      <x:c r="S13" s="22" t="str"/>
      <x:c r="T13" s="22" t="str"/>
    </x:row>
    <x:row r="14">
      <x:c r="A14" s="22" t="str">
        <x:v>2021-00042</x:v>
      </x:c>
      <x:c r="B14" s="22" t="str">
        <x:v>L2023-00028-1</x:v>
      </x:c>
      <x:c r="C14" s="22" t="str">
        <x:v>용역</x:v>
      </x:c>
      <x:c r="D14" s="25" t="str">
        <x:v>우간다 농업지도자연수원 자립적 운영체계 구축 및 연수역량강화 사업을 위한 설계 및 감리 용역</x:v>
      </x:c>
      <x:c r="E14" s="22" t="n">
        <x:v>0</x:v>
      </x:c>
      <x:c r="F14" s="22" t="str">
        <x:v>.docx</x:v>
      </x:c>
      <x:c r="G14" s="25" t="str">
        <x:v>L2023-00028-1/2. 입찰서류(영문)/4. Terms of Reference with CM forms/4-1. Farm Renovation Concept Paper.docx</x:v>
      </x:c>
      <x:c r="H14" s="28" t="n">
        <x:v>4592259</x:v>
      </x:c>
      <x:c r="I14" s="22" t="str">
        <x:v>88f470284dd019d342e6a5e75c1f1e3c0ab492b01366ff1ac15f788cb07def6e</x:v>
      </x:c>
      <x:c r="J14" s="22" t="n">
        <x:v>0</x:v>
      </x:c>
      <x:c r="K14" s="22" t="n">
        <x:v>0</x:v>
      </x:c>
      <x:c r="L14" s="22" t="n">
        <x:v>0</x:v>
      </x:c>
      <x:c r="M14" s="28" t="n">
        <x:v>0</x:v>
      </x:c>
      <x:c r="N14" s="28" t="n">
        <x:v>0</x:v>
      </x:c>
      <x:c r="O14" s="28" t="n">
        <x:v>0</x:v>
      </x:c>
      <x:c r="P14" s="62" t="n">
        <x:v>0</x:v>
      </x:c>
      <x:c r="Q14" s="22" t="n">
        <x:v>0</x:v>
      </x:c>
      <x:c r="R14" s="22" t="str"/>
      <x:c r="S14" s="22" t="str"/>
      <x:c r="T14" s="22" t="str"/>
    </x:row>
    <x:row r="15">
      <x:c r="A15" s="22" t="str">
        <x:v>2021-00042</x:v>
      </x:c>
      <x:c r="B15" s="22" t="str">
        <x:v>L2023-00028-1</x:v>
      </x:c>
      <x:c r="C15" s="22" t="str">
        <x:v>용역</x:v>
      </x:c>
      <x:c r="D15" s="25" t="str">
        <x:v>우간다 농업지도자연수원 자립적 운영체계 구축 및 연수역량강화 사업을 위한 설계 및 감리 용역</x:v>
      </x:c>
      <x:c r="E15" s="22" t="n">
        <x:v>0</x:v>
      </x:c>
      <x:c r="F15" s="22" t="str">
        <x:v>.docx</x:v>
      </x:c>
      <x:c r="G15" s="25" t="str">
        <x:v>L2023-00028-1/2. 입찰서류(영문)/4. Terms of Reference with CM forms/4-2. Construction Supervision Forms.docx</x:v>
      </x:c>
      <x:c r="H15" s="28" t="n">
        <x:v>20958</x:v>
      </x:c>
      <x:c r="I15" s="22" t="str">
        <x:v>a415084284d83fd88ab7c1fa68012676779bb397fd627a8c108f911cb5f07171</x:v>
      </x:c>
      <x:c r="J15" s="22" t="n">
        <x:v>0</x:v>
      </x:c>
      <x:c r="K15" s="22" t="n">
        <x:v>0</x:v>
      </x:c>
      <x:c r="L15" s="22" t="n">
        <x:v>0</x:v>
      </x:c>
      <x:c r="M15" s="28" t="n">
        <x:v>0</x:v>
      </x:c>
      <x:c r="N15" s="28" t="n">
        <x:v>0</x:v>
      </x:c>
      <x:c r="O15" s="28" t="n">
        <x:v>0</x:v>
      </x:c>
      <x:c r="P15" s="62" t="n">
        <x:v>0</x:v>
      </x:c>
      <x:c r="Q15" s="22" t="n">
        <x:v>0</x:v>
      </x:c>
      <x:c r="R15" s="22" t="str"/>
      <x:c r="S15" s="22" t="str"/>
      <x:c r="T15" s="22" t="str"/>
    </x:row>
    <x:row r="16">
      <x:c r="A16" s="22" t="str">
        <x:v>2021-00042</x:v>
      </x:c>
      <x:c r="B16" s="22" t="str">
        <x:v>L2023-00028-1</x:v>
      </x:c>
      <x:c r="C16" s="22" t="str">
        <x:v>용역</x:v>
      </x:c>
      <x:c r="D16" s="25" t="str">
        <x:v>우간다 농업지도자연수원 자립적 운영체계 구축 및 연수역량강화 사업을 위한 설계 및 감리 용역</x:v>
      </x:c>
      <x:c r="E16" s="22" t="n">
        <x:v>0</x:v>
      </x:c>
      <x:c r="F16" s="22" t="str">
        <x:v>.docx</x:v>
      </x:c>
      <x:c r="G16" s="25" t="str">
        <x:v>L2023-00028-1/2. 입찰서류(영문)/4. Terms of Reference with CM forms/4. Terms of Reference.docx</x:v>
      </x:c>
      <x:c r="H16" s="28" t="n">
        <x:v>982264</x:v>
      </x:c>
      <x:c r="I16" s="22" t="str">
        <x:v>29e486c50786acb513842231d04c74aa7a5bb10ad5b092f41121501a3118eb67</x:v>
      </x:c>
      <x:c r="J16" s="22" t="n">
        <x:v>0</x:v>
      </x:c>
      <x:c r="K16" s="22" t="n">
        <x:v>0</x:v>
      </x:c>
      <x:c r="L16" s="22" t="n">
        <x:v>0</x:v>
      </x:c>
      <x:c r="M16" s="28" t="n">
        <x:v>0</x:v>
      </x:c>
      <x:c r="N16" s="28" t="n">
        <x:v>0</x:v>
      </x:c>
      <x:c r="O16" s="28" t="n">
        <x:v>0</x:v>
      </x:c>
      <x:c r="P16" s="62" t="n">
        <x:v>0</x:v>
      </x:c>
      <x:c r="Q16" s="22" t="n">
        <x:v>0</x:v>
      </x:c>
      <x:c r="R16" s="22" t="str"/>
      <x:c r="S16" s="22" t="str"/>
      <x:c r="T16" s="22" t="str"/>
    </x:row>
    <x:row r="17">
      <x:c r="A17" s="22" t="str">
        <x:v>2021-00042</x:v>
      </x:c>
      <x:c r="B17" s="22" t="str">
        <x:v>L2024-00050-1</x:v>
      </x:c>
      <x:c r="C17" s="22" t="str">
        <x:v>공사</x:v>
      </x:c>
      <x:c r="D17" s="25" t="str">
        <x:v>우간다 농업지도자 연수원 자립적 운영체계구축 및 연수역량 강화사업 공사</x:v>
      </x:c>
      <x:c r="E17" s="22" t="n">
        <x:v>1</x:v>
      </x:c>
      <x:c r="F17" s="22" t="str">
        <x:v>.zip</x:v>
      </x:c>
      <x:c r="G17" s="25" t="str">
        <x:v>L2024-00050-1/Part 3(계약서 및 기타 자료).zip</x:v>
      </x:c>
      <x:c r="H17" s="28" t="n">
        <x:v>381939</x:v>
      </x:c>
      <x:c r="I17" s="22" t="str">
        <x:v>8abea021b88bbab3ca5540b2a035beb9492124242530b4f5f374566576c29ee7</x:v>
      </x:c>
      <x:c r="J17" s="22" t="n">
        <x:v>0</x:v>
      </x:c>
      <x:c r="K17" s="22" t="n">
        <x:v>0</x:v>
      </x:c>
      <x:c r="L17" s="22" t="n">
        <x:v>0</x:v>
      </x:c>
      <x:c r="M17" s="28" t="n">
        <x:v>0</x:v>
      </x:c>
      <x:c r="N17" s="28" t="n">
        <x:v>0</x:v>
      </x:c>
      <x:c r="O17" s="28" t="n">
        <x:v>0</x:v>
      </x:c>
      <x:c r="P17" s="62" t="n">
        <x:v>0</x:v>
      </x:c>
      <x:c r="Q17" s="22" t="n">
        <x:v>0</x:v>
      </x:c>
      <x:c r="R17" s="22" t="str"/>
      <x:c r="S17" s="22" t="str"/>
      <x:c r="T17" s="22" t="str"/>
    </x:row>
    <x:row r="18">
      <x:c r="A18" s="22" t="str">
        <x:v>2021-00042</x:v>
      </x:c>
      <x:c r="B18" s="22" t="str">
        <x:v>L2024-00050-1</x:v>
      </x:c>
      <x:c r="C18" s="22" t="str">
        <x:v>공사</x:v>
      </x:c>
      <x:c r="D18" s="25" t="str">
        <x:v>우간다 농업지도자 연수원 자립적 운영체계구축 및 연수역량 강화사업 공사</x:v>
      </x:c>
      <x:c r="E18" s="22" t="n">
        <x:v>1</x:v>
      </x:c>
      <x:c r="F18" s="22" t="str">
        <x:v>.docx</x:v>
      </x:c>
      <x:c r="G18" s="25" t="str">
        <x:v>L2024-00050-1/입찰계획안(영문)_240912.docx</x:v>
      </x:c>
      <x:c r="H18" s="28" t="n">
        <x:v>70374</x:v>
      </x:c>
      <x:c r="I18" s="22" t="str">
        <x:v>a97e2204cd7abdc401433f2445b64647f5c6108b87aaf1a9d1efe9231c168ebd</x:v>
      </x:c>
      <x:c r="J18" s="22" t="n">
        <x:v>0</x:v>
      </x:c>
      <x:c r="K18" s="22" t="n">
        <x:v>0</x:v>
      </x:c>
      <x:c r="L18" s="22" t="n">
        <x:v>0</x:v>
      </x:c>
      <x:c r="M18" s="28" t="n">
        <x:v>0</x:v>
      </x:c>
      <x:c r="N18" s="28" t="n">
        <x:v>0</x:v>
      </x:c>
      <x:c r="O18" s="28" t="n">
        <x:v>0</x:v>
      </x:c>
      <x:c r="P18" s="62" t="n">
        <x:v>0</x:v>
      </x:c>
      <x:c r="Q18" s="22" t="n">
        <x:v>0</x:v>
      </x:c>
      <x:c r="R18" s="22" t="str"/>
      <x:c r="S18" s="22" t="str"/>
      <x:c r="T18" s="22" t="str"/>
    </x:row>
    <x:row r="19">
      <x:c r="A19" s="22" t="str">
        <x:v>2021-00042</x:v>
      </x:c>
      <x:c r="B19" s="22" t="str">
        <x:v>L2024-00050-1</x:v>
      </x:c>
      <x:c r="C19" s="22" t="str">
        <x:v>공사</x:v>
      </x:c>
      <x:c r="D19" s="25" t="str">
        <x:v>우간다 농업지도자 연수원 자립적 운영체계구축 및 연수역량 강화사업 공사</x:v>
      </x:c>
      <x:c r="E19" s="22" t="n">
        <x:v>1</x:v>
      </x:c>
      <x:c r="F19" s="22" t="str">
        <x:v>.zip</x:v>
      </x:c>
      <x:c r="G19" s="25" t="str">
        <x:v>L2024-00050-1/Part 1(입찰절차).zip</x:v>
      </x:c>
      <x:c r="H19" s="28" t="n">
        <x:v>242902</x:v>
      </x:c>
      <x:c r="I19" s="22" t="str">
        <x:v>ab0bb5cfa61d3823937ee433e7da3dc95a1ac561e8de646fca273b38f38edecf</x:v>
      </x:c>
      <x:c r="J19" s="22" t="n">
        <x:v>0</x:v>
      </x:c>
      <x:c r="K19" s="22" t="n">
        <x:v>0</x:v>
      </x:c>
      <x:c r="L19" s="22" t="n">
        <x:v>0</x:v>
      </x:c>
      <x:c r="M19" s="28" t="n">
        <x:v>0</x:v>
      </x:c>
      <x:c r="N19" s="28" t="n">
        <x:v>0</x:v>
      </x:c>
      <x:c r="O19" s="28" t="n">
        <x:v>0</x:v>
      </x:c>
      <x:c r="P19" s="62" t="n">
        <x:v>0</x:v>
      </x:c>
      <x:c r="Q19" s="22" t="n">
        <x:v>0</x:v>
      </x:c>
      <x:c r="R19" s="22" t="str"/>
      <x:c r="S19" s="22" t="str"/>
      <x:c r="T19" s="22" t="str"/>
    </x:row>
    <x:row r="20">
      <x:c r="A20" s="22" t="str">
        <x:v>2021-00042</x:v>
      </x:c>
      <x:c r="B20" s="22" t="str">
        <x:v>L2024-00050-1</x:v>
      </x:c>
      <x:c r="C20" s="22" t="str">
        <x:v>공사</x:v>
      </x:c>
      <x:c r="D20" s="25" t="str">
        <x:v>우간다 농업지도자 연수원 자립적 운영체계구축 및 연수역량 강화사업 공사</x:v>
      </x:c>
      <x:c r="E20" s="22" t="n">
        <x:v>1</x:v>
      </x:c>
      <x:c r="F20" s="22" t="str">
        <x:v>.zip</x:v>
      </x:c>
      <x:c r="G20" s="25" t="str">
        <x:v>L2024-00050-1/우간다 조달청 규정.zip</x:v>
      </x:c>
      <x:c r="H20" s="28" t="n">
        <x:v>1317450</x:v>
      </x:c>
      <x:c r="I20" s="22" t="str">
        <x:v>c875dab804788f7174e78c9b9937ea12295c2bb46df7d0b05a7dd7a5e1183bf5</x:v>
      </x:c>
      <x:c r="J20" s="22" t="n">
        <x:v>0</x:v>
      </x:c>
      <x:c r="K20" s="22" t="n">
        <x:v>0</x:v>
      </x:c>
      <x:c r="L20" s="22" t="n">
        <x:v>0</x:v>
      </x:c>
      <x:c r="M20" s="28" t="n">
        <x:v>0</x:v>
      </x:c>
      <x:c r="N20" s="28" t="n">
        <x:v>0</x:v>
      </x:c>
      <x:c r="O20" s="28" t="n">
        <x:v>0</x:v>
      </x:c>
      <x:c r="P20" s="62" t="n">
        <x:v>0</x:v>
      </x:c>
      <x:c r="Q20" s="22" t="n">
        <x:v>0</x:v>
      </x:c>
      <x:c r="R20" s="22" t="str"/>
      <x:c r="S20" s="22" t="str"/>
      <x:c r="T20" s="22" t="str"/>
    </x:row>
    <x:row r="21">
      <x:c r="A21" s="22" t="str">
        <x:v>2021-00042</x:v>
      </x:c>
      <x:c r="B21" s="22" t="str">
        <x:v>L2024-00050-1</x:v>
      </x:c>
      <x:c r="C21" s="22" t="str">
        <x:v>공사</x:v>
      </x:c>
      <x:c r="D21" s="25" t="str">
        <x:v>우간다 농업지도자 연수원 자립적 운영체계구축 및 연수역량 강화사업 공사</x:v>
      </x:c>
      <x:c r="E21" s="22" t="n">
        <x:v>1</x:v>
      </x:c>
      <x:c r="F21" s="22" t="str">
        <x:v>.hwp</x:v>
      </x:c>
      <x:c r="G21" s="25" t="str">
        <x:v>L2024-00050-1/입찰계획안(국문)_240912.hwp</x:v>
      </x:c>
      <x:c r="H21" s="28" t="n">
        <x:v>187904</x:v>
      </x:c>
      <x:c r="I21" s="22" t="str">
        <x:v>b19aa88fe4464d99312e9db53573bbd51233894da44a85c364311557746fdd31</x:v>
      </x:c>
      <x:c r="J21" s="22" t="n">
        <x:v>0</x:v>
      </x:c>
      <x:c r="K21" s="22" t="n">
        <x:v>0</x:v>
      </x:c>
      <x:c r="L21" s="22" t="n">
        <x:v>0</x:v>
      </x:c>
      <x:c r="M21" s="28" t="n">
        <x:v>0</x:v>
      </x:c>
      <x:c r="N21" s="28" t="n">
        <x:v>0</x:v>
      </x:c>
      <x:c r="O21" s="28" t="n">
        <x:v>0</x:v>
      </x:c>
      <x:c r="P21" s="62" t="n">
        <x:v>0</x:v>
      </x:c>
      <x:c r="Q21" s="22" t="n">
        <x:v>0</x:v>
      </x:c>
      <x:c r="R21" s="22" t="str"/>
      <x:c r="S21" s="22" t="str"/>
      <x:c r="T21" s="22" t="str"/>
    </x:row>
    <x:row r="22">
      <x:c r="A22" s="22" t="str">
        <x:v>2021-00042</x:v>
      </x:c>
      <x:c r="B22" s="22" t="str">
        <x:v>L2024-00050-1</x:v>
      </x:c>
      <x:c r="C22" s="22" t="str">
        <x:v>공사</x:v>
      </x:c>
      <x:c r="D22" s="25" t="str">
        <x:v>우간다 농업지도자 연수원 자립적 운영체계구축 및 연수역량 강화사업 공사</x:v>
      </x:c>
      <x:c r="E22" s="22" t="n">
        <x:v>1</x:v>
      </x:c>
      <x:c r="F22" s="22" t="str">
        <x:v>.docx</x:v>
      </x:c>
      <x:c r="G22" s="25" t="str">
        <x:v>L2024-00050-1/Part 3(계약서 및 기타 자료)/Section 8. Special Conditions of Contract.docx</x:v>
      </x:c>
      <x:c r="H22" s="28" t="n">
        <x:v>62776</x:v>
      </x:c>
      <x:c r="I22" s="22" t="str">
        <x:v>829d949ab71fb28a85d4e3b3bdcfb06406eeb50e9e955b0f69d58a2b7e83bfbf</x:v>
      </x:c>
      <x:c r="J22" s="22" t="n">
        <x:v>0</x:v>
      </x:c>
      <x:c r="K22" s="22" t="n">
        <x:v>0</x:v>
      </x:c>
      <x:c r="L22" s="22" t="n">
        <x:v>0</x:v>
      </x:c>
      <x:c r="M22" s="28" t="n">
        <x:v>0</x:v>
      </x:c>
      <x:c r="N22" s="28" t="n">
        <x:v>0</x:v>
      </x:c>
      <x:c r="O22" s="28" t="n">
        <x:v>0</x:v>
      </x:c>
      <x:c r="P22" s="62" t="n">
        <x:v>0</x:v>
      </x:c>
      <x:c r="Q22" s="22" t="n">
        <x:v>0</x:v>
      </x:c>
      <x:c r="R22" s="22" t="str"/>
      <x:c r="S22" s="22" t="str"/>
      <x:c r="T22" s="22" t="str"/>
    </x:row>
    <x:row r="23">
      <x:c r="A23" s="22" t="str">
        <x:v>2021-00042</x:v>
      </x:c>
      <x:c r="B23" s="22" t="str">
        <x:v>L2024-00050-1</x:v>
      </x:c>
      <x:c r="C23" s="22" t="str">
        <x:v>공사</x:v>
      </x:c>
      <x:c r="D23" s="25" t="str">
        <x:v>우간다 농업지도자 연수원 자립적 운영체계구축 및 연수역량 강화사업 공사</x:v>
      </x:c>
      <x:c r="E23" s="22" t="n">
        <x:v>1</x:v>
      </x:c>
      <x:c r="F23" s="22" t="str">
        <x:v>.zip</x:v>
      </x:c>
      <x:c r="G23" s="25" t="str">
        <x:v>L2024-00050-1/Part 3(계약서 및 기타 자료)/Section 10 - Pledges.zip</x:v>
      </x:c>
      <x:c r="H23" s="28" t="n">
        <x:v>84955</x:v>
      </x:c>
      <x:c r="I23" s="22" t="str">
        <x:v>fadf4a1951ee2c6ace4fe84d3f55ddfcdcbd11bf4a7f15430823b028717b4acb</x:v>
      </x:c>
      <x:c r="J23" s="22" t="n">
        <x:v>0</x:v>
      </x:c>
      <x:c r="K23" s="22" t="n">
        <x:v>0</x:v>
      </x:c>
      <x:c r="L23" s="22" t="n">
        <x:v>0</x:v>
      </x:c>
      <x:c r="M23" s="28" t="n">
        <x:v>0</x:v>
      </x:c>
      <x:c r="N23" s="28" t="n">
        <x:v>0</x:v>
      </x:c>
      <x:c r="O23" s="28" t="n">
        <x:v>0</x:v>
      </x:c>
      <x:c r="P23" s="62" t="n">
        <x:v>0</x:v>
      </x:c>
      <x:c r="Q23" s="22" t="n">
        <x:v>0</x:v>
      </x:c>
      <x:c r="R23" s="22" t="str"/>
      <x:c r="S23" s="22" t="str"/>
      <x:c r="T23" s="22" t="str"/>
    </x:row>
    <x:row r="24">
      <x:c r="A24" s="22" t="str">
        <x:v>2021-00042</x:v>
      </x:c>
      <x:c r="B24" s="22" t="str">
        <x:v>L2024-00050-1</x:v>
      </x:c>
      <x:c r="C24" s="22" t="str">
        <x:v>공사</x:v>
      </x:c>
      <x:c r="D24" s="25" t="str">
        <x:v>우간다 농업지도자 연수원 자립적 운영체계구축 및 연수역량 강화사업 공사</x:v>
      </x:c>
      <x:c r="E24" s="22" t="n">
        <x:v>1</x:v>
      </x:c>
      <x:c r="F24" s="22" t="str">
        <x:v>.docx</x:v>
      </x:c>
      <x:c r="G24" s="25" t="str">
        <x:v>L2024-00050-1/Part 3(계약서 및 기타 자료)/Section 7. General Conditions of Contract.docx</x:v>
      </x:c>
      <x:c r="H24" s="28" t="n">
        <x:v>208511</x:v>
      </x:c>
      <x:c r="I24" s="22" t="str">
        <x:v>a03e5b05dd156f7994b2d52b4702d73cb04d2ed870e20e9cc5f810c30db67640</x:v>
      </x:c>
      <x:c r="J24" s="22" t="n">
        <x:v>0</x:v>
      </x:c>
      <x:c r="K24" s="22" t="n">
        <x:v>0</x:v>
      </x:c>
      <x:c r="L24" s="22" t="n">
        <x:v>0</x:v>
      </x:c>
      <x:c r="M24" s="28" t="n">
        <x:v>0</x:v>
      </x:c>
      <x:c r="N24" s="28" t="n">
        <x:v>0</x:v>
      </x:c>
      <x:c r="O24" s="28" t="n">
        <x:v>0</x:v>
      </x:c>
      <x:c r="P24" s="62" t="n">
        <x:v>0</x:v>
      </x:c>
      <x:c r="Q24" s="22" t="n">
        <x:v>0</x:v>
      </x:c>
      <x:c r="R24" s="22" t="str"/>
      <x:c r="S24" s="22" t="str"/>
      <x:c r="T24" s="22" t="str"/>
    </x:row>
    <x:row r="25">
      <x:c r="A25" s="22" t="str">
        <x:v>2021-00042</x:v>
      </x:c>
      <x:c r="B25" s="22" t="str">
        <x:v>L2024-00050-1</x:v>
      </x:c>
      <x:c r="C25" s="22" t="str">
        <x:v>공사</x:v>
      </x:c>
      <x:c r="D25" s="25" t="str">
        <x:v>우간다 농업지도자 연수원 자립적 운영체계구축 및 연수역량 강화사업 공사</x:v>
      </x:c>
      <x:c r="E25" s="22" t="n">
        <x:v>1</x:v>
      </x:c>
      <x:c r="F25" s="22" t="str">
        <x:v>.docx</x:v>
      </x:c>
      <x:c r="G25" s="25" t="str">
        <x:v>L2024-00050-1/Part 3(계약서 및 기타 자료)/Section 9. Contract Forms.docx</x:v>
      </x:c>
      <x:c r="H25" s="28" t="n">
        <x:v>38064</x:v>
      </x:c>
      <x:c r="I25" s="22" t="str">
        <x:v>60c9caead2ab9055df0848415947e8cea9b8f46eaa6e4664aabd73eb0b29bb92</x:v>
      </x:c>
      <x:c r="J25" s="22" t="n">
        <x:v>0</x:v>
      </x:c>
      <x:c r="K25" s="22" t="n">
        <x:v>0</x:v>
      </x:c>
      <x:c r="L25" s="22" t="n">
        <x:v>0</x:v>
      </x:c>
      <x:c r="M25" s="28" t="n">
        <x:v>0</x:v>
      </x:c>
      <x:c r="N25" s="28" t="n">
        <x:v>0</x:v>
      </x:c>
      <x:c r="O25" s="28" t="n">
        <x:v>0</x:v>
      </x:c>
      <x:c r="P25" s="62" t="n">
        <x:v>0</x:v>
      </x:c>
      <x:c r="Q25" s="22" t="n">
        <x:v>0</x:v>
      </x:c>
      <x:c r="R25" s="22" t="str"/>
      <x:c r="S25" s="22" t="str"/>
      <x:c r="T25" s="22" t="str"/>
    </x:row>
    <x:row r="26">
      <x:c r="A26" s="22" t="str">
        <x:v>2021-00042</x:v>
      </x:c>
      <x:c r="B26" s="22" t="str">
        <x:v>L2024-00050-1</x:v>
      </x:c>
      <x:c r="C26" s="22" t="str">
        <x:v>공사</x:v>
      </x:c>
      <x:c r="D26" s="25" t="str">
        <x:v>우간다 농업지도자 연수원 자립적 운영체계구축 및 연수역량 강화사업 공사</x:v>
      </x:c>
      <x:c r="E26" s="22" t="n">
        <x:v>1</x:v>
      </x:c>
      <x:c r="F26" s="22" t="str">
        <x:v>.pdf</x:v>
      </x:c>
      <x:c r="G26" s="25" t="str">
        <x:v>L2024-00050-1/우간다 조달청 규정/(PPDA ╞»╟²╕╢┴° ░ⁿ╖├▒╘┴ñ) PPDA-Act-2003 (Ammended 2021).pdf</x:v>
      </x:c>
      <x:c r="H26" s="28" t="n">
        <x:v>515969</x:v>
      </x:c>
      <x:c r="I26" s="22" t="str">
        <x:v>0502cec8c28f3d4f5b09170b613064a67998e6ab586a188452f93ff4b35b0276</x:v>
      </x:c>
      <x:c r="J26" s="22" t="n">
        <x:v>0</x:v>
      </x:c>
      <x:c r="K26" s="22" t="n">
        <x:v>0</x:v>
      </x:c>
      <x:c r="L26" s="22" t="n">
        <x:v>0</x:v>
      </x:c>
      <x:c r="M26" s="28" t="n">
        <x:v>0</x:v>
      </x:c>
      <x:c r="N26" s="28" t="n">
        <x:v>0</x:v>
      </x:c>
      <x:c r="O26" s="28" t="n">
        <x:v>0</x:v>
      </x:c>
      <x:c r="P26" s="62" t="n">
        <x:v>0</x:v>
      </x:c>
      <x:c r="Q26" s="22" t="n">
        <x:v>0</x:v>
      </x:c>
      <x:c r="R26" s="22" t="str"/>
      <x:c r="S26" s="22" t="str"/>
      <x:c r="T26" s="22" t="str"/>
    </x:row>
    <x:row r="27">
      <x:c r="A27" s="22" t="str">
        <x:v>2021-00042</x:v>
      </x:c>
      <x:c r="B27" s="22" t="str">
        <x:v>L2024-00050-1</x:v>
      </x:c>
      <x:c r="C27" s="22" t="str">
        <x:v>공사</x:v>
      </x:c>
      <x:c r="D27" s="25" t="str">
        <x:v>우간다 농업지도자 연수원 자립적 운영체계구축 및 연수역량 강화사업 공사</x:v>
      </x:c>
      <x:c r="E27" s="22" t="n">
        <x:v>1</x:v>
      </x:c>
      <x:c r="F27" s="22" t="str">
        <x:v>.pdf</x:v>
      </x:c>
      <x:c r="G27" s="25" t="str">
        <x:v>L2024-00050-1/우간다 조달청 규정/(PPDA ║╕┴⌡▒╘┴ñ) GUIDELINE-3-OF-2024-ON-BID-AND-PERFORMANCE-SECURITIES.pdf</x:v>
      </x:c>
      <x:c r="H27" s="28" t="n">
        <x:v>1041182</x:v>
      </x:c>
      <x:c r="I27" s="22" t="str">
        <x:v>b17737d66ac952e950635c033ff1b2fa38e8abbfa8713539040b143590623f90</x:v>
      </x:c>
      <x:c r="J27" s="22" t="n">
        <x:v>0</x:v>
      </x:c>
      <x:c r="K27" s="22" t="n">
        <x:v>0</x:v>
      </x:c>
      <x:c r="L27" s="22" t="n">
        <x:v>0</x:v>
      </x:c>
      <x:c r="M27" s="28" t="n">
        <x:v>0</x:v>
      </x:c>
      <x:c r="N27" s="28" t="n">
        <x:v>0</x:v>
      </x:c>
      <x:c r="O27" s="28" t="n">
        <x:v>0</x:v>
      </x:c>
      <x:c r="P27" s="62" t="n">
        <x:v>0</x:v>
      </x:c>
      <x:c r="Q27" s="22" t="n">
        <x:v>0</x:v>
      </x:c>
      <x:c r="R27" s="22" t="str"/>
      <x:c r="S27" s="22" t="str"/>
      <x:c r="T27" s="22" t="str"/>
    </x:row>
    <x:row r="28">
      <x:c r="A28" s="22" t="str">
        <x:v>2021-00042</x:v>
      </x:c>
      <x:c r="B28" s="22" t="str">
        <x:v>L2024-00050-1</x:v>
      </x:c>
      <x:c r="C28" s="22" t="str">
        <x:v>공사</x:v>
      </x:c>
      <x:c r="D28" s="25" t="str">
        <x:v>우간다 농업지도자 연수원 자립적 운영체계구축 및 연수역량 강화사업 공사</x:v>
      </x:c>
      <x:c r="E28" s="22" t="n">
        <x:v>1</x:v>
      </x:c>
      <x:c r="F28" s="22" t="str">
        <x:v>.docx</x:v>
      </x:c>
      <x:c r="G28" s="25" t="str">
        <x:v>L2024-00050-1/Part 1(입찰절차)/Part 1(└╘┬√└²┬≈)/Section 3. Bidding Forms.docx</x:v>
      </x:c>
      <x:c r="H28" s="28" t="n">
        <x:v>49964</x:v>
      </x:c>
      <x:c r="I28" s="22" t="str">
        <x:v>48deb32691d2a945fabbf91be60d92b0d065b2b207b3771073d826ac60f03a4c</x:v>
      </x:c>
      <x:c r="J28" s="22" t="n">
        <x:v>0</x:v>
      </x:c>
      <x:c r="K28" s="22" t="n">
        <x:v>0</x:v>
      </x:c>
      <x:c r="L28" s="22" t="n">
        <x:v>0</x:v>
      </x:c>
      <x:c r="M28" s="28" t="n">
        <x:v>0</x:v>
      </x:c>
      <x:c r="N28" s="28" t="n">
        <x:v>0</x:v>
      </x:c>
      <x:c r="O28" s="28" t="n">
        <x:v>0</x:v>
      </x:c>
      <x:c r="P28" s="62" t="n">
        <x:v>0</x:v>
      </x:c>
      <x:c r="Q28" s="22" t="n">
        <x:v>0</x:v>
      </x:c>
      <x:c r="R28" s="22" t="str"/>
      <x:c r="S28" s="22" t="str"/>
      <x:c r="T28" s="22" t="str"/>
    </x:row>
    <x:row r="29">
      <x:c r="A29" s="22" t="str">
        <x:v>2021-00042</x:v>
      </x:c>
      <x:c r="B29" s="22" t="str">
        <x:v>L2024-00050-1</x:v>
      </x:c>
      <x:c r="C29" s="22" t="str">
        <x:v>공사</x:v>
      </x:c>
      <x:c r="D29" s="25" t="str">
        <x:v>우간다 농업지도자 연수원 자립적 운영체계구축 및 연수역량 강화사업 공사</x:v>
      </x:c>
      <x:c r="E29" s="22" t="n">
        <x:v>1</x:v>
      </x:c>
      <x:c r="F29" s="22" t="str">
        <x:v>.docx</x:v>
      </x:c>
      <x:c r="G29" s="25" t="str">
        <x:v>L2024-00050-1/Part 1(입찰절차)/Part 1(└╘┬√└²┬≈)/Section 2 - Bid Data Sheet (┐╡╣«).docx</x:v>
      </x:c>
      <x:c r="H29" s="28" t="n">
        <x:v>70374</x:v>
      </x:c>
      <x:c r="I29" s="22" t="str">
        <x:v>a97e2204cd7abdc401433f2445b64647f5c6108b87aaf1a9d1efe9231c168ebd</x:v>
      </x:c>
      <x:c r="J29" s="22" t="n">
        <x:v>0</x:v>
      </x:c>
      <x:c r="K29" s="22" t="n">
        <x:v>0</x:v>
      </x:c>
      <x:c r="L29" s="22" t="n">
        <x:v>0</x:v>
      </x:c>
      <x:c r="M29" s="28" t="n">
        <x:v>0</x:v>
      </x:c>
      <x:c r="N29" s="28" t="n">
        <x:v>0</x:v>
      </x:c>
      <x:c r="O29" s="28" t="n">
        <x:v>0</x:v>
      </x:c>
      <x:c r="P29" s="62" t="n">
        <x:v>0</x:v>
      </x:c>
      <x:c r="Q29" s="22" t="n">
        <x:v>0</x:v>
      </x:c>
      <x:c r="R29" s="22" t="str"/>
      <x:c r="S29" s="22" t="str"/>
      <x:c r="T29" s="22" t="str"/>
    </x:row>
    <x:row r="30">
      <x:c r="A30" s="22" t="str">
        <x:v>2021-00042</x:v>
      </x:c>
      <x:c r="B30" s="22" t="str">
        <x:v>L2024-00050-1</x:v>
      </x:c>
      <x:c r="C30" s="22" t="str">
        <x:v>공사</x:v>
      </x:c>
      <x:c r="D30" s="25" t="str">
        <x:v>우간다 농업지도자 연수원 자립적 운영체계구축 및 연수역량 강화사업 공사</x:v>
      </x:c>
      <x:c r="E30" s="22" t="n">
        <x:v>1</x:v>
      </x:c>
      <x:c r="F30" s="22" t="str">
        <x:v>.pdf</x:v>
      </x:c>
      <x:c r="G30" s="25" t="str">
        <x:v>L2024-00050-1/Part 1(입찰절차)/Part 1(└╘┬√└²┬≈)/Section 1 - Instructions to Bidders (ITB).pdf</x:v>
      </x:c>
      <x:c r="H30" s="28" t="n">
        <x:v>146068</x:v>
      </x:c>
      <x:c r="I30" s="22" t="str">
        <x:v>32c98bec63f31ee752b16d8cf77164796681a660a981c00cac3039872cd469e9</x:v>
      </x:c>
      <x:c r="J30" s="22" t="n">
        <x:v>0</x:v>
      </x:c>
      <x:c r="K30" s="22" t="n">
        <x:v>0</x:v>
      </x:c>
      <x:c r="L30" s="22" t="n">
        <x:v>0</x:v>
      </x:c>
      <x:c r="M30" s="28" t="n">
        <x:v>0</x:v>
      </x:c>
      <x:c r="N30" s="28" t="n">
        <x:v>0</x:v>
      </x:c>
      <x:c r="O30" s="28" t="n">
        <x:v>0</x:v>
      </x:c>
      <x:c r="P30" s="62" t="n">
        <x:v>0</x:v>
      </x:c>
      <x:c r="Q30" s="22" t="n">
        <x:v>0</x:v>
      </x:c>
      <x:c r="R30" s="22" t="str"/>
      <x:c r="S30" s="22" t="str"/>
      <x:c r="T30" s="22" t="str"/>
    </x:row>
    <x:row r="31">
      <x:c r="A31" s="22" t="str">
        <x:v>2021-00042</x:v>
      </x:c>
      <x:c r="B31" s="22" t="str">
        <x:v>L2024-00050-1</x:v>
      </x:c>
      <x:c r="C31" s="22" t="str">
        <x:v>공사</x:v>
      </x:c>
      <x:c r="D31" s="25" t="str">
        <x:v>우간다 농업지도자 연수원 자립적 운영체계구축 및 연수역량 강화사업 공사</x:v>
      </x:c>
      <x:c r="E31" s="22" t="n">
        <x:v>1</x:v>
      </x:c>
      <x:c r="F31" s="22" t="str">
        <x:v>.docx</x:v>
      </x:c>
      <x:c r="G31" s="25" t="str">
        <x:v>L2024-00050-1/Part 3(계약서 및 기타 자료)/Section 10 - Pledges/Integrity Pledge (청렴계약서).docx</x:v>
      </x:c>
      <x:c r="H31" s="28" t="n">
        <x:v>36507</x:v>
      </x:c>
      <x:c r="I31" s="22" t="str">
        <x:v>bbf88b1bc23c5ed931639e65f36d47df7d7fbdb8447562024b0cf9f04ec6d6b6</x:v>
      </x:c>
      <x:c r="J31" s="22" t="n">
        <x:v>0</x:v>
      </x:c>
      <x:c r="K31" s="22" t="n">
        <x:v>0</x:v>
      </x:c>
      <x:c r="L31" s="22" t="n">
        <x:v>0</x:v>
      </x:c>
      <x:c r="M31" s="28" t="n">
        <x:v>0</x:v>
      </x:c>
      <x:c r="N31" s="28" t="n">
        <x:v>0</x:v>
      </x:c>
      <x:c r="O31" s="28" t="n">
        <x:v>0</x:v>
      </x:c>
      <x:c r="P31" s="62" t="n">
        <x:v>0</x:v>
      </x:c>
      <x:c r="Q31" s="22" t="n">
        <x:v>0</x:v>
      </x:c>
      <x:c r="R31" s="22" t="str"/>
      <x:c r="S31" s="22" t="str"/>
      <x:c r="T31" s="22" t="str"/>
    </x:row>
    <x:row r="32">
      <x:c r="A32" s="22" t="str">
        <x:v>2021-00042</x:v>
      </x:c>
      <x:c r="B32" s="22" t="str">
        <x:v>L2024-00050-1</x:v>
      </x:c>
      <x:c r="C32" s="22" t="str">
        <x:v>공사</x:v>
      </x:c>
      <x:c r="D32" s="25" t="str">
        <x:v>우간다 농업지도자 연수원 자립적 운영체계구축 및 연수역량 강화사업 공사</x:v>
      </x:c>
      <x:c r="E32" s="22" t="n">
        <x:v>1</x:v>
      </x:c>
      <x:c r="F32" s="22" t="str">
        <x:v>.docx</x:v>
      </x:c>
      <x:c r="G32" s="25" t="str">
        <x:v>L2024-00050-1/Part 3(계약서 및 기타 자료)/Section 10 - Pledges/Fair Contract Pledge Letter (공정계약 서약서).docx</x:v>
      </x:c>
      <x:c r="H32" s="28" t="n">
        <x:v>18756</x:v>
      </x:c>
      <x:c r="I32" s="22" t="str">
        <x:v>379cc784a159e5c15ba0045a32dd793d03827ad46a1e4a966b9810ad99102277</x:v>
      </x:c>
      <x:c r="J32" s="22" t="n">
        <x:v>0</x:v>
      </x:c>
      <x:c r="K32" s="22" t="n">
        <x:v>0</x:v>
      </x:c>
      <x:c r="L32" s="22" t="n">
        <x:v>0</x:v>
      </x:c>
      <x:c r="M32" s="28" t="n">
        <x:v>0</x:v>
      </x:c>
      <x:c r="N32" s="28" t="n">
        <x:v>0</x:v>
      </x:c>
      <x:c r="O32" s="28" t="n">
        <x:v>0</x:v>
      </x:c>
      <x:c r="P32" s="62" t="n">
        <x:v>0</x:v>
      </x:c>
      <x:c r="Q32" s="22" t="n">
        <x:v>0</x:v>
      </x:c>
      <x:c r="R32" s="22" t="str"/>
      <x:c r="S32" s="22" t="str"/>
      <x:c r="T32" s="22" t="str"/>
    </x:row>
    <x:row r="33">
      <x:c r="A33" s="22" t="str">
        <x:v>2021-00042</x:v>
      </x:c>
      <x:c r="B33" s="22" t="str">
        <x:v>L2024-00050-1</x:v>
      </x:c>
      <x:c r="C33" s="22" t="str">
        <x:v>공사</x:v>
      </x:c>
      <x:c r="D33" s="25" t="str">
        <x:v>우간다 농업지도자 연수원 자립적 운영체계구축 및 연수역량 강화사업 공사</x:v>
      </x:c>
      <x:c r="E33" s="22" t="n">
        <x:v>1</x:v>
      </x:c>
      <x:c r="F33" s="22" t="str">
        <x:v>.docx</x:v>
      </x:c>
      <x:c r="G33" s="25" t="str">
        <x:v>L2024-00050-1/Part 3(계약서 및 기타 자료)/Section 10 - Pledges/Declaration of Anti_Corruption (반부패 선언서).docx</x:v>
      </x:c>
      <x:c r="H33" s="28" t="n">
        <x:v>23026</x:v>
      </x:c>
      <x:c r="I33" s="22" t="str">
        <x:v>81e22a438491f4d1b5a12be15e95b5278073d1be929b00b0cd4fe23da8b9d496</x:v>
      </x:c>
      <x:c r="J33" s="22" t="n">
        <x:v>0</x:v>
      </x:c>
      <x:c r="K33" s="22" t="n">
        <x:v>0</x:v>
      </x:c>
      <x:c r="L33" s="22" t="n">
        <x:v>0</x:v>
      </x:c>
      <x:c r="M33" s="28" t="n">
        <x:v>0</x:v>
      </x:c>
      <x:c r="N33" s="28" t="n">
        <x:v>0</x:v>
      </x:c>
      <x:c r="O33" s="28" t="n">
        <x:v>0</x:v>
      </x:c>
      <x:c r="P33" s="62" t="n">
        <x:v>0</x:v>
      </x:c>
      <x:c r="Q33" s="22" t="n">
        <x:v>0</x:v>
      </x:c>
      <x:c r="R33" s="22" t="str"/>
      <x:c r="S33" s="22" t="str"/>
      <x:c r="T33" s="22" t="str"/>
    </x:row>
    <x:row r="34">
      <x:c r="A34" s="22" t="str">
        <x:v>2021-00042</x:v>
      </x:c>
      <x:c r="B34" s="22" t="str">
        <x:v>L2024-00050-1</x:v>
      </x:c>
      <x:c r="C34" s="22" t="str">
        <x:v>공사</x:v>
      </x:c>
      <x:c r="D34" s="25" t="str">
        <x:v>우간다 농업지도자 연수원 자립적 운영체계구축 및 연수역량 강화사업 공사</x:v>
      </x:c>
      <x:c r="E34" s="22" t="n">
        <x:v>1</x:v>
      </x:c>
      <x:c r="F34" s="22" t="str">
        <x:v>.docx</x:v>
      </x:c>
      <x:c r="G34" s="25" t="str">
        <x:v>L2024-00050-1/Part 3(계약서 및 기타 자료)/Section 10 - Pledges/Power of Attorney (계약서 서명권한 위임장).docx</x:v>
      </x:c>
      <x:c r="H34" s="28" t="n">
        <x:v>18770</x:v>
      </x:c>
      <x:c r="I34" s="22" t="str">
        <x:v>3a0f38f9872dddf73d2b65acc72f2d66feba6b342e663e59135e5ef6b1c4e906</x:v>
      </x:c>
      <x:c r="J34" s="22" t="n">
        <x:v>0</x:v>
      </x:c>
      <x:c r="K34" s="22" t="n">
        <x:v>0</x:v>
      </x:c>
      <x:c r="L34" s="22" t="n">
        <x:v>0</x:v>
      </x:c>
      <x:c r="M34" s="28" t="n">
        <x:v>0</x:v>
      </x:c>
      <x:c r="N34" s="28" t="n">
        <x:v>0</x:v>
      </x:c>
      <x:c r="O34" s="28" t="n">
        <x:v>0</x:v>
      </x:c>
      <x:c r="P34" s="62" t="n">
        <x:v>0</x:v>
      </x:c>
      <x:c r="Q34" s="22" t="n">
        <x:v>0</x:v>
      </x:c>
      <x:c r="R34" s="22" t="str"/>
      <x:c r="S34" s="22" t="str"/>
      <x:c r="T34" s="22" t="str"/>
    </x:row>
    <x:row r="35">
      <x:c r="A35" s="22" t="str">
        <x:v>2021-00042</x:v>
      </x:c>
      <x:c r="B35" s="22" t="str">
        <x:v>L2025-00062-1</x:v>
      </x:c>
      <x:c r="C35" s="22" t="str">
        <x:v>공사</x:v>
      </x:c>
      <x:c r="D35" s="25" t="str">
        <x:v>우간다 농업지도자 연수원 자립적 운영체계구축 및 연수역량 강화사업 시범농장 신축 공사</x:v>
      </x:c>
      <x:c r="E35" s="22" t="n">
        <x:v>1</x:v>
      </x:c>
      <x:c r="F35" s="22" t="str">
        <x:v>.zip</x:v>
      </x:c>
      <x:c r="G35" s="25" t="str">
        <x:v>L2025-00062-1/붙임 2. 입찰 첨부서류 각 1부(Part II 제외).zip</x:v>
      </x:c>
      <x:c r="H35" s="28" t="n">
        <x:v>1753840</x:v>
      </x:c>
      <x:c r="I35" s="22" t="str">
        <x:v>e8d1ab37c163c39452b7f8f0e635ebcb91add725e80ad29321b893308a149605</x:v>
      </x:c>
      <x:c r="J35" s="22" t="n">
        <x:v>0</x:v>
      </x:c>
      <x:c r="K35" s="22" t="n">
        <x:v>0</x:v>
      </x:c>
      <x:c r="L35" s="22" t="n">
        <x:v>0</x:v>
      </x:c>
      <x:c r="M35" s="28" t="n">
        <x:v>0</x:v>
      </x:c>
      <x:c r="N35" s="28" t="n">
        <x:v>0</x:v>
      </x:c>
      <x:c r="O35" s="28" t="n">
        <x:v>0</x:v>
      </x:c>
      <x:c r="P35" s="62" t="n">
        <x:v>0</x:v>
      </x:c>
      <x:c r="Q35" s="22" t="n">
        <x:v>0</x:v>
      </x:c>
      <x:c r="R35" s="22" t="str"/>
      <x:c r="S35" s="22" t="str"/>
      <x:c r="T35" s="22" t="str"/>
    </x:row>
    <x:row r="36">
      <x:c r="A36" s="22" t="str">
        <x:v>2021-00042</x:v>
      </x:c>
      <x:c r="B36" s="22" t="str">
        <x:v>L2025-00062-1</x:v>
      </x:c>
      <x:c r="C36" s="22" t="str">
        <x:v>공사</x:v>
      </x:c>
      <x:c r="D36" s="25" t="str">
        <x:v>우간다 농업지도자 연수원 자립적 운영체계구축 및 연수역량 강화사업 시범농장 신축 공사</x:v>
      </x:c>
      <x:c r="E36" s="22" t="n">
        <x:v>1</x:v>
      </x:c>
      <x:c r="F36" s="22" t="str">
        <x:v>.zip</x:v>
      </x:c>
      <x:c r="G36" s="25" t="str">
        <x:v>L2025-00062-1/붙임 3. 우간다 조달청(PPDA) 관련 규정.zip</x:v>
      </x:c>
      <x:c r="H36" s="28" t="n">
        <x:v>1316818</x:v>
      </x:c>
      <x:c r="I36" s="22" t="str">
        <x:v>9de3946bb7383887bb63f05b38e5988946a88d31a543e6db0d4ac14f5f5d6517</x:v>
      </x:c>
      <x:c r="J36" s="22" t="n">
        <x:v>0</x:v>
      </x:c>
      <x:c r="K36" s="22" t="n">
        <x:v>0</x:v>
      </x:c>
      <x:c r="L36" s="22" t="n">
        <x:v>0</x:v>
      </x:c>
      <x:c r="M36" s="28" t="n">
        <x:v>0</x:v>
      </x:c>
      <x:c r="N36" s="28" t="n">
        <x:v>0</x:v>
      </x:c>
      <x:c r="O36" s="28" t="n">
        <x:v>0</x:v>
      </x:c>
      <x:c r="P36" s="62" t="n">
        <x:v>0</x:v>
      </x:c>
      <x:c r="Q36" s="22" t="n">
        <x:v>0</x:v>
      </x:c>
      <x:c r="R36" s="22" t="str"/>
      <x:c r="S36" s="22" t="str"/>
      <x:c r="T36" s="22" t="str"/>
    </x:row>
    <x:row r="37">
      <x:c r="A37" s="22" t="str">
        <x:v>2021-00042</x:v>
      </x:c>
      <x:c r="B37" s="22" t="str">
        <x:v>L2025-00062-1</x:v>
      </x:c>
      <x:c r="C37" s="22" t="str">
        <x:v>공사</x:v>
      </x:c>
      <x:c r="D37" s="25" t="str">
        <x:v>우간다 농업지도자 연수원 자립적 운영체계구축 및 연수역량 강화사업 시범농장 신축 공사</x:v>
      </x:c>
      <x:c r="E37" s="22" t="n">
        <x:v>1</x:v>
      </x:c>
      <x:c r="F37" s="22" t="str">
        <x:v>.docx</x:v>
      </x:c>
      <x:c r="G37" s="25" t="str">
        <x:v>L2025-00062-1/1-2. 입찰공고문(영문)_시범농장 신축.docx</x:v>
      </x:c>
      <x:c r="H37" s="28" t="n">
        <x:v>72366</x:v>
      </x:c>
      <x:c r="I37" s="22" t="str">
        <x:v>0d6293c9b5890b5582f91fddf1faadcada39464d9029d50857d42d41d37081fb</x:v>
      </x:c>
      <x:c r="J37" s="22" t="n">
        <x:v>0</x:v>
      </x:c>
      <x:c r="K37" s="22" t="n">
        <x:v>0</x:v>
      </x:c>
      <x:c r="L37" s="22" t="n">
        <x:v>0</x:v>
      </x:c>
      <x:c r="M37" s="28" t="n">
        <x:v>0</x:v>
      </x:c>
      <x:c r="N37" s="28" t="n">
        <x:v>0</x:v>
      </x:c>
      <x:c r="O37" s="28" t="n">
        <x:v>0</x:v>
      </x:c>
      <x:c r="P37" s="62" t="n">
        <x:v>0</x:v>
      </x:c>
      <x:c r="Q37" s="22" t="n">
        <x:v>0</x:v>
      </x:c>
      <x:c r="R37" s="22" t="str"/>
      <x:c r="S37" s="22" t="str"/>
      <x:c r="T37" s="22" t="str"/>
    </x:row>
    <x:row r="38">
      <x:c r="A38" s="22" t="str">
        <x:v>2021-00042</x:v>
      </x:c>
      <x:c r="B38" s="22" t="str">
        <x:v>L2025-00062-1</x:v>
      </x:c>
      <x:c r="C38" s="22" t="str">
        <x:v>공사</x:v>
      </x:c>
      <x:c r="D38" s="25" t="str">
        <x:v>우간다 농업지도자 연수원 자립적 운영체계구축 및 연수역량 강화사업 시범농장 신축 공사</x:v>
      </x:c>
      <x:c r="E38" s="22" t="n">
        <x:v>1</x:v>
      </x:c>
      <x:c r="F38" s="22" t="str">
        <x:v>.pdf</x:v>
      </x:c>
      <x:c r="G38" s="25" t="str">
        <x:v>L2025-00062-1/붙임 3. 우간다 조달청(PPDA) 관련 규정/3-2. (PPDA 특혜마진 관련규정) PPDA-Act-2003 (Ammended 2021).pdf</x:v>
      </x:c>
      <x:c r="H38" s="28" t="n">
        <x:v>515969</x:v>
      </x:c>
      <x:c r="I38" s="22" t="str">
        <x:v>0502cec8c28f3d4f5b09170b613064a67998e6ab586a188452f93ff4b35b0276</x:v>
      </x:c>
      <x:c r="J38" s="22" t="n">
        <x:v>0</x:v>
      </x:c>
      <x:c r="K38" s="22" t="n">
        <x:v>0</x:v>
      </x:c>
      <x:c r="L38" s="22" t="n">
        <x:v>0</x:v>
      </x:c>
      <x:c r="M38" s="28" t="n">
        <x:v>0</x:v>
      </x:c>
      <x:c r="N38" s="28" t="n">
        <x:v>0</x:v>
      </x:c>
      <x:c r="O38" s="28" t="n">
        <x:v>0</x:v>
      </x:c>
      <x:c r="P38" s="62" t="n">
        <x:v>0</x:v>
      </x:c>
      <x:c r="Q38" s="22" t="n">
        <x:v>0</x:v>
      </x:c>
      <x:c r="R38" s="22" t="str"/>
      <x:c r="S38" s="22" t="str"/>
      <x:c r="T38" s="22" t="str"/>
    </x:row>
    <x:row r="39">
      <x:c r="A39" s="22" t="str">
        <x:v>2021-00042</x:v>
      </x:c>
      <x:c r="B39" s="22" t="str">
        <x:v>L2025-00062-1</x:v>
      </x:c>
      <x:c r="C39" s="22" t="str">
        <x:v>공사</x:v>
      </x:c>
      <x:c r="D39" s="25" t="str">
        <x:v>우간다 농업지도자 연수원 자립적 운영체계구축 및 연수역량 강화사업 시범농장 신축 공사</x:v>
      </x:c>
      <x:c r="E39" s="22" t="n">
        <x:v>1</x:v>
      </x:c>
      <x:c r="F39" s="22" t="str">
        <x:v>.pdf</x:v>
      </x:c>
      <x:c r="G39" s="25" t="str">
        <x:v>L2025-00062-1/붙임 3. 우간다 조달청(PPDA) 관련 규정/3-1. (PPDA 보증규정) GUIDELINE-3-OF-2024-ON-BID-AND-PERFORMANCE-SECURITIES.pdf</x:v>
      </x:c>
      <x:c r="H39" s="28" t="n">
        <x:v>1041182</x:v>
      </x:c>
      <x:c r="I39" s="22" t="str">
        <x:v>b17737d66ac952e950635c033ff1b2fa38e8abbfa8713539040b143590623f90</x:v>
      </x:c>
      <x:c r="J39" s="22" t="n">
        <x:v>0</x:v>
      </x:c>
      <x:c r="K39" s="22" t="n">
        <x:v>0</x:v>
      </x:c>
      <x:c r="L39" s="22" t="n">
        <x:v>0</x:v>
      </x:c>
      <x:c r="M39" s="28" t="n">
        <x:v>0</x:v>
      </x:c>
      <x:c r="N39" s="28" t="n">
        <x:v>0</x:v>
      </x:c>
      <x:c r="O39" s="28" t="n">
        <x:v>0</x:v>
      </x:c>
      <x:c r="P39" s="62" t="n">
        <x:v>0</x:v>
      </x:c>
      <x:c r="Q39" s="22" t="n">
        <x:v>0</x:v>
      </x:c>
      <x:c r="R39" s="22" t="str"/>
      <x:c r="S39" s="22" t="str"/>
      <x:c r="T39" s="22" t="str"/>
    </x:row>
    <x:row r="40">
      <x:c r="A40" s="22" t="str">
        <x:v>2021-00042</x:v>
      </x:c>
      <x:c r="B40" s="22" t="str">
        <x:v>L2025-00062-1</x:v>
      </x:c>
      <x:c r="C40" s="22" t="str">
        <x:v>공사</x:v>
      </x:c>
      <x:c r="D40" s="25" t="str">
        <x:v>우간다 농업지도자 연수원 자립적 운영체계구축 및 연수역량 강화사업 시범농장 신축 공사</x:v>
      </x:c>
      <x:c r="E40" s="22" t="n">
        <x:v>1</x:v>
      </x:c>
      <x:c r="F40" s="22" t="str">
        <x:v>.docx</x:v>
      </x:c>
      <x:c r="G40" s="25" t="str">
        <x:v>L2025-00062-1/붙임 2. 입찰 첨부서류 각 1부(Part II 제외)/붙임 2. 입찰 첨부서류 각 1부(Part II 제외)/Section 9 - Contract Forms.docx</x:v>
      </x:c>
      <x:c r="H40" s="28" t="n">
        <x:v>38159</x:v>
      </x:c>
      <x:c r="I40" s="22" t="str">
        <x:v>0bce2d1fb64d0b2bf7c95f60fe85f7f4c07bcf3ac8c4cb65912db9515bbb5644</x:v>
      </x:c>
      <x:c r="J40" s="22" t="n">
        <x:v>0</x:v>
      </x:c>
      <x:c r="K40" s="22" t="n">
        <x:v>0</x:v>
      </x:c>
      <x:c r="L40" s="22" t="n">
        <x:v>0</x:v>
      </x:c>
      <x:c r="M40" s="28" t="n">
        <x:v>0</x:v>
      </x:c>
      <x:c r="N40" s="28" t="n">
        <x:v>0</x:v>
      </x:c>
      <x:c r="O40" s="28" t="n">
        <x:v>0</x:v>
      </x:c>
      <x:c r="P40" s="62" t="n">
        <x:v>0</x:v>
      </x:c>
      <x:c r="Q40" s="22" t="n">
        <x:v>0</x:v>
      </x:c>
      <x:c r="R40" s="22" t="str"/>
      <x:c r="S40" s="22" t="str"/>
      <x:c r="T40" s="22" t="str"/>
    </x:row>
    <x:row r="41">
      <x:c r="A41" s="22" t="str">
        <x:v>2021-00042</x:v>
      </x:c>
      <x:c r="B41" s="22" t="str">
        <x:v>L2025-00062-1</x:v>
      </x:c>
      <x:c r="C41" s="22" t="str">
        <x:v>공사</x:v>
      </x:c>
      <x:c r="D41" s="25" t="str">
        <x:v>우간다 농업지도자 연수원 자립적 운영체계구축 및 연수역량 강화사업 시범농장 신축 공사</x:v>
      </x:c>
      <x:c r="E41" s="22" t="n">
        <x:v>1</x:v>
      </x:c>
      <x:c r="F41" s="22" t="str">
        <x:v>.docx</x:v>
      </x:c>
      <x:c r="G41" s="25" t="str">
        <x:v>L2025-00062-1/붙임 2. 입찰 첨부서류 각 1부(Part II 제외)/붙임 2. 입찰 첨부서류 각 1부(Part II 제외)/Section 7 - General Conditions of Contract.docx</x:v>
      </x:c>
      <x:c r="H41" s="28" t="n">
        <x:v>202912</x:v>
      </x:c>
      <x:c r="I41" s="22" t="str">
        <x:v>fedf6aa3540ddde964e764325f1b28aff95914fe896d9a93b0b504953aef920a</x:v>
      </x:c>
      <x:c r="J41" s="22" t="n">
        <x:v>0</x:v>
      </x:c>
      <x:c r="K41" s="22" t="n">
        <x:v>0</x:v>
      </x:c>
      <x:c r="L41" s="22" t="n">
        <x:v>0</x:v>
      </x:c>
      <x:c r="M41" s="28" t="n">
        <x:v>0</x:v>
      </x:c>
      <x:c r="N41" s="28" t="n">
        <x:v>0</x:v>
      </x:c>
      <x:c r="O41" s="28" t="n">
        <x:v>0</x:v>
      </x:c>
      <x:c r="P41" s="62" t="n">
        <x:v>0</x:v>
      </x:c>
      <x:c r="Q41" s="22" t="n">
        <x:v>0</x:v>
      </x:c>
      <x:c r="R41" s="22" t="str"/>
      <x:c r="S41" s="22" t="str"/>
      <x:c r="T41" s="22" t="str"/>
    </x:row>
    <x:row r="42">
      <x:c r="A42" s="22" t="str">
        <x:v>2021-00042</x:v>
      </x:c>
      <x:c r="B42" s="22" t="str">
        <x:v>L2025-00062-1</x:v>
      </x:c>
      <x:c r="C42" s="22" t="str">
        <x:v>공사</x:v>
      </x:c>
      <x:c r="D42" s="25" t="str">
        <x:v>우간다 농업지도자 연수원 자립적 운영체계구축 및 연수역량 강화사업 시범농장 신축 공사</x:v>
      </x:c>
      <x:c r="E42" s="22" t="n">
        <x:v>1</x:v>
      </x:c>
      <x:c r="F42" s="22" t="str">
        <x:v>.docx</x:v>
      </x:c>
      <x:c r="G42" s="25" t="str">
        <x:v>L2025-00062-1/붙임 2. 입찰 첨부서류 각 1부(Part II 제외)/붙임 2. 입찰 첨부서류 각 1부(Part II 제외)/Section 2 - Bid Data Sheet (New Farm).docx</x:v>
      </x:c>
      <x:c r="H42" s="28" t="n">
        <x:v>72111</x:v>
      </x:c>
      <x:c r="I42" s="22" t="str">
        <x:v>0de1a173a7f9c9414a11fc06a71dfafba7c0dfc57759dc6474e3aa84d742f2af</x:v>
      </x:c>
      <x:c r="J42" s="22" t="n">
        <x:v>0</x:v>
      </x:c>
      <x:c r="K42" s="22" t="n">
        <x:v>0</x:v>
      </x:c>
      <x:c r="L42" s="22" t="n">
        <x:v>0</x:v>
      </x:c>
      <x:c r="M42" s="28" t="n">
        <x:v>0</x:v>
      </x:c>
      <x:c r="N42" s="28" t="n">
        <x:v>0</x:v>
      </x:c>
      <x:c r="O42" s="28" t="n">
        <x:v>0</x:v>
      </x:c>
      <x:c r="P42" s="62" t="n">
        <x:v>0</x:v>
      </x:c>
      <x:c r="Q42" s="22" t="n">
        <x:v>0</x:v>
      </x:c>
      <x:c r="R42" s="22" t="str"/>
      <x:c r="S42" s="22" t="str"/>
      <x:c r="T42" s="22" t="str"/>
    </x:row>
    <x:row r="43">
      <x:c r="A43" s="22" t="str">
        <x:v>2021-00042</x:v>
      </x:c>
      <x:c r="B43" s="22" t="str">
        <x:v>L2025-00062-1</x:v>
      </x:c>
      <x:c r="C43" s="22" t="str">
        <x:v>공사</x:v>
      </x:c>
      <x:c r="D43" s="25" t="str">
        <x:v>우간다 농업지도자 연수원 자립적 운영체계구축 및 연수역량 강화사업 시범농장 신축 공사</x:v>
      </x:c>
      <x:c r="E43" s="22" t="n">
        <x:v>1</x:v>
      </x:c>
      <x:c r="F43" s="22" t="str">
        <x:v>.docx</x:v>
      </x:c>
      <x:c r="G43" s="25" t="str">
        <x:v>L2025-00062-1/붙임 2. 입찰 첨부서류 각 1부(Part II 제외)/붙임 2. 입찰 첨부서류 각 1부(Part II 제외)/Power of Attorney for the authority to sign and execute contracts (계약서 서명권한 위임장).docx</x:v>
      </x:c>
      <x:c r="H43" s="28" t="n">
        <x:v>18759</x:v>
      </x:c>
      <x:c r="I43" s="22" t="str">
        <x:v>ccfa30711d9124ace57f312b9b89267731c2844285ca78c55df13f43969cd647</x:v>
      </x:c>
      <x:c r="J43" s="22" t="n">
        <x:v>0</x:v>
      </x:c>
      <x:c r="K43" s="22" t="n">
        <x:v>0</x:v>
      </x:c>
      <x:c r="L43" s="22" t="n">
        <x:v>0</x:v>
      </x:c>
      <x:c r="M43" s="28" t="n">
        <x:v>0</x:v>
      </x:c>
      <x:c r="N43" s="28" t="n">
        <x:v>0</x:v>
      </x:c>
      <x:c r="O43" s="28" t="n">
        <x:v>0</x:v>
      </x:c>
      <x:c r="P43" s="62" t="n">
        <x:v>0</x:v>
      </x:c>
      <x:c r="Q43" s="22" t="n">
        <x:v>0</x:v>
      </x:c>
      <x:c r="R43" s="22" t="str"/>
      <x:c r="S43" s="22" t="str"/>
      <x:c r="T43" s="22" t="str"/>
    </x:row>
    <x:row r="44">
      <x:c r="A44" s="22" t="str">
        <x:v>2021-00042</x:v>
      </x:c>
      <x:c r="B44" s="22" t="str">
        <x:v>L2025-00062-1</x:v>
      </x:c>
      <x:c r="C44" s="22" t="str">
        <x:v>공사</x:v>
      </x:c>
      <x:c r="D44" s="25" t="str">
        <x:v>우간다 농업지도자 연수원 자립적 운영체계구축 및 연수역량 강화사업 시범농장 신축 공사</x:v>
      </x:c>
      <x:c r="E44" s="22" t="n">
        <x:v>1</x:v>
      </x:c>
      <x:c r="F44" s="22" t="str">
        <x:v>.docx</x:v>
      </x:c>
      <x:c r="G44" s="25" t="str">
        <x:v>L2025-00062-1/붙임 2. 입찰 첨부서류 각 1부(Part II 제외)/붙임 2. 입찰 첨부서류 각 1부(Part II 제외)/Section 8 - Specail Conditions of Contract.docx</x:v>
      </x:c>
      <x:c r="H44" s="28" t="n">
        <x:v>60774</x:v>
      </x:c>
      <x:c r="I44" s="22" t="str">
        <x:v>71f76a3e205a83768b2992bb6e9065dc516b4f8076b24418a316d4195274d0e8</x:v>
      </x:c>
      <x:c r="J44" s="22" t="n">
        <x:v>0</x:v>
      </x:c>
      <x:c r="K44" s="22" t="n">
        <x:v>0</x:v>
      </x:c>
      <x:c r="L44" s="22" t="n">
        <x:v>0</x:v>
      </x:c>
      <x:c r="M44" s="28" t="n">
        <x:v>0</x:v>
      </x:c>
      <x:c r="N44" s="28" t="n">
        <x:v>0</x:v>
      </x:c>
      <x:c r="O44" s="28" t="n">
        <x:v>0</x:v>
      </x:c>
      <x:c r="P44" s="62" t="n">
        <x:v>0</x:v>
      </x:c>
      <x:c r="Q44" s="22" t="n">
        <x:v>0</x:v>
      </x:c>
      <x:c r="R44" s="22" t="str"/>
      <x:c r="S44" s="22" t="str"/>
      <x:c r="T44" s="22" t="str"/>
    </x:row>
    <x:row r="45">
      <x:c r="A45" s="22" t="str">
        <x:v>2021-00042</x:v>
      </x:c>
      <x:c r="B45" s="22" t="str">
        <x:v>L2025-00062-1</x:v>
      </x:c>
      <x:c r="C45" s="22" t="str">
        <x:v>공사</x:v>
      </x:c>
      <x:c r="D45" s="25" t="str">
        <x:v>우간다 농업지도자 연수원 자립적 운영체계구축 및 연수역량 강화사업 시범농장 신축 공사</x:v>
      </x:c>
      <x:c r="E45" s="22" t="n">
        <x:v>1</x:v>
      </x:c>
      <x:c r="F45" s="22" t="str">
        <x:v>.zip</x:v>
      </x:c>
      <x:c r="G45" s="25" t="str">
        <x:v>L2025-00062-1/붙임 2. 입찰 첨부서류 각 1부(Part II 제외)/붙임 2. 입찰 첨부서류 각 1부(Part II 제외)/Section 9 - Pledges.zip</x:v>
      </x:c>
      <x:c r="H45" s="28" t="n">
        <x:v>69143</x:v>
      </x:c>
      <x:c r="I45" s="22" t="str">
        <x:v>c68e53944a8f0afc1892995c1597fc45de6bfe319f29975a6981e05379561cfa</x:v>
      </x:c>
      <x:c r="J45" s="22" t="n">
        <x:v>0</x:v>
      </x:c>
      <x:c r="K45" s="22" t="n">
        <x:v>0</x:v>
      </x:c>
      <x:c r="L45" s="22" t="n">
        <x:v>0</x:v>
      </x:c>
      <x:c r="M45" s="28" t="n">
        <x:v>0</x:v>
      </x:c>
      <x:c r="N45" s="28" t="n">
        <x:v>0</x:v>
      </x:c>
      <x:c r="O45" s="28" t="n">
        <x:v>0</x:v>
      </x:c>
      <x:c r="P45" s="62" t="n">
        <x:v>0</x:v>
      </x:c>
      <x:c r="Q45" s="22" t="n">
        <x:v>0</x:v>
      </x:c>
      <x:c r="R45" s="22" t="str"/>
      <x:c r="S45" s="22" t="str"/>
      <x:c r="T45" s="22" t="str"/>
    </x:row>
    <x:row r="46">
      <x:c r="A46" s="22" t="str">
        <x:v>2021-00042</x:v>
      </x:c>
      <x:c r="B46" s="22" t="str">
        <x:v>L2025-00062-1</x:v>
      </x:c>
      <x:c r="C46" s="22" t="str">
        <x:v>공사</x:v>
      </x:c>
      <x:c r="D46" s="25" t="str">
        <x:v>우간다 농업지도자 연수원 자립적 운영체계구축 및 연수역량 강화사업 시범농장 신축 공사</x:v>
      </x:c>
      <x:c r="E46" s="22" t="n">
        <x:v>1</x:v>
      </x:c>
      <x:c r="F46" s="22" t="str">
        <x:v>.docx</x:v>
      </x:c>
      <x:c r="G46" s="25" t="str">
        <x:v>L2025-00062-1/붙임 2. 입찰 첨부서류 각 1부(Part II 제외)/붙임 2. 입찰 첨부서류 각 1부(Part II 제외)/Section 3 - Bidding Forms.docx</x:v>
      </x:c>
      <x:c r="H46" s="28" t="n">
        <x:v>43979</x:v>
      </x:c>
      <x:c r="I46" s="22" t="str">
        <x:v>bcc509bdb5ac87ff686277c070f9fba2c93d4042aef9ad7f9d2e65363cde67b0</x:v>
      </x:c>
      <x:c r="J46" s="22" t="n">
        <x:v>0</x:v>
      </x:c>
      <x:c r="K46" s="22" t="n">
        <x:v>0</x:v>
      </x:c>
      <x:c r="L46" s="22" t="n">
        <x:v>0</x:v>
      </x:c>
      <x:c r="M46" s="28" t="n">
        <x:v>0</x:v>
      </x:c>
      <x:c r="N46" s="28" t="n">
        <x:v>0</x:v>
      </x:c>
      <x:c r="O46" s="28" t="n">
        <x:v>0</x:v>
      </x:c>
      <x:c r="P46" s="62" t="n">
        <x:v>0</x:v>
      </x:c>
      <x:c r="Q46" s="22" t="n">
        <x:v>0</x:v>
      </x:c>
      <x:c r="R46" s="22" t="str"/>
      <x:c r="S46" s="22" t="str"/>
      <x:c r="T46" s="22" t="str"/>
    </x:row>
    <x:row r="47">
      <x:c r="A47" s="22" t="str">
        <x:v>2021-00042</x:v>
      </x:c>
      <x:c r="B47" s="22" t="str">
        <x:v>L2025-00062-1</x:v>
      </x:c>
      <x:c r="C47" s="22" t="str">
        <x:v>공사</x:v>
      </x:c>
      <x:c r="D47" s="25" t="str">
        <x:v>우간다 농업지도자 연수원 자립적 운영체계구축 및 연수역량 강화사업 시범농장 신축 공사</x:v>
      </x:c>
      <x:c r="E47" s="22" t="n">
        <x:v>1</x:v>
      </x:c>
      <x:c r="F47" s="22" t="str">
        <x:v>.docx</x:v>
      </x:c>
      <x:c r="G47" s="25" t="str">
        <x:v>L2025-00062-1/붙임 2. 입찰 첨부서류 각 1부(Part II 제외)/붙임 2. 입찰 첨부서류 각 1부(Part II 제외)/Section 6 - Scope of Works.docx</x:v>
      </x:c>
      <x:c r="H47" s="28" t="n">
        <x:v>1142778</x:v>
      </x:c>
      <x:c r="I47" s="22" t="str">
        <x:v>b4e8a80d4c338babb9e6f22aa6dbe09011bbf7ffbe5028a9741eacbae29084ad</x:v>
      </x:c>
      <x:c r="J47" s="22" t="n">
        <x:v>0</x:v>
      </x:c>
      <x:c r="K47" s="22" t="n">
        <x:v>0</x:v>
      </x:c>
      <x:c r="L47" s="22" t="n">
        <x:v>0</x:v>
      </x:c>
      <x:c r="M47" s="28" t="n">
        <x:v>0</x:v>
      </x:c>
      <x:c r="N47" s="28" t="n">
        <x:v>0</x:v>
      </x:c>
      <x:c r="O47" s="28" t="n">
        <x:v>0</x:v>
      </x:c>
      <x:c r="P47" s="62" t="n">
        <x:v>0</x:v>
      </x:c>
      <x:c r="Q47" s="22" t="n">
        <x:v>0</x:v>
      </x:c>
      <x:c r="R47" s="22" t="str"/>
      <x:c r="S47" s="22" t="str"/>
      <x:c r="T47" s="22" t="str"/>
    </x:row>
    <x:row r="48">
      <x:c r="A48" s="22" t="str">
        <x:v>2021-00042</x:v>
      </x:c>
      <x:c r="B48" s="22" t="str">
        <x:v>L2025-00062-1</x:v>
      </x:c>
      <x:c r="C48" s="22" t="str">
        <x:v>공사</x:v>
      </x:c>
      <x:c r="D48" s="25" t="str">
        <x:v>우간다 농업지도자 연수원 자립적 운영체계구축 및 연수역량 강화사업 시범농장 신축 공사</x:v>
      </x:c>
      <x:c r="E48" s="22" t="n">
        <x:v>1</x:v>
      </x:c>
      <x:c r="F48" s="22" t="str">
        <x:v>.pdf</x:v>
      </x:c>
      <x:c r="G48" s="25" t="str">
        <x:v>L2025-00062-1/붙임 2. 입찰 첨부서류 각 1부(Part II 제외)/붙임 2. 입찰 첨부서류 각 1부(Part II 제외)/Section 1 - Instructions to Bidders (ITB).pdf</x:v>
      </x:c>
      <x:c r="H48" s="28" t="n">
        <x:v>146068</x:v>
      </x:c>
      <x:c r="I48" s="22" t="str">
        <x:v>32c98bec63f31ee752b16d8cf77164796681a660a981c00cac3039872cd469e9</x:v>
      </x:c>
      <x:c r="J48" s="22" t="n">
        <x:v>0</x:v>
      </x:c>
      <x:c r="K48" s="22" t="n">
        <x:v>0</x:v>
      </x:c>
      <x:c r="L48" s="22" t="n">
        <x:v>0</x:v>
      </x:c>
      <x:c r="M48" s="28" t="n">
        <x:v>0</x:v>
      </x:c>
      <x:c r="N48" s="28" t="n">
        <x:v>0</x:v>
      </x:c>
      <x:c r="O48" s="28" t="n">
        <x:v>0</x:v>
      </x:c>
      <x:c r="P48" s="62" t="n">
        <x:v>0</x:v>
      </x:c>
      <x:c r="Q48" s="22" t="n">
        <x:v>0</x:v>
      </x:c>
      <x:c r="R48" s="22" t="str"/>
      <x:c r="S48" s="22" t="str"/>
      <x:c r="T48" s="22" t="str"/>
    </x:row>
    <x:row r="49">
      <x:c r="A49" s="22" t="str">
        <x:v>2021-00042</x:v>
      </x:c>
      <x:c r="B49" s="22" t="str">
        <x:v>L2025-00062-1</x:v>
      </x:c>
      <x:c r="C49" s="22" t="str">
        <x:v>공사</x:v>
      </x:c>
      <x:c r="D49" s="25" t="str">
        <x:v>우간다 농업지도자 연수원 자립적 운영체계구축 및 연수역량 강화사업 시범농장 신축 공사</x:v>
      </x:c>
      <x:c r="E49" s="22" t="n">
        <x:v>1</x:v>
      </x:c>
      <x:c r="F49" s="22" t="str">
        <x:v>.docx</x:v>
      </x:c>
      <x:c r="G49" s="25" t="str">
        <x:v>L2025-00062-1/붙임 2. 입찰 첨부서류 각 1부(Part II 제외)/붙임 2. 입찰 첨부서류 각 1부(Part II 제외)/Section 9 - Pledges/Integrity Pledge (청렴계약서).docx</x:v>
      </x:c>
      <x:c r="H49" s="28" t="n">
        <x:v>36507</x:v>
      </x:c>
      <x:c r="I49" s="22" t="str">
        <x:v>bbf88b1bc23c5ed931639e65f36d47df7d7fbdb8447562024b0cf9f04ec6d6b6</x:v>
      </x:c>
      <x:c r="J49" s="22" t="n">
        <x:v>0</x:v>
      </x:c>
      <x:c r="K49" s="22" t="n">
        <x:v>0</x:v>
      </x:c>
      <x:c r="L49" s="22" t="n">
        <x:v>0</x:v>
      </x:c>
      <x:c r="M49" s="28" t="n">
        <x:v>0</x:v>
      </x:c>
      <x:c r="N49" s="28" t="n">
        <x:v>0</x:v>
      </x:c>
      <x:c r="O49" s="28" t="n">
        <x:v>0</x:v>
      </x:c>
      <x:c r="P49" s="62" t="n">
        <x:v>0</x:v>
      </x:c>
      <x:c r="Q49" s="22" t="n">
        <x:v>0</x:v>
      </x:c>
      <x:c r="R49" s="22" t="str"/>
      <x:c r="S49" s="22" t="str"/>
      <x:c r="T49" s="22" t="str"/>
    </x:row>
    <x:row r="50">
      <x:c r="A50" s="22" t="str">
        <x:v>2021-00042</x:v>
      </x:c>
      <x:c r="B50" s="22" t="str">
        <x:v>L2025-00062-1</x:v>
      </x:c>
      <x:c r="C50" s="22" t="str">
        <x:v>공사</x:v>
      </x:c>
      <x:c r="D50" s="25" t="str">
        <x:v>우간다 농업지도자 연수원 자립적 운영체계구축 및 연수역량 강화사업 시범농장 신축 공사</x:v>
      </x:c>
      <x:c r="E50" s="22" t="n">
        <x:v>1</x:v>
      </x:c>
      <x:c r="F50" s="22" t="str">
        <x:v>.docx</x:v>
      </x:c>
      <x:c r="G50" s="25" t="str">
        <x:v>L2025-00062-1/붙임 2. 입찰 첨부서류 각 1부(Part II 제외)/붙임 2. 입찰 첨부서류 각 1부(Part II 제외)/Section 9 - Pledges/Fair Contract Pledge Letter (공정계약 서약서).docx</x:v>
      </x:c>
      <x:c r="H50" s="28" t="n">
        <x:v>18756</x:v>
      </x:c>
      <x:c r="I50" s="22" t="str">
        <x:v>379cc784a159e5c15ba0045a32dd793d03827ad46a1e4a966b9810ad99102277</x:v>
      </x:c>
      <x:c r="J50" s="22" t="n">
        <x:v>0</x:v>
      </x:c>
      <x:c r="K50" s="22" t="n">
        <x:v>0</x:v>
      </x:c>
      <x:c r="L50" s="22" t="n">
        <x:v>0</x:v>
      </x:c>
      <x:c r="M50" s="28" t="n">
        <x:v>0</x:v>
      </x:c>
      <x:c r="N50" s="28" t="n">
        <x:v>0</x:v>
      </x:c>
      <x:c r="O50" s="28" t="n">
        <x:v>0</x:v>
      </x:c>
      <x:c r="P50" s="62" t="n">
        <x:v>0</x:v>
      </x:c>
      <x:c r="Q50" s="22" t="n">
        <x:v>0</x:v>
      </x:c>
      <x:c r="R50" s="22" t="str"/>
      <x:c r="S50" s="22" t="str"/>
      <x:c r="T50" s="22" t="str"/>
    </x:row>
    <x:row r="51">
      <x:c r="A51" s="22" t="str">
        <x:v>2021-00042</x:v>
      </x:c>
      <x:c r="B51" s="22" t="str">
        <x:v>L2025-00062-1</x:v>
      </x:c>
      <x:c r="C51" s="22" t="str">
        <x:v>공사</x:v>
      </x:c>
      <x:c r="D51" s="25" t="str">
        <x:v>우간다 농업지도자 연수원 자립적 운영체계구축 및 연수역량 강화사업 시범농장 신축 공사</x:v>
      </x:c>
      <x:c r="E51" s="22" t="n">
        <x:v>1</x:v>
      </x:c>
      <x:c r="F51" s="22" t="str">
        <x:v>.docx</x:v>
      </x:c>
      <x:c r="G51" s="25" t="str">
        <x:v>L2025-00062-1/붙임 2. 입찰 첨부서류 각 1부(Part II 제외)/붙임 2. 입찰 첨부서류 각 1부(Part II 제외)/Section 9 - Pledges/Declaration of Anti_Corruption (반부패 선언서).docx</x:v>
      </x:c>
      <x:c r="H51" s="28" t="n">
        <x:v>23026</x:v>
      </x:c>
      <x:c r="I51" s="22" t="str">
        <x:v>81e22a438491f4d1b5a12be15e95b5278073d1be929b00b0cd4fe23da8b9d496</x:v>
      </x:c>
      <x:c r="J51" s="22" t="n">
        <x:v>0</x:v>
      </x:c>
      <x:c r="K51" s="22" t="n">
        <x:v>0</x:v>
      </x:c>
      <x:c r="L51" s="22" t="n">
        <x:v>0</x:v>
      </x:c>
      <x:c r="M51" s="28" t="n">
        <x:v>0</x:v>
      </x:c>
      <x:c r="N51" s="28" t="n">
        <x:v>0</x:v>
      </x:c>
      <x:c r="O51" s="28" t="n">
        <x:v>0</x:v>
      </x:c>
      <x:c r="P51" s="62" t="n">
        <x:v>0</x:v>
      </x:c>
      <x:c r="Q51" s="22" t="n">
        <x:v>0</x:v>
      </x:c>
      <x:c r="R51" s="22" t="str"/>
      <x:c r="S51" s="22" t="str"/>
      <x:c r="T51" s="22" t="str"/>
    </x:row>
    <x:row r="52">
      <x:c r="A52" s="22" t="str">
        <x:v>2022-00064</x:v>
      </x:c>
      <x:c r="B52" s="22" t="str">
        <x:v>L2024-00072-1</x:v>
      </x:c>
      <x:c r="C52" s="22" t="str">
        <x:v>용역</x:v>
      </x:c>
      <x:c r="D52" s="25" t="str">
        <x:v>우간다 마케레레 대학 원격교육센터 설계 및 감리용역 입찰</x:v>
      </x:c>
      <x:c r="E52" s="22" t="n">
        <x:v>0</x:v>
      </x:c>
      <x:c r="F52" s="22" t="str">
        <x:v>.zip</x:v>
      </x:c>
      <x:c r="G52" s="25" t="str">
        <x:v>L2024-00072-1/1. 국영문 입찰계획안 우간다 마케레레.zip</x:v>
      </x:c>
      <x:c r="H52" s="28" t="n">
        <x:v>107072</x:v>
      </x:c>
      <x:c r="I52" s="22" t="str">
        <x:v>e3ab143d8086da49afcbaa087315f20640492df3104d4b6a03d4829765dfeb8a</x:v>
      </x:c>
      <x:c r="J52" s="22" t="n">
        <x:v>0</x:v>
      </x:c>
      <x:c r="K52" s="22" t="n">
        <x:v>0</x:v>
      </x:c>
      <x:c r="L52" s="22" t="n">
        <x:v>0</x:v>
      </x:c>
      <x:c r="M52" s="28" t="n">
        <x:v>0</x:v>
      </x:c>
      <x:c r="N52" s="28" t="n">
        <x:v>0</x:v>
      </x:c>
      <x:c r="O52" s="28" t="n">
        <x:v>0</x:v>
      </x:c>
      <x:c r="P52" s="62" t="n">
        <x:v>0</x:v>
      </x:c>
      <x:c r="Q52" s="22" t="n">
        <x:v>0</x:v>
      </x:c>
      <x:c r="R52" s="22" t="str"/>
      <x:c r="S52" s="22" t="str"/>
      <x:c r="T52" s="22" t="str"/>
    </x:row>
    <x:row r="53">
      <x:c r="A53" s="22" t="str">
        <x:v>2022-00064</x:v>
      </x:c>
      <x:c r="B53" s="22" t="str">
        <x:v>L2024-00072-1</x:v>
      </x:c>
      <x:c r="C53" s="22" t="str">
        <x:v>용역</x:v>
      </x:c>
      <x:c r="D53" s="25" t="str">
        <x:v>우간다 마케레레 대학 원격교육센터 설계 및 감리용역 입찰</x:v>
      </x:c>
      <x:c r="E53" s="22" t="n">
        <x:v>0</x:v>
      </x:c>
      <x:c r="F53" s="22" t="str">
        <x:v>.zip</x:v>
      </x:c>
      <x:c r="G53" s="25" t="str">
        <x:v>L2024-00072-1/2. 입찰문서 각 1부 우간다 마케레레.zip</x:v>
      </x:c>
      <x:c r="H53" s="28" t="n">
        <x:v>1149146</x:v>
      </x:c>
      <x:c r="I53" s="22" t="str">
        <x:v>43587fcba3bb7dae37257cce10618e40edf4ac3adac5f0e8a0d2aab18d2c5c20</x:v>
      </x:c>
      <x:c r="J53" s="22" t="n">
        <x:v>0</x:v>
      </x:c>
      <x:c r="K53" s="22" t="n">
        <x:v>0</x:v>
      </x:c>
      <x:c r="L53" s="22" t="n">
        <x:v>0</x:v>
      </x:c>
      <x:c r="M53" s="28" t="n">
        <x:v>0</x:v>
      </x:c>
      <x:c r="N53" s="28" t="n">
        <x:v>0</x:v>
      </x:c>
      <x:c r="O53" s="28" t="n">
        <x:v>0</x:v>
      </x:c>
      <x:c r="P53" s="62" t="n">
        <x:v>0</x:v>
      </x:c>
      <x:c r="Q53" s="22" t="n">
        <x:v>0</x:v>
      </x:c>
      <x:c r="R53" s="22" t="str"/>
      <x:c r="S53" s="22" t="str"/>
      <x:c r="T53" s="22" t="str"/>
    </x:row>
    <x:row r="54">
      <x:c r="A54" s="22" t="str">
        <x:v>2022-00064</x:v>
      </x:c>
      <x:c r="B54" s="22" t="str">
        <x:v>L2024-00072-1</x:v>
      </x:c>
      <x:c r="C54" s="22" t="str">
        <x:v>용역</x:v>
      </x:c>
      <x:c r="D54" s="25" t="str">
        <x:v>우간다 마케레레 대학 원격교육센터 설계 및 감리용역 입찰</x:v>
      </x:c>
      <x:c r="E54" s="22" t="n">
        <x:v>0</x:v>
      </x:c>
      <x:c r="F54" s="22" t="str">
        <x:v>.docx</x:v>
      </x:c>
      <x:c r="G54" s="25" t="str">
        <x:v>L2024-00072-1/2. 입찰문서 각 1부 우간다 마케레레/Section 7 - Specail Conditions of Contract.docx</x:v>
      </x:c>
      <x:c r="H54" s="28" t="n">
        <x:v>25735</x:v>
      </x:c>
      <x:c r="I54" s="22" t="str">
        <x:v>951c2d255ef262165cfff144d7c962a3895e873a1af01869b7956aaa014fa39f</x:v>
      </x:c>
      <x:c r="J54" s="22" t="n">
        <x:v>0</x:v>
      </x:c>
      <x:c r="K54" s="22" t="n">
        <x:v>0</x:v>
      </x:c>
      <x:c r="L54" s="22" t="n">
        <x:v>0</x:v>
      </x:c>
      <x:c r="M54" s="28" t="n">
        <x:v>0</x:v>
      </x:c>
      <x:c r="N54" s="28" t="n">
        <x:v>0</x:v>
      </x:c>
      <x:c r="O54" s="28" t="n">
        <x:v>0</x:v>
      </x:c>
      <x:c r="P54" s="62" t="n">
        <x:v>0</x:v>
      </x:c>
      <x:c r="Q54" s="22" t="n">
        <x:v>0</x:v>
      </x:c>
      <x:c r="R54" s="22" t="str"/>
      <x:c r="S54" s="22" t="str"/>
      <x:c r="T54" s="22" t="str"/>
    </x:row>
    <x:row r="55">
      <x:c r="A55" s="22" t="str">
        <x:v>2022-00064</x:v>
      </x:c>
      <x:c r="B55" s="22" t="str">
        <x:v>L2024-00072-1</x:v>
      </x:c>
      <x:c r="C55" s="22" t="str">
        <x:v>용역</x:v>
      </x:c>
      <x:c r="D55" s="25" t="str">
        <x:v>우간다 마케레레 대학 원격교육센터 설계 및 감리용역 입찰</x:v>
      </x:c>
      <x:c r="E55" s="22" t="n">
        <x:v>0</x:v>
      </x:c>
      <x:c r="F55" s="22" t="str">
        <x:v>.zip</x:v>
      </x:c>
      <x:c r="G55" s="25" t="str">
        <x:v>L2024-00072-1/2. 입찰문서 각 1부 우간다 마케레레/Section 5 - Reference Documents.zip</x:v>
      </x:c>
      <x:c r="H55" s="28" t="n">
        <x:v>18929</x:v>
      </x:c>
      <x:c r="I55" s="22" t="str">
        <x:v>8ce9252a55149ad57dfc61b54ab0db802badc6669fb066c8dfe7a1b086d19b72</x:v>
      </x:c>
      <x:c r="J55" s="22" t="n">
        <x:v>0</x:v>
      </x:c>
      <x:c r="K55" s="22" t="n">
        <x:v>0</x:v>
      </x:c>
      <x:c r="L55" s="22" t="n">
        <x:v>0</x:v>
      </x:c>
      <x:c r="M55" s="28" t="n">
        <x:v>0</x:v>
      </x:c>
      <x:c r="N55" s="28" t="n">
        <x:v>0</x:v>
      </x:c>
      <x:c r="O55" s="28" t="n">
        <x:v>0</x:v>
      </x:c>
      <x:c r="P55" s="62" t="n">
        <x:v>0</x:v>
      </x:c>
      <x:c r="Q55" s="22" t="n">
        <x:v>0</x:v>
      </x:c>
      <x:c r="R55" s="22" t="str"/>
      <x:c r="S55" s="22" t="str"/>
      <x:c r="T55" s="22" t="str"/>
    </x:row>
    <x:row r="56">
      <x:c r="A56" s="22" t="str">
        <x:v>2022-00064</x:v>
      </x:c>
      <x:c r="B56" s="22" t="str">
        <x:v>L2024-00072-1</x:v>
      </x:c>
      <x:c r="C56" s="22" t="str">
        <x:v>용역</x:v>
      </x:c>
      <x:c r="D56" s="25" t="str">
        <x:v>우간다 마케레레 대학 원격교육센터 설계 및 감리용역 입찰</x:v>
      </x:c>
      <x:c r="E56" s="22" t="n">
        <x:v>0</x:v>
      </x:c>
      <x:c r="F56" s="22" t="str">
        <x:v>.docx</x:v>
      </x:c>
      <x:c r="G56" s="25" t="str">
        <x:v>L2024-00072-1/2. 입찰문서 각 1부 우간다 마케레레/Section 6 - General Conditions of Contract.docx</x:v>
      </x:c>
      <x:c r="H56" s="28" t="n">
        <x:v>34911</x:v>
      </x:c>
      <x:c r="I56" s="22" t="str">
        <x:v>83d7fcabe51ad328fb7329da081d4f921110e5e42367cc1598173d635bbc979e</x:v>
      </x:c>
      <x:c r="J56" s="22" t="n">
        <x:v>0</x:v>
      </x:c>
      <x:c r="K56" s="22" t="n">
        <x:v>0</x:v>
      </x:c>
      <x:c r="L56" s="22" t="n">
        <x:v>0</x:v>
      </x:c>
      <x:c r="M56" s="28" t="n">
        <x:v>0</x:v>
      </x:c>
      <x:c r="N56" s="28" t="n">
        <x:v>0</x:v>
      </x:c>
      <x:c r="O56" s="28" t="n">
        <x:v>0</x:v>
      </x:c>
      <x:c r="P56" s="62" t="n">
        <x:v>0</x:v>
      </x:c>
      <x:c r="Q56" s="22" t="n">
        <x:v>0</x:v>
      </x:c>
      <x:c r="R56" s="22" t="str"/>
      <x:c r="S56" s="22" t="str"/>
      <x:c r="T56" s="22" t="str"/>
    </x:row>
    <x:row r="57">
      <x:c r="A57" s="22" t="str">
        <x:v>2022-00064</x:v>
      </x:c>
      <x:c r="B57" s="22" t="str">
        <x:v>L2024-00072-1</x:v>
      </x:c>
      <x:c r="C57" s="22" t="str">
        <x:v>용역</x:v>
      </x:c>
      <x:c r="D57" s="25" t="str">
        <x:v>우간다 마케레레 대학 원격교육센터 설계 및 감리용역 입찰</x:v>
      </x:c>
      <x:c r="E57" s="22" t="n">
        <x:v>0</x:v>
      </x:c>
      <x:c r="F57" s="22" t="str">
        <x:v>.docx</x:v>
      </x:c>
      <x:c r="G57" s="25" t="str">
        <x:v>L2024-00072-1/2. 입찰문서 각 1부 우간다 마케레레/Section 3 - Bidding Forms_수정.docx</x:v>
      </x:c>
      <x:c r="H57" s="28" t="n">
        <x:v>60170</x:v>
      </x:c>
      <x:c r="I57" s="22" t="str">
        <x:v>af78166fc8656f60cd1420e578f70d322290bda457113e999ae837aeba7cfff6</x:v>
      </x:c>
      <x:c r="J57" s="22" t="n">
        <x:v>0</x:v>
      </x:c>
      <x:c r="K57" s="22" t="n">
        <x:v>0</x:v>
      </x:c>
      <x:c r="L57" s="22" t="n">
        <x:v>0</x:v>
      </x:c>
      <x:c r="M57" s="28" t="n">
        <x:v>0</x:v>
      </x:c>
      <x:c r="N57" s="28" t="n">
        <x:v>0</x:v>
      </x:c>
      <x:c r="O57" s="28" t="n">
        <x:v>0</x:v>
      </x:c>
      <x:c r="P57" s="62" t="n">
        <x:v>0</x:v>
      </x:c>
      <x:c r="Q57" s="22" t="n">
        <x:v>0</x:v>
      </x:c>
      <x:c r="R57" s="22" t="str"/>
      <x:c r="S57" s="22" t="str"/>
      <x:c r="T57" s="22" t="str"/>
    </x:row>
    <x:row r="58">
      <x:c r="A58" s="22" t="str">
        <x:v>2022-00064</x:v>
      </x:c>
      <x:c r="B58" s="22" t="str">
        <x:v>L2024-00072-1</x:v>
      </x:c>
      <x:c r="C58" s="22" t="str">
        <x:v>용역</x:v>
      </x:c>
      <x:c r="D58" s="25" t="str">
        <x:v>우간다 마케레레 대학 원격교육센터 설계 및 감리용역 입찰</x:v>
      </x:c>
      <x:c r="E58" s="22" t="n">
        <x:v>0</x:v>
      </x:c>
      <x:c r="F58" s="22" t="str">
        <x:v>.docx</x:v>
      </x:c>
      <x:c r="G58" s="25" t="str">
        <x:v>L2024-00072-1/2. 입찰문서 각 1부 우간다 마케레레/Summary of Bidding (요약본)_수정.docx</x:v>
      </x:c>
      <x:c r="H58" s="28" t="n">
        <x:v>34891</x:v>
      </x:c>
      <x:c r="I58" s="22" t="str">
        <x:v>9d45c01785412775bfa0b24a0ce7950fe858f0efc0348d7c0950951f9d9b711f</x:v>
      </x:c>
      <x:c r="J58" s="22" t="n">
        <x:v>0</x:v>
      </x:c>
      <x:c r="K58" s="22" t="n">
        <x:v>0</x:v>
      </x:c>
      <x:c r="L58" s="22" t="n">
        <x:v>0</x:v>
      </x:c>
      <x:c r="M58" s="28" t="n">
        <x:v>0</x:v>
      </x:c>
      <x:c r="N58" s="28" t="n">
        <x:v>0</x:v>
      </x:c>
      <x:c r="O58" s="28" t="n">
        <x:v>0</x:v>
      </x:c>
      <x:c r="P58" s="62" t="n">
        <x:v>0</x:v>
      </x:c>
      <x:c r="Q58" s="22" t="n">
        <x:v>0</x:v>
      </x:c>
      <x:c r="R58" s="22" t="str"/>
      <x:c r="S58" s="22" t="str"/>
      <x:c r="T58" s="22" t="str"/>
    </x:row>
    <x:row r="59">
      <x:c r="A59" s="22" t="str">
        <x:v>2022-00064</x:v>
      </x:c>
      <x:c r="B59" s="22" t="str">
        <x:v>L2024-00072-1</x:v>
      </x:c>
      <x:c r="C59" s="22" t="str">
        <x:v>용역</x:v>
      </x:c>
      <x:c r="D59" s="25" t="str">
        <x:v>우간다 마케레레 대학 원격교육센터 설계 및 감리용역 입찰</x:v>
      </x:c>
      <x:c r="E59" s="22" t="n">
        <x:v>0</x:v>
      </x:c>
      <x:c r="F59" s="22" t="str">
        <x:v>.zip</x:v>
      </x:c>
      <x:c r="G59" s="25" t="str">
        <x:v>L2024-00072-1/2. 입찰문서 각 1부 우간다 마케레레/Section 9 - Pledges.zip</x:v>
      </x:c>
      <x:c r="H59" s="28" t="n">
        <x:v>69143</x:v>
      </x:c>
      <x:c r="I59" s="22" t="str">
        <x:v>c68e53944a8f0afc1892995c1597fc45de6bfe319f29975a6981e05379561cfa</x:v>
      </x:c>
      <x:c r="J59" s="22" t="n">
        <x:v>0</x:v>
      </x:c>
      <x:c r="K59" s="22" t="n">
        <x:v>0</x:v>
      </x:c>
      <x:c r="L59" s="22" t="n">
        <x:v>0</x:v>
      </x:c>
      <x:c r="M59" s="28" t="n">
        <x:v>0</x:v>
      </x:c>
      <x:c r="N59" s="28" t="n">
        <x:v>0</x:v>
      </x:c>
      <x:c r="O59" s="28" t="n">
        <x:v>0</x:v>
      </x:c>
      <x:c r="P59" s="62" t="n">
        <x:v>0</x:v>
      </x:c>
      <x:c r="Q59" s="22" t="n">
        <x:v>0</x:v>
      </x:c>
      <x:c r="R59" s="22" t="str"/>
      <x:c r="S59" s="22" t="str"/>
      <x:c r="T59" s="22" t="str"/>
    </x:row>
    <x:row r="60">
      <x:c r="A60" s="22" t="str">
        <x:v>2022-00064</x:v>
      </x:c>
      <x:c r="B60" s="22" t="str">
        <x:v>L2024-00072-1</x:v>
      </x:c>
      <x:c r="C60" s="22" t="str">
        <x:v>용역</x:v>
      </x:c>
      <x:c r="D60" s="25" t="str">
        <x:v>우간다 마케레레 대학 원격교육센터 설계 및 감리용역 입찰</x:v>
      </x:c>
      <x:c r="E60" s="22" t="n">
        <x:v>0</x:v>
      </x:c>
      <x:c r="F60" s="22" t="str">
        <x:v>.docx</x:v>
      </x:c>
      <x:c r="G60" s="25" t="str">
        <x:v>L2024-00072-1/2. 입찰문서 각 1부 우간다 마케레레/Section 8 - Contract Forms.docx</x:v>
      </x:c>
      <x:c r="H60" s="28" t="n">
        <x:v>22992</x:v>
      </x:c>
      <x:c r="I60" s="22" t="str">
        <x:v>aae21e0364d411b003ec863f9587fb5bd419cae961c5c76762dcf0190ad3ff86</x:v>
      </x:c>
      <x:c r="J60" s="22" t="n">
        <x:v>0</x:v>
      </x:c>
      <x:c r="K60" s="22" t="n">
        <x:v>0</x:v>
      </x:c>
      <x:c r="L60" s="22" t="n">
        <x:v>0</x:v>
      </x:c>
      <x:c r="M60" s="28" t="n">
        <x:v>0</x:v>
      </x:c>
      <x:c r="N60" s="28" t="n">
        <x:v>0</x:v>
      </x:c>
      <x:c r="O60" s="28" t="n">
        <x:v>0</x:v>
      </x:c>
      <x:c r="P60" s="62" t="n">
        <x:v>0</x:v>
      </x:c>
      <x:c r="Q60" s="22" t="n">
        <x:v>0</x:v>
      </x:c>
      <x:c r="R60" s="22" t="str"/>
      <x:c r="S60" s="22" t="str"/>
      <x:c r="T60" s="22" t="str"/>
    </x:row>
    <x:row r="61">
      <x:c r="A61" s="22" t="str">
        <x:v>2022-00064</x:v>
      </x:c>
      <x:c r="B61" s="22" t="str">
        <x:v>L2024-00072-1</x:v>
      </x:c>
      <x:c r="C61" s="22" t="str">
        <x:v>용역</x:v>
      </x:c>
      <x:c r="D61" s="25" t="str">
        <x:v>우간다 마케레레 대학 원격교육센터 설계 및 감리용역 입찰</x:v>
      </x:c>
      <x:c r="E61" s="22" t="n">
        <x:v>0</x:v>
      </x:c>
      <x:c r="F61" s="22" t="str">
        <x:v>.docx</x:v>
      </x:c>
      <x:c r="G61" s="25" t="str">
        <x:v>L2024-00072-1/2. 입찰문서 각 1부 우간다 마케레레/Section 4 - Request for Proposal.docx</x:v>
      </x:c>
      <x:c r="H61" s="28" t="n">
        <x:v>699094</x:v>
      </x:c>
      <x:c r="I61" s="22" t="str">
        <x:v>9902acab97d76a384f80dbe4e8d28d7e672f06ea4b176c657b379bb44ccd9d41</x:v>
      </x:c>
      <x:c r="J61" s="22" t="n">
        <x:v>0</x:v>
      </x:c>
      <x:c r="K61" s="22" t="n">
        <x:v>0</x:v>
      </x:c>
      <x:c r="L61" s="22" t="n">
        <x:v>0</x:v>
      </x:c>
      <x:c r="M61" s="28" t="n">
        <x:v>0</x:v>
      </x:c>
      <x:c r="N61" s="28" t="n">
        <x:v>0</x:v>
      </x:c>
      <x:c r="O61" s="28" t="n">
        <x:v>0</x:v>
      </x:c>
      <x:c r="P61" s="62" t="n">
        <x:v>0</x:v>
      </x:c>
      <x:c r="Q61" s="22" t="n">
        <x:v>0</x:v>
      </x:c>
      <x:c r="R61" s="22" t="str"/>
      <x:c r="S61" s="22" t="str"/>
      <x:c r="T61" s="22" t="str"/>
    </x:row>
    <x:row r="62">
      <x:c r="A62" s="22" t="str">
        <x:v>2022-00064</x:v>
      </x:c>
      <x:c r="B62" s="22" t="str">
        <x:v>L2024-00072-1</x:v>
      </x:c>
      <x:c r="C62" s="22" t="str">
        <x:v>용역</x:v>
      </x:c>
      <x:c r="D62" s="25" t="str">
        <x:v>우간다 마케레레 대학 원격교육센터 설계 및 감리용역 입찰</x:v>
      </x:c>
      <x:c r="E62" s="22" t="n">
        <x:v>0</x:v>
      </x:c>
      <x:c r="F62" s="22" t="str">
        <x:v>.zip</x:v>
      </x:c>
      <x:c r="G62" s="25" t="str">
        <x:v>L2024-00072-1/2. 입찰문서 각 1부 우간다 마케레레/Section 1 - Instructions to Bidders (ITB)_수정.zip</x:v>
      </x:c>
      <x:c r="H62" s="28" t="n">
        <x:v>216319</x:v>
      </x:c>
      <x:c r="I62" s="22" t="str">
        <x:v>11233da5e359ce592212699f6c499fb76b51eb57314e320bc488eddaa0c5dfe9</x:v>
      </x:c>
      <x:c r="J62" s="22" t="n">
        <x:v>0</x:v>
      </x:c>
      <x:c r="K62" s="22" t="n">
        <x:v>0</x:v>
      </x:c>
      <x:c r="L62" s="22" t="n">
        <x:v>0</x:v>
      </x:c>
      <x:c r="M62" s="28" t="n">
        <x:v>0</x:v>
      </x:c>
      <x:c r="N62" s="28" t="n">
        <x:v>0</x:v>
      </x:c>
      <x:c r="O62" s="28" t="n">
        <x:v>0</x:v>
      </x:c>
      <x:c r="P62" s="62" t="n">
        <x:v>0</x:v>
      </x:c>
      <x:c r="Q62" s="22" t="n">
        <x:v>0</x:v>
      </x:c>
      <x:c r="R62" s="22" t="str"/>
      <x:c r="S62" s="22" t="str"/>
      <x:c r="T62" s="22" t="str"/>
    </x:row>
    <x:row r="63">
      <x:c r="A63" s="22" t="str">
        <x:v>2022-00064</x:v>
      </x:c>
      <x:c r="B63" s="22" t="str">
        <x:v>L2024-00072-1</x:v>
      </x:c>
      <x:c r="C63" s="22" t="str">
        <x:v>용역</x:v>
      </x:c>
      <x:c r="D63" s="25" t="str">
        <x:v>우간다 마케레레 대학 원격교육센터 설계 및 감리용역 입찰</x:v>
      </x:c>
      <x:c r="E63" s="22" t="n">
        <x:v>0</x:v>
      </x:c>
      <x:c r="F63" s="22" t="str">
        <x:v>.hwp</x:v>
      </x:c>
      <x:c r="G63" s="25" t="str">
        <x:v>L2024-00072-1/1. 국영문 입찰계획안 우간다 마케레레/Section 2 - (국문) 입찰공고문 (BDS)_20240930 최종.hwp</x:v>
      </x:c>
      <x:c r="H63" s="28" t="n">
        <x:v>69120</x:v>
      </x:c>
      <x:c r="I63" s="22" t="str">
        <x:v>ca5994c55657418c458832d14a2f6634b806b71a5762759202dbb40cb38e4147</x:v>
      </x:c>
      <x:c r="J63" s="22" t="n">
        <x:v>0</x:v>
      </x:c>
      <x:c r="K63" s="22" t="n">
        <x:v>0</x:v>
      </x:c>
      <x:c r="L63" s="22" t="n">
        <x:v>0</x:v>
      </x:c>
      <x:c r="M63" s="28" t="n">
        <x:v>0</x:v>
      </x:c>
      <x:c r="N63" s="28" t="n">
        <x:v>0</x:v>
      </x:c>
      <x:c r="O63" s="28" t="n">
        <x:v>0</x:v>
      </x:c>
      <x:c r="P63" s="62" t="n">
        <x:v>0</x:v>
      </x:c>
      <x:c r="Q63" s="22" t="n">
        <x:v>0</x:v>
      </x:c>
      <x:c r="R63" s="22" t="str"/>
      <x:c r="S63" s="22" t="str"/>
      <x:c r="T63" s="22" t="str"/>
    </x:row>
    <x:row r="64">
      <x:c r="A64" s="22" t="str">
        <x:v>2022-00064</x:v>
      </x:c>
      <x:c r="B64" s="22" t="str">
        <x:v>L2024-00072-1</x:v>
      </x:c>
      <x:c r="C64" s="22" t="str">
        <x:v>용역</x:v>
      </x:c>
      <x:c r="D64" s="25" t="str">
        <x:v>우간다 마케레레 대학 원격교육센터 설계 및 감리용역 입찰</x:v>
      </x:c>
      <x:c r="E64" s="22" t="n">
        <x:v>0</x:v>
      </x:c>
      <x:c r="F64" s="22" t="str">
        <x:v>.docx</x:v>
      </x:c>
      <x:c r="G64" s="25" t="str">
        <x:v>L2024-00072-1/1. 국영문 입찰계획안 우간다 마케레레/Section 2 - Bid Data Sheet (BDS)_20240930_CM검토.docx</x:v>
      </x:c>
      <x:c r="H64" s="28" t="n">
        <x:v>52249</x:v>
      </x:c>
      <x:c r="I64" s="22" t="str">
        <x:v>825a95f1ee810d47999e0210fc099912d43efe965a339e17e948bf40021a746f</x:v>
      </x:c>
      <x:c r="J64" s="22" t="n">
        <x:v>0</x:v>
      </x:c>
      <x:c r="K64" s="22" t="n">
        <x:v>0</x:v>
      </x:c>
      <x:c r="L64" s="22" t="n">
        <x:v>0</x:v>
      </x:c>
      <x:c r="M64" s="28" t="n">
        <x:v>0</x:v>
      </x:c>
      <x:c r="N64" s="28" t="n">
        <x:v>0</x:v>
      </x:c>
      <x:c r="O64" s="28" t="n">
        <x:v>0</x:v>
      </x:c>
      <x:c r="P64" s="62" t="n">
        <x:v>0</x:v>
      </x:c>
      <x:c r="Q64" s="22" t="n">
        <x:v>0</x:v>
      </x:c>
      <x:c r="R64" s="22" t="str"/>
      <x:c r="S64" s="22" t="str"/>
      <x:c r="T64" s="22" t="str"/>
    </x:row>
    <x:row r="65">
      <x:c r="A65" s="22" t="str">
        <x:v>2022-00064</x:v>
      </x:c>
      <x:c r="B65" s="22" t="str">
        <x:v>L2024-00072-1</x:v>
      </x:c>
      <x:c r="C65" s="22" t="str">
        <x:v>용역</x:v>
      </x:c>
      <x:c r="D65" s="25" t="str">
        <x:v>우간다 마케레레 대학 원격교육센터 설계 및 감리용역 입찰</x:v>
      </x:c>
      <x:c r="E65" s="22" t="n">
        <x:v>0</x:v>
      </x:c>
      <x:c r="F65" s="22" t="str">
        <x:v>.docx</x:v>
      </x:c>
      <x:c r="G65" s="25" t="str">
        <x:v>L2024-00072-1/2. 입찰문서 각 1부 우간다 마케레레/Section 5 - Reference Documents/Section 5 - Construction Supervision Forms.docx</x:v>
      </x:c>
      <x:c r="H65" s="28" t="n">
        <x:v>21655</x:v>
      </x:c>
      <x:c r="I65" s="22" t="str">
        <x:v>6faffa7eea1b98283c98661c3d3929bc4a00e93b2a2dcb33ff3180dcdef6c55b</x:v>
      </x:c>
      <x:c r="J65" s="22" t="n">
        <x:v>0</x:v>
      </x:c>
      <x:c r="K65" s="22" t="n">
        <x:v>0</x:v>
      </x:c>
      <x:c r="L65" s="22" t="n">
        <x:v>0</x:v>
      </x:c>
      <x:c r="M65" s="28" t="n">
        <x:v>0</x:v>
      </x:c>
      <x:c r="N65" s="28" t="n">
        <x:v>0</x:v>
      </x:c>
      <x:c r="O65" s="28" t="n">
        <x:v>0</x:v>
      </x:c>
      <x:c r="P65" s="62" t="n">
        <x:v>0</x:v>
      </x:c>
      <x:c r="Q65" s="22" t="n">
        <x:v>0</x:v>
      </x:c>
      <x:c r="R65" s="22" t="str"/>
      <x:c r="S65" s="22" t="str"/>
      <x:c r="T65" s="22" t="str"/>
    </x:row>
    <x:row r="66">
      <x:c r="A66" s="22" t="str">
        <x:v>2022-00064</x:v>
      </x:c>
      <x:c r="B66" s="22" t="str">
        <x:v>L2024-00072-1</x:v>
      </x:c>
      <x:c r="C66" s="22" t="str">
        <x:v>용역</x:v>
      </x:c>
      <x:c r="D66" s="25" t="str">
        <x:v>우간다 마케레레 대학 원격교육센터 설계 및 감리용역 입찰</x:v>
      </x:c>
      <x:c r="E66" s="22" t="n">
        <x:v>0</x:v>
      </x:c>
      <x:c r="F66" s="22" t="str">
        <x:v>.docx</x:v>
      </x:c>
      <x:c r="G66" s="25" t="str">
        <x:v>L2024-00072-1/2. 입찰문서 각 1부 우간다 마케레레/Section 9 - Pledges/Integrity Pledge (청렴계약서).docx</x:v>
      </x:c>
      <x:c r="H66" s="28" t="n">
        <x:v>36507</x:v>
      </x:c>
      <x:c r="I66" s="22" t="str">
        <x:v>bbf88b1bc23c5ed931639e65f36d47df7d7fbdb8447562024b0cf9f04ec6d6b6</x:v>
      </x:c>
      <x:c r="J66" s="22" t="n">
        <x:v>0</x:v>
      </x:c>
      <x:c r="K66" s="22" t="n">
        <x:v>0</x:v>
      </x:c>
      <x:c r="L66" s="22" t="n">
        <x:v>0</x:v>
      </x:c>
      <x:c r="M66" s="28" t="n">
        <x:v>0</x:v>
      </x:c>
      <x:c r="N66" s="28" t="n">
        <x:v>0</x:v>
      </x:c>
      <x:c r="O66" s="28" t="n">
        <x:v>0</x:v>
      </x:c>
      <x:c r="P66" s="62" t="n">
        <x:v>0</x:v>
      </x:c>
      <x:c r="Q66" s="22" t="n">
        <x:v>0</x:v>
      </x:c>
      <x:c r="R66" s="22" t="str"/>
      <x:c r="S66" s="22" t="str"/>
      <x:c r="T66" s="22" t="str"/>
    </x:row>
    <x:row r="67">
      <x:c r="A67" s="22" t="str">
        <x:v>2022-00064</x:v>
      </x:c>
      <x:c r="B67" s="22" t="str">
        <x:v>L2024-00072-1</x:v>
      </x:c>
      <x:c r="C67" s="22" t="str">
        <x:v>용역</x:v>
      </x:c>
      <x:c r="D67" s="25" t="str">
        <x:v>우간다 마케레레 대학 원격교육센터 설계 및 감리용역 입찰</x:v>
      </x:c>
      <x:c r="E67" s="22" t="n">
        <x:v>0</x:v>
      </x:c>
      <x:c r="F67" s="22" t="str">
        <x:v>.docx</x:v>
      </x:c>
      <x:c r="G67" s="25" t="str">
        <x:v>L2024-00072-1/2. 입찰문서 각 1부 우간다 마케레레/Section 9 - Pledges/Fair Contract Pledge Letter (공정계약 서약서).docx</x:v>
      </x:c>
      <x:c r="H67" s="28" t="n">
        <x:v>18756</x:v>
      </x:c>
      <x:c r="I67" s="22" t="str">
        <x:v>379cc784a159e5c15ba0045a32dd793d03827ad46a1e4a966b9810ad99102277</x:v>
      </x:c>
      <x:c r="J67" s="22" t="n">
        <x:v>0</x:v>
      </x:c>
      <x:c r="K67" s="22" t="n">
        <x:v>0</x:v>
      </x:c>
      <x:c r="L67" s="22" t="n">
        <x:v>0</x:v>
      </x:c>
      <x:c r="M67" s="28" t="n">
        <x:v>0</x:v>
      </x:c>
      <x:c r="N67" s="28" t="n">
        <x:v>0</x:v>
      </x:c>
      <x:c r="O67" s="28" t="n">
        <x:v>0</x:v>
      </x:c>
      <x:c r="P67" s="62" t="n">
        <x:v>0</x:v>
      </x:c>
      <x:c r="Q67" s="22" t="n">
        <x:v>0</x:v>
      </x:c>
      <x:c r="R67" s="22" t="str"/>
      <x:c r="S67" s="22" t="str"/>
      <x:c r="T67" s="22" t="str"/>
    </x:row>
    <x:row r="68">
      <x:c r="A68" s="22" t="str">
        <x:v>2022-00064</x:v>
      </x:c>
      <x:c r="B68" s="22" t="str">
        <x:v>L2024-00072-1</x:v>
      </x:c>
      <x:c r="C68" s="22" t="str">
        <x:v>용역</x:v>
      </x:c>
      <x:c r="D68" s="25" t="str">
        <x:v>우간다 마케레레 대학 원격교육센터 설계 및 감리용역 입찰</x:v>
      </x:c>
      <x:c r="E68" s="22" t="n">
        <x:v>0</x:v>
      </x:c>
      <x:c r="F68" s="22" t="str">
        <x:v>.docx</x:v>
      </x:c>
      <x:c r="G68" s="25" t="str">
        <x:v>L2024-00072-1/2. 입찰문서 각 1부 우간다 마케레레/Section 9 - Pledges/Declaration of Anti_Corruption (반부패 선언서).docx</x:v>
      </x:c>
      <x:c r="H68" s="28" t="n">
        <x:v>23026</x:v>
      </x:c>
      <x:c r="I68" s="22" t="str">
        <x:v>81e22a438491f4d1b5a12be15e95b5278073d1be929b00b0cd4fe23da8b9d496</x:v>
      </x:c>
      <x:c r="J68" s="22" t="n">
        <x:v>0</x:v>
      </x:c>
      <x:c r="K68" s="22" t="n">
        <x:v>0</x:v>
      </x:c>
      <x:c r="L68" s="22" t="n">
        <x:v>0</x:v>
      </x:c>
      <x:c r="M68" s="28" t="n">
        <x:v>0</x:v>
      </x:c>
      <x:c r="N68" s="28" t="n">
        <x:v>0</x:v>
      </x:c>
      <x:c r="O68" s="28" t="n">
        <x:v>0</x:v>
      </x:c>
      <x:c r="P68" s="62" t="n">
        <x:v>0</x:v>
      </x:c>
      <x:c r="Q68" s="22" t="n">
        <x:v>0</x:v>
      </x:c>
      <x:c r="R68" s="22" t="str"/>
      <x:c r="S68" s="22" t="str"/>
      <x:c r="T68" s="22" t="str"/>
    </x:row>
    <x:row r="69">
      <x:c r="A69" s="22" t="str">
        <x:v>2022-00064</x:v>
      </x:c>
      <x:c r="B69" s="22" t="str">
        <x:v>L2024-00072-1</x:v>
      </x:c>
      <x:c r="C69" s="22" t="str">
        <x:v>용역</x:v>
      </x:c>
      <x:c r="D69" s="25" t="str">
        <x:v>우간다 마케레레 대학 원격교육센터 설계 및 감리용역 입찰</x:v>
      </x:c>
      <x:c r="E69" s="22" t="n">
        <x:v>0</x:v>
      </x:c>
      <x:c r="F69" s="22" t="str">
        <x:v>.hwp</x:v>
      </x:c>
      <x:c r="G69" s="25" t="str">
        <x:v>L2024-00072-1/2. 입찰문서 각 1부 우간다 마케레레/Section 1 - Instructions to Bidders (ITB)_수정/Section 1 - Instructions to Bidders (ITB)_수정.hwp</x:v>
      </x:c>
      <x:c r="H69" s="28" t="n">
        <x:v>168448</x:v>
      </x:c>
      <x:c r="I69" s="22" t="str">
        <x:v>66c44d5b34cd4bade85de8cda544a7f534cfac5022bcf25bb3755d6680315e9a</x:v>
      </x:c>
      <x:c r="J69" s="22" t="n">
        <x:v>0</x:v>
      </x:c>
      <x:c r="K69" s="22" t="n">
        <x:v>0</x:v>
      </x:c>
      <x:c r="L69" s="22" t="n">
        <x:v>0</x:v>
      </x:c>
      <x:c r="M69" s="28" t="n">
        <x:v>0</x:v>
      </x:c>
      <x:c r="N69" s="28" t="n">
        <x:v>0</x:v>
      </x:c>
      <x:c r="O69" s="28" t="n">
        <x:v>0</x:v>
      </x:c>
      <x:c r="P69" s="62" t="n">
        <x:v>0</x:v>
      </x:c>
      <x:c r="Q69" s="22" t="n">
        <x:v>0</x:v>
      </x:c>
      <x:c r="R69" s="22" t="str"/>
      <x:c r="S69" s="22" t="str"/>
      <x:c r="T69" s="22" t="str"/>
    </x:row>
    <x:row r="70">
      <x:c r="A70" s="22" t="str">
        <x:v>2022-00064</x:v>
      </x:c>
      <x:c r="B70" s="22" t="str">
        <x:v>L2024-00072-1</x:v>
      </x:c>
      <x:c r="C70" s="22" t="str">
        <x:v>용역</x:v>
      </x:c>
      <x:c r="D70" s="25" t="str">
        <x:v>우간다 마케레레 대학 원격교육센터 설계 및 감리용역 입찰</x:v>
      </x:c>
      <x:c r="E70" s="22" t="n">
        <x:v>0</x:v>
      </x:c>
      <x:c r="F70" s="22" t="str">
        <x:v>.hwp</x:v>
      </x:c>
      <x:c r="G70" s="25" t="str">
        <x:v>L2024-00072-1/2. 입찰문서 각 1부 우간다 마케레레/Section 1 - Instructions to Bidders (ITB)_수정/Section 1 - 국제입찰유의서 (ITB).hwp</x:v>
      </x:c>
      <x:c r="H70" s="28" t="n">
        <x:v>92672</x:v>
      </x:c>
      <x:c r="I70" s="22" t="str">
        <x:v>30c8d093217b1908eadd23ff85989ab13790b4f29f255670b5c4478dcb302c5a</x:v>
      </x:c>
      <x:c r="J70" s="22" t="n">
        <x:v>0</x:v>
      </x:c>
      <x:c r="K70" s="22" t="n">
        <x:v>0</x:v>
      </x:c>
      <x:c r="L70" s="22" t="n">
        <x:v>0</x:v>
      </x:c>
      <x:c r="M70" s="28" t="n">
        <x:v>0</x:v>
      </x:c>
      <x:c r="N70" s="28" t="n">
        <x:v>0</x:v>
      </x:c>
      <x:c r="O70" s="28" t="n">
        <x:v>0</x:v>
      </x:c>
      <x:c r="P70" s="62" t="n">
        <x:v>0</x:v>
      </x:c>
      <x:c r="Q70" s="22" t="n">
        <x:v>0</x:v>
      </x:c>
      <x:c r="R70" s="22" t="str"/>
      <x:c r="S70" s="22" t="str"/>
      <x:c r="T70" s="22" t="str"/>
    </x:row>
    <x:row r="71">
      <x:c r="A71" s="22" t="str">
        <x:v>2022-00064</x:v>
      </x:c>
      <x:c r="B71" s="22" t="str">
        <x:v>L2025-00084-1</x:v>
      </x:c>
      <x:c r="C71" s="22" t="str">
        <x:v>공사</x:v>
      </x:c>
      <x:c r="D71" s="25" t="str">
        <x:v>우간다 마케레레 대학 원격교육 조성사업 신축 공사</x:v>
      </x:c>
      <x:c r="E71" s="22" t="n">
        <x:v>1</x:v>
      </x:c>
      <x:c r="F71" s="22" t="str">
        <x:v>.docx</x:v>
      </x:c>
      <x:c r="G71" s="25" t="str">
        <x:v>L2025-00084-1/Section 2 - Bid Data Sheet (EN)_vr8.docx</x:v>
      </x:c>
      <x:c r="H71" s="28" t="n">
        <x:v>71214</x:v>
      </x:c>
      <x:c r="I71" s="22" t="str">
        <x:v>917a10f5c6e73781f0075c4e173e1772e794f8869f9f64ccf8739ddc1950b2f6</x:v>
      </x:c>
      <x:c r="J71" s="22" t="n">
        <x:v>0</x:v>
      </x:c>
      <x:c r="K71" s="22" t="n">
        <x:v>0</x:v>
      </x:c>
      <x:c r="L71" s="22" t="n">
        <x:v>0</x:v>
      </x:c>
      <x:c r="M71" s="28" t="n">
        <x:v>0</x:v>
      </x:c>
      <x:c r="N71" s="28" t="n">
        <x:v>0</x:v>
      </x:c>
      <x:c r="O71" s="28" t="n">
        <x:v>0</x:v>
      </x:c>
      <x:c r="P71" s="62" t="n">
        <x:v>0</x:v>
      </x:c>
      <x:c r="Q71" s="22" t="n">
        <x:v>0</x:v>
      </x:c>
      <x:c r="R71" s="22" t="str"/>
      <x:c r="S71" s="22" t="str"/>
      <x:c r="T71" s="22" t="str"/>
    </x:row>
    <x:row r="72">
      <x:c r="A72" s="22" t="str">
        <x:v>2021-00085</x:v>
      </x:c>
      <x:c r="B72" s="22" t="str">
        <x:v>L2023-00065-1</x:v>
      </x:c>
      <x:c r="C72" s="22" t="str">
        <x:v>용역</x:v>
      </x:c>
      <x:c r="D72" s="25" t="str">
        <x:v>(긴급) 우즈베키스탄 유아 교육 복합센터 신축공사 시공감리 용역업체 선정</x:v>
      </x:c>
      <x:c r="E72" s="22" t="n">
        <x:v>0</x:v>
      </x:c>
      <x:c r="F72" s="22" t="str">
        <x:v>.zip</x:v>
      </x:c>
      <x:c r="G72" s="25" t="str">
        <x:v>L2023-00065-1/(attached) Pre_school_Education_Complex_Constsruction_Supervision_Contractor.zip</x:v>
      </x:c>
      <x:c r="H72" s="28" t="n">
        <x:v>369842</x:v>
      </x:c>
      <x:c r="I72" s="22" t="str">
        <x:v>e5822262e8dc8b5ab61b96a204798d1ef41f0e6b9a8d791dab1bbe789c31f6ce</x:v>
      </x:c>
      <x:c r="J72" s="22" t="n">
        <x:v>0</x:v>
      </x:c>
      <x:c r="K72" s="22" t="n">
        <x:v>0</x:v>
      </x:c>
      <x:c r="L72" s="22" t="n">
        <x:v>0</x:v>
      </x:c>
      <x:c r="M72" s="28" t="n">
        <x:v>0</x:v>
      </x:c>
      <x:c r="N72" s="28" t="n">
        <x:v>0</x:v>
      </x:c>
      <x:c r="O72" s="28" t="n">
        <x:v>0</x:v>
      </x:c>
      <x:c r="P72" s="62" t="n">
        <x:v>0</x:v>
      </x:c>
      <x:c r="Q72" s="22" t="n">
        <x:v>0</x:v>
      </x:c>
      <x:c r="R72" s="22" t="str"/>
      <x:c r="S72" s="22" t="str"/>
      <x:c r="T72" s="22" t="str"/>
    </x:row>
    <x:row r="73">
      <x:c r="A73" s="22" t="str">
        <x:v>2021-00085</x:v>
      </x:c>
      <x:c r="B73" s="22" t="str">
        <x:v>L2023-00065-1</x:v>
      </x:c>
      <x:c r="C73" s="22" t="str">
        <x:v>용역</x:v>
      </x:c>
      <x:c r="D73" s="25" t="str">
        <x:v>(긴급) 우즈베키스탄 유아 교육 복합센터 신축공사 시공감리 용역업체 선정</x:v>
      </x:c>
      <x:c r="E73" s="22" t="n">
        <x:v>0</x:v>
      </x:c>
      <x:c r="F73" s="22" t="str">
        <x:v>.docx</x:v>
      </x:c>
      <x:c r="G73" s="25" t="str">
        <x:v>L2023-00065-1/BID_Announcement_Daily_News_of_Korean_Residents.docx</x:v>
      </x:c>
      <x:c r="H73" s="28" t="n">
        <x:v>33976</x:v>
      </x:c>
      <x:c r="I73" s="22" t="str">
        <x:v>742227f4862f395197c697a248e80ca570552d96a0e2ee6fe48cead5df638532</x:v>
      </x:c>
      <x:c r="J73" s="22" t="n">
        <x:v>0</x:v>
      </x:c>
      <x:c r="K73" s="22" t="n">
        <x:v>0</x:v>
      </x:c>
      <x:c r="L73" s="22" t="n">
        <x:v>0</x:v>
      </x:c>
      <x:c r="M73" s="28" t="n">
        <x:v>0</x:v>
      </x:c>
      <x:c r="N73" s="28" t="n">
        <x:v>0</x:v>
      </x:c>
      <x:c r="O73" s="28" t="n">
        <x:v>0</x:v>
      </x:c>
      <x:c r="P73" s="62" t="n">
        <x:v>0</x:v>
      </x:c>
      <x:c r="Q73" s="22" t="n">
        <x:v>0</x:v>
      </x:c>
      <x:c r="R73" s="22" t="str"/>
      <x:c r="S73" s="22" t="str"/>
      <x:c r="T73" s="22" t="str"/>
    </x:row>
    <x:row r="74">
      <x:c r="A74" s="22" t="str">
        <x:v>2021-00085</x:v>
      </x:c>
      <x:c r="B74" s="22" t="str">
        <x:v>L2023-00065-1</x:v>
      </x:c>
      <x:c r="C74" s="22" t="str">
        <x:v>용역</x:v>
      </x:c>
      <x:c r="D74" s="25" t="str">
        <x:v>(긴급) 우즈베키스탄 유아 교육 복합센터 신축공사 시공감리 용역업체 선정</x:v>
      </x:c>
      <x:c r="E74" s="22" t="n">
        <x:v>0</x:v>
      </x:c>
      <x:c r="F74" s="22" t="str">
        <x:v>.docx</x:v>
      </x:c>
      <x:c r="G74" s="25" t="str">
        <x:v>L2023-00065-1/Letter of Interest.docx</x:v>
      </x:c>
      <x:c r="H74" s="28" t="n">
        <x:v>18338</x:v>
      </x:c>
      <x:c r="I74" s="22" t="str">
        <x:v>352a3c1c2490b68e22cd9b409b6bf31e1858731ebc1912e7b65d868c812d4d54</x:v>
      </x:c>
      <x:c r="J74" s="22" t="n">
        <x:v>0</x:v>
      </x:c>
      <x:c r="K74" s="22" t="n">
        <x:v>0</x:v>
      </x:c>
      <x:c r="L74" s="22" t="n">
        <x:v>0</x:v>
      </x:c>
      <x:c r="M74" s="28" t="n">
        <x:v>0</x:v>
      </x:c>
      <x:c r="N74" s="28" t="n">
        <x:v>0</x:v>
      </x:c>
      <x:c r="O74" s="28" t="n">
        <x:v>0</x:v>
      </x:c>
      <x:c r="P74" s="62" t="n">
        <x:v>0</x:v>
      </x:c>
      <x:c r="Q74" s="22" t="n">
        <x:v>0</x:v>
      </x:c>
      <x:c r="R74" s="22" t="str"/>
      <x:c r="S74" s="22" t="str"/>
      <x:c r="T74" s="22" t="str"/>
    </x:row>
    <x:row r="75">
      <x:c r="A75" s="22" t="str">
        <x:v>2021-00085</x:v>
      </x:c>
      <x:c r="B75" s="22" t="str">
        <x:v>L2023-00065-1</x:v>
      </x:c>
      <x:c r="C75" s="22" t="str">
        <x:v>용역</x:v>
      </x:c>
      <x:c r="D75" s="25" t="str">
        <x:v>(긴급) 우즈베키스탄 유아 교육 복합센터 신축공사 시공감리 용역업체 선정</x:v>
      </x:c>
      <x:c r="E75" s="22" t="n">
        <x:v>0</x:v>
      </x:c>
      <x:c r="F75" s="22" t="str">
        <x:v>.docx</x:v>
      </x:c>
      <x:c r="G75" s="25" t="str">
        <x:v>L2023-00065-1/BID Announcement (English).docx</x:v>
      </x:c>
      <x:c r="H75" s="28" t="n">
        <x:v>102142</x:v>
      </x:c>
      <x:c r="I75" s="22" t="str">
        <x:v>b276290312ff05178a9468ab34d55f36df00d9833bc14daf2f1ff2573967ef03</x:v>
      </x:c>
      <x:c r="J75" s="22" t="n">
        <x:v>0</x:v>
      </x:c>
      <x:c r="K75" s="22" t="n">
        <x:v>0</x:v>
      </x:c>
      <x:c r="L75" s="22" t="n">
        <x:v>0</x:v>
      </x:c>
      <x:c r="M75" s="28" t="n">
        <x:v>0</x:v>
      </x:c>
      <x:c r="N75" s="28" t="n">
        <x:v>0</x:v>
      </x:c>
      <x:c r="O75" s="28" t="n">
        <x:v>0</x:v>
      </x:c>
      <x:c r="P75" s="62" t="n">
        <x:v>0</x:v>
      </x:c>
      <x:c r="Q75" s="22" t="n">
        <x:v>0</x:v>
      </x:c>
      <x:c r="R75" s="22" t="str"/>
      <x:c r="S75" s="22" t="str"/>
      <x:c r="T75" s="22" t="str"/>
    </x:row>
    <x:row r="76">
      <x:c r="A76" s="22" t="str">
        <x:v>2021-00085</x:v>
      </x:c>
      <x:c r="B76" s="22" t="str">
        <x:v>L2023-00065-1</x:v>
      </x:c>
      <x:c r="C76" s="22" t="str">
        <x:v>용역</x:v>
      </x:c>
      <x:c r="D76" s="25" t="str">
        <x:v>(긴급) 우즈베키스탄 유아 교육 복합센터 신축공사 시공감리 용역업체 선정</x:v>
      </x:c>
      <x:c r="E76" s="22" t="n">
        <x:v>0</x:v>
      </x:c>
      <x:c r="F76" s="22" t="str">
        <x:v>.pptx</x:v>
      </x:c>
      <x:c r="G76" s="25" t="str">
        <x:v>L2023-00065-1/Pre-Bid Explaination Meeting PPT.pptx</x:v>
      </x:c>
      <x:c r="H76" s="28" t="n">
        <x:v>2996234</x:v>
      </x:c>
      <x:c r="I76" s="22" t="str">
        <x:v>8b1c3b58ff68352e25f3d755318a12fc35d6261014f5cfafb742ef1a8f0e657d</x:v>
      </x:c>
      <x:c r="J76" s="22" t="n">
        <x:v>0</x:v>
      </x:c>
      <x:c r="K76" s="22" t="n">
        <x:v>0</x:v>
      </x:c>
      <x:c r="L76" s="22" t="n">
        <x:v>0</x:v>
      </x:c>
      <x:c r="M76" s="28" t="n">
        <x:v>0</x:v>
      </x:c>
      <x:c r="N76" s="28" t="n">
        <x:v>0</x:v>
      </x:c>
      <x:c r="O76" s="28" t="n">
        <x:v>0</x:v>
      </x:c>
      <x:c r="P76" s="62" t="n">
        <x:v>0</x:v>
      </x:c>
      <x:c r="Q76" s="22" t="n">
        <x:v>0</x:v>
      </x:c>
      <x:c r="R76" s="22" t="str"/>
      <x:c r="S76" s="22" t="str"/>
      <x:c r="T76" s="22" t="str"/>
    </x:row>
    <x:row r="77">
      <x:c r="A77" s="22" t="str">
        <x:v>2021-00085</x:v>
      </x:c>
      <x:c r="B77" s="22" t="str">
        <x:v>L2023-00065-1</x:v>
      </x:c>
      <x:c r="C77" s="22" t="str">
        <x:v>용역</x:v>
      </x:c>
      <x:c r="D77" s="25" t="str">
        <x:v>(긴급) 우즈베키스탄 유아 교육 복합센터 신축공사 시공감리 용역업체 선정</x:v>
      </x:c>
      <x:c r="E77" s="22" t="n">
        <x:v>0</x:v>
      </x:c>
      <x:c r="F77" s="22" t="str">
        <x:v>.docx</x:v>
      </x:c>
      <x:c r="G77" s="25" t="str">
        <x:v>L2023-00065-1/(attached) Pre_school_Education_Complex_Constsruction_Supervision_Contractor/Section 2 - Bid Data Sheet (BDS).docx</x:v>
      </x:c>
      <x:c r="H77" s="28" t="n">
        <x:v>82932</x:v>
      </x:c>
      <x:c r="I77" s="22" t="str">
        <x:v>32f0b2b5e45028fd60b4cac46c20efd9074dd50a5bd0e00fc16b1ff165f398bd</x:v>
      </x:c>
      <x:c r="J77" s="22" t="n">
        <x:v>0</x:v>
      </x:c>
      <x:c r="K77" s="22" t="n">
        <x:v>0</x:v>
      </x:c>
      <x:c r="L77" s="22" t="n">
        <x:v>0</x:v>
      </x:c>
      <x:c r="M77" s="28" t="n">
        <x:v>0</x:v>
      </x:c>
      <x:c r="N77" s="28" t="n">
        <x:v>0</x:v>
      </x:c>
      <x:c r="O77" s="28" t="n">
        <x:v>0</x:v>
      </x:c>
      <x:c r="P77" s="62" t="n">
        <x:v>0</x:v>
      </x:c>
      <x:c r="Q77" s="22" t="n">
        <x:v>0</x:v>
      </x:c>
      <x:c r="R77" s="22" t="str"/>
      <x:c r="S77" s="22" t="str"/>
      <x:c r="T77" s="22" t="str"/>
    </x:row>
    <x:row r="78">
      <x:c r="A78" s="22" t="str">
        <x:v>2021-00085</x:v>
      </x:c>
      <x:c r="B78" s="22" t="str">
        <x:v>L2023-00065-1</x:v>
      </x:c>
      <x:c r="C78" s="22" t="str">
        <x:v>용역</x:v>
      </x:c>
      <x:c r="D78" s="25" t="str">
        <x:v>(긴급) 우즈베키스탄 유아 교육 복합센터 신축공사 시공감리 용역업체 선정</x:v>
      </x:c>
      <x:c r="E78" s="22" t="n">
        <x:v>0</x:v>
      </x:c>
      <x:c r="F78" s="22" t="str">
        <x:v>.rtf</x:v>
      </x:c>
      <x:c r="G78" s="25" t="str">
        <x:v>L2023-00065-1/(attached) Pre_school_Education_Complex_Constsruction_Supervision_Contractor/Section 7 – GCC (General Conditions of Contract).rtf</x:v>
      </x:c>
      <x:c r="H78" s="28" t="n">
        <x:v>195109</x:v>
      </x:c>
      <x:c r="I78" s="22" t="str">
        <x:v>924a4c076cd51220a673202b4aaedd410d7d1c00939c67dc6978a6a15059eee0</x:v>
      </x:c>
      <x:c r="J78" s="22" t="n">
        <x:v>0</x:v>
      </x:c>
      <x:c r="K78" s="22" t="n">
        <x:v>0</x:v>
      </x:c>
      <x:c r="L78" s="22" t="n">
        <x:v>0</x:v>
      </x:c>
      <x:c r="M78" s="28" t="n">
        <x:v>0</x:v>
      </x:c>
      <x:c r="N78" s="28" t="n">
        <x:v>0</x:v>
      </x:c>
      <x:c r="O78" s="28" t="n">
        <x:v>0</x:v>
      </x:c>
      <x:c r="P78" s="62" t="n">
        <x:v>0</x:v>
      </x:c>
      <x:c r="Q78" s="22" t="n">
        <x:v>0</x:v>
      </x:c>
      <x:c r="R78" s="22" t="str"/>
      <x:c r="S78" s="22" t="str"/>
      <x:c r="T78" s="22" t="str"/>
    </x:row>
    <x:row r="79">
      <x:c r="A79" s="22" t="str">
        <x:v>2021-00085</x:v>
      </x:c>
      <x:c r="B79" s="22" t="str">
        <x:v>L2023-00065-1</x:v>
      </x:c>
      <x:c r="C79" s="22" t="str">
        <x:v>용역</x:v>
      </x:c>
      <x:c r="D79" s="25" t="str">
        <x:v>(긴급) 우즈베키스탄 유아 교육 복합센터 신축공사 시공감리 용역업체 선정</x:v>
      </x:c>
      <x:c r="E79" s="22" t="n">
        <x:v>0</x:v>
      </x:c>
      <x:c r="F79" s="22" t="str">
        <x:v>.rtf</x:v>
      </x:c>
      <x:c r="G79" s="25" t="str">
        <x:v>L2023-00065-1/(attached) Pre_school_Education_Complex_Constsruction_Supervision_Contractor/Section 1 – ITB (Instruction To the Bidders).rtf</x:v>
      </x:c>
      <x:c r="H79" s="28" t="n">
        <x:v>224132</x:v>
      </x:c>
      <x:c r="I79" s="22" t="str">
        <x:v>12d4ec75c918a96c3b9d583ac98ce8cd6740167773c2d72f1fa48fdba2c375be</x:v>
      </x:c>
      <x:c r="J79" s="22" t="n">
        <x:v>0</x:v>
      </x:c>
      <x:c r="K79" s="22" t="n">
        <x:v>0</x:v>
      </x:c>
      <x:c r="L79" s="22" t="n">
        <x:v>0</x:v>
      </x:c>
      <x:c r="M79" s="28" t="n">
        <x:v>0</x:v>
      </x:c>
      <x:c r="N79" s="28" t="n">
        <x:v>0</x:v>
      </x:c>
      <x:c r="O79" s="28" t="n">
        <x:v>0</x:v>
      </x:c>
      <x:c r="P79" s="62" t="n">
        <x:v>0</x:v>
      </x:c>
      <x:c r="Q79" s="22" t="n">
        <x:v>0</x:v>
      </x:c>
      <x:c r="R79" s="22" t="str"/>
      <x:c r="S79" s="22" t="str"/>
      <x:c r="T79" s="22" t="str"/>
    </x:row>
    <x:row r="80">
      <x:c r="A80" s="22" t="str">
        <x:v>2021-00085</x:v>
      </x:c>
      <x:c r="B80" s="22" t="str">
        <x:v>L2023-00065-1</x:v>
      </x:c>
      <x:c r="C80" s="22" t="str">
        <x:v>용역</x:v>
      </x:c>
      <x:c r="D80" s="25" t="str">
        <x:v>(긴급) 우즈베키스탄 유아 교육 복합센터 신축공사 시공감리 용역업체 선정</x:v>
      </x:c>
      <x:c r="E80" s="22" t="n">
        <x:v>0</x:v>
      </x:c>
      <x:c r="F80" s="22" t="str">
        <x:v>.docx</x:v>
      </x:c>
      <x:c r="G80" s="25" t="str">
        <x:v>L2023-00065-1/(attached) Pre_school_Education_Complex_Constsruction_Supervision_Contractor/Section 9 – Contract Form(Cover Sheet).docx</x:v>
      </x:c>
      <x:c r="H80" s="28" t="n">
        <x:v>24005</x:v>
      </x:c>
      <x:c r="I80" s="22" t="str">
        <x:v>5f070f399fdc784aca4c3834fe4c94a7df8bffa8500169c5f365d20c6377f6ac</x:v>
      </x:c>
      <x:c r="J80" s="22" t="n">
        <x:v>0</x:v>
      </x:c>
      <x:c r="K80" s="22" t="n">
        <x:v>0</x:v>
      </x:c>
      <x:c r="L80" s="22" t="n">
        <x:v>0</x:v>
      </x:c>
      <x:c r="M80" s="28" t="n">
        <x:v>0</x:v>
      </x:c>
      <x:c r="N80" s="28" t="n">
        <x:v>0</x:v>
      </x:c>
      <x:c r="O80" s="28" t="n">
        <x:v>0</x:v>
      </x:c>
      <x:c r="P80" s="62" t="n">
        <x:v>0</x:v>
      </x:c>
      <x:c r="Q80" s="22" t="n">
        <x:v>0</x:v>
      </x:c>
      <x:c r="R80" s="22" t="str"/>
      <x:c r="S80" s="22" t="str"/>
      <x:c r="T80" s="22" t="str"/>
    </x:row>
    <x:row r="81">
      <x:c r="A81" s="22" t="str">
        <x:v>2021-00085</x:v>
      </x:c>
      <x:c r="B81" s="22" t="str">
        <x:v>L2023-00065-1</x:v>
      </x:c>
      <x:c r="C81" s="22" t="str">
        <x:v>용역</x:v>
      </x:c>
      <x:c r="D81" s="25" t="str">
        <x:v>(긴급) 우즈베키스탄 유아 교육 복합센터 신축공사 시공감리 용역업체 선정</x:v>
      </x:c>
      <x:c r="E81" s="22" t="n">
        <x:v>0</x:v>
      </x:c>
      <x:c r="F81" s="22" t="str">
        <x:v>.docx</x:v>
      </x:c>
      <x:c r="G81" s="25" t="str">
        <x:v>L2023-00065-1/(attached) Pre_school_Education_Complex_Constsruction_Supervision_Contractor/Section 6 - Scope of Construction Supervision Services.docx</x:v>
      </x:c>
      <x:c r="H81" s="28" t="n">
        <x:v>31480</x:v>
      </x:c>
      <x:c r="I81" s="22" t="str">
        <x:v>409a3b95b00fe6c5ba5c8bb841d3233f7746761252f7f107388ceb39e3c35edd</x:v>
      </x:c>
      <x:c r="J81" s="22" t="n">
        <x:v>0</x:v>
      </x:c>
      <x:c r="K81" s="22" t="n">
        <x:v>0</x:v>
      </x:c>
      <x:c r="L81" s="22" t="n">
        <x:v>0</x:v>
      </x:c>
      <x:c r="M81" s="28" t="n">
        <x:v>0</x:v>
      </x:c>
      <x:c r="N81" s="28" t="n">
        <x:v>0</x:v>
      </x:c>
      <x:c r="O81" s="28" t="n">
        <x:v>0</x:v>
      </x:c>
      <x:c r="P81" s="62" t="n">
        <x:v>0</x:v>
      </x:c>
      <x:c r="Q81" s="22" t="n">
        <x:v>0</x:v>
      </x:c>
      <x:c r="R81" s="22" t="str"/>
      <x:c r="S81" s="22" t="str"/>
      <x:c r="T81" s="22" t="str"/>
    </x:row>
    <x:row r="82">
      <x:c r="A82" s="22" t="str">
        <x:v>2021-00085</x:v>
      </x:c>
      <x:c r="B82" s="22" t="str">
        <x:v>L2023-00065-1</x:v>
      </x:c>
      <x:c r="C82" s="22" t="str">
        <x:v>용역</x:v>
      </x:c>
      <x:c r="D82" s="25" t="str">
        <x:v>(긴급) 우즈베키스탄 유아 교육 복합센터 신축공사 시공감리 용역업체 선정</x:v>
      </x:c>
      <x:c r="E82" s="22" t="n">
        <x:v>0</x:v>
      </x:c>
      <x:c r="F82" s="22" t="str">
        <x:v>.docx</x:v>
      </x:c>
      <x:c r="G82" s="25" t="str">
        <x:v>L2023-00065-1/(attached) Pre_school_Education_Complex_Constsruction_Supervision_Contractor/Section 8 - Specail Conditions of Contract.docx</x:v>
      </x:c>
      <x:c r="H82" s="28" t="n">
        <x:v>29228</x:v>
      </x:c>
      <x:c r="I82" s="22" t="str">
        <x:v>e89ace89b2f1e574bb2f991102994cbb6383b944dcf89009c38d93d35706cd96</x:v>
      </x:c>
      <x:c r="J82" s="22" t="n">
        <x:v>0</x:v>
      </x:c>
      <x:c r="K82" s="22" t="n">
        <x:v>0</x:v>
      </x:c>
      <x:c r="L82" s="22" t="n">
        <x:v>0</x:v>
      </x:c>
      <x:c r="M82" s="28" t="n">
        <x:v>0</x:v>
      </x:c>
      <x:c r="N82" s="28" t="n">
        <x:v>0</x:v>
      </x:c>
      <x:c r="O82" s="28" t="n">
        <x:v>0</x:v>
      </x:c>
      <x:c r="P82" s="62" t="n">
        <x:v>0</x:v>
      </x:c>
      <x:c r="Q82" s="22" t="n">
        <x:v>0</x:v>
      </x:c>
      <x:c r="R82" s="22" t="str"/>
      <x:c r="S82" s="22" t="str"/>
      <x:c r="T82" s="22" t="str"/>
    </x:row>
    <x:row r="83">
      <x:c r="A83" s="22" t="str">
        <x:v>2021-00085</x:v>
      </x:c>
      <x:c r="B83" s="22" t="str">
        <x:v>L2023-00065-1</x:v>
      </x:c>
      <x:c r="C83" s="22" t="str">
        <x:v>용역</x:v>
      </x:c>
      <x:c r="D83" s="25" t="str">
        <x:v>(긴급) 우즈베키스탄 유아 교육 복합센터 신축공사 시공감리 용역업체 선정</x:v>
      </x:c>
      <x:c r="E83" s="22" t="n">
        <x:v>0</x:v>
      </x:c>
      <x:c r="F83" s="22" t="str">
        <x:v>.docx</x:v>
      </x:c>
      <x:c r="G83" s="25" t="str">
        <x:v>L2023-00065-1/(attached) Pre_school_Education_Complex_Constsruction_Supervision_Contractor/Section 3 - Bidding Forms.docx</x:v>
      </x:c>
      <x:c r="H83" s="28" t="n">
        <x:v>69265</x:v>
      </x:c>
      <x:c r="I83" s="22" t="str">
        <x:v>b410c4b21e3c46e005e2dc1491f4794d929026a513763c7d4be49837f5a577e2</x:v>
      </x:c>
      <x:c r="J83" s="22" t="n">
        <x:v>0</x:v>
      </x:c>
      <x:c r="K83" s="22" t="n">
        <x:v>0</x:v>
      </x:c>
      <x:c r="L83" s="22" t="n">
        <x:v>0</x:v>
      </x:c>
      <x:c r="M83" s="28" t="n">
        <x:v>0</x:v>
      </x:c>
      <x:c r="N83" s="28" t="n">
        <x:v>0</x:v>
      </x:c>
      <x:c r="O83" s="28" t="n">
        <x:v>0</x:v>
      </x:c>
      <x:c r="P83" s="62" t="n">
        <x:v>0</x:v>
      </x:c>
      <x:c r="Q83" s="22" t="n">
        <x:v>0</x:v>
      </x:c>
      <x:c r="R83" s="22" t="str"/>
      <x:c r="S83" s="22" t="str"/>
      <x:c r="T83" s="22" t="str"/>
    </x:row>
    <x:row r="84">
      <x:c r="A84" s="22" t="str">
        <x:v>2021-00085</x:v>
      </x:c>
      <x:c r="B84" s="22" t="str">
        <x:v>L2023-00065-1</x:v>
      </x:c>
      <x:c r="C84" s="22" t="str">
        <x:v>용역</x:v>
      </x:c>
      <x:c r="D84" s="25" t="str">
        <x:v>(긴급) 우즈베키스탄 유아 교육 복합센터 신축공사 시공감리 용역업체 선정</x:v>
      </x:c>
      <x:c r="E84" s="22" t="n">
        <x:v>0</x:v>
      </x:c>
      <x:c r="F84" s="22" t="str">
        <x:v>.docx</x:v>
      </x:c>
      <x:c r="G84" s="25" t="str">
        <x:v>L2023-00065-1/(attached) Pre_school_Education_Complex_Constsruction_Supervision_Contractor/Section 5 - Request For Proposal.docx</x:v>
      </x:c>
      <x:c r="H84" s="28" t="n">
        <x:v>91125</x:v>
      </x:c>
      <x:c r="I84" s="22" t="str">
        <x:v>16eaaeefb7cf52d38358b2b0c4d29776b0c433fd7fa769f84065adde12ff268d</x:v>
      </x:c>
      <x:c r="J84" s="22" t="n">
        <x:v>0</x:v>
      </x:c>
      <x:c r="K84" s="22" t="n">
        <x:v>0</x:v>
      </x:c>
      <x:c r="L84" s="22" t="n">
        <x:v>0</x:v>
      </x:c>
      <x:c r="M84" s="28" t="n">
        <x:v>0</x:v>
      </x:c>
      <x:c r="N84" s="28" t="n">
        <x:v>0</x:v>
      </x:c>
      <x:c r="O84" s="28" t="n">
        <x:v>0</x:v>
      </x:c>
      <x:c r="P84" s="62" t="n">
        <x:v>0</x:v>
      </x:c>
      <x:c r="Q84" s="22" t="n">
        <x:v>0</x:v>
      </x:c>
      <x:c r="R84" s="22" t="str"/>
      <x:c r="S84" s="22" t="str"/>
      <x:c r="T84" s="22" t="str"/>
    </x:row>
    <x:row r="85">
      <x:c r="A85" s="22" t="str">
        <x:v>2021-00085</x:v>
      </x:c>
      <x:c r="B85" s="22" t="str">
        <x:v>L2023-00065-1</x:v>
      </x:c>
      <x:c r="C85" s="22" t="str">
        <x:v>용역</x:v>
      </x:c>
      <x:c r="D85" s="25" t="str">
        <x:v>(긴급) 우즈베키스탄 유아 교육 복합센터 신축공사 시공감리 용역업체 선정</x:v>
      </x:c>
      <x:c r="E85" s="22" t="n">
        <x:v>0</x:v>
      </x:c>
      <x:c r="F85" s="22" t="str">
        <x:v>.xlsx</x:v>
      </x:c>
      <x:c r="G85" s="25" t="str">
        <x:v>L2023-00065-1/(attached) Pre_school_Education_Complex_Constsruction_Supervision_Contractor/Section 4 – The Bill of Quantity.xlsx</x:v>
      </x:c>
      <x:c r="H85" s="28" t="n">
        <x:v>13063</x:v>
      </x:c>
      <x:c r="I85" s="22" t="str">
        <x:v>9a03e1c1b7baf3e56b5e4668ef3614fd79d851b8559f5ca96981bf1115212ba0</x:v>
      </x:c>
      <x:c r="J85" s="22" t="n">
        <x:v>0</x:v>
      </x:c>
      <x:c r="K85" s="22" t="n">
        <x:v>1</x:v>
      </x:c>
      <x:c r="L85" s="22" t="n">
        <x:v>0</x:v>
      </x:c>
      <x:c r="M85" s="28" t="n">
        <x:v>0</x:v>
      </x:c>
      <x:c r="N85" s="28" t="n">
        <x:v>0</x:v>
      </x:c>
      <x:c r="O85" s="28" t="n">
        <x:v>0</x:v>
      </x:c>
      <x:c r="P85" s="62" t="n">
        <x:v>0</x:v>
      </x:c>
      <x:c r="Q85" s="22" t="n">
        <x:v>0</x:v>
      </x:c>
      <x:c r="R85" s="22" t="str"/>
      <x:c r="S85" s="22" t="str"/>
      <x:c r="T85" s="22" t="str"/>
    </x:row>
    <x:row r="86">
      <x:c r="A86" s="22" t="str">
        <x:v>2021-00016</x:v>
      </x:c>
      <x:c r="B86" s="22" t="str">
        <x:v>L2025-00018-1</x:v>
      </x:c>
      <x:c r="C86" s="22" t="str">
        <x:v>공사</x:v>
      </x:c>
      <x:c r="D86" s="25" t="str">
        <x:v>가나대학교 한-가나 연구 및 ICT 혁신센터 건립사업 공사</x:v>
      </x:c>
      <x:c r="E86" s="22" t="n">
        <x:v>1</x:v>
      </x:c>
      <x:c r="F86" s="22" t="str">
        <x:v>.docx</x:v>
      </x:c>
      <x:c r="G86" s="25" t="str">
        <x:v>L2025-00018-1/1-2. Bid Data Sheet _영문.docx</x:v>
      </x:c>
      <x:c r="H86" s="28" t="n">
        <x:v>61113</x:v>
      </x:c>
      <x:c r="I86" s="22" t="str">
        <x:v>c8228e7f5e0bae4915327d9771427cb902cdfe733dfd700b2c5b14a922614403</x:v>
      </x:c>
      <x:c r="J86" s="22" t="n">
        <x:v>0</x:v>
      </x:c>
      <x:c r="K86" s="22" t="n">
        <x:v>0</x:v>
      </x:c>
      <x:c r="L86" s="22" t="n">
        <x:v>0</x:v>
      </x:c>
      <x:c r="M86" s="28" t="n">
        <x:v>0</x:v>
      </x:c>
      <x:c r="N86" s="28" t="n">
        <x:v>0</x:v>
      </x:c>
      <x:c r="O86" s="28" t="n">
        <x:v>0</x:v>
      </x:c>
      <x:c r="P86" s="62" t="n">
        <x:v>0</x:v>
      </x:c>
      <x:c r="Q86" s="22" t="n">
        <x:v>0</x:v>
      </x:c>
      <x:c r="R86" s="22" t="str"/>
      <x:c r="S86" s="22" t="str"/>
      <x:c r="T86" s="22" t="str"/>
    </x:row>
    <x:row r="87">
      <x:c r="A87" s="22" t="str">
        <x:v>2021-00016</x:v>
      </x:c>
      <x:c r="B87" s="22" t="str">
        <x:v>L2025-00018-1</x:v>
      </x:c>
      <x:c r="C87" s="22" t="str">
        <x:v>공사</x:v>
      </x:c>
      <x:c r="D87" s="25" t="str">
        <x:v>가나대학교 한-가나 연구 및 ICT 혁신센터 건립사업 공사</x:v>
      </x:c>
      <x:c r="E87" s="22" t="n">
        <x:v>1</x:v>
      </x:c>
      <x:c r="F87" s="22" t="str">
        <x:v>.docx</x:v>
      </x:c>
      <x:c r="G87" s="25" t="str">
        <x:v>L2025-00018-1/2. 입찰 제출 필수 서류.docx</x:v>
      </x:c>
      <x:c r="H87" s="28" t="n">
        <x:v>18408</x:v>
      </x:c>
      <x:c r="I87" s="22" t="str">
        <x:v>f1d28aff0cde0ec1a6f21f1a5249668ceec4b2df13adf70aa755c6cef184245f</x:v>
      </x:c>
      <x:c r="J87" s="22" t="n">
        <x:v>0</x:v>
      </x:c>
      <x:c r="K87" s="22" t="n">
        <x:v>0</x:v>
      </x:c>
      <x:c r="L87" s="22" t="n">
        <x:v>0</x:v>
      </x:c>
      <x:c r="M87" s="28" t="n">
        <x:v>0</x:v>
      </x:c>
      <x:c r="N87" s="28" t="n">
        <x:v>0</x:v>
      </x:c>
      <x:c r="O87" s="28" t="n">
        <x:v>0</x:v>
      </x:c>
      <x:c r="P87" s="62" t="n">
        <x:v>0</x:v>
      </x:c>
      <x:c r="Q87" s="22" t="n">
        <x:v>0</x:v>
      </x:c>
      <x:c r="R87" s="22" t="str"/>
      <x:c r="S87" s="22" t="str"/>
      <x:c r="T87" s="22" t="str"/>
    </x:row>
    <x:row r="88">
      <x:c r="A88" s="22" t="str">
        <x:v>2021-00016</x:v>
      </x:c>
      <x:c r="B88" s="22" t="str">
        <x:v>L2025-00018-1</x:v>
      </x:c>
      <x:c r="C88" s="22" t="str">
        <x:v>공사</x:v>
      </x:c>
      <x:c r="D88" s="25" t="str">
        <x:v>가나대학교 한-가나 연구 및 ICT 혁신센터 건립사업 공사</x:v>
      </x:c>
      <x:c r="E88" s="22" t="n">
        <x:v>1</x:v>
      </x:c>
      <x:c r="F88" s="22" t="str">
        <x:v>.hwp</x:v>
      </x:c>
      <x:c r="G88" s="25" t="str">
        <x:v>L2025-00018-1/1-1. 입찰공고문_국문.hwp</x:v>
      </x:c>
      <x:c r="H88" s="28" t="n">
        <x:v>65024</x:v>
      </x:c>
      <x:c r="I88" s="22" t="str">
        <x:v>0e918dd0c62f6325b9daa2804668874e635513e6589031080a06caa9815698da</x:v>
      </x:c>
      <x:c r="J88" s="22" t="n">
        <x:v>0</x:v>
      </x:c>
      <x:c r="K88" s="22" t="n">
        <x:v>0</x:v>
      </x:c>
      <x:c r="L88" s="22" t="n">
        <x:v>0</x:v>
      </x:c>
      <x:c r="M88" s="28" t="n">
        <x:v>0</x:v>
      </x:c>
      <x:c r="N88" s="28" t="n">
        <x:v>0</x:v>
      </x:c>
      <x:c r="O88" s="28" t="n">
        <x:v>0</x:v>
      </x:c>
      <x:c r="P88" s="62" t="n">
        <x:v>0</x:v>
      </x:c>
      <x:c r="Q88" s="22" t="n">
        <x:v>0</x:v>
      </x:c>
      <x:c r="R88" s="22" t="str"/>
      <x:c r="S88" s="22" t="str"/>
      <x:c r="T88" s="22" t="str"/>
    </x:row>
    <x:row r="89">
      <x:c r="A89" s="22" t="str">
        <x:v>2021-00016</x:v>
      </x:c>
      <x:c r="B89" s="22" t="str">
        <x:v>L2025-00018-1</x:v>
      </x:c>
      <x:c r="C89" s="22" t="str">
        <x:v>공사</x:v>
      </x:c>
      <x:c r="D89" s="25" t="str">
        <x:v>가나대학교 한-가나 연구 및 ICT 혁신센터 건립사업 공사</x:v>
      </x:c>
      <x:c r="E89" s="22" t="n">
        <x:v>1</x:v>
      </x:c>
      <x:c r="F89" s="22" t="str">
        <x:v>.xlsx</x:v>
      </x:c>
      <x:c r="G89" s="25" t="str">
        <x:v>L2025-00018-1/3. 집행한도금액 예산(안).xlsx</x:v>
      </x:c>
      <x:c r="H89" s="28" t="n">
        <x:v>113435</x:v>
      </x:c>
      <x:c r="I89" s="22" t="str">
        <x:v>00c7377ff4ade4d870b1d30cb6570d66c65b76a73618f2240cf857cbf59f13de</x:v>
      </x:c>
      <x:c r="J89" s="22" t="n">
        <x:v>0</x:v>
      </x:c>
      <x:c r="K89" s="22" t="n">
        <x:v>0</x:v>
      </x:c>
      <x:c r="L89" s="22" t="n">
        <x:v>0</x:v>
      </x:c>
      <x:c r="M89" s="28" t="n">
        <x:v>6</x:v>
      </x:c>
      <x:c r="N89" s="28" t="n">
        <x:v>208</x:v>
      </x:c>
      <x:c r="O89" s="28" t="n">
        <x:v>208</x:v>
      </x:c>
      <x:c r="P89" s="62" t="n">
        <x:v>1</x:v>
      </x:c>
      <x:c r="Q89" s="22" t="n">
        <x:v>1</x:v>
      </x:c>
      <x:c r="R89" s="22" t="str">
        <x:v>MAIN BUILDING</x:v>
      </x:c>
      <x:c r="S89" s="22" t="str">
        <x:v>visible</x:v>
      </x:c>
      <x:c r="T89" s="22" t="str"/>
    </x:row>
    <x:row r="90">
      <x:c r="A90" s="22" t="str">
        <x:v>2021-00016</x:v>
      </x:c>
      <x:c r="B90" s="22" t="str">
        <x:v>L2025-00063-1</x:v>
      </x:c>
      <x:c r="C90" s="22" t="str">
        <x:v>용역</x:v>
      </x:c>
      <x:c r="D90" s="25" t="str">
        <x:v>(긴급) 가나대학교 한-가나 연구 및 ICT 혁신센터 건립사업 시공감리용역 선정</x:v>
      </x:c>
      <x:c r="E90" s="22" t="n">
        <x:v>0</x:v>
      </x:c>
      <x:c r="F90" s="22" t="str">
        <x:v>.docx</x:v>
      </x:c>
      <x:c r="G90" s="25" t="str">
        <x:v>L2025-00063-1/2. (영문) 현지 입찰공고문.docx</x:v>
      </x:c>
      <x:c r="H90" s="28" t="n">
        <x:v>1779758</x:v>
      </x:c>
      <x:c r="I90" s="22" t="str">
        <x:v>d4ef919ed437cf4c4c7d659c283694c1e7009803714374c531b92ef0622b244b</x:v>
      </x:c>
      <x:c r="J90" s="22" t="n">
        <x:v>0</x:v>
      </x:c>
      <x:c r="K90" s="22" t="n">
        <x:v>0</x:v>
      </x:c>
      <x:c r="L90" s="22" t="n">
        <x:v>0</x:v>
      </x:c>
      <x:c r="M90" s="28" t="n">
        <x:v>0</x:v>
      </x:c>
      <x:c r="N90" s="28" t="n">
        <x:v>0</x:v>
      </x:c>
      <x:c r="O90" s="28" t="n">
        <x:v>0</x:v>
      </x:c>
      <x:c r="P90" s="62" t="n">
        <x:v>0</x:v>
      </x:c>
      <x:c r="Q90" s="22" t="n">
        <x:v>0</x:v>
      </x:c>
      <x:c r="R90" s="22" t="str"/>
      <x:c r="S90" s="22" t="str"/>
      <x:c r="T90" s="22" t="str"/>
    </x:row>
    <x:row r="91">
      <x:c r="A91" s="22" t="str">
        <x:v>2021-00016</x:v>
      </x:c>
      <x:c r="B91" s="22" t="str">
        <x:v>L2025-00063-1</x:v>
      </x:c>
      <x:c r="C91" s="22" t="str">
        <x:v>용역</x:v>
      </x:c>
      <x:c r="D91" s="25" t="str">
        <x:v>(긴급) 가나대학교 한-가나 연구 및 ICT 혁신센터 건립사업 시공감리용역 선정</x:v>
      </x:c>
      <x:c r="E91" s="22" t="n">
        <x:v>0</x:v>
      </x:c>
      <x:c r="F91" s="22" t="str">
        <x:v>.docx</x:v>
      </x:c>
      <x:c r="G91" s="25" t="str">
        <x:v>L2025-00063-1/4. 현지 입찰 안내문(영문)_vF.docx</x:v>
      </x:c>
      <x:c r="H91" s="28" t="n">
        <x:v>6403096</x:v>
      </x:c>
      <x:c r="I91" s="22" t="str">
        <x:v>f257d9feafb60a1b673f637401cd9c8220d53032eb11df41c62fc7c3e0ec0c1f</x:v>
      </x:c>
      <x:c r="J91" s="22" t="n">
        <x:v>0</x:v>
      </x:c>
      <x:c r="K91" s="22" t="n">
        <x:v>0</x:v>
      </x:c>
      <x:c r="L91" s="22" t="n">
        <x:v>0</x:v>
      </x:c>
      <x:c r="M91" s="28" t="n">
        <x:v>0</x:v>
      </x:c>
      <x:c r="N91" s="28" t="n">
        <x:v>0</x:v>
      </x:c>
      <x:c r="O91" s="28" t="n">
        <x:v>0</x:v>
      </x:c>
      <x:c r="P91" s="62" t="n">
        <x:v>0</x:v>
      </x:c>
      <x:c r="Q91" s="22" t="n">
        <x:v>0</x:v>
      </x:c>
      <x:c r="R91" s="22" t="str"/>
      <x:c r="S91" s="22" t="str"/>
      <x:c r="T91" s="22" t="str"/>
    </x:row>
    <x:row r="92">
      <x:c r="A92" s="22" t="str">
        <x:v>2021-00016</x:v>
      </x:c>
      <x:c r="B92" s="22" t="str">
        <x:v>L2025-00063-1</x:v>
      </x:c>
      <x:c r="C92" s="22" t="str">
        <x:v>용역</x:v>
      </x:c>
      <x:c r="D92" s="25" t="str">
        <x:v>(긴급) 가나대학교 한-가나 연구 및 ICT 혁신센터 건립사업 시공감리용역 선정</x:v>
      </x:c>
      <x:c r="E92" s="22" t="n">
        <x:v>0</x:v>
      </x:c>
      <x:c r="F92" s="22" t="str">
        <x:v>.zip</x:v>
      </x:c>
      <x:c r="G92" s="25" t="str">
        <x:v>L2025-00063-1/5. 현지 입찰 필수 서류(조감도 미포함).zip</x:v>
      </x:c>
      <x:c r="H92" s="28" t="n">
        <x:v>9419006</x:v>
      </x:c>
      <x:c r="I92" s="22" t="str">
        <x:v>e13c25a9aac2842cdcf6106df1344cc2e7d57457ff485cd601ab877be9072b1c</x:v>
      </x:c>
      <x:c r="J92" s="22" t="n">
        <x:v>0</x:v>
      </x:c>
      <x:c r="K92" s="22" t="n">
        <x:v>0</x:v>
      </x:c>
      <x:c r="L92" s="22" t="n">
        <x:v>0</x:v>
      </x:c>
      <x:c r="M92" s="28" t="n">
        <x:v>0</x:v>
      </x:c>
      <x:c r="N92" s="28" t="n">
        <x:v>0</x:v>
      </x:c>
      <x:c r="O92" s="28" t="n">
        <x:v>0</x:v>
      </x:c>
      <x:c r="P92" s="62" t="n">
        <x:v>0</x:v>
      </x:c>
      <x:c r="Q92" s="22" t="n">
        <x:v>0</x:v>
      </x:c>
      <x:c r="R92" s="22" t="str"/>
      <x:c r="S92" s="22" t="str"/>
      <x:c r="T92" s="22" t="str"/>
    </x:row>
    <x:row r="93">
      <x:c r="A93" s="22" t="str">
        <x:v>2021-00016</x:v>
      </x:c>
      <x:c r="B93" s="22" t="str">
        <x:v>L2025-00063-1</x:v>
      </x:c>
      <x:c r="C93" s="22" t="str">
        <x:v>용역</x:v>
      </x:c>
      <x:c r="D93" s="25" t="str">
        <x:v>(긴급) 가나대학교 한-가나 연구 및 ICT 혁신센터 건립사업 시공감리용역 선정</x:v>
      </x:c>
      <x:c r="E93" s="22" t="n">
        <x:v>0</x:v>
      </x:c>
      <x:c r="F93" s="22" t="str">
        <x:v>.docx</x:v>
      </x:c>
      <x:c r="G93" s="25" t="str">
        <x:v>L2025-00063-1/5. 현지 입찰 필수 서류(조감도 미포함)/Section 2 - Bid Data Sheet (BDS)_vF.docx</x:v>
      </x:c>
      <x:c r="H93" s="28" t="n">
        <x:v>6403096</x:v>
      </x:c>
      <x:c r="I93" s="22" t="str">
        <x:v>f257d9feafb60a1b673f637401cd9c8220d53032eb11df41c62fc7c3e0ec0c1f</x:v>
      </x:c>
      <x:c r="J93" s="22" t="n">
        <x:v>0</x:v>
      </x:c>
      <x:c r="K93" s="22" t="n">
        <x:v>0</x:v>
      </x:c>
      <x:c r="L93" s="22" t="n">
        <x:v>0</x:v>
      </x:c>
      <x:c r="M93" s="28" t="n">
        <x:v>0</x:v>
      </x:c>
      <x:c r="N93" s="28" t="n">
        <x:v>0</x:v>
      </x:c>
      <x:c r="O93" s="28" t="n">
        <x:v>0</x:v>
      </x:c>
      <x:c r="P93" s="62" t="n">
        <x:v>0</x:v>
      </x:c>
      <x:c r="Q93" s="22" t="n">
        <x:v>0</x:v>
      </x:c>
      <x:c r="R93" s="22" t="str"/>
      <x:c r="S93" s="22" t="str"/>
      <x:c r="T93" s="22" t="str"/>
    </x:row>
    <x:row r="94">
      <x:c r="A94" s="22" t="str">
        <x:v>2021-00016</x:v>
      </x:c>
      <x:c r="B94" s="22" t="str">
        <x:v>L2025-00063-1</x:v>
      </x:c>
      <x:c r="C94" s="22" t="str">
        <x:v>용역</x:v>
      </x:c>
      <x:c r="D94" s="25" t="str">
        <x:v>(긴급) 가나대학교 한-가나 연구 및 ICT 혁신센터 건립사업 시공감리용역 선정</x:v>
      </x:c>
      <x:c r="E94" s="22" t="n">
        <x:v>0</x:v>
      </x:c>
      <x:c r="F94" s="22" t="str">
        <x:v>.docx</x:v>
      </x:c>
      <x:c r="G94" s="25" t="str">
        <x:v>L2025-00063-1/5. 현지 입찰 필수 서류(조감도 미포함)/Section 6 - General Conditions of Contract.docx</x:v>
      </x:c>
      <x:c r="H94" s="28" t="n">
        <x:v>393391</x:v>
      </x:c>
      <x:c r="I94" s="22" t="str">
        <x:v>f3730b4652d005ce504a8a258af097aa6eab8bb4655ac9e0d731fe67ff644e8a</x:v>
      </x:c>
      <x:c r="J94" s="22" t="n">
        <x:v>0</x:v>
      </x:c>
      <x:c r="K94" s="22" t="n">
        <x:v>0</x:v>
      </x:c>
      <x:c r="L94" s="22" t="n">
        <x:v>0</x:v>
      </x:c>
      <x:c r="M94" s="28" t="n">
        <x:v>0</x:v>
      </x:c>
      <x:c r="N94" s="28" t="n">
        <x:v>0</x:v>
      </x:c>
      <x:c r="O94" s="28" t="n">
        <x:v>0</x:v>
      </x:c>
      <x:c r="P94" s="62" t="n">
        <x:v>0</x:v>
      </x:c>
      <x:c r="Q94" s="22" t="n">
        <x:v>0</x:v>
      </x:c>
      <x:c r="R94" s="22" t="str"/>
      <x:c r="S94" s="22" t="str"/>
      <x:c r="T94" s="22" t="str"/>
    </x:row>
    <x:row r="95">
      <x:c r="A95" s="22" t="str">
        <x:v>2021-00016</x:v>
      </x:c>
      <x:c r="B95" s="22" t="str">
        <x:v>L2025-00063-1</x:v>
      </x:c>
      <x:c r="C95" s="22" t="str">
        <x:v>용역</x:v>
      </x:c>
      <x:c r="D95" s="25" t="str">
        <x:v>(긴급) 가나대학교 한-가나 연구 및 ICT 혁신센터 건립사업 시공감리용역 선정</x:v>
      </x:c>
      <x:c r="E95" s="22" t="n">
        <x:v>0</x:v>
      </x:c>
      <x:c r="F95" s="22" t="str">
        <x:v>.docx</x:v>
      </x:c>
      <x:c r="G95" s="25" t="str">
        <x:v>L2025-00063-1/5. 현지 입찰 필수 서류(조감도 미포함)/Section 7 - Special Conditions of Contract.docx</x:v>
      </x:c>
      <x:c r="H95" s="28" t="n">
        <x:v>394077</x:v>
      </x:c>
      <x:c r="I95" s="22" t="str">
        <x:v>99e0b685735c72fdfc4bb985d9c4d26cd94ada378bd1b6bb7f5b2bfff167f973</x:v>
      </x:c>
      <x:c r="J95" s="22" t="n">
        <x:v>0</x:v>
      </x:c>
      <x:c r="K95" s="22" t="n">
        <x:v>0</x:v>
      </x:c>
      <x:c r="L95" s="22" t="n">
        <x:v>0</x:v>
      </x:c>
      <x:c r="M95" s="28" t="n">
        <x:v>0</x:v>
      </x:c>
      <x:c r="N95" s="28" t="n">
        <x:v>0</x:v>
      </x:c>
      <x:c r="O95" s="28" t="n">
        <x:v>0</x:v>
      </x:c>
      <x:c r="P95" s="62" t="n">
        <x:v>0</x:v>
      </x:c>
      <x:c r="Q95" s="22" t="n">
        <x:v>0</x:v>
      </x:c>
      <x:c r="R95" s="22" t="str"/>
      <x:c r="S95" s="22" t="str"/>
      <x:c r="T95" s="22" t="str"/>
    </x:row>
    <x:row r="96">
      <x:c r="A96" s="22" t="str">
        <x:v>2021-00016</x:v>
      </x:c>
      <x:c r="B96" s="22" t="str">
        <x:v>L2025-00063-1</x:v>
      </x:c>
      <x:c r="C96" s="22" t="str">
        <x:v>용역</x:v>
      </x:c>
      <x:c r="D96" s="25" t="str">
        <x:v>(긴급) 가나대학교 한-가나 연구 및 ICT 혁신센터 건립사업 시공감리용역 선정</x:v>
      </x:c>
      <x:c r="E96" s="22" t="n">
        <x:v>0</x:v>
      </x:c>
      <x:c r="F96" s="22" t="str">
        <x:v>.docx</x:v>
      </x:c>
      <x:c r="G96" s="25" t="str">
        <x:v>L2025-00063-1/5. 현지 입찰 필수 서류(조감도 미포함)/Section 8 - Contract Forms.docx</x:v>
      </x:c>
      <x:c r="H96" s="28" t="n">
        <x:v>569871</x:v>
      </x:c>
      <x:c r="I96" s="22" t="str">
        <x:v>9830fc18e7b80ac753ec6ea8be9a3c806c7c627fcba73d00b34d0d70f27b6030</x:v>
      </x:c>
      <x:c r="J96" s="22" t="n">
        <x:v>0</x:v>
      </x:c>
      <x:c r="K96" s="22" t="n">
        <x:v>0</x:v>
      </x:c>
      <x:c r="L96" s="22" t="n">
        <x:v>0</x:v>
      </x:c>
      <x:c r="M96" s="28" t="n">
        <x:v>0</x:v>
      </x:c>
      <x:c r="N96" s="28" t="n">
        <x:v>0</x:v>
      </x:c>
      <x:c r="O96" s="28" t="n">
        <x:v>0</x:v>
      </x:c>
      <x:c r="P96" s="62" t="n">
        <x:v>0</x:v>
      </x:c>
      <x:c r="Q96" s="22" t="n">
        <x:v>0</x:v>
      </x:c>
      <x:c r="R96" s="22" t="str"/>
      <x:c r="S96" s="22" t="str"/>
      <x:c r="T96" s="22" t="str"/>
    </x:row>
    <x:row r="97">
      <x:c r="A97" s="22" t="str">
        <x:v>2021-00016</x:v>
      </x:c>
      <x:c r="B97" s="22" t="str">
        <x:v>L2025-00063-1</x:v>
      </x:c>
      <x:c r="C97" s="22" t="str">
        <x:v>용역</x:v>
      </x:c>
      <x:c r="D97" s="25" t="str">
        <x:v>(긴급) 가나대학교 한-가나 연구 및 ICT 혁신센터 건립사업 시공감리용역 선정</x:v>
      </x:c>
      <x:c r="E97" s="22" t="n">
        <x:v>0</x:v>
      </x:c>
      <x:c r="F97" s="22" t="str">
        <x:v>.docx</x:v>
      </x:c>
      <x:c r="G97" s="25" t="str">
        <x:v>L2025-00063-1/5. 현지 입찰 필수 서류(조감도 미포함)/Section 3 - Bidding Forms.docx</x:v>
      </x:c>
      <x:c r="H97" s="28" t="n">
        <x:v>43335</x:v>
      </x:c>
      <x:c r="I97" s="22" t="str">
        <x:v>aeb21a7d61e02a8a4f24dfcec5780d63e9a0c40eb94e724eff322c1c6ad8fd3a</x:v>
      </x:c>
      <x:c r="J97" s="22" t="n">
        <x:v>0</x:v>
      </x:c>
      <x:c r="K97" s="22" t="n">
        <x:v>0</x:v>
      </x:c>
      <x:c r="L97" s="22" t="n">
        <x:v>0</x:v>
      </x:c>
      <x:c r="M97" s="28" t="n">
        <x:v>0</x:v>
      </x:c>
      <x:c r="N97" s="28" t="n">
        <x:v>0</x:v>
      </x:c>
      <x:c r="O97" s="28" t="n">
        <x:v>0</x:v>
      </x:c>
      <x:c r="P97" s="62" t="n">
        <x:v>0</x:v>
      </x:c>
      <x:c r="Q97" s="22" t="n">
        <x:v>0</x:v>
      </x:c>
      <x:c r="R97" s="22" t="str"/>
      <x:c r="S97" s="22" t="str"/>
      <x:c r="T97" s="22" t="str"/>
    </x:row>
    <x:row r="98">
      <x:c r="A98" s="22" t="str">
        <x:v>2021-00016</x:v>
      </x:c>
      <x:c r="B98" s="22" t="str">
        <x:v>L2025-00063-1</x:v>
      </x:c>
      <x:c r="C98" s="22" t="str">
        <x:v>용역</x:v>
      </x:c>
      <x:c r="D98" s="25" t="str">
        <x:v>(긴급) 가나대학교 한-가나 연구 및 ICT 혁신센터 건립사업 시공감리용역 선정</x:v>
      </x:c>
      <x:c r="E98" s="22" t="n">
        <x:v>0</x:v>
      </x:c>
      <x:c r="F98" s="22" t="str">
        <x:v>.zip</x:v>
      </x:c>
      <x:c r="G98" s="25" t="str">
        <x:v>L2025-00063-1/5. 현지 입찰 필수 서류(조감도 미포함)/Section 9_Attachment (KOICA Regulation).zip</x:v>
      </x:c>
      <x:c r="H98" s="28" t="n">
        <x:v>1619936</x:v>
      </x:c>
      <x:c r="I98" s="22" t="str">
        <x:v>77973f8f609aae7c9992dcca4dc650fcc3d0eda48246223282427b5ad9ffa642</x:v>
      </x:c>
      <x:c r="J98" s="22" t="n">
        <x:v>0</x:v>
      </x:c>
      <x:c r="K98" s="22" t="n">
        <x:v>0</x:v>
      </x:c>
      <x:c r="L98" s="22" t="n">
        <x:v>0</x:v>
      </x:c>
      <x:c r="M98" s="28" t="n">
        <x:v>0</x:v>
      </x:c>
      <x:c r="N98" s="28" t="n">
        <x:v>0</x:v>
      </x:c>
      <x:c r="O98" s="28" t="n">
        <x:v>0</x:v>
      </x:c>
      <x:c r="P98" s="62" t="n">
        <x:v>0</x:v>
      </x:c>
      <x:c r="Q98" s="22" t="n">
        <x:v>0</x:v>
      </x:c>
      <x:c r="R98" s="22" t="str"/>
      <x:c r="S98" s="22" t="str"/>
      <x:c r="T98" s="22" t="str"/>
    </x:row>
    <x:row r="99">
      <x:c r="A99" s="22" t="str">
        <x:v>2021-00016</x:v>
      </x:c>
      <x:c r="B99" s="22" t="str">
        <x:v>L2025-00063-1</x:v>
      </x:c>
      <x:c r="C99" s="22" t="str">
        <x:v>용역</x:v>
      </x:c>
      <x:c r="D99" s="25" t="str">
        <x:v>(긴급) 가나대학교 한-가나 연구 및 ICT 혁신센터 건립사업 시공감리용역 선정</x:v>
      </x:c>
      <x:c r="E99" s="22" t="n">
        <x:v>0</x:v>
      </x:c>
      <x:c r="F99" s="22" t="str">
        <x:v>.docx</x:v>
      </x:c>
      <x:c r="G99" s="25" t="str">
        <x:v>L2025-00063-1/5. 현지 입찰 필수 서류(조감도 미포함)/Section 4 - Scope of Works.docx</x:v>
      </x:c>
      <x:c r="H99" s="28" t="n">
        <x:v>37711</x:v>
      </x:c>
      <x:c r="I99" s="22" t="str">
        <x:v>eaf5e7a7d56e172de56abafb955ef4de1f490dfa4c75a7b2952a727121a02832</x:v>
      </x:c>
      <x:c r="J99" s="22" t="n">
        <x:v>0</x:v>
      </x:c>
      <x:c r="K99" s="22" t="n">
        <x:v>0</x:v>
      </x:c>
      <x:c r="L99" s="22" t="n">
        <x:v>0</x:v>
      </x:c>
      <x:c r="M99" s="28" t="n">
        <x:v>0</x:v>
      </x:c>
      <x:c r="N99" s="28" t="n">
        <x:v>0</x:v>
      </x:c>
      <x:c r="O99" s="28" t="n">
        <x:v>0</x:v>
      </x:c>
      <x:c r="P99" s="62" t="n">
        <x:v>0</x:v>
      </x:c>
      <x:c r="Q99" s="22" t="n">
        <x:v>0</x:v>
      </x:c>
      <x:c r="R99" s="22" t="str"/>
      <x:c r="S99" s="22" t="str"/>
      <x:c r="T99" s="22" t="str"/>
    </x:row>
    <x:row r="100">
      <x:c r="A100" s="22" t="str">
        <x:v>2021-00016</x:v>
      </x:c>
      <x:c r="B100" s="22" t="str">
        <x:v>L2025-00063-1</x:v>
      </x:c>
      <x:c r="C100" s="22" t="str">
        <x:v>용역</x:v>
      </x:c>
      <x:c r="D100" s="25" t="str">
        <x:v>(긴급) 가나대학교 한-가나 연구 및 ICT 혁신센터 건립사업 시공감리용역 선정</x:v>
      </x:c>
      <x:c r="E100" s="22" t="n">
        <x:v>0</x:v>
      </x:c>
      <x:c r="F100" s="22" t="str">
        <x:v>.pdf</x:v>
      </x:c>
      <x:c r="G100" s="25" t="str">
        <x:v>L2025-00063-1/5. 현지 입찰 필수 서류(조감도 미포함)/Section 1 - Instructions to Bidders (ITB).pdf</x:v>
      </x:c>
      <x:c r="H100" s="28" t="n">
        <x:v>177895</x:v>
      </x:c>
      <x:c r="I100" s="22" t="str">
        <x:v>8767f67a3e64bc0f51369b734b16ba55175c5d553636a850f211100226637e66</x:v>
      </x:c>
      <x:c r="J100" s="22" t="n">
        <x:v>0</x:v>
      </x:c>
      <x:c r="K100" s="22" t="n">
        <x:v>0</x:v>
      </x:c>
      <x:c r="L100" s="22" t="n">
        <x:v>0</x:v>
      </x:c>
      <x:c r="M100" s="28" t="n">
        <x:v>0</x:v>
      </x:c>
      <x:c r="N100" s="28" t="n">
        <x:v>0</x:v>
      </x:c>
      <x:c r="O100" s="28" t="n">
        <x:v>0</x:v>
      </x:c>
      <x:c r="P100" s="62" t="n">
        <x:v>0</x:v>
      </x:c>
      <x:c r="Q100" s="22" t="n">
        <x:v>0</x:v>
      </x:c>
      <x:c r="R100" s="22" t="str"/>
      <x:c r="S100" s="22" t="str"/>
      <x:c r="T100" s="22" t="str"/>
    </x:row>
    <x:row r="101">
      <x:c r="A101" s="22" t="str">
        <x:v>2021-00016</x:v>
      </x:c>
      <x:c r="B101" s="22" t="str">
        <x:v>L2025-00063-1</x:v>
      </x:c>
      <x:c r="C101" s="22" t="str">
        <x:v>용역</x:v>
      </x:c>
      <x:c r="D101" s="25" t="str">
        <x:v>(긴급) 가나대학교 한-가나 연구 및 ICT 혁신센터 건립사업 시공감리용역 선정</x:v>
      </x:c>
      <x:c r="E101" s="22" t="n">
        <x:v>0</x:v>
      </x:c>
      <x:c r="F101" s="22" t="str">
        <x:v>.pdf</x:v>
      </x:c>
      <x:c r="G101" s="25" t="str">
        <x:v>L2025-00063-1/5. 현지 입찰 필수 서류(조감도 미포함)/Section 9_Attachment (KOICA Regulation)/Attachment (KOICA Regulation)/Guidelines for Technical Evaluation(기술평가지침)_20210408.pdf</x:v>
      </x:c>
      <x:c r="H101" s="28" t="n">
        <x:v>416852</x:v>
      </x:c>
      <x:c r="I101" s="22" t="str">
        <x:v>5f61aa2d6d0a5a8e5112eb2bfc3afc5f9a4e31a1328154452eb19e5484072dd0</x:v>
      </x:c>
      <x:c r="J101" s="22" t="n">
        <x:v>0</x:v>
      </x:c>
      <x:c r="K101" s="22" t="n">
        <x:v>0</x:v>
      </x:c>
      <x:c r="L101" s="22" t="n">
        <x:v>0</x:v>
      </x:c>
      <x:c r="M101" s="28" t="n">
        <x:v>0</x:v>
      </x:c>
      <x:c r="N101" s="28" t="n">
        <x:v>0</x:v>
      </x:c>
      <x:c r="O101" s="28" t="n">
        <x:v>0</x:v>
      </x:c>
      <x:c r="P101" s="62" t="n">
        <x:v>0</x:v>
      </x:c>
      <x:c r="Q101" s="22" t="n">
        <x:v>0</x:v>
      </x:c>
      <x:c r="R101" s="22" t="str"/>
      <x:c r="S101" s="22" t="str"/>
      <x:c r="T101" s="22" t="str"/>
    </x:row>
    <x:row r="102">
      <x:c r="A102" s="22" t="str">
        <x:v>2021-00016</x:v>
      </x:c>
      <x:c r="B102" s="22" t="str">
        <x:v>L2025-00063-1</x:v>
      </x:c>
      <x:c r="C102" s="22" t="str">
        <x:v>용역</x:v>
      </x:c>
      <x:c r="D102" s="25" t="str">
        <x:v>(긴급) 가나대학교 한-가나 연구 및 ICT 혁신센터 건립사업 시공감리용역 선정</x:v>
      </x:c>
      <x:c r="E102" s="22" t="n">
        <x:v>0</x:v>
      </x:c>
      <x:c r="F102" s="22" t="str">
        <x:v>.pdf</x:v>
      </x:c>
      <x:c r="G102" s="25" t="str">
        <x:v>L2025-00063-1/5. 현지 입찰 필수 서류(조감도 미포함)/Section 9_Attachment (KOICA Regulation)/Attachment (KOICA Regulation)/Regulations for Procurement and Contract in Grant Aid Projects(대외무상협력사업에 관한 조달 및 계약규정)_20190520.pdf</x:v>
      </x:c>
      <x:c r="H102" s="28" t="n">
        <x:v>157627</x:v>
      </x:c>
      <x:c r="I102" s="22" t="str">
        <x:v>bcc6062e083bacf0c4b014b08f7566dde8d7c56ad7f791e30c25a04e71aee5ec</x:v>
      </x:c>
      <x:c r="J102" s="22" t="n">
        <x:v>0</x:v>
      </x:c>
      <x:c r="K102" s="22" t="n">
        <x:v>0</x:v>
      </x:c>
      <x:c r="L102" s="22" t="n">
        <x:v>0</x:v>
      </x:c>
      <x:c r="M102" s="28" t="n">
        <x:v>0</x:v>
      </x:c>
      <x:c r="N102" s="28" t="n">
        <x:v>0</x:v>
      </x:c>
      <x:c r="O102" s="28" t="n">
        <x:v>0</x:v>
      </x:c>
      <x:c r="P102" s="62" t="n">
        <x:v>0</x:v>
      </x:c>
      <x:c r="Q102" s="22" t="n">
        <x:v>0</x:v>
      </x:c>
      <x:c r="R102" s="22" t="str"/>
      <x:c r="S102" s="22" t="str"/>
      <x:c r="T102" s="22" t="str"/>
    </x:row>
    <x:row r="103">
      <x:c r="A103" s="22" t="str">
        <x:v>2021-00016</x:v>
      </x:c>
      <x:c r="B103" s="22" t="str">
        <x:v>L2025-00063-1</x:v>
      </x:c>
      <x:c r="C103" s="22" t="str">
        <x:v>용역</x:v>
      </x:c>
      <x:c r="D103" s="25" t="str">
        <x:v>(긴급) 가나대학교 한-가나 연구 및 ICT 혁신센터 건립사업 시공감리용역 선정</x:v>
      </x:c>
      <x:c r="E103" s="22" t="n">
        <x:v>0</x:v>
      </x:c>
      <x:c r="F103" s="22" t="str">
        <x:v>.pdf</x:v>
      </x:c>
      <x:c r="G103" s="25" t="str">
        <x:v>L2025-00063-1/5. 현지 입찰 필수 서류(조감도 미포함)/Section 9_Attachment (KOICA Regulation)/Attachment (KOICA Regulation)/Standards of Qualification Examination for Selection of Constructor(시공사선정적격심사기준)_20140403.pdf</x:v>
      </x:c>
      <x:c r="H103" s="28" t="n">
        <x:v>315288</x:v>
      </x:c>
      <x:c r="I103" s="22" t="str">
        <x:v>1b27d92e7041a9d53b17342ea9a7af1277b13521256c1b62f80ef7fc093b79e8</x:v>
      </x:c>
      <x:c r="J103" s="22" t="n">
        <x:v>0</x:v>
      </x:c>
      <x:c r="K103" s="22" t="n">
        <x:v>0</x:v>
      </x:c>
      <x:c r="L103" s="22" t="n">
        <x:v>0</x:v>
      </x:c>
      <x:c r="M103" s="28" t="n">
        <x:v>0</x:v>
      </x:c>
      <x:c r="N103" s="28" t="n">
        <x:v>0</x:v>
      </x:c>
      <x:c r="O103" s="28" t="n">
        <x:v>0</x:v>
      </x:c>
      <x:c r="P103" s="62" t="n">
        <x:v>0</x:v>
      </x:c>
      <x:c r="Q103" s="22" t="n">
        <x:v>0</x:v>
      </x:c>
      <x:c r="R103" s="22" t="str"/>
      <x:c r="S103" s="22" t="str"/>
      <x:c r="T103" s="22" t="str"/>
    </x:row>
    <x:row r="104">
      <x:c r="A104" s="22" t="str">
        <x:v>2021-00016</x:v>
      </x:c>
      <x:c r="B104" s="22" t="str">
        <x:v>L2025-00063-1</x:v>
      </x:c>
      <x:c r="C104" s="22" t="str">
        <x:v>용역</x:v>
      </x:c>
      <x:c r="D104" s="25" t="str">
        <x:v>(긴급) 가나대학교 한-가나 연구 및 ICT 혁신센터 건립사업 시공감리용역 선정</x:v>
      </x:c>
      <x:c r="E104" s="22" t="n">
        <x:v>0</x:v>
      </x:c>
      <x:c r="F104" s="22" t="str">
        <x:v>.pdf</x:v>
      </x:c>
      <x:c r="G104" s="25" t="str">
        <x:v>L2025-00063-1/5. 현지 입찰 필수 서류(조감도 미포함)/Section 9_Attachment (KOICA Regulation)/Attachment (KOICA Regulation)/Detailed Enforcement Rules of the Regulations for Procurement and Contract in Grant Aid Projects(대외무상협력사업에 관한 조달 및 계약규정 시ᄒ.pdf</x:v>
      </x:c>
      <x:c r="H104" s="28" t="n">
        <x:v>554876</x:v>
      </x:c>
      <x:c r="I104" s="22" t="str">
        <x:v>23f11f2154d32db6e78fbfdafb1f52aeba37778e2dd3b78a197b4ea4c2d44892</x:v>
      </x:c>
      <x:c r="J104" s="22" t="n">
        <x:v>0</x:v>
      </x:c>
      <x:c r="K104" s="22" t="n">
        <x:v>0</x:v>
      </x:c>
      <x:c r="L104" s="22" t="n">
        <x:v>0</x:v>
      </x:c>
      <x:c r="M104" s="28" t="n">
        <x:v>0</x:v>
      </x:c>
      <x:c r="N104" s="28" t="n">
        <x:v>0</x:v>
      </x:c>
      <x:c r="O104" s="28" t="n">
        <x:v>0</x:v>
      </x:c>
      <x:c r="P104" s="62" t="n">
        <x:v>0</x:v>
      </x:c>
      <x:c r="Q104" s="22" t="n">
        <x:v>0</x:v>
      </x:c>
      <x:c r="R104" s="22" t="str"/>
      <x:c r="S104" s="22" t="str"/>
      <x:c r="T104" s="22" t="str"/>
    </x:row>
    <x:row r="105">
      <x:c r="A105" s="22" t="str">
        <x:v>2021-00016</x:v>
      </x:c>
      <x:c r="B105" s="22" t="str">
        <x:v>L2025-00063-1</x:v>
      </x:c>
      <x:c r="C105" s="22" t="str">
        <x:v>용역</x:v>
      </x:c>
      <x:c r="D105" s="25" t="str">
        <x:v>(긴급) 가나대학교 한-가나 연구 및 ICT 혁신센터 건립사업 시공감리용역 선정</x:v>
      </x:c>
      <x:c r="E105" s="22" t="n">
        <x:v>0</x:v>
      </x:c>
      <x:c r="F105" s="22" t="str">
        <x:v>.pdf</x:v>
      </x:c>
      <x:c r="G105" s="25" t="str">
        <x:v>L2025-00063-1/5. 현지 입찰 필수 서류(조감도 미포함)/Section 9_Attachment (KOICA Regulation)/Attachment (KOICA Regulation)/KOICA Regulations for International Procurement(국제조달규정)_20190304.pdf</x:v>
      </x:c>
      <x:c r="H105" s="28" t="n">
        <x:v>375625</x:v>
      </x:c>
      <x:c r="I105" s="22" t="str">
        <x:v>a9706e28e1564ba06a6ac833994e7d323b6b5eba68271f1ce70a46a8bd93a7b8</x:v>
      </x:c>
      <x:c r="J105" s="22" t="n">
        <x:v>0</x:v>
      </x:c>
      <x:c r="K105" s="22" t="n">
        <x:v>0</x:v>
      </x:c>
      <x:c r="L105" s="22" t="n">
        <x:v>0</x:v>
      </x:c>
      <x:c r="M105" s="28" t="n">
        <x:v>0</x:v>
      </x:c>
      <x:c r="N105" s="28" t="n">
        <x:v>0</x:v>
      </x:c>
      <x:c r="O105" s="28" t="n">
        <x:v>0</x:v>
      </x:c>
      <x:c r="P105" s="62" t="n">
        <x:v>0</x:v>
      </x:c>
      <x:c r="Q105" s="22" t="n">
        <x:v>0</x:v>
      </x:c>
      <x:c r="R105" s="22" t="str"/>
      <x:c r="S105" s="22" t="str"/>
      <x:c r="T105" s="22" t="str"/>
    </x:row>
    <x:row r="106">
      <x:c r="A106" s="22" t="str">
        <x:v>2020-00070</x:v>
      </x:c>
      <x:c r="B106" s="22" t="str">
        <x:v>L2022-00059-1</x:v>
      </x:c>
      <x:c r="C106" s="22" t="str">
        <x:v>용역</x:v>
      </x:c>
      <x:c r="D106" s="25" t="str">
        <x:v>도미니카(공) 여성 중심 취약계층 사회경제적 역량강화사업 - 하이나 및 몬테크리스티 직업훈련센터 설계용역 입찰</x:v>
      </x:c>
      <x:c r="E106" s="22" t="n">
        <x:v>0</x:v>
      </x:c>
      <x:c r="F106" s="22" t="str">
        <x:v>.zip</x:v>
      </x:c>
      <x:c r="G106" s="25" t="str">
        <x:v>L2022-00059-1/입찰안내자료(영문).zip</x:v>
      </x:c>
      <x:c r="H106" s="28" t="n">
        <x:v>7421266</x:v>
      </x:c>
      <x:c r="I106" s="22" t="str">
        <x:v>f30bf3fa801d00f11be97fde53bcfd561d228ed6e954f7d9c7484cd05c8328dc</x:v>
      </x:c>
      <x:c r="J106" s="22" t="n">
        <x:v>0</x:v>
      </x:c>
      <x:c r="K106" s="22" t="n">
        <x:v>0</x:v>
      </x:c>
      <x:c r="L106" s="22" t="n">
        <x:v>0</x:v>
      </x:c>
      <x:c r="M106" s="28" t="n">
        <x:v>0</x:v>
      </x:c>
      <x:c r="N106" s="28" t="n">
        <x:v>0</x:v>
      </x:c>
      <x:c r="O106" s="28" t="n">
        <x:v>0</x:v>
      </x:c>
      <x:c r="P106" s="62" t="n">
        <x:v>0</x:v>
      </x:c>
      <x:c r="Q106" s="22" t="n">
        <x:v>0</x:v>
      </x:c>
      <x:c r="R106" s="22" t="str"/>
      <x:c r="S106" s="22" t="str"/>
      <x:c r="T106" s="22" t="str"/>
    </x:row>
    <x:row r="107">
      <x:c r="A107" s="22" t="str">
        <x:v>2020-00070</x:v>
      </x:c>
      <x:c r="B107" s="22" t="str">
        <x:v>L2022-00059-1</x:v>
      </x:c>
      <x:c r="C107" s="22" t="str">
        <x:v>용역</x:v>
      </x:c>
      <x:c r="D107" s="25" t="str">
        <x:v>도미니카(공) 여성 중심 취약계층 사회경제적 역량강화사업 - 하이나 및 몬테크리스티 직업훈련센터 설계용역 입찰</x:v>
      </x:c>
      <x:c r="E107" s="22" t="n">
        <x:v>0</x:v>
      </x:c>
      <x:c r="F107" s="22" t="str">
        <x:v>.hwp</x:v>
      </x:c>
      <x:c r="G107" s="25" t="str">
        <x:v>L2022-00059-1/입찰설명서(국문).hwp</x:v>
      </x:c>
      <x:c r="H107" s="28" t="n">
        <x:v>9704448</x:v>
      </x:c>
      <x:c r="I107" s="22" t="str">
        <x:v>3c0e099e520ad628dcd4e9dad0e66c96bd71791c0ea1e1646b0f7b86220f544d</x:v>
      </x:c>
      <x:c r="J107" s="22" t="n">
        <x:v>0</x:v>
      </x:c>
      <x:c r="K107" s="22" t="n">
        <x:v>0</x:v>
      </x:c>
      <x:c r="L107" s="22" t="n">
        <x:v>0</x:v>
      </x:c>
      <x:c r="M107" s="28" t="n">
        <x:v>0</x:v>
      </x:c>
      <x:c r="N107" s="28" t="n">
        <x:v>0</x:v>
      </x:c>
      <x:c r="O107" s="28" t="n">
        <x:v>0</x:v>
      </x:c>
      <x:c r="P107" s="62" t="n">
        <x:v>0</x:v>
      </x:c>
      <x:c r="Q107" s="22" t="n">
        <x:v>0</x:v>
      </x:c>
      <x:c r="R107" s="22" t="str"/>
      <x:c r="S107" s="22" t="str"/>
      <x:c r="T107" s="22" t="str"/>
    </x:row>
    <x:row r="108">
      <x:c r="A108" s="22" t="str">
        <x:v>2020-00070</x:v>
      </x:c>
      <x:c r="B108" s="22" t="str">
        <x:v>L2022-00059-1</x:v>
      </x:c>
      <x:c r="C108" s="22" t="str">
        <x:v>용역</x:v>
      </x:c>
      <x:c r="D108" s="25" t="str">
        <x:v>도미니카(공) 여성 중심 취약계층 사회경제적 역량강화사업 - 하이나 및 몬테크리스티 직업훈련센터 설계용역 입찰</x:v>
      </x:c>
      <x:c r="E108" s="22" t="n">
        <x:v>0</x:v>
      </x:c>
      <x:c r="F108" s="22" t="str">
        <x:v>.docx</x:v>
      </x:c>
      <x:c r="G108" s="25" t="str">
        <x:v>L2022-00059-1/입찰공고문(영문).docx</x:v>
      </x:c>
      <x:c r="H108" s="28" t="n">
        <x:v>17788</x:v>
      </x:c>
      <x:c r="I108" s="22" t="str">
        <x:v>39f757f604002803e13d981afeaecabd59e189ba7b27e4791f459342052cafec</x:v>
      </x:c>
      <x:c r="J108" s="22" t="n">
        <x:v>0</x:v>
      </x:c>
      <x:c r="K108" s="22" t="n">
        <x:v>0</x:v>
      </x:c>
      <x:c r="L108" s="22" t="n">
        <x:v>0</x:v>
      </x:c>
      <x:c r="M108" s="28" t="n">
        <x:v>0</x:v>
      </x:c>
      <x:c r="N108" s="28" t="n">
        <x:v>0</x:v>
      </x:c>
      <x:c r="O108" s="28" t="n">
        <x:v>0</x:v>
      </x:c>
      <x:c r="P108" s="62" t="n">
        <x:v>0</x:v>
      </x:c>
      <x:c r="Q108" s="22" t="n">
        <x:v>0</x:v>
      </x:c>
      <x:c r="R108" s="22" t="str"/>
      <x:c r="S108" s="22" t="str"/>
      <x:c r="T108" s="22" t="str"/>
    </x:row>
    <x:row r="109">
      <x:c r="A109" s="22" t="str">
        <x:v>2020-00070</x:v>
      </x:c>
      <x:c r="B109" s="22" t="str">
        <x:v>L2022-00059-1</x:v>
      </x:c>
      <x:c r="C109" s="22" t="str">
        <x:v>용역</x:v>
      </x:c>
      <x:c r="D109" s="25" t="str">
        <x:v>도미니카(공) 여성 중심 취약계층 사회경제적 역량강화사업 - 하이나 및 몬테크리스티 직업훈련센터 설계용역 입찰</x:v>
      </x:c>
      <x:c r="E109" s="22" t="n">
        <x:v>0</x:v>
      </x:c>
      <x:c r="F109" s="22" t="str">
        <x:v>.docx</x:v>
      </x:c>
      <x:c r="G109" s="25" t="str">
        <x:v>L2022-00059-1/입찰안내자료(영문)/1. Dominican Rep Haina n Monte Cristi CCPP Bidding  Guideline.docx</x:v>
      </x:c>
      <x:c r="H109" s="28" t="n">
        <x:v>1771271</x:v>
      </x:c>
      <x:c r="I109" s="22" t="str">
        <x:v>4b1fcc5aadf11691beb351eb187573027b6608303f0018e6e2fdf3a390b08541</x:v>
      </x:c>
      <x:c r="J109" s="22" t="n">
        <x:v>0</x:v>
      </x:c>
      <x:c r="K109" s="22" t="n">
        <x:v>0</x:v>
      </x:c>
      <x:c r="L109" s="22" t="n">
        <x:v>0</x:v>
      </x:c>
      <x:c r="M109" s="28" t="n">
        <x:v>0</x:v>
      </x:c>
      <x:c r="N109" s="28" t="n">
        <x:v>0</x:v>
      </x:c>
      <x:c r="O109" s="28" t="n">
        <x:v>0</x:v>
      </x:c>
      <x:c r="P109" s="62" t="n">
        <x:v>0</x:v>
      </x:c>
      <x:c r="Q109" s="22" t="n">
        <x:v>0</x:v>
      </x:c>
      <x:c r="R109" s="22" t="str"/>
      <x:c r="S109" s="22" t="str"/>
      <x:c r="T109" s="22" t="str"/>
    </x:row>
    <x:row r="110">
      <x:c r="A110" s="22" t="str">
        <x:v>2020-00070</x:v>
      </x:c>
      <x:c r="B110" s="22" t="str">
        <x:v>L2022-00059-1</x:v>
      </x:c>
      <x:c r="C110" s="22" t="str">
        <x:v>용역</x:v>
      </x:c>
      <x:c r="D110" s="25" t="str">
        <x:v>도미니카(공) 여성 중심 취약계층 사회경제적 역량강화사업 - 하이나 및 몬테크리스티 직업훈련센터 설계용역 입찰</x:v>
      </x:c>
      <x:c r="E110" s="22" t="n">
        <x:v>0</x:v>
      </x:c>
      <x:c r="F110" s="22" t="str">
        <x:v>.docx</x:v>
      </x:c>
      <x:c r="G110" s="25" t="str">
        <x:v>L2022-00059-1/입찰안내자료(영문)/3. Dominican Rep Haina n Monte Cristi CCPP Bidding Forms.docx</x:v>
      </x:c>
      <x:c r="H110" s="28" t="n">
        <x:v>62454</x:v>
      </x:c>
      <x:c r="I110" s="22" t="str">
        <x:v>452928d1488e495882a38699bcabe87c95a58cee21bfa36597dbbb98bb9c6271</x:v>
      </x:c>
      <x:c r="J110" s="22" t="n">
        <x:v>0</x:v>
      </x:c>
      <x:c r="K110" s="22" t="n">
        <x:v>0</x:v>
      </x:c>
      <x:c r="L110" s="22" t="n">
        <x:v>0</x:v>
      </x:c>
      <x:c r="M110" s="28" t="n">
        <x:v>0</x:v>
      </x:c>
      <x:c r="N110" s="28" t="n">
        <x:v>0</x:v>
      </x:c>
      <x:c r="O110" s="28" t="n">
        <x:v>0</x:v>
      </x:c>
      <x:c r="P110" s="62" t="n">
        <x:v>0</x:v>
      </x:c>
      <x:c r="Q110" s="22" t="n">
        <x:v>0</x:v>
      </x:c>
      <x:c r="R110" s="22" t="str"/>
      <x:c r="S110" s="22" t="str"/>
      <x:c r="T110" s="22" t="str"/>
    </x:row>
    <x:row r="111">
      <x:c r="A111" s="22" t="str">
        <x:v>2020-00070</x:v>
      </x:c>
      <x:c r="B111" s="22" t="str">
        <x:v>L2022-00059-1</x:v>
      </x:c>
      <x:c r="C111" s="22" t="str">
        <x:v>용역</x:v>
      </x:c>
      <x:c r="D111" s="25" t="str">
        <x:v>도미니카(공) 여성 중심 취약계층 사회경제적 역량강화사업 - 하이나 및 몬테크리스티 직업훈련센터 설계용역 입찰</x:v>
      </x:c>
      <x:c r="E111" s="22" t="n">
        <x:v>0</x:v>
      </x:c>
      <x:c r="F111" s="22" t="str">
        <x:v>.docx</x:v>
      </x:c>
      <x:c r="G111" s="25" t="str">
        <x:v>L2022-00059-1/입찰안내자료(영문)/4. Dominican Rep Haina n Monte Cristi CCPP Terms of Reference.docx</x:v>
      </x:c>
      <x:c r="H111" s="28" t="n">
        <x:v>4222506</x:v>
      </x:c>
      <x:c r="I111" s="22" t="str">
        <x:v>190700f2250e95d086beee42c1b6af9bb65f109d81a39ece64d141688655ade9</x:v>
      </x:c>
      <x:c r="J111" s="22" t="n">
        <x:v>0</x:v>
      </x:c>
      <x:c r="K111" s="22" t="n">
        <x:v>0</x:v>
      </x:c>
      <x:c r="L111" s="22" t="n">
        <x:v>0</x:v>
      </x:c>
      <x:c r="M111" s="28" t="n">
        <x:v>0</x:v>
      </x:c>
      <x:c r="N111" s="28" t="n">
        <x:v>0</x:v>
      </x:c>
      <x:c r="O111" s="28" t="n">
        <x:v>0</x:v>
      </x:c>
      <x:c r="P111" s="62" t="n">
        <x:v>0</x:v>
      </x:c>
      <x:c r="Q111" s="22" t="n">
        <x:v>0</x:v>
      </x:c>
      <x:c r="R111" s="22" t="str"/>
      <x:c r="S111" s="22" t="str"/>
      <x:c r="T111" s="22" t="str"/>
    </x:row>
    <x:row r="112">
      <x:c r="A112" s="22" t="str">
        <x:v>2020-00070</x:v>
      </x:c>
      <x:c r="B112" s="22" t="str">
        <x:v>L2022-00059-1</x:v>
      </x:c>
      <x:c r="C112" s="22" t="str">
        <x:v>용역</x:v>
      </x:c>
      <x:c r="D112" s="25" t="str">
        <x:v>도미니카(공) 여성 중심 취약계층 사회경제적 역량강화사업 - 하이나 및 몬테크리스티 직업훈련센터 설계용역 입찰</x:v>
      </x:c>
      <x:c r="E112" s="22" t="n">
        <x:v>0</x:v>
      </x:c>
      <x:c r="F112" s="22" t="str">
        <x:v>.docx</x:v>
      </x:c>
      <x:c r="G112" s="25" t="str">
        <x:v>L2022-00059-1/입찰안내자료(영문)/5. Dominican Rep Haina n Monte Cristi CCPP Standard Forms  of Contract.docx</x:v>
      </x:c>
      <x:c r="H112" s="28" t="n">
        <x:v>63290</x:v>
      </x:c>
      <x:c r="I112" s="22" t="str">
        <x:v>1c003759d344deaa4031c16d84a1d67f50fdc642c874977150c65dc710ba669e</x:v>
      </x:c>
      <x:c r="J112" s="22" t="n">
        <x:v>0</x:v>
      </x:c>
      <x:c r="K112" s="22" t="n">
        <x:v>0</x:v>
      </x:c>
      <x:c r="L112" s="22" t="n">
        <x:v>0</x:v>
      </x:c>
      <x:c r="M112" s="28" t="n">
        <x:v>0</x:v>
      </x:c>
      <x:c r="N112" s="28" t="n">
        <x:v>0</x:v>
      </x:c>
      <x:c r="O112" s="28" t="n">
        <x:v>0</x:v>
      </x:c>
      <x:c r="P112" s="62" t="n">
        <x:v>0</x:v>
      </x:c>
      <x:c r="Q112" s="22" t="n">
        <x:v>0</x:v>
      </x:c>
      <x:c r="R112" s="22" t="str"/>
      <x:c r="S112" s="22" t="str"/>
      <x:c r="T112" s="22" t="str"/>
    </x:row>
    <x:row r="113">
      <x:c r="A113" s="22" t="str">
        <x:v>2020-00070</x:v>
      </x:c>
      <x:c r="B113" s="22" t="str">
        <x:v>L2022-00059-1</x:v>
      </x:c>
      <x:c r="C113" s="22" t="str">
        <x:v>용역</x:v>
      </x:c>
      <x:c r="D113" s="25" t="str">
        <x:v>도미니카(공) 여성 중심 취약계층 사회경제적 역량강화사업 - 하이나 및 몬테크리스티 직업훈련센터 설계용역 입찰</x:v>
      </x:c>
      <x:c r="E113" s="22" t="n">
        <x:v>0</x:v>
      </x:c>
      <x:c r="F113" s="22" t="str">
        <x:v>.zip</x:v>
      </x:c>
      <x:c r="G113" s="25" t="str">
        <x:v>L2022-00059-1/입찰안내자료(영문)/6. Site.zip</x:v>
      </x:c>
      <x:c r="H113" s="28" t="n">
        <x:v>1410824</x:v>
      </x:c>
      <x:c r="I113" s="22" t="str">
        <x:v>41dafa7f52b16a23495986328b1da5fcdbe640ee4a28503b754120fa60acd293</x:v>
      </x:c>
      <x:c r="J113" s="22" t="n">
        <x:v>0</x:v>
      </x:c>
      <x:c r="K113" s="22" t="n">
        <x:v>0</x:v>
      </x:c>
      <x:c r="L113" s="22" t="n">
        <x:v>0</x:v>
      </x:c>
      <x:c r="M113" s="28" t="n">
        <x:v>0</x:v>
      </x:c>
      <x:c r="N113" s="28" t="n">
        <x:v>0</x:v>
      </x:c>
      <x:c r="O113" s="28" t="n">
        <x:v>0</x:v>
      </x:c>
      <x:c r="P113" s="62" t="n">
        <x:v>0</x:v>
      </x:c>
      <x:c r="Q113" s="22" t="n">
        <x:v>0</x:v>
      </x:c>
      <x:c r="R113" s="22" t="str"/>
      <x:c r="S113" s="22" t="str"/>
      <x:c r="T113" s="22" t="str"/>
    </x:row>
    <x:row r="114">
      <x:c r="A114" s="22" t="str">
        <x:v>2020-00070</x:v>
      </x:c>
      <x:c r="B114" s="22" t="str">
        <x:v>L2022-00059-1</x:v>
      </x:c>
      <x:c r="C114" s="22" t="str">
        <x:v>용역</x:v>
      </x:c>
      <x:c r="D114" s="25" t="str">
        <x:v>도미니카(공) 여성 중심 취약계층 사회경제적 역량강화사업 - 하이나 및 몬테크리스티 직업훈련센터 설계용역 입찰</x:v>
      </x:c>
      <x:c r="E114" s="22" t="n">
        <x:v>0</x:v>
      </x:c>
      <x:c r="F114" s="22" t="str">
        <x:v>.docx</x:v>
      </x:c>
      <x:c r="G114" s="25" t="str">
        <x:v>L2022-00059-1/입찰안내자료(영문)/2. Dominican Rep Haina n Monte Cristi CCPP Instructions on Intl Bidding for the Provision of Services.docx</x:v>
      </x:c>
      <x:c r="H114" s="28" t="n">
        <x:v>35313</x:v>
      </x:c>
      <x:c r="I114" s="22" t="str">
        <x:v>7211988f637958395d3bed6425f05f5120c1a81d5c2ae8f61d092d40e565a87c</x:v>
      </x:c>
      <x:c r="J114" s="22" t="n">
        <x:v>0</x:v>
      </x:c>
      <x:c r="K114" s="22" t="n">
        <x:v>0</x:v>
      </x:c>
      <x:c r="L114" s="22" t="n">
        <x:v>0</x:v>
      </x:c>
      <x:c r="M114" s="28" t="n">
        <x:v>0</x:v>
      </x:c>
      <x:c r="N114" s="28" t="n">
        <x:v>0</x:v>
      </x:c>
      <x:c r="O114" s="28" t="n">
        <x:v>0</x:v>
      </x:c>
      <x:c r="P114" s="62" t="n">
        <x:v>0</x:v>
      </x:c>
      <x:c r="Q114" s="22" t="n">
        <x:v>0</x:v>
      </x:c>
      <x:c r="R114" s="22" t="str"/>
      <x:c r="S114" s="22" t="str"/>
      <x:c r="T114" s="22" t="str"/>
    </x:row>
    <x:row r="115">
      <x:c r="A115" s="22" t="str">
        <x:v>2020-00070</x:v>
      </x:c>
      <x:c r="B115" s="22" t="str">
        <x:v>L2022-00059-1</x:v>
      </x:c>
      <x:c r="C115" s="22" t="str">
        <x:v>용역</x:v>
      </x:c>
      <x:c r="D115" s="25" t="str">
        <x:v>도미니카(공) 여성 중심 취약계층 사회경제적 역량강화사업 - 하이나 및 몬테크리스티 직업훈련센터 설계용역 입찰</x:v>
      </x:c>
      <x:c r="E115" s="22" t="n">
        <x:v>0</x:v>
      </x:c>
      <x:c r="F115" s="22" t="str">
        <x:v>.dwg</x:v>
      </x:c>
      <x:c r="G115" s="25" t="str">
        <x:v>L2022-00059-1/입찰안내자료(영문)/6. Site/Haina 지형도, 지적도 비교_윤수정.dwg</x:v>
      </x:c>
      <x:c r="H115" s="28" t="n">
        <x:v>599489</x:v>
      </x:c>
      <x:c r="I115" s="22" t="str">
        <x:v>18bb5a1758d7ef0a5e4d63fc120f6b5639568541f26f53f674d033302717a686</x:v>
      </x:c>
      <x:c r="J115" s="22" t="n">
        <x:v>0</x:v>
      </x:c>
      <x:c r="K115" s="22" t="n">
        <x:v>0</x:v>
      </x:c>
      <x:c r="L115" s="22" t="n">
        <x:v>0</x:v>
      </x:c>
      <x:c r="M115" s="28" t="n">
        <x:v>0</x:v>
      </x:c>
      <x:c r="N115" s="28" t="n">
        <x:v>0</x:v>
      </x:c>
      <x:c r="O115" s="28" t="n">
        <x:v>0</x:v>
      </x:c>
      <x:c r="P115" s="62" t="n">
        <x:v>0</x:v>
      </x:c>
      <x:c r="Q115" s="22" t="n">
        <x:v>0</x:v>
      </x:c>
      <x:c r="R115" s="22" t="str"/>
      <x:c r="S115" s="22" t="str"/>
      <x:c r="T115" s="22" t="str"/>
    </x:row>
    <x:row r="116">
      <x:c r="A116" s="22" t="str">
        <x:v>2020-00070</x:v>
      </x:c>
      <x:c r="B116" s="22" t="str">
        <x:v>L2022-00059-1</x:v>
      </x:c>
      <x:c r="C116" s="22" t="str">
        <x:v>용역</x:v>
      </x:c>
      <x:c r="D116" s="25" t="str">
        <x:v>도미니카(공) 여성 중심 취약계층 사회경제적 역량강화사업 - 하이나 및 몬테크리스티 직업훈련센터 설계용역 입찰</x:v>
      </x:c>
      <x:c r="E116" s="22" t="n">
        <x:v>0</x:v>
      </x:c>
      <x:c r="F116" s="22" t="str">
        <x:v>.dwg</x:v>
      </x:c>
      <x:c r="G116" s="25" t="str">
        <x:v>L2022-00059-1/입찰안내자료(영문)/6. Site/CCPP y CDI Montecristi Nov 2021_윤수정.dwg</x:v>
      </x:c>
      <x:c r="H116" s="28" t="n">
        <x:v>1493475</x:v>
      </x:c>
      <x:c r="I116" s="22" t="str">
        <x:v>1b62d5508e044bef1a29b4a5c4b024d92ed8de128f810931d6cd187655b1eae5</x:v>
      </x:c>
      <x:c r="J116" s="22" t="n">
        <x:v>0</x:v>
      </x:c>
      <x:c r="K116" s="22" t="n">
        <x:v>0</x:v>
      </x:c>
      <x:c r="L116" s="22" t="n">
        <x:v>0</x:v>
      </x:c>
      <x:c r="M116" s="28" t="n">
        <x:v>0</x:v>
      </x:c>
      <x:c r="N116" s="28" t="n">
        <x:v>0</x:v>
      </x:c>
      <x:c r="O116" s="28" t="n">
        <x:v>0</x:v>
      </x:c>
      <x:c r="P116" s="62" t="n">
        <x:v>0</x:v>
      </x:c>
      <x:c r="Q116" s="22" t="n">
        <x:v>0</x:v>
      </x:c>
      <x:c r="R116" s="22" t="str"/>
      <x:c r="S116" s="22" t="str"/>
      <x:c r="T116" s="22" t="str"/>
    </x:row>
    <x:row r="117">
      <x:c r="A117" s="22" t="str">
        <x:v>2020-00070</x:v>
      </x:c>
      <x:c r="B117" s="22" t="str">
        <x:v>L2023-00040-1</x:v>
      </x:c>
      <x:c r="C117" s="22" t="str">
        <x:v>용역</x:v>
      </x:c>
      <x:c r="D117" s="25" t="str">
        <x:v>도미니카공화국 여성 중심 취약계층 사회경제적 역량강화사업 - 몬테크리스티 직업훈련센터 설계용역 입찰</x:v>
      </x:c>
      <x:c r="E117" s="22" t="n">
        <x:v>0</x:v>
      </x:c>
      <x:c r="F117" s="22" t="str">
        <x:v>.zip</x:v>
      </x:c>
      <x:c r="G117" s="25" t="str">
        <x:v>L2023-00040-1/입찰안내자료(영문).zip</x:v>
      </x:c>
      <x:c r="H117" s="28" t="n">
        <x:v>4261364</x:v>
      </x:c>
      <x:c r="I117" s="22" t="str">
        <x:v>3906f6af12bb5cdadeedcd466c193e5b3e809229bb95c9b81f517a1819a7e2e5</x:v>
      </x:c>
      <x:c r="J117" s="22" t="n">
        <x:v>0</x:v>
      </x:c>
      <x:c r="K117" s="22" t="n">
        <x:v>0</x:v>
      </x:c>
      <x:c r="L117" s="22" t="n">
        <x:v>0</x:v>
      </x:c>
      <x:c r="M117" s="28" t="n">
        <x:v>0</x:v>
      </x:c>
      <x:c r="N117" s="28" t="n">
        <x:v>0</x:v>
      </x:c>
      <x:c r="O117" s="28" t="n">
        <x:v>0</x:v>
      </x:c>
      <x:c r="P117" s="62" t="n">
        <x:v>0</x:v>
      </x:c>
      <x:c r="Q117" s="22" t="n">
        <x:v>0</x:v>
      </x:c>
      <x:c r="R117" s="22" t="str"/>
      <x:c r="S117" s="22" t="str"/>
      <x:c r="T117" s="22" t="str"/>
    </x:row>
    <x:row r="118">
      <x:c r="A118" s="22" t="str">
        <x:v>2020-00070</x:v>
      </x:c>
      <x:c r="B118" s="22" t="str">
        <x:v>L2023-00040-1</x:v>
      </x:c>
      <x:c r="C118" s="22" t="str">
        <x:v>용역</x:v>
      </x:c>
      <x:c r="D118" s="25" t="str">
        <x:v>도미니카공화국 여성 중심 취약계층 사회경제적 역량강화사업 - 몬테크리스티 직업훈련센터 설계용역 입찰</x:v>
      </x:c>
      <x:c r="E118" s="22" t="n">
        <x:v>0</x:v>
      </x:c>
      <x:c r="F118" s="22" t="str">
        <x:v>.hwp</x:v>
      </x:c>
      <x:c r="G118" s="25" t="str">
        <x:v>L2023-00040-1/입찰설명서(국문).hwp</x:v>
      </x:c>
      <x:c r="H118" s="28" t="n">
        <x:v>9687552</x:v>
      </x:c>
      <x:c r="I118" s="22" t="str">
        <x:v>2bee96b3094c1e0c7c51fb79f82147cddf4e80b32af8652ac22a2da0ee0b03a5</x:v>
      </x:c>
      <x:c r="J118" s="22" t="n">
        <x:v>0</x:v>
      </x:c>
      <x:c r="K118" s="22" t="n">
        <x:v>0</x:v>
      </x:c>
      <x:c r="L118" s="22" t="n">
        <x:v>0</x:v>
      </x:c>
      <x:c r="M118" s="28" t="n">
        <x:v>0</x:v>
      </x:c>
      <x:c r="N118" s="28" t="n">
        <x:v>0</x:v>
      </x:c>
      <x:c r="O118" s="28" t="n">
        <x:v>0</x:v>
      </x:c>
      <x:c r="P118" s="62" t="n">
        <x:v>0</x:v>
      </x:c>
      <x:c r="Q118" s="22" t="n">
        <x:v>0</x:v>
      </x:c>
      <x:c r="R118" s="22" t="str"/>
      <x:c r="S118" s="22" t="str"/>
      <x:c r="T118" s="22" t="str"/>
    </x:row>
    <x:row r="119">
      <x:c r="A119" s="22" t="str">
        <x:v>2020-00070</x:v>
      </x:c>
      <x:c r="B119" s="22" t="str">
        <x:v>L2023-00040-1</x:v>
      </x:c>
      <x:c r="C119" s="22" t="str">
        <x:v>용역</x:v>
      </x:c>
      <x:c r="D119" s="25" t="str">
        <x:v>도미니카공화국 여성 중심 취약계층 사회경제적 역량강화사업 - 몬테크리스티 직업훈련센터 설계용역 입찰</x:v>
      </x:c>
      <x:c r="E119" s="22" t="n">
        <x:v>0</x:v>
      </x:c>
      <x:c r="F119" s="22" t="str">
        <x:v>.docx</x:v>
      </x:c>
      <x:c r="G119" s="25" t="str">
        <x:v>L2023-00040-1/입찰공고문(영문).docx</x:v>
      </x:c>
      <x:c r="H119" s="28" t="n">
        <x:v>20129</x:v>
      </x:c>
      <x:c r="I119" s="22" t="str">
        <x:v>4c0010cdc1bf4106029019edeb43af2833b946c120d8be98d440bcf394412cf1</x:v>
      </x:c>
      <x:c r="J119" s="22" t="n">
        <x:v>0</x:v>
      </x:c>
      <x:c r="K119" s="22" t="n">
        <x:v>0</x:v>
      </x:c>
      <x:c r="L119" s="22" t="n">
        <x:v>0</x:v>
      </x:c>
      <x:c r="M119" s="28" t="n">
        <x:v>0</x:v>
      </x:c>
      <x:c r="N119" s="28" t="n">
        <x:v>0</x:v>
      </x:c>
      <x:c r="O119" s="28" t="n">
        <x:v>0</x:v>
      </x:c>
      <x:c r="P119" s="62" t="n">
        <x:v>0</x:v>
      </x:c>
      <x:c r="Q119" s="22" t="n">
        <x:v>0</x:v>
      </x:c>
      <x:c r="R119" s="22" t="str"/>
      <x:c r="S119" s="22" t="str"/>
      <x:c r="T119" s="22" t="str"/>
    </x:row>
    <x:row r="120">
      <x:c r="A120" s="22" t="str">
        <x:v>2020-00070</x:v>
      </x:c>
      <x:c r="B120" s="22" t="str">
        <x:v>L2023-00040-1</x:v>
      </x:c>
      <x:c r="C120" s="22" t="str">
        <x:v>용역</x:v>
      </x:c>
      <x:c r="D120" s="25" t="str">
        <x:v>도미니카공화국 여성 중심 취약계층 사회경제적 역량강화사업 - 몬테크리스티 직업훈련센터 설계용역 입찰</x:v>
      </x:c>
      <x:c r="E120" s="22" t="n">
        <x:v>0</x:v>
      </x:c>
      <x:c r="F120" s="22" t="str">
        <x:v>.docx</x:v>
      </x:c>
      <x:c r="G120" s="25" t="str">
        <x:v>L2023-00040-1/입찰안내자료(영문)/1. Instructions to Bidders (ITB) - Monte Cristi.docx</x:v>
      </x:c>
      <x:c r="H120" s="28" t="n">
        <x:v>35006</x:v>
      </x:c>
      <x:c r="I120" s="22" t="str">
        <x:v>d99316bc16b64f731b7d84b1c03648144a45942cafcf863739cd40abbd7ccbe7</x:v>
      </x:c>
      <x:c r="J120" s="22" t="n">
        <x:v>0</x:v>
      </x:c>
      <x:c r="K120" s="22" t="n">
        <x:v>0</x:v>
      </x:c>
      <x:c r="L120" s="22" t="n">
        <x:v>0</x:v>
      </x:c>
      <x:c r="M120" s="28" t="n">
        <x:v>0</x:v>
      </x:c>
      <x:c r="N120" s="28" t="n">
        <x:v>0</x:v>
      </x:c>
      <x:c r="O120" s="28" t="n">
        <x:v>0</x:v>
      </x:c>
      <x:c r="P120" s="62" t="n">
        <x:v>0</x:v>
      </x:c>
      <x:c r="Q120" s="22" t="n">
        <x:v>0</x:v>
      </x:c>
      <x:c r="R120" s="22" t="str"/>
      <x:c r="S120" s="22" t="str"/>
      <x:c r="T120" s="22" t="str"/>
    </x:row>
    <x:row r="121">
      <x:c r="A121" s="22" t="str">
        <x:v>2020-00070</x:v>
      </x:c>
      <x:c r="B121" s="22" t="str">
        <x:v>L2023-00040-1</x:v>
      </x:c>
      <x:c r="C121" s="22" t="str">
        <x:v>용역</x:v>
      </x:c>
      <x:c r="D121" s="25" t="str">
        <x:v>도미니카공화국 여성 중심 취약계층 사회경제적 역량강화사업 - 몬테크리스티 직업훈련센터 설계용역 입찰</x:v>
      </x:c>
      <x:c r="E121" s="22" t="n">
        <x:v>0</x:v>
      </x:c>
      <x:c r="F121" s="22" t="str">
        <x:v>.docx</x:v>
      </x:c>
      <x:c r="G121" s="25" t="str">
        <x:v>L2023-00040-1/입찰안내자료(영문)/6. Special Conditions of Contract.docx</x:v>
      </x:c>
      <x:c r="H121" s="28" t="n">
        <x:v>18931</x:v>
      </x:c>
      <x:c r="I121" s="22" t="str">
        <x:v>abf4d78e3052154c22bfce36eab3f682a300f5c7211780b7be2ad3792d6c6eb8</x:v>
      </x:c>
      <x:c r="J121" s="22" t="n">
        <x:v>0</x:v>
      </x:c>
      <x:c r="K121" s="22" t="n">
        <x:v>0</x:v>
      </x:c>
      <x:c r="L121" s="22" t="n">
        <x:v>0</x:v>
      </x:c>
      <x:c r="M121" s="28" t="n">
        <x:v>0</x:v>
      </x:c>
      <x:c r="N121" s="28" t="n">
        <x:v>0</x:v>
      </x:c>
      <x:c r="O121" s="28" t="n">
        <x:v>0</x:v>
      </x:c>
      <x:c r="P121" s="62" t="n">
        <x:v>0</x:v>
      </x:c>
      <x:c r="Q121" s="22" t="n">
        <x:v>0</x:v>
      </x:c>
      <x:c r="R121" s="22" t="str"/>
      <x:c r="S121" s="22" t="str"/>
      <x:c r="T121" s="22" t="str"/>
    </x:row>
    <x:row r="122">
      <x:c r="A122" s="22" t="str">
        <x:v>2020-00070</x:v>
      </x:c>
      <x:c r="B122" s="22" t="str">
        <x:v>L2023-00040-1</x:v>
      </x:c>
      <x:c r="C122" s="22" t="str">
        <x:v>용역</x:v>
      </x:c>
      <x:c r="D122" s="25" t="str">
        <x:v>도미니카공화국 여성 중심 취약계층 사회경제적 역량강화사업 - 몬테크리스티 직업훈련센터 설계용역 입찰</x:v>
      </x:c>
      <x:c r="E122" s="22" t="n">
        <x:v>0</x:v>
      </x:c>
      <x:c r="F122" s="22" t="str">
        <x:v>.docx</x:v>
      </x:c>
      <x:c r="G122" s="25" t="str">
        <x:v>L2023-00040-1/입찰안내자료(영문)/7. Contract Forms.docx</x:v>
      </x:c>
      <x:c r="H122" s="28" t="n">
        <x:v>23436</x:v>
      </x:c>
      <x:c r="I122" s="22" t="str">
        <x:v>09d50e34a61a73e2816c58040e8993baa212f97c73c2b56c7e244596b494caa8</x:v>
      </x:c>
      <x:c r="J122" s="22" t="n">
        <x:v>0</x:v>
      </x:c>
      <x:c r="K122" s="22" t="n">
        <x:v>0</x:v>
      </x:c>
      <x:c r="L122" s="22" t="n">
        <x:v>0</x:v>
      </x:c>
      <x:c r="M122" s="28" t="n">
        <x:v>0</x:v>
      </x:c>
      <x:c r="N122" s="28" t="n">
        <x:v>0</x:v>
      </x:c>
      <x:c r="O122" s="28" t="n">
        <x:v>0</x:v>
      </x:c>
      <x:c r="P122" s="62" t="n">
        <x:v>0</x:v>
      </x:c>
      <x:c r="Q122" s="22" t="n">
        <x:v>0</x:v>
      </x:c>
      <x:c r="R122" s="22" t="str"/>
      <x:c r="S122" s="22" t="str"/>
      <x:c r="T122" s="22" t="str"/>
    </x:row>
    <x:row r="123">
      <x:c r="A123" s="22" t="str">
        <x:v>2020-00070</x:v>
      </x:c>
      <x:c r="B123" s="22" t="str">
        <x:v>L2023-00040-1</x:v>
      </x:c>
      <x:c r="C123" s="22" t="str">
        <x:v>용역</x:v>
      </x:c>
      <x:c r="D123" s="25" t="str">
        <x:v>도미니카공화국 여성 중심 취약계층 사회경제적 역량강화사업 - 몬테크리스티 직업훈련센터 설계용역 입찰</x:v>
      </x:c>
      <x:c r="E123" s="22" t="n">
        <x:v>0</x:v>
      </x:c>
      <x:c r="F123" s="22" t="str">
        <x:v>.docx</x:v>
      </x:c>
      <x:c r="G123" s="25" t="str">
        <x:v>L2023-00040-1/입찰안내자료(영문)/5. General Conditions of Contract.docx</x:v>
      </x:c>
      <x:c r="H123" s="28" t="n">
        <x:v>27793</x:v>
      </x:c>
      <x:c r="I123" s="22" t="str">
        <x:v>13cc770865b1fb6006b9b268bfae9eb467d294377362f45607f0863d7320c4e3</x:v>
      </x:c>
      <x:c r="J123" s="22" t="n">
        <x:v>0</x:v>
      </x:c>
      <x:c r="K123" s="22" t="n">
        <x:v>0</x:v>
      </x:c>
      <x:c r="L123" s="22" t="n">
        <x:v>0</x:v>
      </x:c>
      <x:c r="M123" s="28" t="n">
        <x:v>0</x:v>
      </x:c>
      <x:c r="N123" s="28" t="n">
        <x:v>0</x:v>
      </x:c>
      <x:c r="O123" s="28" t="n">
        <x:v>0</x:v>
      </x:c>
      <x:c r="P123" s="62" t="n">
        <x:v>0</x:v>
      </x:c>
      <x:c r="Q123" s="22" t="n">
        <x:v>0</x:v>
      </x:c>
      <x:c r="R123" s="22" t="str"/>
      <x:c r="S123" s="22" t="str"/>
      <x:c r="T123" s="22" t="str"/>
    </x:row>
    <x:row r="124">
      <x:c r="A124" s="22" t="str">
        <x:v>2020-00070</x:v>
      </x:c>
      <x:c r="B124" s="22" t="str">
        <x:v>L2023-00040-1</x:v>
      </x:c>
      <x:c r="C124" s="22" t="str">
        <x:v>용역</x:v>
      </x:c>
      <x:c r="D124" s="25" t="str">
        <x:v>도미니카공화국 여성 중심 취약계층 사회경제적 역량강화사업 - 몬테크리스티 직업훈련센터 설계용역 입찰</x:v>
      </x:c>
      <x:c r="E124" s="22" t="n">
        <x:v>0</x:v>
      </x:c>
      <x:c r="F124" s="22" t="str">
        <x:v>.zip</x:v>
      </x:c>
      <x:c r="G124" s="25" t="str">
        <x:v>L2023-00040-1/입찰안내자료(영문)/Attachment #1 KOICA Regulations.zip</x:v>
      </x:c>
      <x:c r="H124" s="28" t="n">
        <x:v>1730418</x:v>
      </x:c>
      <x:c r="I124" s="22" t="str">
        <x:v>0adbec5e590ba395bec08194b6f053fc28aaa52f92cda6e211229c5460e0a744</x:v>
      </x:c>
      <x:c r="J124" s="22" t="n">
        <x:v>0</x:v>
      </x:c>
      <x:c r="K124" s="22" t="n">
        <x:v>0</x:v>
      </x:c>
      <x:c r="L124" s="22" t="n">
        <x:v>0</x:v>
      </x:c>
      <x:c r="M124" s="28" t="n">
        <x:v>0</x:v>
      </x:c>
      <x:c r="N124" s="28" t="n">
        <x:v>0</x:v>
      </x:c>
      <x:c r="O124" s="28" t="n">
        <x:v>0</x:v>
      </x:c>
      <x:c r="P124" s="62" t="n">
        <x:v>0</x:v>
      </x:c>
      <x:c r="Q124" s="22" t="n">
        <x:v>0</x:v>
      </x:c>
      <x:c r="R124" s="22" t="str"/>
      <x:c r="S124" s="22" t="str"/>
      <x:c r="T124" s="22" t="str"/>
    </x:row>
    <x:row r="125">
      <x:c r="A125" s="22" t="str">
        <x:v>2020-00070</x:v>
      </x:c>
      <x:c r="B125" s="22" t="str">
        <x:v>L2023-00040-1</x:v>
      </x:c>
      <x:c r="C125" s="22" t="str">
        <x:v>용역</x:v>
      </x:c>
      <x:c r="D125" s="25" t="str">
        <x:v>도미니카공화국 여성 중심 취약계층 사회경제적 역량강화사업 - 몬테크리스티 직업훈련센터 설계용역 입찰</x:v>
      </x:c>
      <x:c r="E125" s="22" t="n">
        <x:v>0</x:v>
      </x:c>
      <x:c r="F125" s="22" t="str">
        <x:v>.dwg</x:v>
      </x:c>
      <x:c r="G125" s="25" t="str">
        <x:v>L2023-00040-1/입찰안내자료(영문)/Attachment #2 Montecristi plano potografico.dwg</x:v>
      </x:c>
      <x:c r="H125" s="28" t="n">
        <x:v>1493475</x:v>
      </x:c>
      <x:c r="I125" s="22" t="str">
        <x:v>1b62d5508e044bef1a29b4a5c4b024d92ed8de128f810931d6cd187655b1eae5</x:v>
      </x:c>
      <x:c r="J125" s="22" t="n">
        <x:v>0</x:v>
      </x:c>
      <x:c r="K125" s="22" t="n">
        <x:v>0</x:v>
      </x:c>
      <x:c r="L125" s="22" t="n">
        <x:v>0</x:v>
      </x:c>
      <x:c r="M125" s="28" t="n">
        <x:v>0</x:v>
      </x:c>
      <x:c r="N125" s="28" t="n">
        <x:v>0</x:v>
      </x:c>
      <x:c r="O125" s="28" t="n">
        <x:v>0</x:v>
      </x:c>
      <x:c r="P125" s="62" t="n">
        <x:v>0</x:v>
      </x:c>
      <x:c r="Q125" s="22" t="n">
        <x:v>0</x:v>
      </x:c>
      <x:c r="R125" s="22" t="str"/>
      <x:c r="S125" s="22" t="str"/>
      <x:c r="T125" s="22" t="str"/>
    </x:row>
    <x:row r="126">
      <x:c r="A126" s="22" t="str">
        <x:v>2020-00070</x:v>
      </x:c>
      <x:c r="B126" s="22" t="str">
        <x:v>L2023-00040-1</x:v>
      </x:c>
      <x:c r="C126" s="22" t="str">
        <x:v>용역</x:v>
      </x:c>
      <x:c r="D126" s="25" t="str">
        <x:v>도미니카공화국 여성 중심 취약계층 사회경제적 역량강화사업 - 몬테크리스티 직업훈련센터 설계용역 입찰</x:v>
      </x:c>
      <x:c r="E126" s="22" t="n">
        <x:v>0</x:v>
      </x:c>
      <x:c r="F126" s="22" t="str">
        <x:v>.docx</x:v>
      </x:c>
      <x:c r="G126" s="25" t="str">
        <x:v>L2023-00040-1/입찰안내자료(영문)/4. Terms of Reference.docx</x:v>
      </x:c>
      <x:c r="H126" s="28" t="n">
        <x:v>1428431</x:v>
      </x:c>
      <x:c r="I126" s="22" t="str">
        <x:v>176c7b131ebaba1bbf100f32e2bf540c97e7759df46afbb85b5ca28aac3f5479</x:v>
      </x:c>
      <x:c r="J126" s="22" t="n">
        <x:v>0</x:v>
      </x:c>
      <x:c r="K126" s="22" t="n">
        <x:v>0</x:v>
      </x:c>
      <x:c r="L126" s="22" t="n">
        <x:v>0</x:v>
      </x:c>
      <x:c r="M126" s="28" t="n">
        <x:v>0</x:v>
      </x:c>
      <x:c r="N126" s="28" t="n">
        <x:v>0</x:v>
      </x:c>
      <x:c r="O126" s="28" t="n">
        <x:v>0</x:v>
      </x:c>
      <x:c r="P126" s="62" t="n">
        <x:v>0</x:v>
      </x:c>
      <x:c r="Q126" s="22" t="n">
        <x:v>0</x:v>
      </x:c>
      <x:c r="R126" s="22" t="str"/>
      <x:c r="S126" s="22" t="str"/>
      <x:c r="T126" s="22" t="str"/>
    </x:row>
    <x:row r="127">
      <x:c r="A127" s="22" t="str">
        <x:v>2020-00070</x:v>
      </x:c>
      <x:c r="B127" s="22" t="str">
        <x:v>L2023-00040-1</x:v>
      </x:c>
      <x:c r="C127" s="22" t="str">
        <x:v>용역</x:v>
      </x:c>
      <x:c r="D127" s="25" t="str">
        <x:v>도미니카공화국 여성 중심 취약계층 사회경제적 역량강화사업 - 몬테크리스티 직업훈련센터 설계용역 입찰</x:v>
      </x:c>
      <x:c r="E127" s="22" t="n">
        <x:v>0</x:v>
      </x:c>
      <x:c r="F127" s="22" t="str">
        <x:v>.docx</x:v>
      </x:c>
      <x:c r="G127" s="25" t="str">
        <x:v>L2023-00040-1/입찰안내자료(영문)/2. Bid Data Sheet (BDS).docx</x:v>
      </x:c>
      <x:c r="H127" s="28" t="n">
        <x:v>72455</x:v>
      </x:c>
      <x:c r="I127" s="22" t="str">
        <x:v>9443a67253eaa85efcbc15ead7c070e0b53895852723f89dd0b873c7951b0212</x:v>
      </x:c>
      <x:c r="J127" s="22" t="n">
        <x:v>0</x:v>
      </x:c>
      <x:c r="K127" s="22" t="n">
        <x:v>0</x:v>
      </x:c>
      <x:c r="L127" s="22" t="n">
        <x:v>0</x:v>
      </x:c>
      <x:c r="M127" s="28" t="n">
        <x:v>0</x:v>
      </x:c>
      <x:c r="N127" s="28" t="n">
        <x:v>0</x:v>
      </x:c>
      <x:c r="O127" s="28" t="n">
        <x:v>0</x:v>
      </x:c>
      <x:c r="P127" s="62" t="n">
        <x:v>0</x:v>
      </x:c>
      <x:c r="Q127" s="22" t="n">
        <x:v>0</x:v>
      </x:c>
      <x:c r="R127" s="22" t="str"/>
      <x:c r="S127" s="22" t="str"/>
      <x:c r="T127" s="22" t="str"/>
    </x:row>
    <x:row r="128">
      <x:c r="A128" s="22" t="str">
        <x:v>2020-00070</x:v>
      </x:c>
      <x:c r="B128" s="22" t="str">
        <x:v>L2023-00040-1</x:v>
      </x:c>
      <x:c r="C128" s="22" t="str">
        <x:v>용역</x:v>
      </x:c>
      <x:c r="D128" s="25" t="str">
        <x:v>도미니카공화국 여성 중심 취약계층 사회경제적 역량강화사업 - 몬테크리스티 직업훈련센터 설계용역 입찰</x:v>
      </x:c>
      <x:c r="E128" s="22" t="n">
        <x:v>0</x:v>
      </x:c>
      <x:c r="F128" s="22" t="str">
        <x:v>.docx</x:v>
      </x:c>
      <x:c r="G128" s="25" t="str">
        <x:v>L2023-00040-1/입찰안내자료(영문)/3. Bidding Forms.docx</x:v>
      </x:c>
      <x:c r="H128" s="28" t="n">
        <x:v>45160</x:v>
      </x:c>
      <x:c r="I128" s="22" t="str">
        <x:v>04030d3bde225f1473127a1c72b6bbd30d8f45ef083e5d120135d131fe65078d</x:v>
      </x:c>
      <x:c r="J128" s="22" t="n">
        <x:v>0</x:v>
      </x:c>
      <x:c r="K128" s="22" t="n">
        <x:v>0</x:v>
      </x:c>
      <x:c r="L128" s="22" t="n">
        <x:v>0</x:v>
      </x:c>
      <x:c r="M128" s="28" t="n">
        <x:v>0</x:v>
      </x:c>
      <x:c r="N128" s="28" t="n">
        <x:v>0</x:v>
      </x:c>
      <x:c r="O128" s="28" t="n">
        <x:v>0</x:v>
      </x:c>
      <x:c r="P128" s="62" t="n">
        <x:v>0</x:v>
      </x:c>
      <x:c r="Q128" s="22" t="n">
        <x:v>0</x:v>
      </x:c>
      <x:c r="R128" s="22" t="str"/>
      <x:c r="S128" s="22" t="str"/>
      <x:c r="T128" s="22" t="str"/>
    </x:row>
    <x:row r="129">
      <x:c r="A129" s="22" t="str">
        <x:v>2020-00070</x:v>
      </x:c>
      <x:c r="B129" s="22" t="str">
        <x:v>L2023-00040-1</x:v>
      </x:c>
      <x:c r="C129" s="22" t="str">
        <x:v>용역</x:v>
      </x:c>
      <x:c r="D129" s="25" t="str">
        <x:v>도미니카공화국 여성 중심 취약계층 사회경제적 역량강화사업 - 몬테크리스티 직업훈련센터 설계용역 입찰</x:v>
      </x:c>
      <x:c r="E129" s="22" t="n">
        <x:v>0</x:v>
      </x:c>
      <x:c r="F129" s="22" t="str">
        <x:v>.pdf</x:v>
      </x:c>
      <x:c r="G129" s="25" t="str">
        <x:v>L2023-00040-1/입찰안내자료(영문)/Attachment #1 KOICA Regulations/5. Standard of Prequalification Criteria.pdf</x:v>
      </x:c>
      <x:c r="H129" s="28" t="n">
        <x:v>473791</x:v>
      </x:c>
      <x:c r="I129" s="22" t="str">
        <x:v>4ce2f45e4108dcaacea2f9b35c920ec77c6ce7db055d11f4137ce2581f90cff0</x:v>
      </x:c>
      <x:c r="J129" s="22" t="n">
        <x:v>0</x:v>
      </x:c>
      <x:c r="K129" s="22" t="n">
        <x:v>0</x:v>
      </x:c>
      <x:c r="L129" s="22" t="n">
        <x:v>0</x:v>
      </x:c>
      <x:c r="M129" s="28" t="n">
        <x:v>0</x:v>
      </x:c>
      <x:c r="N129" s="28" t="n">
        <x:v>0</x:v>
      </x:c>
      <x:c r="O129" s="28" t="n">
        <x:v>0</x:v>
      </x:c>
      <x:c r="P129" s="62" t="n">
        <x:v>0</x:v>
      </x:c>
      <x:c r="Q129" s="22" t="n">
        <x:v>0</x:v>
      </x:c>
      <x:c r="R129" s="22" t="str"/>
      <x:c r="S129" s="22" t="str"/>
      <x:c r="T129" s="22" t="str"/>
    </x:row>
    <x:row r="130">
      <x:c r="A130" s="22" t="str">
        <x:v>2020-00070</x:v>
      </x:c>
      <x:c r="B130" s="22" t="str">
        <x:v>L2023-00040-1</x:v>
      </x:c>
      <x:c r="C130" s="22" t="str">
        <x:v>용역</x:v>
      </x:c>
      <x:c r="D130" s="25" t="str">
        <x:v>도미니카공화국 여성 중심 취약계층 사회경제적 역량강화사업 - 몬테크리스티 직업훈련센터 설계용역 입찰</x:v>
      </x:c>
      <x:c r="E130" s="22" t="n">
        <x:v>0</x:v>
      </x:c>
      <x:c r="F130" s="22" t="str">
        <x:v>.pdf</x:v>
      </x:c>
      <x:c r="G130" s="25" t="str">
        <x:v>L2023-00040-1/입찰안내자료(영문)/Attachment #1 KOICA Regulations/4. Regulations for Procurement and Contract in Grant Aid Projects.pdf</x:v>
      </x:c>
      <x:c r="H130" s="28" t="n">
        <x:v>157627</x:v>
      </x:c>
      <x:c r="I130" s="22" t="str">
        <x:v>bcc6062e083bacf0c4b014b08f7566dde8d7c56ad7f791e30c25a04e71aee5ec</x:v>
      </x:c>
      <x:c r="J130" s="22" t="n">
        <x:v>0</x:v>
      </x:c>
      <x:c r="K130" s="22" t="n">
        <x:v>0</x:v>
      </x:c>
      <x:c r="L130" s="22" t="n">
        <x:v>0</x:v>
      </x:c>
      <x:c r="M130" s="28" t="n">
        <x:v>0</x:v>
      </x:c>
      <x:c r="N130" s="28" t="n">
        <x:v>0</x:v>
      </x:c>
      <x:c r="O130" s="28" t="n">
        <x:v>0</x:v>
      </x:c>
      <x:c r="P130" s="62" t="n">
        <x:v>0</x:v>
      </x:c>
      <x:c r="Q130" s="22" t="n">
        <x:v>0</x:v>
      </x:c>
      <x:c r="R130" s="22" t="str"/>
      <x:c r="S130" s="22" t="str"/>
      <x:c r="T130" s="22" t="str"/>
    </x:row>
    <x:row r="131">
      <x:c r="A131" s="22" t="str">
        <x:v>2020-00070</x:v>
      </x:c>
      <x:c r="B131" s="22" t="str">
        <x:v>L2023-00040-1</x:v>
      </x:c>
      <x:c r="C131" s="22" t="str">
        <x:v>용역</x:v>
      </x:c>
      <x:c r="D131" s="25" t="str">
        <x:v>도미니카공화국 여성 중심 취약계층 사회경제적 역량강화사업 - 몬테크리스티 직업훈련센터 설계용역 입찰</x:v>
      </x:c>
      <x:c r="E131" s="22" t="n">
        <x:v>0</x:v>
      </x:c>
      <x:c r="F131" s="22" t="str">
        <x:v>.pdf</x:v>
      </x:c>
      <x:c r="G131" s="25" t="str">
        <x:v>L2023-00040-1/입찰안내자료(영문)/Attachment #1 KOICA Regulations/3. KOICA Regulations for International Procurement.pdf</x:v>
      </x:c>
      <x:c r="H131" s="28" t="n">
        <x:v>375625</x:v>
      </x:c>
      <x:c r="I131" s="22" t="str">
        <x:v>a9706e28e1564ba06a6ac833994e7d323b6b5eba68271f1ce70a46a8bd93a7b8</x:v>
      </x:c>
      <x:c r="J131" s="22" t="n">
        <x:v>0</x:v>
      </x:c>
      <x:c r="K131" s="22" t="n">
        <x:v>0</x:v>
      </x:c>
      <x:c r="L131" s="22" t="n">
        <x:v>0</x:v>
      </x:c>
      <x:c r="M131" s="28" t="n">
        <x:v>0</x:v>
      </x:c>
      <x:c r="N131" s="28" t="n">
        <x:v>0</x:v>
      </x:c>
      <x:c r="O131" s="28" t="n">
        <x:v>0</x:v>
      </x:c>
      <x:c r="P131" s="62" t="n">
        <x:v>0</x:v>
      </x:c>
      <x:c r="Q131" s="22" t="n">
        <x:v>0</x:v>
      </x:c>
      <x:c r="R131" s="22" t="str"/>
      <x:c r="S131" s="22" t="str"/>
      <x:c r="T131" s="22" t="str"/>
    </x:row>
    <x:row r="132">
      <x:c r="A132" s="22" t="str">
        <x:v>2020-00070</x:v>
      </x:c>
      <x:c r="B132" s="22" t="str">
        <x:v>L2023-00040-1</x:v>
      </x:c>
      <x:c r="C132" s="22" t="str">
        <x:v>용역</x:v>
      </x:c>
      <x:c r="D132" s="25" t="str">
        <x:v>도미니카공화국 여성 중심 취약계층 사회경제적 역량강화사업 - 몬테크리스티 직업훈련센터 설계용역 입찰</x:v>
      </x:c>
      <x:c r="E132" s="22" t="n">
        <x:v>0</x:v>
      </x:c>
      <x:c r="F132" s="22" t="str">
        <x:v>.pdf</x:v>
      </x:c>
      <x:c r="G132" s="25" t="str">
        <x:v>L2023-00040-1/입찰안내자료(영문)/Attachment #1 KOICA Regulations/1. Detailed Enforcement Rules of the Regulations for Procurement and Contract in Grant Aid Projects.pdf</x:v>
      </x:c>
      <x:c r="H132" s="28" t="n">
        <x:v>554876</x:v>
      </x:c>
      <x:c r="I132" s="22" t="str">
        <x:v>23f11f2154d32db6e78fbfdafb1f52aeba37778e2dd3b78a197b4ea4c2d44892</x:v>
      </x:c>
      <x:c r="J132" s="22" t="n">
        <x:v>0</x:v>
      </x:c>
      <x:c r="K132" s="22" t="n">
        <x:v>0</x:v>
      </x:c>
      <x:c r="L132" s="22" t="n">
        <x:v>0</x:v>
      </x:c>
      <x:c r="M132" s="28" t="n">
        <x:v>0</x:v>
      </x:c>
      <x:c r="N132" s="28" t="n">
        <x:v>0</x:v>
      </x:c>
      <x:c r="O132" s="28" t="n">
        <x:v>0</x:v>
      </x:c>
      <x:c r="P132" s="62" t="n">
        <x:v>0</x:v>
      </x:c>
      <x:c r="Q132" s="22" t="n">
        <x:v>0</x:v>
      </x:c>
      <x:c r="R132" s="22" t="str"/>
      <x:c r="S132" s="22" t="str"/>
      <x:c r="T132" s="22" t="str"/>
    </x:row>
    <x:row r="133">
      <x:c r="A133" s="22" t="str">
        <x:v>2020-00070</x:v>
      </x:c>
      <x:c r="B133" s="22" t="str">
        <x:v>L2023-00040-1</x:v>
      </x:c>
      <x:c r="C133" s="22" t="str">
        <x:v>용역</x:v>
      </x:c>
      <x:c r="D133" s="25" t="str">
        <x:v>도미니카공화국 여성 중심 취약계층 사회경제적 역량강화사업 - 몬테크리스티 직업훈련센터 설계용역 입찰</x:v>
      </x:c>
      <x:c r="E133" s="22" t="n">
        <x:v>0</x:v>
      </x:c>
      <x:c r="F133" s="22" t="str">
        <x:v>.pdf</x:v>
      </x:c>
      <x:c r="G133" s="25" t="str">
        <x:v>L2023-00040-1/입찰안내자료(영문)/Attachment #1 KOICA Regulations/2. Guidelines for Technical Evaluation.pdf</x:v>
      </x:c>
      <x:c r="H133" s="28" t="n">
        <x:v>416852</x:v>
      </x:c>
      <x:c r="I133" s="22" t="str">
        <x:v>5f61aa2d6d0a5a8e5112eb2bfc3afc5f9a4e31a1328154452eb19e5484072dd0</x:v>
      </x:c>
      <x:c r="J133" s="22" t="n">
        <x:v>0</x:v>
      </x:c>
      <x:c r="K133" s="22" t="n">
        <x:v>0</x:v>
      </x:c>
      <x:c r="L133" s="22" t="n">
        <x:v>0</x:v>
      </x:c>
      <x:c r="M133" s="28" t="n">
        <x:v>0</x:v>
      </x:c>
      <x:c r="N133" s="28" t="n">
        <x:v>0</x:v>
      </x:c>
      <x:c r="O133" s="28" t="n">
        <x:v>0</x:v>
      </x:c>
      <x:c r="P133" s="62" t="n">
        <x:v>0</x:v>
      </x:c>
      <x:c r="Q133" s="22" t="n">
        <x:v>0</x:v>
      </x:c>
      <x:c r="R133" s="22" t="str"/>
      <x:c r="S133" s="22" t="str"/>
      <x:c r="T133" s="22" t="str"/>
    </x:row>
    <x:row r="134">
      <x:c r="A134" s="22" t="str">
        <x:v>2020-00070</x:v>
      </x:c>
      <x:c r="B134" s="22" t="str">
        <x:v>L2024-00078-1</x:v>
      </x:c>
      <x:c r="C134" s="22" t="str">
        <x:v>공사</x:v>
      </x:c>
      <x:c r="D134" s="25" t="str">
        <x:v>도미니카공화국 몬테 크리스티 직업훈련센터 (MVC) 시공사 선정</x:v>
      </x:c>
      <x:c r="E134" s="22" t="n">
        <x:v>1</x:v>
      </x:c>
      <x:c r="F134" s="22" t="str">
        <x:v>.docx</x:v>
      </x:c>
      <x:c r="G134" s="25" t="str">
        <x:v>L2024-00078-1/Section 3 Bidding Forms_MVC Construction_v05_CLEAN.docx</x:v>
      </x:c>
      <x:c r="H134" s="28" t="n">
        <x:v>60106</x:v>
      </x:c>
      <x:c r="I134" s="22" t="str">
        <x:v>56c0f864c2cbc587ae95fb251f3d32826bb5262e3bccb348834a3f60aa7b4d17</x:v>
      </x:c>
      <x:c r="J134" s="22" t="n">
        <x:v>0</x:v>
      </x:c>
      <x:c r="K134" s="22" t="n">
        <x:v>0</x:v>
      </x:c>
      <x:c r="L134" s="22" t="n">
        <x:v>0</x:v>
      </x:c>
      <x:c r="M134" s="28" t="n">
        <x:v>0</x:v>
      </x:c>
      <x:c r="N134" s="28" t="n">
        <x:v>0</x:v>
      </x:c>
      <x:c r="O134" s="28" t="n">
        <x:v>0</x:v>
      </x:c>
      <x:c r="P134" s="62" t="n">
        <x:v>0</x:v>
      </x:c>
      <x:c r="Q134" s="22" t="n">
        <x:v>0</x:v>
      </x:c>
      <x:c r="R134" s="22" t="str"/>
      <x:c r="S134" s="22" t="str"/>
      <x:c r="T134" s="22" t="str"/>
    </x:row>
    <x:row r="135">
      <x:c r="A135" s="22" t="str">
        <x:v>2020-00070</x:v>
      </x:c>
      <x:c r="B135" s="22" t="str">
        <x:v>L2024-00078-1</x:v>
      </x:c>
      <x:c r="C135" s="22" t="str">
        <x:v>공사</x:v>
      </x:c>
      <x:c r="D135" s="25" t="str">
        <x:v>도미니카공화국 몬테 크리스티 직업훈련센터 (MVC) 시공사 선정</x:v>
      </x:c>
      <x:c r="E135" s="22" t="n">
        <x:v>1</x:v>
      </x:c>
      <x:c r="F135" s="22" t="str">
        <x:v>.docx</x:v>
      </x:c>
      <x:c r="G135" s="25" t="str">
        <x:v>L2024-00078-1/Section 8 Special Conditions_MVC Construction_v05_CLEAN.docx</x:v>
      </x:c>
      <x:c r="H135" s="28" t="n">
        <x:v>38591</x:v>
      </x:c>
      <x:c r="I135" s="22" t="str">
        <x:v>8cc4d6b9f17ff2fbfdb814c0c07d135293f013318442d1f264db698c50010366</x:v>
      </x:c>
      <x:c r="J135" s="22" t="n">
        <x:v>0</x:v>
      </x:c>
      <x:c r="K135" s="22" t="n">
        <x:v>0</x:v>
      </x:c>
      <x:c r="L135" s="22" t="n">
        <x:v>0</x:v>
      </x:c>
      <x:c r="M135" s="28" t="n">
        <x:v>0</x:v>
      </x:c>
      <x:c r="N135" s="28" t="n">
        <x:v>0</x:v>
      </x:c>
      <x:c r="O135" s="28" t="n">
        <x:v>0</x:v>
      </x:c>
      <x:c r="P135" s="62" t="n">
        <x:v>0</x:v>
      </x:c>
      <x:c r="Q135" s="22" t="n">
        <x:v>0</x:v>
      </x:c>
      <x:c r="R135" s="22" t="str"/>
      <x:c r="S135" s="22" t="str"/>
      <x:c r="T135" s="22" t="str"/>
    </x:row>
    <x:row r="136">
      <x:c r="A136" s="22" t="str">
        <x:v>2020-00070</x:v>
      </x:c>
      <x:c r="B136" s="22" t="str">
        <x:v>L2024-00078-1</x:v>
      </x:c>
      <x:c r="C136" s="22" t="str">
        <x:v>공사</x:v>
      </x:c>
      <x:c r="D136" s="25" t="str">
        <x:v>도미니카공화국 몬테 크리스티 직업훈련센터 (MVC) 시공사 선정</x:v>
      </x:c>
      <x:c r="E136" s="22" t="n">
        <x:v>1</x:v>
      </x:c>
      <x:c r="F136" s="22" t="str">
        <x:v>.docx</x:v>
      </x:c>
      <x:c r="G136" s="25" t="str">
        <x:v>L2024-00078-1/0. Cover sheet_MVC Construction_CM_v05_CLEAN.docx</x:v>
      </x:c>
      <x:c r="H136" s="28" t="n">
        <x:v>34534</x:v>
      </x:c>
      <x:c r="I136" s="22" t="str">
        <x:v>7fb94bb622c0a50def205dbecbf8d1fab90d6e140a65ddf784267c6248fbbdd1</x:v>
      </x:c>
      <x:c r="J136" s="22" t="n">
        <x:v>0</x:v>
      </x:c>
      <x:c r="K136" s="22" t="n">
        <x:v>0</x:v>
      </x:c>
      <x:c r="L136" s="22" t="n">
        <x:v>0</x:v>
      </x:c>
      <x:c r="M136" s="28" t="n">
        <x:v>0</x:v>
      </x:c>
      <x:c r="N136" s="28" t="n">
        <x:v>0</x:v>
      </x:c>
      <x:c r="O136" s="28" t="n">
        <x:v>0</x:v>
      </x:c>
      <x:c r="P136" s="62" t="n">
        <x:v>0</x:v>
      </x:c>
      <x:c r="Q136" s="22" t="n">
        <x:v>0</x:v>
      </x:c>
      <x:c r="R136" s="22" t="str"/>
      <x:c r="S136" s="22" t="str"/>
      <x:c r="T136" s="22" t="str"/>
    </x:row>
    <x:row r="137">
      <x:c r="A137" s="22" t="str">
        <x:v>2020-00070</x:v>
      </x:c>
      <x:c r="B137" s="22" t="str">
        <x:v>L2024-00078-1</x:v>
      </x:c>
      <x:c r="C137" s="22" t="str">
        <x:v>공사</x:v>
      </x:c>
      <x:c r="D137" s="25" t="str">
        <x:v>도미니카공화국 몬테 크리스티 직업훈련센터 (MVC) 시공사 선정</x:v>
      </x:c>
      <x:c r="E137" s="22" t="n">
        <x:v>1</x:v>
      </x:c>
      <x:c r="F137" s="22" t="str">
        <x:v>.docx</x:v>
      </x:c>
      <x:c r="G137" s="25" t="str">
        <x:v>L2024-00078-1/Section 9 Contract Forms_MVC Construction_v05_CLEAN.docx</x:v>
      </x:c>
      <x:c r="H137" s="28" t="n">
        <x:v>37257</x:v>
      </x:c>
      <x:c r="I137" s="22" t="str">
        <x:v>c5100489230bb7f86688c2f362cb9433a7e065784db832f51d8782c93bc6c902</x:v>
      </x:c>
      <x:c r="J137" s="22" t="n">
        <x:v>0</x:v>
      </x:c>
      <x:c r="K137" s="22" t="n">
        <x:v>0</x:v>
      </x:c>
      <x:c r="L137" s="22" t="n">
        <x:v>0</x:v>
      </x:c>
      <x:c r="M137" s="28" t="n">
        <x:v>0</x:v>
      </x:c>
      <x:c r="N137" s="28" t="n">
        <x:v>0</x:v>
      </x:c>
      <x:c r="O137" s="28" t="n">
        <x:v>0</x:v>
      </x:c>
      <x:c r="P137" s="62" t="n">
        <x:v>0</x:v>
      </x:c>
      <x:c r="Q137" s="22" t="n">
        <x:v>0</x:v>
      </x:c>
      <x:c r="R137" s="22" t="str"/>
      <x:c r="S137" s="22" t="str"/>
      <x:c r="T137" s="22" t="str"/>
    </x:row>
    <x:row r="138">
      <x:c r="A138" s="22" t="str">
        <x:v>2020-00070</x:v>
      </x:c>
      <x:c r="B138" s="22" t="str">
        <x:v>L2024-00078-1</x:v>
      </x:c>
      <x:c r="C138" s="22" t="str">
        <x:v>공사</x:v>
      </x:c>
      <x:c r="D138" s="25" t="str">
        <x:v>도미니카공화국 몬테 크리스티 직업훈련센터 (MVC) 시공사 선정</x:v>
      </x:c>
      <x:c r="E138" s="22" t="n">
        <x:v>1</x:v>
      </x:c>
      <x:c r="F138" s="22" t="str">
        <x:v>.docx</x:v>
      </x:c>
      <x:c r="G138" s="25" t="str">
        <x:v>L2024-00078-1/Section 7 General Conditions_MVC Construction_v05_CLEAN.docx</x:v>
      </x:c>
      <x:c r="H138" s="28" t="n">
        <x:v>169302</x:v>
      </x:c>
      <x:c r="I138" s="22" t="str">
        <x:v>2e7c0d1be33b53e44dfe8ab5aeb93a0c3b52fe8c91d2726c7b0c9a6934090303</x:v>
      </x:c>
      <x:c r="J138" s="22" t="n">
        <x:v>0</x:v>
      </x:c>
      <x:c r="K138" s="22" t="n">
        <x:v>0</x:v>
      </x:c>
      <x:c r="L138" s="22" t="n">
        <x:v>0</x:v>
      </x:c>
      <x:c r="M138" s="28" t="n">
        <x:v>0</x:v>
      </x:c>
      <x:c r="N138" s="28" t="n">
        <x:v>0</x:v>
      </x:c>
      <x:c r="O138" s="28" t="n">
        <x:v>0</x:v>
      </x:c>
      <x:c r="P138" s="62" t="n">
        <x:v>0</x:v>
      </x:c>
      <x:c r="Q138" s="22" t="n">
        <x:v>0</x:v>
      </x:c>
      <x:c r="R138" s="22" t="str"/>
      <x:c r="S138" s="22" t="str"/>
      <x:c r="T138" s="22" t="str"/>
    </x:row>
    <x:row r="139">
      <x:c r="A139" s="22" t="str">
        <x:v>2020-00070</x:v>
      </x:c>
      <x:c r="B139" s="22" t="str">
        <x:v>L2024-00078-1</x:v>
      </x:c>
      <x:c r="C139" s="22" t="str">
        <x:v>공사</x:v>
      </x:c>
      <x:c r="D139" s="25" t="str">
        <x:v>도미니카공화국 몬테 크리스티 직업훈련센터 (MVC) 시공사 선정</x:v>
      </x:c>
      <x:c r="E139" s="22" t="n">
        <x:v>1</x:v>
      </x:c>
      <x:c r="F139" s="22" t="str">
        <x:v>.zip</x:v>
      </x:c>
      <x:c r="G139" s="25" t="str">
        <x:v>L2024-00078-1/Section 6_Specification_fin.zip</x:v>
      </x:c>
      <x:c r="H139" s="28" t="n">
        <x:v>2700536</x:v>
      </x:c>
      <x:c r="I139" s="22" t="str">
        <x:v>dad462faeca339e47717e940e3e90d056f22bce54ccdbaddd763807a87fa191d</x:v>
      </x:c>
      <x:c r="J139" s="22" t="n">
        <x:v>0</x:v>
      </x:c>
      <x:c r="K139" s="22" t="n">
        <x:v>0</x:v>
      </x:c>
      <x:c r="L139" s="22" t="n">
        <x:v>0</x:v>
      </x:c>
      <x:c r="M139" s="28" t="n">
        <x:v>0</x:v>
      </x:c>
      <x:c r="N139" s="28" t="n">
        <x:v>0</x:v>
      </x:c>
      <x:c r="O139" s="28" t="n">
        <x:v>0</x:v>
      </x:c>
      <x:c r="P139" s="62" t="n">
        <x:v>0</x:v>
      </x:c>
      <x:c r="Q139" s="22" t="n">
        <x:v>0</x:v>
      </x:c>
      <x:c r="R139" s="22" t="str"/>
      <x:c r="S139" s="22" t="str"/>
      <x:c r="T139" s="22" t="str"/>
    </x:row>
    <x:row r="140">
      <x:c r="A140" s="22" t="str">
        <x:v>2020-00070</x:v>
      </x:c>
      <x:c r="B140" s="22" t="str">
        <x:v>L2024-00078-1</x:v>
      </x:c>
      <x:c r="C140" s="22" t="str">
        <x:v>공사</x:v>
      </x:c>
      <x:c r="D140" s="25" t="str">
        <x:v>도미니카공화국 몬테 크리스티 직업훈련센터 (MVC) 시공사 선정</x:v>
      </x:c>
      <x:c r="E140" s="22" t="n">
        <x:v>1</x:v>
      </x:c>
      <x:c r="F140" s="22" t="str">
        <x:v>.docx</x:v>
      </x:c>
      <x:c r="G140" s="25" t="str">
        <x:v>L2024-00078-1/Section 1 Instructions to Bidder_MVC Construction_v05_CLEAN.docx</x:v>
      </x:c>
      <x:c r="H140" s="28" t="n">
        <x:v>36381</x:v>
      </x:c>
      <x:c r="I140" s="22" t="str">
        <x:v>fb43d9162982f9f4bfda463ccd11e3ca6c605e6a6cff3f24f5c35fe772604e76</x:v>
      </x:c>
      <x:c r="J140" s="22" t="n">
        <x:v>0</x:v>
      </x:c>
      <x:c r="K140" s="22" t="n">
        <x:v>0</x:v>
      </x:c>
      <x:c r="L140" s="22" t="n">
        <x:v>0</x:v>
      </x:c>
      <x:c r="M140" s="28" t="n">
        <x:v>0</x:v>
      </x:c>
      <x:c r="N140" s="28" t="n">
        <x:v>0</x:v>
      </x:c>
      <x:c r="O140" s="28" t="n">
        <x:v>0</x:v>
      </x:c>
      <x:c r="P140" s="62" t="n">
        <x:v>0</x:v>
      </x:c>
      <x:c r="Q140" s="22" t="n">
        <x:v>0</x:v>
      </x:c>
      <x:c r="R140" s="22" t="str"/>
      <x:c r="S140" s="22" t="str"/>
      <x:c r="T140" s="22" t="str"/>
    </x:row>
    <x:row r="141">
      <x:c r="A141" s="22" t="str">
        <x:v>2020-00070</x:v>
      </x:c>
      <x:c r="B141" s="22" t="str">
        <x:v>L2024-00078-1</x:v>
      </x:c>
      <x:c r="C141" s="22" t="str">
        <x:v>공사</x:v>
      </x:c>
      <x:c r="D141" s="25" t="str">
        <x:v>도미니카공화국 몬테 크리스티 직업훈련센터 (MVC) 시공사 선정</x:v>
      </x:c>
      <x:c r="E141" s="22" t="n">
        <x:v>1</x:v>
      </x:c>
      <x:c r="F141" s="22" t="str">
        <x:v>.xlsx</x:v>
      </x:c>
      <x:c r="G141" s="25" t="str">
        <x:v>L2024-00078-1/Section 4_BOQ (BLANK sin PRICE)- MVC PROJECT_fin.xlsx</x:v>
      </x:c>
      <x:c r="H141" s="28" t="n">
        <x:v>65728</x:v>
      </x:c>
      <x:c r="I141" s="22" t="str">
        <x:v>2a926c9a26b8ff49065bbb52562ae8a7b51c534e04b3754a9237935e7d95fc7a</x:v>
      </x:c>
      <x:c r="J141" s="22" t="n">
        <x:v>0</x:v>
      </x:c>
      <x:c r="K141" s="22" t="n">
        <x:v>0</x:v>
      </x:c>
      <x:c r="L141" s="22" t="n">
        <x:v>1</x:v>
      </x:c>
      <x:c r="M141" s="28" t="n">
        <x:v>1</x:v>
      </x:c>
      <x:c r="N141" s="28" t="n">
        <x:v>408</x:v>
      </x:c>
      <x:c r="O141" s="28" t="n">
        <x:v>0</x:v>
      </x:c>
      <x:c r="P141" s="62" t="n">
        <x:v>0</x:v>
      </x:c>
      <x:c r="Q141" s="22" t="n">
        <x:v>0</x:v>
      </x:c>
      <x:c r="R141" s="22" t="str">
        <x:v>Blank B.O.Q for distribution</x:v>
      </x:c>
      <x:c r="S141" s="22" t="str">
        <x:v>visible</x:v>
      </x:c>
      <x:c r="T141" s="22" t="str"/>
    </x:row>
    <x:row r="142">
      <x:c r="A142" s="22" t="str">
        <x:v>2020-00070</x:v>
      </x:c>
      <x:c r="B142" s="22" t="str">
        <x:v>L2024-00078-1</x:v>
      </x:c>
      <x:c r="C142" s="22" t="str">
        <x:v>공사</x:v>
      </x:c>
      <x:c r="D142" s="25" t="str">
        <x:v>도미니카공화국 몬테 크리스티 직업훈련센터 (MVC) 시공사 선정</x:v>
      </x:c>
      <x:c r="E142" s="22" t="n">
        <x:v>1</x:v>
      </x:c>
      <x:c r="F142" s="22" t="str">
        <x:v>.zip</x:v>
      </x:c>
      <x:c r="G142" s="25" t="str">
        <x:v>L2024-00078-1/0. Attachment_MVC (Construction)_fin.zip</x:v>
      </x:c>
      <x:c r="H142" s="28" t="n">
        <x:v>1496624</x:v>
      </x:c>
      <x:c r="I142" s="22" t="str">
        <x:v>cfbeb73353aff76f7e3180a1e6af3e52766c2a81e1498ee3b4fe18bba4a707be</x:v>
      </x:c>
      <x:c r="J142" s="22" t="n">
        <x:v>0</x:v>
      </x:c>
      <x:c r="K142" s="22" t="n">
        <x:v>0</x:v>
      </x:c>
      <x:c r="L142" s="22" t="n">
        <x:v>0</x:v>
      </x:c>
      <x:c r="M142" s="28" t="n">
        <x:v>0</x:v>
      </x:c>
      <x:c r="N142" s="28" t="n">
        <x:v>0</x:v>
      </x:c>
      <x:c r="O142" s="28" t="n">
        <x:v>0</x:v>
      </x:c>
      <x:c r="P142" s="62" t="n">
        <x:v>0</x:v>
      </x:c>
      <x:c r="Q142" s="22" t="n">
        <x:v>0</x:v>
      </x:c>
      <x:c r="R142" s="22" t="str"/>
      <x:c r="S142" s="22" t="str"/>
      <x:c r="T142" s="22" t="str"/>
    </x:row>
    <x:row r="143">
      <x:c r="A143" s="22" t="str">
        <x:v>2020-00070</x:v>
      </x:c>
      <x:c r="B143" s="22" t="str">
        <x:v>L2024-00078-1</x:v>
      </x:c>
      <x:c r="C143" s="22" t="str">
        <x:v>공사</x:v>
      </x:c>
      <x:c r="D143" s="25" t="str">
        <x:v>도미니카공화국 몬테 크리스티 직업훈련센터 (MVC) 시공사 선정</x:v>
      </x:c>
      <x:c r="E143" s="22" t="n">
        <x:v>1</x:v>
      </x:c>
      <x:c r="F143" s="22" t="str">
        <x:v>.docx</x:v>
      </x:c>
      <x:c r="G143" s="25" t="str">
        <x:v>L2024-00078-1/Section 2 Bid data sheet_MVC Construction_v05_CLEAN.docx</x:v>
      </x:c>
      <x:c r="H143" s="28" t="n">
        <x:v>1706234</x:v>
      </x:c>
      <x:c r="I143" s="22" t="str">
        <x:v>36540282467f73d91a2fe6e73968cc5a032a17339c93ced91bf807126d6072a2</x:v>
      </x:c>
      <x:c r="J143" s="22" t="n">
        <x:v>0</x:v>
      </x:c>
      <x:c r="K143" s="22" t="n">
        <x:v>0</x:v>
      </x:c>
      <x:c r="L143" s="22" t="n">
        <x:v>0</x:v>
      </x:c>
      <x:c r="M143" s="28" t="n">
        <x:v>0</x:v>
      </x:c>
      <x:c r="N143" s="28" t="n">
        <x:v>0</x:v>
      </x:c>
      <x:c r="O143" s="28" t="n">
        <x:v>0</x:v>
      </x:c>
      <x:c r="P143" s="62" t="n">
        <x:v>0</x:v>
      </x:c>
      <x:c r="Q143" s="22" t="n">
        <x:v>0</x:v>
      </x:c>
      <x:c r="R143" s="22" t="str"/>
      <x:c r="S143" s="22" t="str"/>
      <x:c r="T143" s="22" t="str"/>
    </x:row>
    <x:row r="144">
      <x:c r="A144" s="22" t="str">
        <x:v>2020-00070</x:v>
      </x:c>
      <x:c r="B144" s="22" t="str">
        <x:v>L2024-00078-1</x:v>
      </x:c>
      <x:c r="C144" s="22" t="str">
        <x:v>공사</x:v>
      </x:c>
      <x:c r="D144" s="25" t="str">
        <x:v>도미니카공화국 몬테 크리스티 직업훈련센터 (MVC) 시공사 선정</x:v>
      </x:c>
      <x:c r="E144" s="22" t="n">
        <x:v>1</x:v>
      </x:c>
      <x:c r="F144" s="22" t="str">
        <x:v>.docx</x:v>
      </x:c>
      <x:c r="G144" s="25" t="str">
        <x:v>L2024-00078-1/★ Field Orientation Information.docx</x:v>
      </x:c>
      <x:c r="H144" s="28" t="n">
        <x:v>1672659</x:v>
      </x:c>
      <x:c r="I144" s="22" t="str">
        <x:v>e222f9287257bd56f830f149e47f566dc9544c316730c0888b618e8e91c5d393</x:v>
      </x:c>
      <x:c r="J144" s="22" t="n">
        <x:v>0</x:v>
      </x:c>
      <x:c r="K144" s="22" t="n">
        <x:v>0</x:v>
      </x:c>
      <x:c r="L144" s="22" t="n">
        <x:v>0</x:v>
      </x:c>
      <x:c r="M144" s="28" t="n">
        <x:v>0</x:v>
      </x:c>
      <x:c r="N144" s="28" t="n">
        <x:v>0</x:v>
      </x:c>
      <x:c r="O144" s="28" t="n">
        <x:v>0</x:v>
      </x:c>
      <x:c r="P144" s="62" t="n">
        <x:v>0</x:v>
      </x:c>
      <x:c r="Q144" s="22" t="n">
        <x:v>0</x:v>
      </x:c>
      <x:c r="R144" s="22" t="str"/>
      <x:c r="S144" s="22" t="str"/>
      <x:c r="T144" s="22" t="str"/>
    </x:row>
    <x:row r="145">
      <x:c r="A145" s="22" t="str">
        <x:v>2020-00070</x:v>
      </x:c>
      <x:c r="B145" s="22" t="str">
        <x:v>L2024-00078-1</x:v>
      </x:c>
      <x:c r="C145" s="22" t="str">
        <x:v>공사</x:v>
      </x:c>
      <x:c r="D145" s="25" t="str">
        <x:v>도미니카공화국 몬테 크리스티 직업훈련센터 (MVC) 시공사 선정</x:v>
      </x:c>
      <x:c r="E145" s="22" t="n">
        <x:v>1</x:v>
      </x:c>
      <x:c r="F145" s="22" t="str">
        <x:v>.hwp</x:v>
      </x:c>
      <x:c r="G145" s="25" t="str">
        <x:v>L2024-00078-1/(241219) 입찰 계획서(국문)_CM, 조달 의견 반영_v05_클린.hwp</x:v>
      </x:c>
      <x:c r="H145" s="28" t="n">
        <x:v>182784</x:v>
      </x:c>
      <x:c r="I145" s="22" t="str">
        <x:v>c57b28429e42685c15802e98e3d7f6b80f15e09604358de3f1b62c0764a27733</x:v>
      </x:c>
      <x:c r="J145" s="22" t="n">
        <x:v>0</x:v>
      </x:c>
      <x:c r="K145" s="22" t="n">
        <x:v>0</x:v>
      </x:c>
      <x:c r="L145" s="22" t="n">
        <x:v>0</x:v>
      </x:c>
      <x:c r="M145" s="28" t="n">
        <x:v>0</x:v>
      </x:c>
      <x:c r="N145" s="28" t="n">
        <x:v>0</x:v>
      </x:c>
      <x:c r="O145" s="28" t="n">
        <x:v>0</x:v>
      </x:c>
      <x:c r="P145" s="62" t="n">
        <x:v>0</x:v>
      </x:c>
      <x:c r="Q145" s="22" t="n">
        <x:v>0</x:v>
      </x:c>
      <x:c r="R145" s="22" t="str"/>
      <x:c r="S145" s="22" t="str"/>
      <x:c r="T145" s="22" t="str"/>
    </x:row>
    <x:row r="146">
      <x:c r="A146" s="22" t="str">
        <x:v>2020-00070</x:v>
      </x:c>
      <x:c r="B146" s="22" t="str">
        <x:v>L2024-00078-1</x:v>
      </x:c>
      <x:c r="C146" s="22" t="str">
        <x:v>공사</x:v>
      </x:c>
      <x:c r="D146" s="25" t="str">
        <x:v>도미니카공화국 몬테 크리스티 직업훈련센터 (MVC) 시공사 선정</x:v>
      </x:c>
      <x:c r="E146" s="22" t="n">
        <x:v>1</x:v>
      </x:c>
      <x:c r="F146" s="22" t="str">
        <x:v>.pdf</x:v>
      </x:c>
      <x:c r="G146" s="25" t="str">
        <x:v>L2024-00078-1/Section 6_Specification_fin/HVAC Full specifications.pdf</x:v>
      </x:c>
      <x:c r="H146" s="28" t="n">
        <x:v>339925</x:v>
      </x:c>
      <x:c r="I146" s="22" t="str">
        <x:v>8a80c3aa4c6d4a41b7087507496b2af9aa0b414fa1ccdbe127833ec928204be9</x:v>
      </x:c>
      <x:c r="J146" s="22" t="n">
        <x:v>0</x:v>
      </x:c>
      <x:c r="K146" s="22" t="n">
        <x:v>0</x:v>
      </x:c>
      <x:c r="L146" s="22" t="n">
        <x:v>0</x:v>
      </x:c>
      <x:c r="M146" s="28" t="n">
        <x:v>0</x:v>
      </x:c>
      <x:c r="N146" s="28" t="n">
        <x:v>0</x:v>
      </x:c>
      <x:c r="O146" s="28" t="n">
        <x:v>0</x:v>
      </x:c>
      <x:c r="P146" s="62" t="n">
        <x:v>0</x:v>
      </x:c>
      <x:c r="Q146" s="22" t="n">
        <x:v>0</x:v>
      </x:c>
      <x:c r="R146" s="22" t="str"/>
      <x:c r="S146" s="22" t="str"/>
      <x:c r="T146" s="22" t="str"/>
    </x:row>
    <x:row r="147">
      <x:c r="A147" s="22" t="str">
        <x:v>2020-00070</x:v>
      </x:c>
      <x:c r="B147" s="22" t="str">
        <x:v>L2024-00078-1</x:v>
      </x:c>
      <x:c r="C147" s="22" t="str">
        <x:v>공사</x:v>
      </x:c>
      <x:c r="D147" s="25" t="str">
        <x:v>도미니카공화국 몬테 크리스티 직업훈련센터 (MVC) 시공사 선정</x:v>
      </x:c>
      <x:c r="E147" s="22" t="n">
        <x:v>1</x:v>
      </x:c>
      <x:c r="F147" s="22" t="str">
        <x:v>.pdf</x:v>
      </x:c>
      <x:c r="G147" s="25" t="str">
        <x:v>L2024-00078-1/Section 6_Specification_fin/ELECTRICAL FULL SPECIFICATIONS .pdf</x:v>
      </x:c>
      <x:c r="H147" s="28" t="n">
        <x:v>155007</x:v>
      </x:c>
      <x:c r="I147" s="22" t="str">
        <x:v>1465d23fc9f9f41575b06af23ddca1af8fa145ac893318caae3bdbb6f3f97b39</x:v>
      </x:c>
      <x:c r="J147" s="22" t="n">
        <x:v>0</x:v>
      </x:c>
      <x:c r="K147" s="22" t="n">
        <x:v>0</x:v>
      </x:c>
      <x:c r="L147" s="22" t="n">
        <x:v>0</x:v>
      </x:c>
      <x:c r="M147" s="28" t="n">
        <x:v>0</x:v>
      </x:c>
      <x:c r="N147" s="28" t="n">
        <x:v>0</x:v>
      </x:c>
      <x:c r="O147" s="28" t="n">
        <x:v>0</x:v>
      </x:c>
      <x:c r="P147" s="62" t="n">
        <x:v>0</x:v>
      </x:c>
      <x:c r="Q147" s="22" t="n">
        <x:v>0</x:v>
      </x:c>
      <x:c r="R147" s="22" t="str"/>
      <x:c r="S147" s="22" t="str"/>
      <x:c r="T147" s="22" t="str"/>
    </x:row>
    <x:row r="148">
      <x:c r="A148" s="22" t="str">
        <x:v>2020-00070</x:v>
      </x:c>
      <x:c r="B148" s="22" t="str">
        <x:v>L2024-00078-1</x:v>
      </x:c>
      <x:c r="C148" s="22" t="str">
        <x:v>공사</x:v>
      </x:c>
      <x:c r="D148" s="25" t="str">
        <x:v>도미니카공화국 몬테 크리스티 직업훈련센터 (MVC) 시공사 선정</x:v>
      </x:c>
      <x:c r="E148" s="22" t="n">
        <x:v>1</x:v>
      </x:c>
      <x:c r="F148" s="22" t="str">
        <x:v>.pdf</x:v>
      </x:c>
      <x:c r="G148" s="25" t="str">
        <x:v>L2024-00078-1/Section 6_Specification_fin/DATA AND COMUNICATION - IT FULL SPECIFICATION .pdf</x:v>
      </x:c>
      <x:c r="H148" s="28" t="n">
        <x:v>118244</x:v>
      </x:c>
      <x:c r="I148" s="22" t="str">
        <x:v>b253d403988a69df218d2711d1e469687ba98b115c2521b4db86cea37847a24e</x:v>
      </x:c>
      <x:c r="J148" s="22" t="n">
        <x:v>0</x:v>
      </x:c>
      <x:c r="K148" s="22" t="n">
        <x:v>0</x:v>
      </x:c>
      <x:c r="L148" s="22" t="n">
        <x:v>0</x:v>
      </x:c>
      <x:c r="M148" s="28" t="n">
        <x:v>0</x:v>
      </x:c>
      <x:c r="N148" s="28" t="n">
        <x:v>0</x:v>
      </x:c>
      <x:c r="O148" s="28" t="n">
        <x:v>0</x:v>
      </x:c>
      <x:c r="P148" s="62" t="n">
        <x:v>0</x:v>
      </x:c>
      <x:c r="Q148" s="22" t="n">
        <x:v>0</x:v>
      </x:c>
      <x:c r="R148" s="22" t="str"/>
      <x:c r="S148" s="22" t="str"/>
      <x:c r="T148" s="22" t="str"/>
    </x:row>
    <x:row r="149">
      <x:c r="A149" s="22" t="str">
        <x:v>2020-00070</x:v>
      </x:c>
      <x:c r="B149" s="22" t="str">
        <x:v>L2024-00078-1</x:v>
      </x:c>
      <x:c r="C149" s="22" t="str">
        <x:v>공사</x:v>
      </x:c>
      <x:c r="D149" s="25" t="str">
        <x:v>도미니카공화국 몬테 크리스티 직업훈련센터 (MVC) 시공사 선정</x:v>
      </x:c>
      <x:c r="E149" s="22" t="n">
        <x:v>1</x:v>
      </x:c>
      <x:c r="F149" s="22" t="str">
        <x:v>.pdf</x:v>
      </x:c>
      <x:c r="G149" s="25" t="str">
        <x:v>L2024-00078-1/Section 6_Specification_fin/CIVIL WORKS FULL SPECIFICATIONS.pdf</x:v>
      </x:c>
      <x:c r="H149" s="28" t="n">
        <x:v>679669</x:v>
      </x:c>
      <x:c r="I149" s="22" t="str">
        <x:v>b9f1770deae2e73c9b7e0038125fa7598a21b6becedec94b6a82de48ac6f1241</x:v>
      </x:c>
      <x:c r="J149" s="22" t="n">
        <x:v>0</x:v>
      </x:c>
      <x:c r="K149" s="22" t="n">
        <x:v>0</x:v>
      </x:c>
      <x:c r="L149" s="22" t="n">
        <x:v>0</x:v>
      </x:c>
      <x:c r="M149" s="28" t="n">
        <x:v>0</x:v>
      </x:c>
      <x:c r="N149" s="28" t="n">
        <x:v>0</x:v>
      </x:c>
      <x:c r="O149" s="28" t="n">
        <x:v>0</x:v>
      </x:c>
      <x:c r="P149" s="62" t="n">
        <x:v>0</x:v>
      </x:c>
      <x:c r="Q149" s="22" t="n">
        <x:v>0</x:v>
      </x:c>
      <x:c r="R149" s="22" t="str"/>
      <x:c r="S149" s="22" t="str"/>
      <x:c r="T149" s="22" t="str"/>
    </x:row>
    <x:row r="150">
      <x:c r="A150" s="22" t="str">
        <x:v>2020-00070</x:v>
      </x:c>
      <x:c r="B150" s="22" t="str">
        <x:v>L2024-00078-1</x:v>
      </x:c>
      <x:c r="C150" s="22" t="str">
        <x:v>공사</x:v>
      </x:c>
      <x:c r="D150" s="25" t="str">
        <x:v>도미니카공화국 몬테 크리스티 직업훈련센터 (MVC) 시공사 선정</x:v>
      </x:c>
      <x:c r="E150" s="22" t="n">
        <x:v>1</x:v>
      </x:c>
      <x:c r="F150" s="22" t="str">
        <x:v>.pdf</x:v>
      </x:c>
      <x:c r="G150" s="25" t="str">
        <x:v>L2024-00078-1/Section 6_Specification_fin/ARCH– LANDSCAPING FULL SPECIFICATIONS.pdf</x:v>
      </x:c>
      <x:c r="H150" s="28" t="n">
        <x:v>1344562</x:v>
      </x:c>
      <x:c r="I150" s="22" t="str">
        <x:v>42a07f92e1a77808bc76df4a830c6aabc71712ecf690e52481393fb88017da95</x:v>
      </x:c>
      <x:c r="J150" s="22" t="n">
        <x:v>0</x:v>
      </x:c>
      <x:c r="K150" s="22" t="n">
        <x:v>0</x:v>
      </x:c>
      <x:c r="L150" s="22" t="n">
        <x:v>0</x:v>
      </x:c>
      <x:c r="M150" s="28" t="n">
        <x:v>0</x:v>
      </x:c>
      <x:c r="N150" s="28" t="n">
        <x:v>0</x:v>
      </x:c>
      <x:c r="O150" s="28" t="n">
        <x:v>0</x:v>
      </x:c>
      <x:c r="P150" s="62" t="n">
        <x:v>0</x:v>
      </x:c>
      <x:c r="Q150" s="22" t="n">
        <x:v>0</x:v>
      </x:c>
      <x:c r="R150" s="22" t="str"/>
      <x:c r="S150" s="22" t="str"/>
      <x:c r="T150" s="22" t="str"/>
    </x:row>
    <x:row r="151">
      <x:c r="A151" s="22" t="str">
        <x:v>2020-00070</x:v>
      </x:c>
      <x:c r="B151" s="22" t="str">
        <x:v>L2024-00078-1</x:v>
      </x:c>
      <x:c r="C151" s="22" t="str">
        <x:v>공사</x:v>
      </x:c>
      <x:c r="D151" s="25" t="str">
        <x:v>도미니카공화국 몬테 크리스티 직업훈련센터 (MVC) 시공사 선정</x:v>
      </x:c>
      <x:c r="E151" s="22" t="n">
        <x:v>1</x:v>
      </x:c>
      <x:c r="F151" s="22" t="str">
        <x:v>.pdf</x:v>
      </x:c>
      <x:c r="G151" s="25" t="str">
        <x:v>L2024-00078-1/Section 6_Specification_fin/HYDROSANITARY FULL SPECIFICATIONS.pdf</x:v>
      </x:c>
      <x:c r="H151" s="28" t="n">
        <x:v>354766</x:v>
      </x:c>
      <x:c r="I151" s="22" t="str">
        <x:v>07fa0474dbe0856279ca912791ed2dedaf392b1e7c4cb64309aa2b12dc1517c4</x:v>
      </x:c>
      <x:c r="J151" s="22" t="n">
        <x:v>0</x:v>
      </x:c>
      <x:c r="K151" s="22" t="n">
        <x:v>0</x:v>
      </x:c>
      <x:c r="L151" s="22" t="n">
        <x:v>0</x:v>
      </x:c>
      <x:c r="M151" s="28" t="n">
        <x:v>0</x:v>
      </x:c>
      <x:c r="N151" s="28" t="n">
        <x:v>0</x:v>
      </x:c>
      <x:c r="O151" s="28" t="n">
        <x:v>0</x:v>
      </x:c>
      <x:c r="P151" s="62" t="n">
        <x:v>0</x:v>
      </x:c>
      <x:c r="Q151" s="22" t="n">
        <x:v>0</x:v>
      </x:c>
      <x:c r="R151" s="22" t="str"/>
      <x:c r="S151" s="22" t="str"/>
      <x:c r="T151" s="22" t="str"/>
    </x:row>
    <x:row r="152">
      <x:c r="A152" s="22" t="str">
        <x:v>2020-00070</x:v>
      </x:c>
      <x:c r="B152" s="22" t="str">
        <x:v>L2024-00078-1</x:v>
      </x:c>
      <x:c r="C152" s="22" t="str">
        <x:v>공사</x:v>
      </x:c>
      <x:c r="D152" s="25" t="str">
        <x:v>도미니카공화국 몬테 크리스티 직업훈련센터 (MVC) 시공사 선정</x:v>
      </x:c>
      <x:c r="E152" s="22" t="n">
        <x:v>1</x:v>
      </x:c>
      <x:c r="F152" s="22" t="str">
        <x:v>.pdf</x:v>
      </x:c>
      <x:c r="G152" s="25" t="str">
        <x:v>L2024-00078-1/Section 6_Specification_fin/FIRE ALARM TECHNICAL SPECIFICATION.docx.pdf</x:v>
      </x:c>
      <x:c r="H152" s="28" t="n">
        <x:v>225271</x:v>
      </x:c>
      <x:c r="I152" s="22" t="str">
        <x:v>ec8b30b0955642dc51d3bcd3e7bd8091b62649a803e15fcec52832a35a78fb12</x:v>
      </x:c>
      <x:c r="J152" s="22" t="n">
        <x:v>0</x:v>
      </x:c>
      <x:c r="K152" s="22" t="n">
        <x:v>0</x:v>
      </x:c>
      <x:c r="L152" s="22" t="n">
        <x:v>0</x:v>
      </x:c>
      <x:c r="M152" s="28" t="n">
        <x:v>0</x:v>
      </x:c>
      <x:c r="N152" s="28" t="n">
        <x:v>0</x:v>
      </x:c>
      <x:c r="O152" s="28" t="n">
        <x:v>0</x:v>
      </x:c>
      <x:c r="P152" s="62" t="n">
        <x:v>0</x:v>
      </x:c>
      <x:c r="Q152" s="22" t="n">
        <x:v>0</x:v>
      </x:c>
      <x:c r="R152" s="22" t="str"/>
      <x:c r="S152" s="22" t="str"/>
      <x:c r="T152" s="22" t="str"/>
    </x:row>
    <x:row r="153">
      <x:c r="A153" s="22" t="str">
        <x:v>2020-00070</x:v>
      </x:c>
      <x:c r="B153" s="22" t="str">
        <x:v>L2024-00078-1</x:v>
      </x:c>
      <x:c r="C153" s="22" t="str">
        <x:v>공사</x:v>
      </x:c>
      <x:c r="D153" s="25" t="str">
        <x:v>도미니카공화국 몬테 크리스티 직업훈련센터 (MVC) 시공사 선정</x:v>
      </x:c>
      <x:c r="E153" s="22" t="n">
        <x:v>1</x:v>
      </x:c>
      <x:c r="F153" s="22" t="str">
        <x:v>.pdf</x:v>
      </x:c>
      <x:c r="G153" s="25" t="str">
        <x:v>L2024-00078-1/0. Attachment_MVC (Construction)_fin/Attachment 5. Scope of Works_MVC Construction.pdf</x:v>
      </x:c>
      <x:c r="H153" s="28" t="n">
        <x:v>210488</x:v>
      </x:c>
      <x:c r="I153" s="22" t="str">
        <x:v>a6d076f42eeceb1a38eb92957b005698d424dc54add49c79535ecd70e12cdd04</x:v>
      </x:c>
      <x:c r="J153" s="22" t="n">
        <x:v>0</x:v>
      </x:c>
      <x:c r="K153" s="22" t="n">
        <x:v>0</x:v>
      </x:c>
      <x:c r="L153" s="22" t="n">
        <x:v>0</x:v>
      </x:c>
      <x:c r="M153" s="28" t="n">
        <x:v>0</x:v>
      </x:c>
      <x:c r="N153" s="28" t="n">
        <x:v>0</x:v>
      </x:c>
      <x:c r="O153" s="28" t="n">
        <x:v>0</x:v>
      </x:c>
      <x:c r="P153" s="62" t="n">
        <x:v>0</x:v>
      </x:c>
      <x:c r="Q153" s="22" t="n">
        <x:v>0</x:v>
      </x:c>
      <x:c r="R153" s="22" t="str"/>
      <x:c r="S153" s="22" t="str"/>
      <x:c r="T153" s="22" t="str"/>
    </x:row>
    <x:row r="154">
      <x:c r="A154" s="22" t="str">
        <x:v>2020-00070</x:v>
      </x:c>
      <x:c r="B154" s="22" t="str">
        <x:v>L2024-00078-1</x:v>
      </x:c>
      <x:c r="C154" s="22" t="str">
        <x:v>공사</x:v>
      </x:c>
      <x:c r="D154" s="25" t="str">
        <x:v>도미니카공화국 몬테 크리스티 직업훈련센터 (MVC) 시공사 선정</x:v>
      </x:c>
      <x:c r="E154" s="22" t="n">
        <x:v>1</x:v>
      </x:c>
      <x:c r="F154" s="22" t="str">
        <x:v>.pdf</x:v>
      </x:c>
      <x:c r="G154" s="25" t="str">
        <x:v>L2024-00078-1/0. Attachment_MVC (Construction)_fin/Attachment 3. KOICA Regulations for Procurement and Contract in Grant Aid Projects_20190520.pdf</x:v>
      </x:c>
      <x:c r="H154" s="28" t="n">
        <x:v>157627</x:v>
      </x:c>
      <x:c r="I154" s="22" t="str">
        <x:v>bcc6062e083bacf0c4b014b08f7566dde8d7c56ad7f791e30c25a04e71aee5ec</x:v>
      </x:c>
      <x:c r="J154" s="22" t="n">
        <x:v>0</x:v>
      </x:c>
      <x:c r="K154" s="22" t="n">
        <x:v>0</x:v>
      </x:c>
      <x:c r="L154" s="22" t="n">
        <x:v>0</x:v>
      </x:c>
      <x:c r="M154" s="28" t="n">
        <x:v>0</x:v>
      </x:c>
      <x:c r="N154" s="28" t="n">
        <x:v>0</x:v>
      </x:c>
      <x:c r="O154" s="28" t="n">
        <x:v>0</x:v>
      </x:c>
      <x:c r="P154" s="62" t="n">
        <x:v>0</x:v>
      </x:c>
      <x:c r="Q154" s="22" t="n">
        <x:v>0</x:v>
      </x:c>
      <x:c r="R154" s="22" t="str"/>
      <x:c r="S154" s="22" t="str"/>
      <x:c r="T154" s="22" t="str"/>
    </x:row>
    <x:row r="155">
      <x:c r="A155" s="22" t="str">
        <x:v>2020-00070</x:v>
      </x:c>
      <x:c r="B155" s="22" t="str">
        <x:v>L2024-00078-1</x:v>
      </x:c>
      <x:c r="C155" s="22" t="str">
        <x:v>공사</x:v>
      </x:c>
      <x:c r="D155" s="25" t="str">
        <x:v>도미니카공화국 몬테 크리스티 직업훈련센터 (MVC) 시공사 선정</x:v>
      </x:c>
      <x:c r="E155" s="22" t="n">
        <x:v>1</x:v>
      </x:c>
      <x:c r="F155" s="22" t="str">
        <x:v>.pdf</x:v>
      </x:c>
      <x:c r="G155" s="25" t="str">
        <x:v>L2024-00078-1/0. Attachment_MVC (Construction)_fin/Attachment 2. KOICA Regulations for International Procurement_20190304.pdf</x:v>
      </x:c>
      <x:c r="H155" s="28" t="n">
        <x:v>375625</x:v>
      </x:c>
      <x:c r="I155" s="22" t="str">
        <x:v>a9706e28e1564ba06a6ac833994e7d323b6b5eba68271f1ce70a46a8bd93a7b8</x:v>
      </x:c>
      <x:c r="J155" s="22" t="n">
        <x:v>0</x:v>
      </x:c>
      <x:c r="K155" s="22" t="n">
        <x:v>0</x:v>
      </x:c>
      <x:c r="L155" s="22" t="n">
        <x:v>0</x:v>
      </x:c>
      <x:c r="M155" s="28" t="n">
        <x:v>0</x:v>
      </x:c>
      <x:c r="N155" s="28" t="n">
        <x:v>0</x:v>
      </x:c>
      <x:c r="O155" s="28" t="n">
        <x:v>0</x:v>
      </x:c>
      <x:c r="P155" s="62" t="n">
        <x:v>0</x:v>
      </x:c>
      <x:c r="Q155" s="22" t="n">
        <x:v>0</x:v>
      </x:c>
      <x:c r="R155" s="22" t="str"/>
      <x:c r="S155" s="22" t="str"/>
      <x:c r="T155" s="22" t="str"/>
    </x:row>
    <x:row r="156">
      <x:c r="A156" s="22" t="str">
        <x:v>2020-00070</x:v>
      </x:c>
      <x:c r="B156" s="22" t="str">
        <x:v>L2024-00078-1</x:v>
      </x:c>
      <x:c r="C156" s="22" t="str">
        <x:v>공사</x:v>
      </x:c>
      <x:c r="D156" s="25" t="str">
        <x:v>도미니카공화국 몬테 크리스티 직업훈련센터 (MVC) 시공사 선정</x:v>
      </x:c>
      <x:c r="E156" s="22" t="n">
        <x:v>1</x:v>
      </x:c>
      <x:c r="F156" s="22" t="str">
        <x:v>.pdf</x:v>
      </x:c>
      <x:c r="G156" s="25" t="str">
        <x:v>L2024-00078-1/0. Attachment_MVC (Construction)_fin/Attachment 1. KOICA Detailed Enforcement Rules of the Regulations for Procurement and Contract in Grant Aid Projects_20190503.pdf</x:v>
      </x:c>
      <x:c r="H156" s="28" t="n">
        <x:v>554876</x:v>
      </x:c>
      <x:c r="I156" s="22" t="str">
        <x:v>23f11f2154d32db6e78fbfdafb1f52aeba37778e2dd3b78a197b4ea4c2d44892</x:v>
      </x:c>
      <x:c r="J156" s="22" t="n">
        <x:v>0</x:v>
      </x:c>
      <x:c r="K156" s="22" t="n">
        <x:v>0</x:v>
      </x:c>
      <x:c r="L156" s="22" t="n">
        <x:v>0</x:v>
      </x:c>
      <x:c r="M156" s="28" t="n">
        <x:v>0</x:v>
      </x:c>
      <x:c r="N156" s="28" t="n">
        <x:v>0</x:v>
      </x:c>
      <x:c r="O156" s="28" t="n">
        <x:v>0</x:v>
      </x:c>
      <x:c r="P156" s="62" t="n">
        <x:v>0</x:v>
      </x:c>
      <x:c r="Q156" s="22" t="n">
        <x:v>0</x:v>
      </x:c>
      <x:c r="R156" s="22" t="str"/>
      <x:c r="S156" s="22" t="str"/>
      <x:c r="T156" s="22" t="str"/>
    </x:row>
    <x:row r="157">
      <x:c r="A157" s="22" t="str">
        <x:v>2020-00070</x:v>
      </x:c>
      <x:c r="B157" s="22" t="str">
        <x:v>L2024-00078-1</x:v>
      </x:c>
      <x:c r="C157" s="22" t="str">
        <x:v>공사</x:v>
      </x:c>
      <x:c r="D157" s="25" t="str">
        <x:v>도미니카공화국 몬테 크리스티 직업훈련센터 (MVC) 시공사 선정</x:v>
      </x:c>
      <x:c r="E157" s="22" t="n">
        <x:v>1</x:v>
      </x:c>
      <x:c r="F157" s="22" t="str">
        <x:v>.pdf</x:v>
      </x:c>
      <x:c r="G157" s="25" t="str">
        <x:v>L2024-00078-1/0. Attachment_MVC (Construction)_fin/Attachment 4. KOICA Safety Management Manual(ENG).pdf</x:v>
      </x:c>
      <x:c r="H157" s="28" t="n">
        <x:v>378337</x:v>
      </x:c>
      <x:c r="I157" s="22" t="str">
        <x:v>b60b641c002f2145d45b33a4840f5ee96569c877a3e79aaa8799ea3dff82522f</x:v>
      </x:c>
      <x:c r="J157" s="22" t="n">
        <x:v>0</x:v>
      </x:c>
      <x:c r="K157" s="22" t="n">
        <x:v>0</x:v>
      </x:c>
      <x:c r="L157" s="22" t="n">
        <x:v>0</x:v>
      </x:c>
      <x:c r="M157" s="28" t="n">
        <x:v>0</x:v>
      </x:c>
      <x:c r="N157" s="28" t="n">
        <x:v>0</x:v>
      </x:c>
      <x:c r="O157" s="28" t="n">
        <x:v>0</x:v>
      </x:c>
      <x:c r="P157" s="62" t="n">
        <x:v>0</x:v>
      </x:c>
      <x:c r="Q157" s="22" t="n">
        <x:v>0</x:v>
      </x:c>
      <x:c r="R157" s="22" t="str"/>
      <x:c r="S157" s="22" t="str"/>
      <x:c r="T157" s="22" t="str"/>
    </x:row>
    <x:row r="158">
      <x:c r="A158" s="22" t="str">
        <x:v>2020-00070</x:v>
      </x:c>
      <x:c r="B158" s="22" t="str">
        <x:v>L2025-00007-1</x:v>
      </x:c>
      <x:c r="C158" s="22" t="str">
        <x:v>용역</x:v>
      </x:c>
      <x:c r="D158" s="25" t="str">
        <x:v>도미니카공화국 몬테 크리스티 직업훈련센터 (MVC) 감리사 선정</x:v>
      </x:c>
      <x:c r="E158" s="22" t="n">
        <x:v>0</x:v>
      </x:c>
      <x:c r="F158" s="22" t="str">
        <x:v>.docx</x:v>
      </x:c>
      <x:c r="G158" s="25" t="str">
        <x:v>L2025-00007-1/Section 1 - Instructions to Bidders (ITB)_MVC (Supervision)_20250224_클린.docx</x:v>
      </x:c>
      <x:c r="H158" s="28" t="n">
        <x:v>39371</x:v>
      </x:c>
      <x:c r="I158" s="22" t="str">
        <x:v>72396202e1257437ad0ed83ed14c206fba54067ebc1be7548478ba9eef2c4d8d</x:v>
      </x:c>
      <x:c r="J158" s="22" t="n">
        <x:v>0</x:v>
      </x:c>
      <x:c r="K158" s="22" t="n">
        <x:v>0</x:v>
      </x:c>
      <x:c r="L158" s="22" t="n">
        <x:v>0</x:v>
      </x:c>
      <x:c r="M158" s="28" t="n">
        <x:v>0</x:v>
      </x:c>
      <x:c r="N158" s="28" t="n">
        <x:v>0</x:v>
      </x:c>
      <x:c r="O158" s="28" t="n">
        <x:v>0</x:v>
      </x:c>
      <x:c r="P158" s="62" t="n">
        <x:v>0</x:v>
      </x:c>
      <x:c r="Q158" s="22" t="n">
        <x:v>0</x:v>
      </x:c>
      <x:c r="R158" s="22" t="str"/>
      <x:c r="S158" s="22" t="str"/>
      <x:c r="T158" s="22" t="str"/>
    </x:row>
    <x:row r="159">
      <x:c r="A159" s="22" t="str">
        <x:v>2020-00070</x:v>
      </x:c>
      <x:c r="B159" s="22" t="str">
        <x:v>L2025-00007-1</x:v>
      </x:c>
      <x:c r="C159" s="22" t="str">
        <x:v>용역</x:v>
      </x:c>
      <x:c r="D159" s="25" t="str">
        <x:v>도미니카공화국 몬테 크리스티 직업훈련센터 (MVC) 감리사 선정</x:v>
      </x:c>
      <x:c r="E159" s="22" t="n">
        <x:v>0</x:v>
      </x:c>
      <x:c r="F159" s="22" t="str">
        <x:v>.docx</x:v>
      </x:c>
      <x:c r="G159" s="25" t="str">
        <x:v>L2025-00007-1/Section 6 - Special Conditions of Contract_MVC (Supervision)_20250224_클린.docx</x:v>
      </x:c>
      <x:c r="H159" s="28" t="n">
        <x:v>28577</x:v>
      </x:c>
      <x:c r="I159" s="22" t="str">
        <x:v>5ca8eefdd234be0be15cc1d128d3193097bac5427d78cf4dd2221299204dc157</x:v>
      </x:c>
      <x:c r="J159" s="22" t="n">
        <x:v>0</x:v>
      </x:c>
      <x:c r="K159" s="22" t="n">
        <x:v>0</x:v>
      </x:c>
      <x:c r="L159" s="22" t="n">
        <x:v>0</x:v>
      </x:c>
      <x:c r="M159" s="28" t="n">
        <x:v>0</x:v>
      </x:c>
      <x:c r="N159" s="28" t="n">
        <x:v>0</x:v>
      </x:c>
      <x:c r="O159" s="28" t="n">
        <x:v>0</x:v>
      </x:c>
      <x:c r="P159" s="62" t="n">
        <x:v>0</x:v>
      </x:c>
      <x:c r="Q159" s="22" t="n">
        <x:v>0</x:v>
      </x:c>
      <x:c r="R159" s="22" t="str"/>
      <x:c r="S159" s="22" t="str"/>
      <x:c r="T159" s="22" t="str"/>
    </x:row>
    <x:row r="160">
      <x:c r="A160" s="22" t="str">
        <x:v>2020-00070</x:v>
      </x:c>
      <x:c r="B160" s="22" t="str">
        <x:v>L2025-00007-1</x:v>
      </x:c>
      <x:c r="C160" s="22" t="str">
        <x:v>용역</x:v>
      </x:c>
      <x:c r="D160" s="25" t="str">
        <x:v>도미니카공화국 몬테 크리스티 직업훈련센터 (MVC) 감리사 선정</x:v>
      </x:c>
      <x:c r="E160" s="22" t="n">
        <x:v>0</x:v>
      </x:c>
      <x:c r="F160" s="22" t="str">
        <x:v>.docx</x:v>
      </x:c>
      <x:c r="G160" s="25" t="str">
        <x:v>L2025-00007-1/Section 7 - Contract Forms_MVC (Supervision)_20250224_클린.docx</x:v>
      </x:c>
      <x:c r="H160" s="28" t="n">
        <x:v>41866</x:v>
      </x:c>
      <x:c r="I160" s="22" t="str">
        <x:v>cd24d8a6cbf9d08ba5990943e98cb5cf75d6f649083318f049c92ff1d1318d96</x:v>
      </x:c>
      <x:c r="J160" s="22" t="n">
        <x:v>0</x:v>
      </x:c>
      <x:c r="K160" s="22" t="n">
        <x:v>0</x:v>
      </x:c>
      <x:c r="L160" s="22" t="n">
        <x:v>0</x:v>
      </x:c>
      <x:c r="M160" s="28" t="n">
        <x:v>0</x:v>
      </x:c>
      <x:c r="N160" s="28" t="n">
        <x:v>0</x:v>
      </x:c>
      <x:c r="O160" s="28" t="n">
        <x:v>0</x:v>
      </x:c>
      <x:c r="P160" s="62" t="n">
        <x:v>0</x:v>
      </x:c>
      <x:c r="Q160" s="22" t="n">
        <x:v>0</x:v>
      </x:c>
      <x:c r="R160" s="22" t="str"/>
      <x:c r="S160" s="22" t="str"/>
      <x:c r="T160" s="22" t="str"/>
    </x:row>
    <x:row r="161">
      <x:c r="A161" s="22" t="str">
        <x:v>2020-00070</x:v>
      </x:c>
      <x:c r="B161" s="22" t="str">
        <x:v>L2025-00007-1</x:v>
      </x:c>
      <x:c r="C161" s="22" t="str">
        <x:v>용역</x:v>
      </x:c>
      <x:c r="D161" s="25" t="str">
        <x:v>도미니카공화국 몬테 크리스티 직업훈련센터 (MVC) 감리사 선정</x:v>
      </x:c>
      <x:c r="E161" s="22" t="n">
        <x:v>0</x:v>
      </x:c>
      <x:c r="F161" s="22" t="str">
        <x:v>.docx</x:v>
      </x:c>
      <x:c r="G161" s="25" t="str">
        <x:v>L2025-00007-1/Section 5 - General Conditions of Contract_MVC (Supervision)_20250224_클린.docx</x:v>
      </x:c>
      <x:c r="H161" s="28" t="n">
        <x:v>39726</x:v>
      </x:c>
      <x:c r="I161" s="22" t="str">
        <x:v>6d6491d7e93246b068a266e0a9d0e914416def833f4afecd55c9b97415485c26</x:v>
      </x:c>
      <x:c r="J161" s="22" t="n">
        <x:v>0</x:v>
      </x:c>
      <x:c r="K161" s="22" t="n">
        <x:v>0</x:v>
      </x:c>
      <x:c r="L161" s="22" t="n">
        <x:v>0</x:v>
      </x:c>
      <x:c r="M161" s="28" t="n">
        <x:v>0</x:v>
      </x:c>
      <x:c r="N161" s="28" t="n">
        <x:v>0</x:v>
      </x:c>
      <x:c r="O161" s="28" t="n">
        <x:v>0</x:v>
      </x:c>
      <x:c r="P161" s="62" t="n">
        <x:v>0</x:v>
      </x:c>
      <x:c r="Q161" s="22" t="n">
        <x:v>0</x:v>
      </x:c>
      <x:c r="R161" s="22" t="str"/>
      <x:c r="S161" s="22" t="str"/>
      <x:c r="T161" s="22" t="str"/>
    </x:row>
    <x:row r="162">
      <x:c r="A162" s="22" t="str">
        <x:v>2020-00070</x:v>
      </x:c>
      <x:c r="B162" s="22" t="str">
        <x:v>L2025-00007-1</x:v>
      </x:c>
      <x:c r="C162" s="22" t="str">
        <x:v>용역</x:v>
      </x:c>
      <x:c r="D162" s="25" t="str">
        <x:v>도미니카공화국 몬테 크리스티 직업훈련센터 (MVC) 감리사 선정</x:v>
      </x:c>
      <x:c r="E162" s="22" t="n">
        <x:v>0</x:v>
      </x:c>
      <x:c r="F162" s="22" t="str">
        <x:v>.docx</x:v>
      </x:c>
      <x:c r="G162" s="25" t="str">
        <x:v>L2025-00007-1/★ Checklist for the Bidders_250224.docx</x:v>
      </x:c>
      <x:c r="H162" s="28" t="n">
        <x:v>19428</x:v>
      </x:c>
      <x:c r="I162" s="22" t="str">
        <x:v>26fdf6184b9ddf5db390dda84b99aa6b1b06d2f86278eea2065cd98deb570587</x:v>
      </x:c>
      <x:c r="J162" s="22" t="n">
        <x:v>0</x:v>
      </x:c>
      <x:c r="K162" s="22" t="n">
        <x:v>0</x:v>
      </x:c>
      <x:c r="L162" s="22" t="n">
        <x:v>0</x:v>
      </x:c>
      <x:c r="M162" s="28" t="n">
        <x:v>0</x:v>
      </x:c>
      <x:c r="N162" s="28" t="n">
        <x:v>0</x:v>
      </x:c>
      <x:c r="O162" s="28" t="n">
        <x:v>0</x:v>
      </x:c>
      <x:c r="P162" s="62" t="n">
        <x:v>0</x:v>
      </x:c>
      <x:c r="Q162" s="22" t="n">
        <x:v>0</x:v>
      </x:c>
      <x:c r="R162" s="22" t="str"/>
      <x:c r="S162" s="22" t="str"/>
      <x:c r="T162" s="22" t="str"/>
    </x:row>
    <x:row r="163">
      <x:c r="A163" s="22" t="str">
        <x:v>2020-00070</x:v>
      </x:c>
      <x:c r="B163" s="22" t="str">
        <x:v>L2025-00007-1</x:v>
      </x:c>
      <x:c r="C163" s="22" t="str">
        <x:v>용역</x:v>
      </x:c>
      <x:c r="D163" s="25" t="str">
        <x:v>도미니카공화국 몬테 크리스티 직업훈련센터 (MVC) 감리사 선정</x:v>
      </x:c>
      <x:c r="E163" s="22" t="n">
        <x:v>0</x:v>
      </x:c>
      <x:c r="F163" s="22" t="str">
        <x:v>.docx</x:v>
      </x:c>
      <x:c r="G163" s="25" t="str">
        <x:v>L2025-00007-1/Section 4 - Scope of Works_MVC (Supervision)_20250224_클린.docx</x:v>
      </x:c>
      <x:c r="H163" s="28" t="n">
        <x:v>104640</x:v>
      </x:c>
      <x:c r="I163" s="22" t="str">
        <x:v>d633039295827c55a745768b0dec991054f54468d27d81b248f93a0aec43d15a</x:v>
      </x:c>
      <x:c r="J163" s="22" t="n">
        <x:v>0</x:v>
      </x:c>
      <x:c r="K163" s="22" t="n">
        <x:v>0</x:v>
      </x:c>
      <x:c r="L163" s="22" t="n">
        <x:v>0</x:v>
      </x:c>
      <x:c r="M163" s="28" t="n">
        <x:v>0</x:v>
      </x:c>
      <x:c r="N163" s="28" t="n">
        <x:v>0</x:v>
      </x:c>
      <x:c r="O163" s="28" t="n">
        <x:v>0</x:v>
      </x:c>
      <x:c r="P163" s="62" t="n">
        <x:v>0</x:v>
      </x:c>
      <x:c r="Q163" s="22" t="n">
        <x:v>0</x:v>
      </x:c>
      <x:c r="R163" s="22" t="str"/>
      <x:c r="S163" s="22" t="str"/>
      <x:c r="T163" s="22" t="str"/>
    </x:row>
    <x:row r="164">
      <x:c r="A164" s="22" t="str">
        <x:v>2020-00070</x:v>
      </x:c>
      <x:c r="B164" s="22" t="str">
        <x:v>L2025-00007-1</x:v>
      </x:c>
      <x:c r="C164" s="22" t="str">
        <x:v>용역</x:v>
      </x:c>
      <x:c r="D164" s="25" t="str">
        <x:v>도미니카공화국 몬테 크리스티 직업훈련센터 (MVC) 감리사 선정</x:v>
      </x:c>
      <x:c r="E164" s="22" t="n">
        <x:v>0</x:v>
      </x:c>
      <x:c r="F164" s="22" t="str">
        <x:v>.docx</x:v>
      </x:c>
      <x:c r="G164" s="25" t="str">
        <x:v>L2025-00007-1/Section 3 - Bidding Forms_MVC (Supervision)_20250224_클린.docx</x:v>
      </x:c>
      <x:c r="H164" s="28" t="n">
        <x:v>61920</x:v>
      </x:c>
      <x:c r="I164" s="22" t="str">
        <x:v>d38623b175a2917be80aed6802f6d257a8bfd34e30953713f4e1f7cc3e218e65</x:v>
      </x:c>
      <x:c r="J164" s="22" t="n">
        <x:v>0</x:v>
      </x:c>
      <x:c r="K164" s="22" t="n">
        <x:v>0</x:v>
      </x:c>
      <x:c r="L164" s="22" t="n">
        <x:v>0</x:v>
      </x:c>
      <x:c r="M164" s="28" t="n">
        <x:v>0</x:v>
      </x:c>
      <x:c r="N164" s="28" t="n">
        <x:v>0</x:v>
      </x:c>
      <x:c r="O164" s="28" t="n">
        <x:v>0</x:v>
      </x:c>
      <x:c r="P164" s="62" t="n">
        <x:v>0</x:v>
      </x:c>
      <x:c r="Q164" s="22" t="n">
        <x:v>0</x:v>
      </x:c>
      <x:c r="R164" s="22" t="str"/>
      <x:c r="S164" s="22" t="str"/>
      <x:c r="T164" s="22" t="str"/>
    </x:row>
    <x:row r="165">
      <x:c r="A165" s="22" t="str">
        <x:v>2020-00070</x:v>
      </x:c>
      <x:c r="B165" s="22" t="str">
        <x:v>L2025-00007-1</x:v>
      </x:c>
      <x:c r="C165" s="22" t="str">
        <x:v>용역</x:v>
      </x:c>
      <x:c r="D165" s="25" t="str">
        <x:v>도미니카공화국 몬테 크리스티 직업훈련센터 (MVC) 감리사 선정</x:v>
      </x:c>
      <x:c r="E165" s="22" t="n">
        <x:v>0</x:v>
      </x:c>
      <x:c r="F165" s="22" t="str">
        <x:v>.docx</x:v>
      </x:c>
      <x:c r="G165" s="25" t="str">
        <x:v>L2025-00007-1/Cover sheet_MVC (Supervision)_20250224_클린.docx</x:v>
      </x:c>
      <x:c r="H165" s="28" t="n">
        <x:v>34573</x:v>
      </x:c>
      <x:c r="I165" s="22" t="str">
        <x:v>75544e90ea5c75664040ee62f65eeb4b8123d3612799f18847f8023e4dbd2575</x:v>
      </x:c>
      <x:c r="J165" s="22" t="n">
        <x:v>0</x:v>
      </x:c>
      <x:c r="K165" s="22" t="n">
        <x:v>0</x:v>
      </x:c>
      <x:c r="L165" s="22" t="n">
        <x:v>0</x:v>
      </x:c>
      <x:c r="M165" s="28" t="n">
        <x:v>0</x:v>
      </x:c>
      <x:c r="N165" s="28" t="n">
        <x:v>0</x:v>
      </x:c>
      <x:c r="O165" s="28" t="n">
        <x:v>0</x:v>
      </x:c>
      <x:c r="P165" s="62" t="n">
        <x:v>0</x:v>
      </x:c>
      <x:c r="Q165" s="22" t="n">
        <x:v>0</x:v>
      </x:c>
      <x:c r="R165" s="22" t="str"/>
      <x:c r="S165" s="22" t="str"/>
      <x:c r="T165" s="22" t="str"/>
    </x:row>
    <x:row r="166">
      <x:c r="A166" s="22" t="str">
        <x:v>2020-00070</x:v>
      </x:c>
      <x:c r="B166" s="22" t="str">
        <x:v>L2025-00007-1</x:v>
      </x:c>
      <x:c r="C166" s="22" t="str">
        <x:v>용역</x:v>
      </x:c>
      <x:c r="D166" s="25" t="str">
        <x:v>도미니카공화국 몬테 크리스티 직업훈련센터 (MVC) 감리사 선정</x:v>
      </x:c>
      <x:c r="E166" s="22" t="n">
        <x:v>0</x:v>
      </x:c>
      <x:c r="F166" s="22" t="str">
        <x:v>.hwp</x:v>
      </x:c>
      <x:c r="G166" s="25" t="str">
        <x:v>L2025-00007-1/붙임 1. 입찰 계획서(국문).hwp</x:v>
      </x:c>
      <x:c r="H166" s="28" t="n">
        <x:v>84480</x:v>
      </x:c>
      <x:c r="I166" s="22" t="str">
        <x:v>87f2a00991f35b3b2fbc4951994e612aa78a86c6d75666a9e921532b9fd70314</x:v>
      </x:c>
      <x:c r="J166" s="22" t="n">
        <x:v>0</x:v>
      </x:c>
      <x:c r="K166" s="22" t="n">
        <x:v>0</x:v>
      </x:c>
      <x:c r="L166" s="22" t="n">
        <x:v>0</x:v>
      </x:c>
      <x:c r="M166" s="28" t="n">
        <x:v>0</x:v>
      </x:c>
      <x:c r="N166" s="28" t="n">
        <x:v>0</x:v>
      </x:c>
      <x:c r="O166" s="28" t="n">
        <x:v>0</x:v>
      </x:c>
      <x:c r="P166" s="62" t="n">
        <x:v>0</x:v>
      </x:c>
      <x:c r="Q166" s="22" t="n">
        <x:v>0</x:v>
      </x:c>
      <x:c r="R166" s="22" t="str"/>
      <x:c r="S166" s="22" t="str"/>
      <x:c r="T166" s="22" t="str"/>
    </x:row>
    <x:row r="167">
      <x:c r="A167" s="22" t="str">
        <x:v>2020-00070</x:v>
      </x:c>
      <x:c r="B167" s="22" t="str">
        <x:v>L2025-00007-1</x:v>
      </x:c>
      <x:c r="C167" s="22" t="str">
        <x:v>용역</x:v>
      </x:c>
      <x:c r="D167" s="25" t="str">
        <x:v>도미니카공화국 몬테 크리스티 직업훈련센터 (MVC) 감리사 선정</x:v>
      </x:c>
      <x:c r="E167" s="22" t="n">
        <x:v>0</x:v>
      </x:c>
      <x:c r="F167" s="22" t="str">
        <x:v>.docx</x:v>
      </x:c>
      <x:c r="G167" s="25" t="str">
        <x:v>L2025-00007-1/Section 2 - Bid Data Sheet (BDS)_MVC (Supervision)_20250224_클린_추가.docx</x:v>
      </x:c>
      <x:c r="H167" s="28" t="n">
        <x:v>78614</x:v>
      </x:c>
      <x:c r="I167" s="22" t="str">
        <x:v>b59ccfbd122830546c358f4d3d6bce7b54869d4fbdfddfb6736c45edc7068f87</x:v>
      </x:c>
      <x:c r="J167" s="22" t="n">
        <x:v>0</x:v>
      </x:c>
      <x:c r="K167" s="22" t="n">
        <x:v>0</x:v>
      </x:c>
      <x:c r="L167" s="22" t="n">
        <x:v>0</x:v>
      </x:c>
      <x:c r="M167" s="28" t="n">
        <x:v>0</x:v>
      </x:c>
      <x:c r="N167" s="28" t="n">
        <x:v>0</x:v>
      </x:c>
      <x:c r="O167" s="28" t="n">
        <x:v>0</x:v>
      </x:c>
      <x:c r="P167" s="62" t="n">
        <x:v>0</x:v>
      </x:c>
      <x:c r="Q167" s="22" t="n">
        <x:v>0</x:v>
      </x:c>
      <x:c r="R167" s="22" t="str"/>
      <x:c r="S167" s="22" t="str"/>
      <x:c r="T167" s="22" t="str"/>
    </x:row>
    <x:row r="168">
      <x:c r="A168" s="22" t="str">
        <x:v>2020-00070</x:v>
      </x:c>
      <x:c r="B168" s="22" t="str">
        <x:v>L2025-00007-2</x:v>
      </x:c>
      <x:c r="C168" s="22" t="str">
        <x:v>용역</x:v>
      </x:c>
      <x:c r="D168" s="25" t="str">
        <x:v>도미니카공화국 몬테 크리스티 직업훈련센터 (MVC) 감리사 선정</x:v>
      </x:c>
      <x:c r="E168" s="22" t="n">
        <x:v>0</x:v>
      </x:c>
      <x:c r="F168" s="22" t="str">
        <x:v>.zip</x:v>
      </x:c>
      <x:c r="G168" s="25" t="str">
        <x:v>L2025-00007-2/붙임 2. 입찰 공고문(영문).zip</x:v>
      </x:c>
      <x:c r="H168" s="28" t="n">
        <x:v>419155</x:v>
      </x:c>
      <x:c r="I168" s="22" t="str">
        <x:v>1474f3ee3d669bef5b3553de312ec5c0d58894e318b4e73ed0aa199f0abd0fc8</x:v>
      </x:c>
      <x:c r="J168" s="22" t="n">
        <x:v>0</x:v>
      </x:c>
      <x:c r="K168" s="22" t="n">
        <x:v>0</x:v>
      </x:c>
      <x:c r="L168" s="22" t="n">
        <x:v>0</x:v>
      </x:c>
      <x:c r="M168" s="28" t="n">
        <x:v>0</x:v>
      </x:c>
      <x:c r="N168" s="28" t="n">
        <x:v>0</x:v>
      </x:c>
      <x:c r="O168" s="28" t="n">
        <x:v>0</x:v>
      </x:c>
      <x:c r="P168" s="62" t="n">
        <x:v>0</x:v>
      </x:c>
      <x:c r="Q168" s="22" t="n">
        <x:v>0</x:v>
      </x:c>
      <x:c r="R168" s="22" t="str"/>
      <x:c r="S168" s="22" t="str"/>
      <x:c r="T168" s="22" t="str"/>
    </x:row>
    <x:row r="169">
      <x:c r="A169" s="22" t="str">
        <x:v>2020-00070</x:v>
      </x:c>
      <x:c r="B169" s="22" t="str">
        <x:v>L2025-00007-2</x:v>
      </x:c>
      <x:c r="C169" s="22" t="str">
        <x:v>용역</x:v>
      </x:c>
      <x:c r="D169" s="25" t="str">
        <x:v>도미니카공화국 몬테 크리스티 직업훈련센터 (MVC) 감리사 선정</x:v>
      </x:c>
      <x:c r="E169" s="22" t="n">
        <x:v>0</x:v>
      </x:c>
      <x:c r="F169" s="22" t="str">
        <x:v>.hwp</x:v>
      </x:c>
      <x:c r="G169" s="25" t="str">
        <x:v>L2025-00007-2/붙임 1. 입찰 계획서(국문).hwp</x:v>
      </x:c>
      <x:c r="H169" s="28" t="n">
        <x:v>162304</x:v>
      </x:c>
      <x:c r="I169" s="22" t="str">
        <x:v>c587a940e2241e67e7c87aced267fab80fb2ab2723d00ac50743fd82af07389c</x:v>
      </x:c>
      <x:c r="J169" s="22" t="n">
        <x:v>0</x:v>
      </x:c>
      <x:c r="K169" s="22" t="n">
        <x:v>0</x:v>
      </x:c>
      <x:c r="L169" s="22" t="n">
        <x:v>0</x:v>
      </x:c>
      <x:c r="M169" s="28" t="n">
        <x:v>0</x:v>
      </x:c>
      <x:c r="N169" s="28" t="n">
        <x:v>0</x:v>
      </x:c>
      <x:c r="O169" s="28" t="n">
        <x:v>0</x:v>
      </x:c>
      <x:c r="P169" s="62" t="n">
        <x:v>0</x:v>
      </x:c>
      <x:c r="Q169" s="22" t="n">
        <x:v>0</x:v>
      </x:c>
      <x:c r="R169" s="22" t="str"/>
      <x:c r="S169" s="22" t="str"/>
      <x:c r="T169" s="22" t="str"/>
    </x:row>
    <x:row r="170">
      <x:c r="A170" s="22" t="str">
        <x:v>2020-00070</x:v>
      </x:c>
      <x:c r="B170" s="22" t="str">
        <x:v>L2025-00007-2</x:v>
      </x:c>
      <x:c r="C170" s="22" t="str">
        <x:v>용역</x:v>
      </x:c>
      <x:c r="D170" s="25" t="str">
        <x:v>도미니카공화국 몬테 크리스티 직업훈련센터 (MVC) 감리사 선정</x:v>
      </x:c>
      <x:c r="E170" s="22" t="n">
        <x:v>0</x:v>
      </x:c>
      <x:c r="F170" s="22" t="str">
        <x:v>.docx</x:v>
      </x:c>
      <x:c r="G170" s="25" t="str">
        <x:v>L2025-00007-2/붙임 2. 입찰 공고문(영문)/Cover sheet_MVC (Supervision)_20250404_┼¼╕░.docx</x:v>
      </x:c>
      <x:c r="H170" s="28" t="n">
        <x:v>34628</x:v>
      </x:c>
      <x:c r="I170" s="22" t="str">
        <x:v>481f92829c1eabd029288f642d3005d03ffb18975539991bb48ca4e5f3fc75c6</x:v>
      </x:c>
      <x:c r="J170" s="22" t="n">
        <x:v>0</x:v>
      </x:c>
      <x:c r="K170" s="22" t="n">
        <x:v>0</x:v>
      </x:c>
      <x:c r="L170" s="22" t="n">
        <x:v>0</x:v>
      </x:c>
      <x:c r="M170" s="28" t="n">
        <x:v>0</x:v>
      </x:c>
      <x:c r="N170" s="28" t="n">
        <x:v>0</x:v>
      </x:c>
      <x:c r="O170" s="28" t="n">
        <x:v>0</x:v>
      </x:c>
      <x:c r="P170" s="62" t="n">
        <x:v>0</x:v>
      </x:c>
      <x:c r="Q170" s="22" t="n">
        <x:v>0</x:v>
      </x:c>
      <x:c r="R170" s="22" t="str"/>
      <x:c r="S170" s="22" t="str"/>
      <x:c r="T170" s="22" t="str"/>
    </x:row>
    <x:row r="171">
      <x:c r="A171" s="22" t="str">
        <x:v>2020-00070</x:v>
      </x:c>
      <x:c r="B171" s="22" t="str">
        <x:v>L2025-00007-2</x:v>
      </x:c>
      <x:c r="C171" s="22" t="str">
        <x:v>용역</x:v>
      </x:c>
      <x:c r="D171" s="25" t="str">
        <x:v>도미니카공화국 몬테 크리스티 직업훈련센터 (MVC) 감리사 선정</x:v>
      </x:c>
      <x:c r="E171" s="22" t="n">
        <x:v>0</x:v>
      </x:c>
      <x:c r="F171" s="22" t="str">
        <x:v>.docx</x:v>
      </x:c>
      <x:c r="G171" s="25" t="str">
        <x:v>L2025-00007-2/붙임 2. 입찰 공고문(영문)/Section 3 - Bidding Forms_MVC (Supervision)_20250404_┼¼╕░.docx</x:v>
      </x:c>
      <x:c r="H171" s="28" t="n">
        <x:v>61920</x:v>
      </x:c>
      <x:c r="I171" s="22" t="str">
        <x:v>d38623b175a2917be80aed6802f6d257a8bfd34e30953713f4e1f7cc3e218e65</x:v>
      </x:c>
      <x:c r="J171" s="22" t="n">
        <x:v>0</x:v>
      </x:c>
      <x:c r="K171" s="22" t="n">
        <x:v>0</x:v>
      </x:c>
      <x:c r="L171" s="22" t="n">
        <x:v>0</x:v>
      </x:c>
      <x:c r="M171" s="28" t="n">
        <x:v>0</x:v>
      </x:c>
      <x:c r="N171" s="28" t="n">
        <x:v>0</x:v>
      </x:c>
      <x:c r="O171" s="28" t="n">
        <x:v>0</x:v>
      </x:c>
      <x:c r="P171" s="62" t="n">
        <x:v>0</x:v>
      </x:c>
      <x:c r="Q171" s="22" t="n">
        <x:v>0</x:v>
      </x:c>
      <x:c r="R171" s="22" t="str"/>
      <x:c r="S171" s="22" t="str"/>
      <x:c r="T171" s="22" t="str"/>
    </x:row>
    <x:row r="172">
      <x:c r="A172" s="22" t="str">
        <x:v>2020-00070</x:v>
      </x:c>
      <x:c r="B172" s="22" t="str">
        <x:v>L2025-00007-2</x:v>
      </x:c>
      <x:c r="C172" s="22" t="str">
        <x:v>용역</x:v>
      </x:c>
      <x:c r="D172" s="25" t="str">
        <x:v>도미니카공화국 몬테 크리스티 직업훈련센터 (MVC) 감리사 선정</x:v>
      </x:c>
      <x:c r="E172" s="22" t="n">
        <x:v>0</x:v>
      </x:c>
      <x:c r="F172" s="22" t="str">
        <x:v>.docx</x:v>
      </x:c>
      <x:c r="G172" s="25" t="str">
        <x:v>L2025-00007-2/붙임 2. 입찰 공고문(영문)/Section 6 - Special Conditions of Contract_MVC (Supervision)_20250404_┼¼╕░.docx</x:v>
      </x:c>
      <x:c r="H172" s="28" t="n">
        <x:v>28577</x:v>
      </x:c>
      <x:c r="I172" s="22" t="str">
        <x:v>5ca8eefdd234be0be15cc1d128d3193097bac5427d78cf4dd2221299204dc157</x:v>
      </x:c>
      <x:c r="J172" s="22" t="n">
        <x:v>0</x:v>
      </x:c>
      <x:c r="K172" s="22" t="n">
        <x:v>0</x:v>
      </x:c>
      <x:c r="L172" s="22" t="n">
        <x:v>0</x:v>
      </x:c>
      <x:c r="M172" s="28" t="n">
        <x:v>0</x:v>
      </x:c>
      <x:c r="N172" s="28" t="n">
        <x:v>0</x:v>
      </x:c>
      <x:c r="O172" s="28" t="n">
        <x:v>0</x:v>
      </x:c>
      <x:c r="P172" s="62" t="n">
        <x:v>0</x:v>
      </x:c>
      <x:c r="Q172" s="22" t="n">
        <x:v>0</x:v>
      </x:c>
      <x:c r="R172" s="22" t="str"/>
      <x:c r="S172" s="22" t="str"/>
      <x:c r="T172" s="22" t="str"/>
    </x:row>
    <x:row r="173">
      <x:c r="A173" s="22" t="str">
        <x:v>2020-00070</x:v>
      </x:c>
      <x:c r="B173" s="22" t="str">
        <x:v>L2025-00007-2</x:v>
      </x:c>
      <x:c r="C173" s="22" t="str">
        <x:v>용역</x:v>
      </x:c>
      <x:c r="D173" s="25" t="str">
        <x:v>도미니카공화국 몬테 크리스티 직업훈련센터 (MVC) 감리사 선정</x:v>
      </x:c>
      <x:c r="E173" s="22" t="n">
        <x:v>0</x:v>
      </x:c>
      <x:c r="F173" s="22" t="str">
        <x:v>.docx</x:v>
      </x:c>
      <x:c r="G173" s="25" t="str">
        <x:v>L2025-00007-2/붙임 2. 입찰 공고문(영문)/Section 1 - Instructions to Bidders (ITB)_MVC (Supervision)_20250404_┼¼╕░.docx</x:v>
      </x:c>
      <x:c r="H173" s="28" t="n">
        <x:v>39371</x:v>
      </x:c>
      <x:c r="I173" s="22" t="str">
        <x:v>72396202e1257437ad0ed83ed14c206fba54067ebc1be7548478ba9eef2c4d8d</x:v>
      </x:c>
      <x:c r="J173" s="22" t="n">
        <x:v>0</x:v>
      </x:c>
      <x:c r="K173" s="22" t="n">
        <x:v>0</x:v>
      </x:c>
      <x:c r="L173" s="22" t="n">
        <x:v>0</x:v>
      </x:c>
      <x:c r="M173" s="28" t="n">
        <x:v>0</x:v>
      </x:c>
      <x:c r="N173" s="28" t="n">
        <x:v>0</x:v>
      </x:c>
      <x:c r="O173" s="28" t="n">
        <x:v>0</x:v>
      </x:c>
      <x:c r="P173" s="62" t="n">
        <x:v>0</x:v>
      </x:c>
      <x:c r="Q173" s="22" t="n">
        <x:v>0</x:v>
      </x:c>
      <x:c r="R173" s="22" t="str"/>
      <x:c r="S173" s="22" t="str"/>
      <x:c r="T173" s="22" t="str"/>
    </x:row>
    <x:row r="174">
      <x:c r="A174" s="22" t="str">
        <x:v>2020-00070</x:v>
      </x:c>
      <x:c r="B174" s="22" t="str">
        <x:v>L2025-00007-2</x:v>
      </x:c>
      <x:c r="C174" s="22" t="str">
        <x:v>용역</x:v>
      </x:c>
      <x:c r="D174" s="25" t="str">
        <x:v>도미니카공화국 몬테 크리스티 직업훈련센터 (MVC) 감리사 선정</x:v>
      </x:c>
      <x:c r="E174" s="22" t="n">
        <x:v>0</x:v>
      </x:c>
      <x:c r="F174" s="22" t="str">
        <x:v>.docx</x:v>
      </x:c>
      <x:c r="G174" s="25" t="str">
        <x:v>L2025-00007-2/붙임 2. 입찰 공고문(영문)/Section 4 - Scope of Works_MVC (Supervision)_20250404_┼¼╕░.docx</x:v>
      </x:c>
      <x:c r="H174" s="28" t="n">
        <x:v>104640</x:v>
      </x:c>
      <x:c r="I174" s="22" t="str">
        <x:v>d633039295827c55a745768b0dec991054f54468d27d81b248f93a0aec43d15a</x:v>
      </x:c>
      <x:c r="J174" s="22" t="n">
        <x:v>0</x:v>
      </x:c>
      <x:c r="K174" s="22" t="n">
        <x:v>0</x:v>
      </x:c>
      <x:c r="L174" s="22" t="n">
        <x:v>0</x:v>
      </x:c>
      <x:c r="M174" s="28" t="n">
        <x:v>0</x:v>
      </x:c>
      <x:c r="N174" s="28" t="n">
        <x:v>0</x:v>
      </x:c>
      <x:c r="O174" s="28" t="n">
        <x:v>0</x:v>
      </x:c>
      <x:c r="P174" s="62" t="n">
        <x:v>0</x:v>
      </x:c>
      <x:c r="Q174" s="22" t="n">
        <x:v>0</x:v>
      </x:c>
      <x:c r="R174" s="22" t="str"/>
      <x:c r="S174" s="22" t="str"/>
      <x:c r="T174" s="22" t="str"/>
    </x:row>
    <x:row r="175">
      <x:c r="A175" s="22" t="str">
        <x:v>2020-00070</x:v>
      </x:c>
      <x:c r="B175" s="22" t="str">
        <x:v>L2025-00007-2</x:v>
      </x:c>
      <x:c r="C175" s="22" t="str">
        <x:v>용역</x:v>
      </x:c>
      <x:c r="D175" s="25" t="str">
        <x:v>도미니카공화국 몬테 크리스티 직업훈련센터 (MVC) 감리사 선정</x:v>
      </x:c>
      <x:c r="E175" s="22" t="n">
        <x:v>0</x:v>
      </x:c>
      <x:c r="F175" s="22" t="str">
        <x:v>.docx</x:v>
      </x:c>
      <x:c r="G175" s="25" t="str">
        <x:v>L2025-00007-2/붙임 2. 입찰 공고문(영문)/Section 7 - Contract Forms_MVC (Supervision)_20250404_┼¼╕░.docx</x:v>
      </x:c>
      <x:c r="H175" s="28" t="n">
        <x:v>41866</x:v>
      </x:c>
      <x:c r="I175" s="22" t="str">
        <x:v>cd24d8a6cbf9d08ba5990943e98cb5cf75d6f649083318f049c92ff1d1318d96</x:v>
      </x:c>
      <x:c r="J175" s="22" t="n">
        <x:v>0</x:v>
      </x:c>
      <x:c r="K175" s="22" t="n">
        <x:v>0</x:v>
      </x:c>
      <x:c r="L175" s="22" t="n">
        <x:v>0</x:v>
      </x:c>
      <x:c r="M175" s="28" t="n">
        <x:v>0</x:v>
      </x:c>
      <x:c r="N175" s="28" t="n">
        <x:v>0</x:v>
      </x:c>
      <x:c r="O175" s="28" t="n">
        <x:v>0</x:v>
      </x:c>
      <x:c r="P175" s="62" t="n">
        <x:v>0</x:v>
      </x:c>
      <x:c r="Q175" s="22" t="n">
        <x:v>0</x:v>
      </x:c>
      <x:c r="R175" s="22" t="str"/>
      <x:c r="S175" s="22" t="str"/>
      <x:c r="T175" s="22" t="str"/>
    </x:row>
    <x:row r="176">
      <x:c r="A176" s="22" t="str">
        <x:v>2020-00070</x:v>
      </x:c>
      <x:c r="B176" s="22" t="str">
        <x:v>L2025-00007-2</x:v>
      </x:c>
      <x:c r="C176" s="22" t="str">
        <x:v>용역</x:v>
      </x:c>
      <x:c r="D176" s="25" t="str">
        <x:v>도미니카공화국 몬테 크리스티 직업훈련센터 (MVC) 감리사 선정</x:v>
      </x:c>
      <x:c r="E176" s="22" t="n">
        <x:v>0</x:v>
      </x:c>
      <x:c r="F176" s="22" t="str">
        <x:v>.docx</x:v>
      </x:c>
      <x:c r="G176" s="25" t="str">
        <x:v>L2025-00007-2/붙임 2. 입찰 공고문(영문)/í┌ Checklist for the Bidders_8_04_2025.docx</x:v>
      </x:c>
      <x:c r="H176" s="28" t="n">
        <x:v>19302</x:v>
      </x:c>
      <x:c r="I176" s="22" t="str">
        <x:v>b579aca1f07c40dd743f60b041e8c38effbe94cb7f9f00dde123603d67010b53</x:v>
      </x:c>
      <x:c r="J176" s="22" t="n">
        <x:v>0</x:v>
      </x:c>
      <x:c r="K176" s="22" t="n">
        <x:v>0</x:v>
      </x:c>
      <x:c r="L176" s="22" t="n">
        <x:v>0</x:v>
      </x:c>
      <x:c r="M176" s="28" t="n">
        <x:v>0</x:v>
      </x:c>
      <x:c r="N176" s="28" t="n">
        <x:v>0</x:v>
      </x:c>
      <x:c r="O176" s="28" t="n">
        <x:v>0</x:v>
      </x:c>
      <x:c r="P176" s="62" t="n">
        <x:v>0</x:v>
      </x:c>
      <x:c r="Q176" s="22" t="n">
        <x:v>0</x:v>
      </x:c>
      <x:c r="R176" s="22" t="str"/>
      <x:c r="S176" s="22" t="str"/>
      <x:c r="T176" s="22" t="str"/>
    </x:row>
    <x:row r="177">
      <x:c r="A177" s="22" t="str">
        <x:v>2020-00070</x:v>
      </x:c>
      <x:c r="B177" s="22" t="str">
        <x:v>L2025-00007-2</x:v>
      </x:c>
      <x:c r="C177" s="22" t="str">
        <x:v>용역</x:v>
      </x:c>
      <x:c r="D177" s="25" t="str">
        <x:v>도미니카공화국 몬테 크리스티 직업훈련센터 (MVC) 감리사 선정</x:v>
      </x:c>
      <x:c r="E177" s="22" t="n">
        <x:v>0</x:v>
      </x:c>
      <x:c r="F177" s="22" t="str">
        <x:v>.docx</x:v>
      </x:c>
      <x:c r="G177" s="25" t="str">
        <x:v>L2025-00007-2/붙임 2. 입찰 공고문(영문)/Section 2 - Bid Data Sheet (BDS)_MVC (Supervision)_20250404_┼¼╕░.docx</x:v>
      </x:c>
      <x:c r="H177" s="28" t="n">
        <x:v>80054</x:v>
      </x:c>
      <x:c r="I177" s="22" t="str">
        <x:v>1d1581ba7dc77998959ec2badc628e019e94196efc3576630f039cd215c722e4</x:v>
      </x:c>
      <x:c r="J177" s="22" t="n">
        <x:v>0</x:v>
      </x:c>
      <x:c r="K177" s="22" t="n">
        <x:v>0</x:v>
      </x:c>
      <x:c r="L177" s="22" t="n">
        <x:v>0</x:v>
      </x:c>
      <x:c r="M177" s="28" t="n">
        <x:v>0</x:v>
      </x:c>
      <x:c r="N177" s="28" t="n">
        <x:v>0</x:v>
      </x:c>
      <x:c r="O177" s="28" t="n">
        <x:v>0</x:v>
      </x:c>
      <x:c r="P177" s="62" t="n">
        <x:v>0</x:v>
      </x:c>
      <x:c r="Q177" s="22" t="n">
        <x:v>0</x:v>
      </x:c>
      <x:c r="R177" s="22" t="str"/>
      <x:c r="S177" s="22" t="str"/>
      <x:c r="T177" s="22" t="str"/>
    </x:row>
    <x:row r="178">
      <x:c r="A178" s="22" t="str">
        <x:v>2020-00070</x:v>
      </x:c>
      <x:c r="B178" s="22" t="str">
        <x:v>L2025-00007-2</x:v>
      </x:c>
      <x:c r="C178" s="22" t="str">
        <x:v>용역</x:v>
      </x:c>
      <x:c r="D178" s="25" t="str">
        <x:v>도미니카공화국 몬테 크리스티 직업훈련센터 (MVC) 감리사 선정</x:v>
      </x:c>
      <x:c r="E178" s="22" t="n">
        <x:v>0</x:v>
      </x:c>
      <x:c r="F178" s="22" t="str">
        <x:v>.docx</x:v>
      </x:c>
      <x:c r="G178" s="25" t="str">
        <x:v>L2025-00007-2/붙임 2. 입찰 공고문(영문)/Section 5 - General Conditions of Contract_MVC (Supervision)_20250404_┼¼╕░.docx</x:v>
      </x:c>
      <x:c r="H178" s="28" t="n">
        <x:v>39726</x:v>
      </x:c>
      <x:c r="I178" s="22" t="str">
        <x:v>6d6491d7e93246b068a266e0a9d0e914416def833f4afecd55c9b97415485c26</x:v>
      </x:c>
      <x:c r="J178" s="22" t="n">
        <x:v>0</x:v>
      </x:c>
      <x:c r="K178" s="22" t="n">
        <x:v>0</x:v>
      </x:c>
      <x:c r="L178" s="22" t="n">
        <x:v>0</x:v>
      </x:c>
      <x:c r="M178" s="28" t="n">
        <x:v>0</x:v>
      </x:c>
      <x:c r="N178" s="28" t="n">
        <x:v>0</x:v>
      </x:c>
      <x:c r="O178" s="28" t="n">
        <x:v>0</x:v>
      </x:c>
      <x:c r="P178" s="62" t="n">
        <x:v>0</x:v>
      </x:c>
      <x:c r="Q178" s="22" t="n">
        <x:v>0</x:v>
      </x:c>
      <x:c r="R178" s="22" t="str"/>
      <x:c r="S178" s="22" t="str"/>
      <x:c r="T178" s="22" t="str"/>
    </x:row>
    <x:row r="179">
      <x:c r="A179" s="22" t="str">
        <x:v>2020-00070</x:v>
      </x:c>
      <x:c r="B179" s="22" t="str">
        <x:v>L2025-00010-1</x:v>
      </x:c>
      <x:c r="C179" s="22" t="str">
        <x:v>용역</x:v>
      </x:c>
      <x:c r="D179" s="25" t="str">
        <x:v>도미니카공화국 여성 중심 취약계층 사회경제적 역량강화사업 하이나 직업훈련센터 리모델링 설계용역</x:v>
      </x:c>
      <x:c r="E179" s="22" t="n">
        <x:v>0</x:v>
      </x:c>
      <x:c r="F179" s="22" t="str">
        <x:v>.docx</x:v>
      </x:c>
      <x:c r="G179" s="25" t="str">
        <x:v>L2025-00010-1/붙임 3. 입찰공고 게시문_fin.docx</x:v>
      </x:c>
      <x:c r="H179" s="28" t="n">
        <x:v>29513</x:v>
      </x:c>
      <x:c r="I179" s="22" t="str">
        <x:v>2d97e7c0984f3b183d36b34d990f48606d86fd0103a4e89db27653a6d2b208df</x:v>
      </x:c>
      <x:c r="J179" s="22" t="n">
        <x:v>0</x:v>
      </x:c>
      <x:c r="K179" s="22" t="n">
        <x:v>0</x:v>
      </x:c>
      <x:c r="L179" s="22" t="n">
        <x:v>0</x:v>
      </x:c>
      <x:c r="M179" s="28" t="n">
        <x:v>0</x:v>
      </x:c>
      <x:c r="N179" s="28" t="n">
        <x:v>0</x:v>
      </x:c>
      <x:c r="O179" s="28" t="n">
        <x:v>0</x:v>
      </x:c>
      <x:c r="P179" s="62" t="n">
        <x:v>0</x:v>
      </x:c>
      <x:c r="Q179" s="22" t="n">
        <x:v>0</x:v>
      </x:c>
      <x:c r="R179" s="22" t="str"/>
      <x:c r="S179" s="22" t="str"/>
      <x:c r="T179" s="22" t="str"/>
    </x:row>
    <x:row r="180">
      <x:c r="A180" s="22" t="str">
        <x:v>2020-00070</x:v>
      </x:c>
      <x:c r="B180" s="22" t="str">
        <x:v>L2025-00010-1</x:v>
      </x:c>
      <x:c r="C180" s="22" t="str">
        <x:v>용역</x:v>
      </x:c>
      <x:c r="D180" s="25" t="str">
        <x:v>도미니카공화국 여성 중심 취약계층 사회경제적 역량강화사업 하이나 직업훈련센터 리모델링 설계용역</x:v>
      </x:c>
      <x:c r="E180" s="22" t="n">
        <x:v>0</x:v>
      </x:c>
      <x:c r="F180" s="22" t="str">
        <x:v>.zip</x:v>
      </x:c>
      <x:c r="G180" s="25" t="str">
        <x:v>L2025-00010-1/붙임 2. 입찰서류(영문)_최종.zip</x:v>
      </x:c>
      <x:c r="H180" s="28" t="n">
        <x:v>1351853</x:v>
      </x:c>
      <x:c r="I180" s="22" t="str">
        <x:v>62833af00cca0c3ff0e3aa26053fcc496f2d735038ae3488c4b7d4a40335906a</x:v>
      </x:c>
      <x:c r="J180" s="22" t="n">
        <x:v>0</x:v>
      </x:c>
      <x:c r="K180" s="22" t="n">
        <x:v>0</x:v>
      </x:c>
      <x:c r="L180" s="22" t="n">
        <x:v>0</x:v>
      </x:c>
      <x:c r="M180" s="28" t="n">
        <x:v>0</x:v>
      </x:c>
      <x:c r="N180" s="28" t="n">
        <x:v>0</x:v>
      </x:c>
      <x:c r="O180" s="28" t="n">
        <x:v>0</x:v>
      </x:c>
      <x:c r="P180" s="62" t="n">
        <x:v>0</x:v>
      </x:c>
      <x:c r="Q180" s="22" t="n">
        <x:v>0</x:v>
      </x:c>
      <x:c r="R180" s="22" t="str"/>
      <x:c r="S180" s="22" t="str"/>
      <x:c r="T180" s="22" t="str"/>
    </x:row>
    <x:row r="181">
      <x:c r="A181" s="22" t="str">
        <x:v>2020-00070</x:v>
      </x:c>
      <x:c r="B181" s="22" t="str">
        <x:v>L2025-00010-1</x:v>
      </x:c>
      <x:c r="C181" s="22" t="str">
        <x:v>용역</x:v>
      </x:c>
      <x:c r="D181" s="25" t="str">
        <x:v>도미니카공화국 여성 중심 취약계층 사회경제적 역량강화사업 하이나 직업훈련센터 리모델링 설계용역</x:v>
      </x:c>
      <x:c r="E181" s="22" t="n">
        <x:v>0</x:v>
      </x:c>
      <x:c r="F181" s="22" t="str">
        <x:v>.hwp</x:v>
      </x:c>
      <x:c r="G181" s="25" t="str">
        <x:v>L2025-00010-1/붙임 1. 입찰 계획서_하이나 리모델링_fin.hwp</x:v>
      </x:c>
      <x:c r="H181" s="28" t="n">
        <x:v>103936</x:v>
      </x:c>
      <x:c r="I181" s="22" t="str">
        <x:v>ed03bbd153b3f5bf03ffe889dd817d69b0082abe00c5ae4e7562323f7b20196b</x:v>
      </x:c>
      <x:c r="J181" s="22" t="n">
        <x:v>0</x:v>
      </x:c>
      <x:c r="K181" s="22" t="n">
        <x:v>0</x:v>
      </x:c>
      <x:c r="L181" s="22" t="n">
        <x:v>0</x:v>
      </x:c>
      <x:c r="M181" s="28" t="n">
        <x:v>0</x:v>
      </x:c>
      <x:c r="N181" s="28" t="n">
        <x:v>0</x:v>
      </x:c>
      <x:c r="O181" s="28" t="n">
        <x:v>0</x:v>
      </x:c>
      <x:c r="P181" s="62" t="n">
        <x:v>0</x:v>
      </x:c>
      <x:c r="Q181" s="22" t="n">
        <x:v>0</x:v>
      </x:c>
      <x:c r="R181" s="22" t="str"/>
      <x:c r="S181" s="22" t="str"/>
      <x:c r="T181" s="22" t="str"/>
    </x:row>
    <x:row r="182">
      <x:c r="A182" s="22" t="str">
        <x:v>2020-00070</x:v>
      </x:c>
      <x:c r="B182" s="22" t="str">
        <x:v>L2025-00010-1</x:v>
      </x:c>
      <x:c r="C182" s="22" t="str">
        <x:v>용역</x:v>
      </x:c>
      <x:c r="D182" s="25" t="str">
        <x:v>도미니카공화국 여성 중심 취약계층 사회경제적 역량강화사업 하이나 직업훈련센터 리모델링 설계용역</x:v>
      </x:c>
      <x:c r="E182" s="22" t="n">
        <x:v>0</x:v>
      </x:c>
      <x:c r="F182" s="22" t="str">
        <x:v>.docx</x:v>
      </x:c>
      <x:c r="G182" s="25" t="str">
        <x:v>L2025-00010-1/붙임 2. 입찰서류(영문)_최종/í┌ Checklist for the Bidders_fin.docx</x:v>
      </x:c>
      <x:c r="H182" s="28" t="n">
        <x:v>20397</x:v>
      </x:c>
      <x:c r="I182" s="22" t="str">
        <x:v>200eac98f629a7b973a69042cbe676164d17d5b40d82d9124503bae84dd57fef</x:v>
      </x:c>
      <x:c r="J182" s="22" t="n">
        <x:v>0</x:v>
      </x:c>
      <x:c r="K182" s="22" t="n">
        <x:v>0</x:v>
      </x:c>
      <x:c r="L182" s="22" t="n">
        <x:v>0</x:v>
      </x:c>
      <x:c r="M182" s="28" t="n">
        <x:v>0</x:v>
      </x:c>
      <x:c r="N182" s="28" t="n">
        <x:v>0</x:v>
      </x:c>
      <x:c r="O182" s="28" t="n">
        <x:v>0</x:v>
      </x:c>
      <x:c r="P182" s="62" t="n">
        <x:v>0</x:v>
      </x:c>
      <x:c r="Q182" s="22" t="n">
        <x:v>0</x:v>
      </x:c>
      <x:c r="R182" s="22" t="str"/>
      <x:c r="S182" s="22" t="str"/>
      <x:c r="T182" s="22" t="str"/>
    </x:row>
    <x:row r="183">
      <x:c r="A183" s="22" t="str">
        <x:v>2020-00070</x:v>
      </x:c>
      <x:c r="B183" s="22" t="str">
        <x:v>L2025-00010-1</x:v>
      </x:c>
      <x:c r="C183" s="22" t="str">
        <x:v>용역</x:v>
      </x:c>
      <x:c r="D183" s="25" t="str">
        <x:v>도미니카공화국 여성 중심 취약계층 사회경제적 역량강화사업 하이나 직업훈련센터 리모델링 설계용역</x:v>
      </x:c>
      <x:c r="E183" s="22" t="n">
        <x:v>0</x:v>
      </x:c>
      <x:c r="F183" s="22" t="str">
        <x:v>.docx</x:v>
      </x:c>
      <x:c r="G183" s="25" t="str">
        <x:v>L2025-00010-1/붙임 2. 입찰서류(영문)_최종/Section 2 - Bid Data Sheet (BDS) HVCT_fin.docx</x:v>
      </x:c>
      <x:c r="H183" s="28" t="n">
        <x:v>71224</x:v>
      </x:c>
      <x:c r="I183" s="22" t="str">
        <x:v>fd154eae04b3e4d01ae49e83b06c31be670dbe2aa120f497dfd12eaf924c7505</x:v>
      </x:c>
      <x:c r="J183" s="22" t="n">
        <x:v>0</x:v>
      </x:c>
      <x:c r="K183" s="22" t="n">
        <x:v>0</x:v>
      </x:c>
      <x:c r="L183" s="22" t="n">
        <x:v>0</x:v>
      </x:c>
      <x:c r="M183" s="28" t="n">
        <x:v>0</x:v>
      </x:c>
      <x:c r="N183" s="28" t="n">
        <x:v>0</x:v>
      </x:c>
      <x:c r="O183" s="28" t="n">
        <x:v>0</x:v>
      </x:c>
      <x:c r="P183" s="62" t="n">
        <x:v>0</x:v>
      </x:c>
      <x:c r="Q183" s="22" t="n">
        <x:v>0</x:v>
      </x:c>
      <x:c r="R183" s="22" t="str"/>
      <x:c r="S183" s="22" t="str"/>
      <x:c r="T183" s="22" t="str"/>
    </x:row>
    <x:row r="184">
      <x:c r="A184" s="22" t="str">
        <x:v>2020-00070</x:v>
      </x:c>
      <x:c r="B184" s="22" t="str">
        <x:v>L2025-00010-1</x:v>
      </x:c>
      <x:c r="C184" s="22" t="str">
        <x:v>용역</x:v>
      </x:c>
      <x:c r="D184" s="25" t="str">
        <x:v>도미니카공화국 여성 중심 취약계층 사회경제적 역량강화사업 하이나 직업훈련센터 리모델링 설계용역</x:v>
      </x:c>
      <x:c r="E184" s="22" t="n">
        <x:v>0</x:v>
      </x:c>
      <x:c r="F184" s="22" t="str">
        <x:v>.docx</x:v>
      </x:c>
      <x:c r="G184" s="25" t="str">
        <x:v>L2025-00010-1/붙임 2. 입찰서류(영문)_최종/Cover, Table of Contents HVTC_fin.docx</x:v>
      </x:c>
      <x:c r="H184" s="28" t="n">
        <x:v>20958</x:v>
      </x:c>
      <x:c r="I184" s="22" t="str">
        <x:v>0310b8805cd8f78d179ea1a936d29f4a5a4d25b08746b83d6e85b1b08429f41b</x:v>
      </x:c>
      <x:c r="J184" s="22" t="n">
        <x:v>0</x:v>
      </x:c>
      <x:c r="K184" s="22" t="n">
        <x:v>0</x:v>
      </x:c>
      <x:c r="L184" s="22" t="n">
        <x:v>0</x:v>
      </x:c>
      <x:c r="M184" s="28" t="n">
        <x:v>0</x:v>
      </x:c>
      <x:c r="N184" s="28" t="n">
        <x:v>0</x:v>
      </x:c>
      <x:c r="O184" s="28" t="n">
        <x:v>0</x:v>
      </x:c>
      <x:c r="P184" s="62" t="n">
        <x:v>0</x:v>
      </x:c>
      <x:c r="Q184" s="22" t="n">
        <x:v>0</x:v>
      </x:c>
      <x:c r="R184" s="22" t="str"/>
      <x:c r="S184" s="22" t="str"/>
      <x:c r="T184" s="22" t="str"/>
    </x:row>
    <x:row r="185">
      <x:c r="A185" s="22" t="str">
        <x:v>2020-00070</x:v>
      </x:c>
      <x:c r="B185" s="22" t="str">
        <x:v>L2025-00010-1</x:v>
      </x:c>
      <x:c r="C185" s="22" t="str">
        <x:v>용역</x:v>
      </x:c>
      <x:c r="D185" s="25" t="str">
        <x:v>도미니카공화국 여성 중심 취약계층 사회경제적 역량강화사업 하이나 직업훈련센터 리모델링 설계용역</x:v>
      </x:c>
      <x:c r="E185" s="22" t="n">
        <x:v>0</x:v>
      </x:c>
      <x:c r="F185" s="22" t="str">
        <x:v>.docx</x:v>
      </x:c>
      <x:c r="G185" s="25" t="str">
        <x:v>L2025-00010-1/붙임 2. 입찰서류(영문)_최종/Section 5 - General Conditions of Contract (GCC) HVCT_fin.docx</x:v>
      </x:c>
      <x:c r="H185" s="28" t="n">
        <x:v>38265</x:v>
      </x:c>
      <x:c r="I185" s="22" t="str">
        <x:v>b47cd6af7b5b6d0ad4076aece12bc381102799559726e84baaa608defbb3af98</x:v>
      </x:c>
      <x:c r="J185" s="22" t="n">
        <x:v>0</x:v>
      </x:c>
      <x:c r="K185" s="22" t="n">
        <x:v>0</x:v>
      </x:c>
      <x:c r="L185" s="22" t="n">
        <x:v>0</x:v>
      </x:c>
      <x:c r="M185" s="28" t="n">
        <x:v>0</x:v>
      </x:c>
      <x:c r="N185" s="28" t="n">
        <x:v>0</x:v>
      </x:c>
      <x:c r="O185" s="28" t="n">
        <x:v>0</x:v>
      </x:c>
      <x:c r="P185" s="62" t="n">
        <x:v>0</x:v>
      </x:c>
      <x:c r="Q185" s="22" t="n">
        <x:v>0</x:v>
      </x:c>
      <x:c r="R185" s="22" t="str"/>
      <x:c r="S185" s="22" t="str"/>
      <x:c r="T185" s="22" t="str"/>
    </x:row>
    <x:row r="186">
      <x:c r="A186" s="22" t="str">
        <x:v>2020-00070</x:v>
      </x:c>
      <x:c r="B186" s="22" t="str">
        <x:v>L2025-00010-1</x:v>
      </x:c>
      <x:c r="C186" s="22" t="str">
        <x:v>용역</x:v>
      </x:c>
      <x:c r="D186" s="25" t="str">
        <x:v>도미니카공화국 여성 중심 취약계층 사회경제적 역량강화사업 하이나 직업훈련센터 리모델링 설계용역</x:v>
      </x:c>
      <x:c r="E186" s="22" t="n">
        <x:v>0</x:v>
      </x:c>
      <x:c r="F186" s="22" t="str">
        <x:v>.docx</x:v>
      </x:c>
      <x:c r="G186" s="25" t="str">
        <x:v>L2025-00010-1/붙임 2. 입찰서류(영문)_최종/Section 1 - Instructions to Bidders (ITB) HVCT_fin.docx</x:v>
      </x:c>
      <x:c r="H186" s="28" t="n">
        <x:v>35856</x:v>
      </x:c>
      <x:c r="I186" s="22" t="str">
        <x:v>5fda7b74b44cec444b6f8c7cda88499c114a05b790222fb4212dee87e8983b98</x:v>
      </x:c>
      <x:c r="J186" s="22" t="n">
        <x:v>0</x:v>
      </x:c>
      <x:c r="K186" s="22" t="n">
        <x:v>0</x:v>
      </x:c>
      <x:c r="L186" s="22" t="n">
        <x:v>0</x:v>
      </x:c>
      <x:c r="M186" s="28" t="n">
        <x:v>0</x:v>
      </x:c>
      <x:c r="N186" s="28" t="n">
        <x:v>0</x:v>
      </x:c>
      <x:c r="O186" s="28" t="n">
        <x:v>0</x:v>
      </x:c>
      <x:c r="P186" s="62" t="n">
        <x:v>0</x:v>
      </x:c>
      <x:c r="Q186" s="22" t="n">
        <x:v>0</x:v>
      </x:c>
      <x:c r="R186" s="22" t="str"/>
      <x:c r="S186" s="22" t="str"/>
      <x:c r="T186" s="22" t="str"/>
    </x:row>
    <x:row r="187">
      <x:c r="A187" s="22" t="str">
        <x:v>2020-00070</x:v>
      </x:c>
      <x:c r="B187" s="22" t="str">
        <x:v>L2025-00010-1</x:v>
      </x:c>
      <x:c r="C187" s="22" t="str">
        <x:v>용역</x:v>
      </x:c>
      <x:c r="D187" s="25" t="str">
        <x:v>도미니카공화국 여성 중심 취약계층 사회경제적 역량강화사업 하이나 직업훈련센터 리모델링 설계용역</x:v>
      </x:c>
      <x:c r="E187" s="22" t="n">
        <x:v>0</x:v>
      </x:c>
      <x:c r="F187" s="22" t="str">
        <x:v>.docx</x:v>
      </x:c>
      <x:c r="G187" s="25" t="str">
        <x:v>L2025-00010-1/붙임 2. 입찰서류(영문)_최종/Section 6 - Special Conditions of Contract (SCC) HVCT_fin.docx</x:v>
      </x:c>
      <x:c r="H187" s="28" t="n">
        <x:v>31559</x:v>
      </x:c>
      <x:c r="I187" s="22" t="str">
        <x:v>bcd1f7629cbb8377f6a72eedb1e2b6d0c56fe151039e83cf3b140837c798af1e</x:v>
      </x:c>
      <x:c r="J187" s="22" t="n">
        <x:v>0</x:v>
      </x:c>
      <x:c r="K187" s="22" t="n">
        <x:v>0</x:v>
      </x:c>
      <x:c r="L187" s="22" t="n">
        <x:v>0</x:v>
      </x:c>
      <x:c r="M187" s="28" t="n">
        <x:v>0</x:v>
      </x:c>
      <x:c r="N187" s="28" t="n">
        <x:v>0</x:v>
      </x:c>
      <x:c r="O187" s="28" t="n">
        <x:v>0</x:v>
      </x:c>
      <x:c r="P187" s="62" t="n">
        <x:v>0</x:v>
      </x:c>
      <x:c r="Q187" s="22" t="n">
        <x:v>0</x:v>
      </x:c>
      <x:c r="R187" s="22" t="str"/>
      <x:c r="S187" s="22" t="str"/>
      <x:c r="T187" s="22" t="str"/>
    </x:row>
    <x:row r="188">
      <x:c r="A188" s="22" t="str">
        <x:v>2020-00070</x:v>
      </x:c>
      <x:c r="B188" s="22" t="str">
        <x:v>L2025-00010-1</x:v>
      </x:c>
      <x:c r="C188" s="22" t="str">
        <x:v>용역</x:v>
      </x:c>
      <x:c r="D188" s="25" t="str">
        <x:v>도미니카공화국 여성 중심 취약계층 사회경제적 역량강화사업 하이나 직업훈련센터 리모델링 설계용역</x:v>
      </x:c>
      <x:c r="E188" s="22" t="n">
        <x:v>0</x:v>
      </x:c>
      <x:c r="F188" s="22" t="str">
        <x:v>.docx</x:v>
      </x:c>
      <x:c r="G188" s="25" t="str">
        <x:v>L2025-00010-1/붙임 2. 입찰서류(영문)_최종/Section 3 - Bidding Forms HVCT_fin.docx</x:v>
      </x:c>
      <x:c r="H188" s="28" t="n">
        <x:v>49783</x:v>
      </x:c>
      <x:c r="I188" s="22" t="str">
        <x:v>9cddb98b3e1d259af59851bda07aa4b675a8da7807ed94a582ad228d1016ddb7</x:v>
      </x:c>
      <x:c r="J188" s="22" t="n">
        <x:v>0</x:v>
      </x:c>
      <x:c r="K188" s="22" t="n">
        <x:v>0</x:v>
      </x:c>
      <x:c r="L188" s="22" t="n">
        <x:v>0</x:v>
      </x:c>
      <x:c r="M188" s="28" t="n">
        <x:v>0</x:v>
      </x:c>
      <x:c r="N188" s="28" t="n">
        <x:v>0</x:v>
      </x:c>
      <x:c r="O188" s="28" t="n">
        <x:v>0</x:v>
      </x:c>
      <x:c r="P188" s="62" t="n">
        <x:v>0</x:v>
      </x:c>
      <x:c r="Q188" s="22" t="n">
        <x:v>0</x:v>
      </x:c>
      <x:c r="R188" s="22" t="str"/>
      <x:c r="S188" s="22" t="str"/>
      <x:c r="T188" s="22" t="str"/>
    </x:row>
    <x:row r="189">
      <x:c r="A189" s="22" t="str">
        <x:v>2020-00070</x:v>
      </x:c>
      <x:c r="B189" s="22" t="str">
        <x:v>L2025-00010-1</x:v>
      </x:c>
      <x:c r="C189" s="22" t="str">
        <x:v>용역</x:v>
      </x:c>
      <x:c r="D189" s="25" t="str">
        <x:v>도미니카공화국 여성 중심 취약계층 사회경제적 역량강화사업 하이나 직업훈련센터 리모델링 설계용역</x:v>
      </x:c>
      <x:c r="E189" s="22" t="n">
        <x:v>0</x:v>
      </x:c>
      <x:c r="F189" s="22" t="str">
        <x:v>.docx</x:v>
      </x:c>
      <x:c r="G189" s="25" t="str">
        <x:v>L2025-00010-1/붙임 2. 입찰서류(영문)_최종/Section 4 - Terms of Reference (TOR) HVTC_fin.docx</x:v>
      </x:c>
      <x:c r="H189" s="28" t="n">
        <x:v>1099232</x:v>
      </x:c>
      <x:c r="I189" s="22" t="str">
        <x:v>54850fe3ab3d5cd03a4246063d02dbb8f049f5837219053cce596966aaa8e288</x:v>
      </x:c>
      <x:c r="J189" s="22" t="n">
        <x:v>0</x:v>
      </x:c>
      <x:c r="K189" s="22" t="n">
        <x:v>0</x:v>
      </x:c>
      <x:c r="L189" s="22" t="n">
        <x:v>0</x:v>
      </x:c>
      <x:c r="M189" s="28" t="n">
        <x:v>0</x:v>
      </x:c>
      <x:c r="N189" s="28" t="n">
        <x:v>0</x:v>
      </x:c>
      <x:c r="O189" s="28" t="n">
        <x:v>0</x:v>
      </x:c>
      <x:c r="P189" s="62" t="n">
        <x:v>0</x:v>
      </x:c>
      <x:c r="Q189" s="22" t="n">
        <x:v>0</x:v>
      </x:c>
      <x:c r="R189" s="22" t="str"/>
      <x:c r="S189" s="22" t="str"/>
      <x:c r="T189" s="22" t="str"/>
    </x:row>
    <x:row r="190">
      <x:c r="A190" s="22" t="str">
        <x:v>2020-00070</x:v>
      </x:c>
      <x:c r="B190" s="22" t="str">
        <x:v>L2025-00010-1</x:v>
      </x:c>
      <x:c r="C190" s="22" t="str">
        <x:v>용역</x:v>
      </x:c>
      <x:c r="D190" s="25" t="str">
        <x:v>도미니카공화국 여성 중심 취약계층 사회경제적 역량강화사업 하이나 직업훈련센터 리모델링 설계용역</x:v>
      </x:c>
      <x:c r="E190" s="22" t="n">
        <x:v>0</x:v>
      </x:c>
      <x:c r="F190" s="22" t="str">
        <x:v>.docx</x:v>
      </x:c>
      <x:c r="G190" s="25" t="str">
        <x:v>L2025-00010-1/붙임 2. 입찰서류(영문)_최종/Section 7 - Contract Forms HVCT_fin.docx</x:v>
      </x:c>
      <x:c r="H190" s="28" t="n">
        <x:v>23132</x:v>
      </x:c>
      <x:c r="I190" s="22" t="str">
        <x:v>b8dac47892f2daae3d4f123b14a298c3b1e93f420fd744da0b2218904975fd2e</x:v>
      </x:c>
      <x:c r="J190" s="22" t="n">
        <x:v>0</x:v>
      </x:c>
      <x:c r="K190" s="22" t="n">
        <x:v>0</x:v>
      </x:c>
      <x:c r="L190" s="22" t="n">
        <x:v>0</x:v>
      </x:c>
      <x:c r="M190" s="28" t="n">
        <x:v>0</x:v>
      </x:c>
      <x:c r="N190" s="28" t="n">
        <x:v>0</x:v>
      </x:c>
      <x:c r="O190" s="28" t="n">
        <x:v>0</x:v>
      </x:c>
      <x:c r="P190" s="62" t="n">
        <x:v>0</x:v>
      </x:c>
      <x:c r="Q190" s="22" t="n">
        <x:v>0</x:v>
      </x:c>
      <x:c r="R190" s="22" t="str"/>
      <x:c r="S190" s="22" t="str"/>
      <x:c r="T190" s="22" t="str"/>
    </x:row>
    <x:row r="191">
      <x:c r="A191" s="22" t="str">
        <x:v>2020-00070</x:v>
      </x:c>
      <x:c r="B191" s="22" t="str">
        <x:v>L2025-00038-1</x:v>
      </x:c>
      <x:c r="C191" s="22" t="str">
        <x:v>용역</x:v>
      </x:c>
      <x:c r="D191" s="25" t="str">
        <x:v>도미니카공화국 몬테 크리스티 직업훈련센터 (MVC) 감리사 선정</x:v>
      </x:c>
      <x:c r="E191" s="22" t="n">
        <x:v>0</x:v>
      </x:c>
      <x:c r="F191" s="22" t="str">
        <x:v>.docx</x:v>
      </x:c>
      <x:c r="G191" s="25" t="str">
        <x:v>L2025-00038-1/Section 5 - General Conditions of Contract_MVC (Supervision)_fin.docx</x:v>
      </x:c>
      <x:c r="H191" s="28" t="n">
        <x:v>40709</x:v>
      </x:c>
      <x:c r="I191" s="22" t="str">
        <x:v>ffc8d648ad2c7a147efbf0bb3e34c2dd1e1a119db31a9d879255eaa543173e88</x:v>
      </x:c>
      <x:c r="J191" s="22" t="n">
        <x:v>0</x:v>
      </x:c>
      <x:c r="K191" s="22" t="n">
        <x:v>0</x:v>
      </x:c>
      <x:c r="L191" s="22" t="n">
        <x:v>0</x:v>
      </x:c>
      <x:c r="M191" s="28" t="n">
        <x:v>0</x:v>
      </x:c>
      <x:c r="N191" s="28" t="n">
        <x:v>0</x:v>
      </x:c>
      <x:c r="O191" s="28" t="n">
        <x:v>0</x:v>
      </x:c>
      <x:c r="P191" s="62" t="n">
        <x:v>0</x:v>
      </x:c>
      <x:c r="Q191" s="22" t="n">
        <x:v>0</x:v>
      </x:c>
      <x:c r="R191" s="22" t="str"/>
      <x:c r="S191" s="22" t="str"/>
      <x:c r="T191" s="22" t="str"/>
    </x:row>
    <x:row r="192">
      <x:c r="A192" s="22" t="str">
        <x:v>2020-00070</x:v>
      </x:c>
      <x:c r="B192" s="22" t="str">
        <x:v>L2025-00038-1</x:v>
      </x:c>
      <x:c r="C192" s="22" t="str">
        <x:v>용역</x:v>
      </x:c>
      <x:c r="D192" s="25" t="str">
        <x:v>도미니카공화국 몬테 크리스티 직업훈련센터 (MVC) 감리사 선정</x:v>
      </x:c>
      <x:c r="E192" s="22" t="n">
        <x:v>0</x:v>
      </x:c>
      <x:c r="F192" s="22" t="str">
        <x:v>.docx</x:v>
      </x:c>
      <x:c r="G192" s="25" t="str">
        <x:v>L2025-00038-1/Section 3 - Bidding Forms_MVC (Supervision)_fin.docx</x:v>
      </x:c>
      <x:c r="H192" s="28" t="n">
        <x:v>62757</x:v>
      </x:c>
      <x:c r="I192" s="22" t="str">
        <x:v>e4bdf2bf240b55da029a367da089969340a5a49bda1a70430d2d5e118e12b7ad</x:v>
      </x:c>
      <x:c r="J192" s="22" t="n">
        <x:v>0</x:v>
      </x:c>
      <x:c r="K192" s="22" t="n">
        <x:v>0</x:v>
      </x:c>
      <x:c r="L192" s="22" t="n">
        <x:v>0</x:v>
      </x:c>
      <x:c r="M192" s="28" t="n">
        <x:v>0</x:v>
      </x:c>
      <x:c r="N192" s="28" t="n">
        <x:v>0</x:v>
      </x:c>
      <x:c r="O192" s="28" t="n">
        <x:v>0</x:v>
      </x:c>
      <x:c r="P192" s="62" t="n">
        <x:v>0</x:v>
      </x:c>
      <x:c r="Q192" s="22" t="n">
        <x:v>0</x:v>
      </x:c>
      <x:c r="R192" s="22" t="str"/>
      <x:c r="S192" s="22" t="str"/>
      <x:c r="T192" s="22" t="str"/>
    </x:row>
    <x:row r="193">
      <x:c r="A193" s="22" t="str">
        <x:v>2020-00070</x:v>
      </x:c>
      <x:c r="B193" s="22" t="str">
        <x:v>L2025-00038-1</x:v>
      </x:c>
      <x:c r="C193" s="22" t="str">
        <x:v>용역</x:v>
      </x:c>
      <x:c r="D193" s="25" t="str">
        <x:v>도미니카공화국 몬테 크리스티 직업훈련센터 (MVC) 감리사 선정</x:v>
      </x:c>
      <x:c r="E193" s="22" t="n">
        <x:v>0</x:v>
      </x:c>
      <x:c r="F193" s="22" t="str">
        <x:v>.docx</x:v>
      </x:c>
      <x:c r="G193" s="25" t="str">
        <x:v>L2025-00038-1/Section 7 - Contract Forms_MVC (Supervision)_fin.docx</x:v>
      </x:c>
      <x:c r="H193" s="28" t="n">
        <x:v>41899</x:v>
      </x:c>
      <x:c r="I193" s="22" t="str">
        <x:v>52dae2730c38bf38db1a0cb400b4a47cfba1af759eb764f8dbc65b2397d277af</x:v>
      </x:c>
      <x:c r="J193" s="22" t="n">
        <x:v>0</x:v>
      </x:c>
      <x:c r="K193" s="22" t="n">
        <x:v>0</x:v>
      </x:c>
      <x:c r="L193" s="22" t="n">
        <x:v>0</x:v>
      </x:c>
      <x:c r="M193" s="28" t="n">
        <x:v>0</x:v>
      </x:c>
      <x:c r="N193" s="28" t="n">
        <x:v>0</x:v>
      </x:c>
      <x:c r="O193" s="28" t="n">
        <x:v>0</x:v>
      </x:c>
      <x:c r="P193" s="62" t="n">
        <x:v>0</x:v>
      </x:c>
      <x:c r="Q193" s="22" t="n">
        <x:v>0</x:v>
      </x:c>
      <x:c r="R193" s="22" t="str"/>
      <x:c r="S193" s="22" t="str"/>
      <x:c r="T193" s="22" t="str"/>
    </x:row>
    <x:row r="194">
      <x:c r="A194" s="22" t="str">
        <x:v>2020-00070</x:v>
      </x:c>
      <x:c r="B194" s="22" t="str">
        <x:v>L2025-00038-1</x:v>
      </x:c>
      <x:c r="C194" s="22" t="str">
        <x:v>용역</x:v>
      </x:c>
      <x:c r="D194" s="25" t="str">
        <x:v>도미니카공화국 몬테 크리스티 직업훈련센터 (MVC) 감리사 선정</x:v>
      </x:c>
      <x:c r="E194" s="22" t="n">
        <x:v>0</x:v>
      </x:c>
      <x:c r="F194" s="22" t="str">
        <x:v>.hwp</x:v>
      </x:c>
      <x:c r="G194" s="25" t="str">
        <x:v>L2025-00038-1/MVC (긴급) 입찰 계획서(국문)_20250526.hwp</x:v>
      </x:c>
      <x:c r="H194" s="28" t="n">
        <x:v>82432</x:v>
      </x:c>
      <x:c r="I194" s="22" t="str">
        <x:v>25a7dc41a95dbf76166474ed0a558cf17257c0472a7026bc086acf7a440538a4</x:v>
      </x:c>
      <x:c r="J194" s="22" t="n">
        <x:v>0</x:v>
      </x:c>
      <x:c r="K194" s="22" t="n">
        <x:v>0</x:v>
      </x:c>
      <x:c r="L194" s="22" t="n">
        <x:v>0</x:v>
      </x:c>
      <x:c r="M194" s="28" t="n">
        <x:v>0</x:v>
      </x:c>
      <x:c r="N194" s="28" t="n">
        <x:v>0</x:v>
      </x:c>
      <x:c r="O194" s="28" t="n">
        <x:v>0</x:v>
      </x:c>
      <x:c r="P194" s="62" t="n">
        <x:v>0</x:v>
      </x:c>
      <x:c r="Q194" s="22" t="n">
        <x:v>0</x:v>
      </x:c>
      <x:c r="R194" s="22" t="str"/>
      <x:c r="S194" s="22" t="str"/>
      <x:c r="T194" s="22" t="str"/>
    </x:row>
    <x:row r="195">
      <x:c r="A195" s="22" t="str">
        <x:v>2020-00070</x:v>
      </x:c>
      <x:c r="B195" s="22" t="str">
        <x:v>L2025-00038-1</x:v>
      </x:c>
      <x:c r="C195" s="22" t="str">
        <x:v>용역</x:v>
      </x:c>
      <x:c r="D195" s="25" t="str">
        <x:v>도미니카공화국 몬테 크리스티 직업훈련센터 (MVC) 감리사 선정</x:v>
      </x:c>
      <x:c r="E195" s="22" t="n">
        <x:v>0</x:v>
      </x:c>
      <x:c r="F195" s="22" t="str">
        <x:v>.docx</x:v>
      </x:c>
      <x:c r="G195" s="25" t="str">
        <x:v>L2025-00038-1/Section 6 - Special Conditions of Contract_MVC (Supervision)_fin.docx</x:v>
      </x:c>
      <x:c r="H195" s="28" t="n">
        <x:v>28787</x:v>
      </x:c>
      <x:c r="I195" s="22" t="str">
        <x:v>bbb6d6fe08a16ef7545b355b17397546f42b39ab96c11cf48d13bb932797cb76</x:v>
      </x:c>
      <x:c r="J195" s="22" t="n">
        <x:v>0</x:v>
      </x:c>
      <x:c r="K195" s="22" t="n">
        <x:v>0</x:v>
      </x:c>
      <x:c r="L195" s="22" t="n">
        <x:v>0</x:v>
      </x:c>
      <x:c r="M195" s="28" t="n">
        <x:v>0</x:v>
      </x:c>
      <x:c r="N195" s="28" t="n">
        <x:v>0</x:v>
      </x:c>
      <x:c r="O195" s="28" t="n">
        <x:v>0</x:v>
      </x:c>
      <x:c r="P195" s="62" t="n">
        <x:v>0</x:v>
      </x:c>
      <x:c r="Q195" s="22" t="n">
        <x:v>0</x:v>
      </x:c>
      <x:c r="R195" s="22" t="str"/>
      <x:c r="S195" s="22" t="str"/>
      <x:c r="T195" s="22" t="str"/>
    </x:row>
    <x:row r="196">
      <x:c r="A196" s="22" t="str">
        <x:v>2020-00070</x:v>
      </x:c>
      <x:c r="B196" s="22" t="str">
        <x:v>L2025-00038-1</x:v>
      </x:c>
      <x:c r="C196" s="22" t="str">
        <x:v>용역</x:v>
      </x:c>
      <x:c r="D196" s="25" t="str">
        <x:v>도미니카공화국 몬테 크리스티 직업훈련센터 (MVC) 감리사 선정</x:v>
      </x:c>
      <x:c r="E196" s="22" t="n">
        <x:v>0</x:v>
      </x:c>
      <x:c r="F196" s="22" t="str">
        <x:v>.docx</x:v>
      </x:c>
      <x:c r="G196" s="25" t="str">
        <x:v>L2025-00038-1/Section 2 - Bid Data Sheet (BDS)_MVC (Supervision)_fin.docx</x:v>
      </x:c>
      <x:c r="H196" s="28" t="n">
        <x:v>81657</x:v>
      </x:c>
      <x:c r="I196" s="22" t="str">
        <x:v>7f1d3327db1ed1c167b358b569a8417b30f001d64d80bf87d852da5ec80d55b4</x:v>
      </x:c>
      <x:c r="J196" s="22" t="n">
        <x:v>0</x:v>
      </x:c>
      <x:c r="K196" s="22" t="n">
        <x:v>0</x:v>
      </x:c>
      <x:c r="L196" s="22" t="n">
        <x:v>0</x:v>
      </x:c>
      <x:c r="M196" s="28" t="n">
        <x:v>0</x:v>
      </x:c>
      <x:c r="N196" s="28" t="n">
        <x:v>0</x:v>
      </x:c>
      <x:c r="O196" s="28" t="n">
        <x:v>0</x:v>
      </x:c>
      <x:c r="P196" s="62" t="n">
        <x:v>0</x:v>
      </x:c>
      <x:c r="Q196" s="22" t="n">
        <x:v>0</x:v>
      </x:c>
      <x:c r="R196" s="22" t="str"/>
      <x:c r="S196" s="22" t="str"/>
      <x:c r="T196" s="22" t="str"/>
    </x:row>
    <x:row r="197">
      <x:c r="A197" s="22" t="str">
        <x:v>2020-00070</x:v>
      </x:c>
      <x:c r="B197" s="22" t="str">
        <x:v>L2025-00038-1</x:v>
      </x:c>
      <x:c r="C197" s="22" t="str">
        <x:v>용역</x:v>
      </x:c>
      <x:c r="D197" s="25" t="str">
        <x:v>도미니카공화국 몬테 크리스티 직업훈련센터 (MVC) 감리사 선정</x:v>
      </x:c>
      <x:c r="E197" s="22" t="n">
        <x:v>0</x:v>
      </x:c>
      <x:c r="F197" s="22" t="str">
        <x:v>.docx</x:v>
      </x:c>
      <x:c r="G197" s="25" t="str">
        <x:v>L2025-00038-1/Section 1 - Instructions to Bidders (ITB)_MVC (Supervision)_fin.docx</x:v>
      </x:c>
      <x:c r="H197" s="28" t="n">
        <x:v>40430</x:v>
      </x:c>
      <x:c r="I197" s="22" t="str">
        <x:v>e646aa46315e15aaee6dd87d9c17b40f08ddfba16c123ca0ceb84fca13a5d293</x:v>
      </x:c>
      <x:c r="J197" s="22" t="n">
        <x:v>0</x:v>
      </x:c>
      <x:c r="K197" s="22" t="n">
        <x:v>0</x:v>
      </x:c>
      <x:c r="L197" s="22" t="n">
        <x:v>0</x:v>
      </x:c>
      <x:c r="M197" s="28" t="n">
        <x:v>0</x:v>
      </x:c>
      <x:c r="N197" s="28" t="n">
        <x:v>0</x:v>
      </x:c>
      <x:c r="O197" s="28" t="n">
        <x:v>0</x:v>
      </x:c>
      <x:c r="P197" s="62" t="n">
        <x:v>0</x:v>
      </x:c>
      <x:c r="Q197" s="22" t="n">
        <x:v>0</x:v>
      </x:c>
      <x:c r="R197" s="22" t="str"/>
      <x:c r="S197" s="22" t="str"/>
      <x:c r="T197" s="22" t="str"/>
    </x:row>
    <x:row r="198">
      <x:c r="A198" s="22" t="str">
        <x:v>2020-00070</x:v>
      </x:c>
      <x:c r="B198" s="22" t="str">
        <x:v>L2025-00038-1</x:v>
      </x:c>
      <x:c r="C198" s="22" t="str">
        <x:v>용역</x:v>
      </x:c>
      <x:c r="D198" s="25" t="str">
        <x:v>도미니카공화국 몬테 크리스티 직업훈련센터 (MVC) 감리사 선정</x:v>
      </x:c>
      <x:c r="E198" s="22" t="n">
        <x:v>0</x:v>
      </x:c>
      <x:c r="F198" s="22" t="str">
        <x:v>.docx</x:v>
      </x:c>
      <x:c r="G198" s="25" t="str">
        <x:v>L2025-00038-1/Cover sheet_MVC (Supervision)_fin.docx</x:v>
      </x:c>
      <x:c r="H198" s="28" t="n">
        <x:v>34637</x:v>
      </x:c>
      <x:c r="I198" s="22" t="str">
        <x:v>48988f36a1677b840974b441764332faf9570117a014ad513c305d00146e85ea</x:v>
      </x:c>
      <x:c r="J198" s="22" t="n">
        <x:v>0</x:v>
      </x:c>
      <x:c r="K198" s="22" t="n">
        <x:v>0</x:v>
      </x:c>
      <x:c r="L198" s="22" t="n">
        <x:v>0</x:v>
      </x:c>
      <x:c r="M198" s="28" t="n">
        <x:v>0</x:v>
      </x:c>
      <x:c r="N198" s="28" t="n">
        <x:v>0</x:v>
      </x:c>
      <x:c r="O198" s="28" t="n">
        <x:v>0</x:v>
      </x:c>
      <x:c r="P198" s="62" t="n">
        <x:v>0</x:v>
      </x:c>
      <x:c r="Q198" s="22" t="n">
        <x:v>0</x:v>
      </x:c>
      <x:c r="R198" s="22" t="str"/>
      <x:c r="S198" s="22" t="str"/>
      <x:c r="T198" s="22" t="str"/>
    </x:row>
    <x:row r="199">
      <x:c r="A199" s="22" t="str">
        <x:v>2020-00070</x:v>
      </x:c>
      <x:c r="B199" s="22" t="str">
        <x:v>L2025-00038-1</x:v>
      </x:c>
      <x:c r="C199" s="22" t="str">
        <x:v>용역</x:v>
      </x:c>
      <x:c r="D199" s="25" t="str">
        <x:v>도미니카공화국 몬테 크리스티 직업훈련센터 (MVC) 감리사 선정</x:v>
      </x:c>
      <x:c r="E199" s="22" t="n">
        <x:v>0</x:v>
      </x:c>
      <x:c r="F199" s="22" t="str">
        <x:v>.docx</x:v>
      </x:c>
      <x:c r="G199" s="25" t="str">
        <x:v>L2025-00038-1/Section 4 - Scope of Works_MVC (Supervision)_fin.docx</x:v>
      </x:c>
      <x:c r="H199" s="28" t="n">
        <x:v>105878</x:v>
      </x:c>
      <x:c r="I199" s="22" t="str">
        <x:v>1df970782d3889668d31d06fa3f5dbc63c7fb03ede6496049eaaaa2987cbfbaa</x:v>
      </x:c>
      <x:c r="J199" s="22" t="n">
        <x:v>0</x:v>
      </x:c>
      <x:c r="K199" s="22" t="n">
        <x:v>0</x:v>
      </x:c>
      <x:c r="L199" s="22" t="n">
        <x:v>0</x:v>
      </x:c>
      <x:c r="M199" s="28" t="n">
        <x:v>0</x:v>
      </x:c>
      <x:c r="N199" s="28" t="n">
        <x:v>0</x:v>
      </x:c>
      <x:c r="O199" s="28" t="n">
        <x:v>0</x:v>
      </x:c>
      <x:c r="P199" s="62" t="n">
        <x:v>0</x:v>
      </x:c>
      <x:c r="Q199" s="22" t="n">
        <x:v>0</x:v>
      </x:c>
      <x:c r="R199" s="22" t="str"/>
      <x:c r="S199" s="22" t="str"/>
      <x:c r="T199" s="22" t="str"/>
    </x:row>
    <x:row r="200">
      <x:c r="A200" s="22" t="str">
        <x:v>2013-00064</x:v>
      </x:c>
      <x:c r="B200" s="22" t="str">
        <x:v>L2021-00005-1</x:v>
      </x:c>
      <x:c r="C200" s="22" t="str">
        <x:v>용역</x:v>
      </x:c>
      <x:c r="D200" s="25" t="str">
        <x:v>볼리비아 고원지역 농업 기계화 및 농민역량 강화를 통한 생산성 증대사업 설계사 선정 현지입찰</x:v>
      </x:c>
      <x:c r="E200" s="22" t="n">
        <x:v>0</x:v>
      </x:c>
      <x:c r="F200" s="22" t="str">
        <x:v>.hwp</x:v>
      </x:c>
      <x:c r="G200" s="25" t="str">
        <x:v>L2021-00005-1/붙임1. 입찰 계획서(국문)_20210201.hwp</x:v>
      </x:c>
      <x:c r="H200" s="28" t="n">
        <x:v>3371520</x:v>
      </x:c>
      <x:c r="I200" s="22" t="str">
        <x:v>2b358c84e021243ed268adfd72f2d8a174ebf1e332974a4e2b97cc4d329b32aa</x:v>
      </x:c>
      <x:c r="J200" s="22" t="n">
        <x:v>0</x:v>
      </x:c>
      <x:c r="K200" s="22" t="n">
        <x:v>0</x:v>
      </x:c>
      <x:c r="L200" s="22" t="n">
        <x:v>0</x:v>
      </x:c>
      <x:c r="M200" s="28" t="n">
        <x:v>0</x:v>
      </x:c>
      <x:c r="N200" s="28" t="n">
        <x:v>0</x:v>
      </x:c>
      <x:c r="O200" s="28" t="n">
        <x:v>0</x:v>
      </x:c>
      <x:c r="P200" s="62" t="n">
        <x:v>0</x:v>
      </x:c>
      <x:c r="Q200" s="22" t="n">
        <x:v>0</x:v>
      </x:c>
      <x:c r="R200" s="22" t="str"/>
      <x:c r="S200" s="22" t="str"/>
      <x:c r="T200" s="22" t="str"/>
    </x:row>
    <x:row r="201">
      <x:c r="A201" s="22" t="str">
        <x:v>2013-00064</x:v>
      </x:c>
      <x:c r="B201" s="22" t="str">
        <x:v>L2021-00005-1</x:v>
      </x:c>
      <x:c r="C201" s="22" t="str">
        <x:v>용역</x:v>
      </x:c>
      <x:c r="D201" s="25" t="str">
        <x:v>볼리비아 고원지역 농업 기계화 및 농민역량 강화를 통한 생산성 증대사업 설계사 선정 현지입찰</x:v>
      </x:c>
      <x:c r="E201" s="22" t="n">
        <x:v>0</x:v>
      </x:c>
      <x:c r="F201" s="22" t="str">
        <x:v>.zip</x:v>
      </x:c>
      <x:c r="G201" s="25" t="str">
        <x:v>L2021-00005-1/붙임2. 입찰 계획서(영문) 및 관련 양식.zip</x:v>
      </x:c>
      <x:c r="H201" s="28" t="n">
        <x:v>7394504</x:v>
      </x:c>
      <x:c r="I201" s="22" t="str">
        <x:v>58199573427419797f3c54f23e66dd93578ac8fccf7a843f4be1ee235c37a2a9</x:v>
      </x:c>
      <x:c r="J201" s="22" t="n">
        <x:v>0</x:v>
      </x:c>
      <x:c r="K201" s="22" t="n">
        <x:v>0</x:v>
      </x:c>
      <x:c r="L201" s="22" t="n">
        <x:v>0</x:v>
      </x:c>
      <x:c r="M201" s="28" t="n">
        <x:v>0</x:v>
      </x:c>
      <x:c r="N201" s="28" t="n">
        <x:v>0</x:v>
      </x:c>
      <x:c r="O201" s="28" t="n">
        <x:v>0</x:v>
      </x:c>
      <x:c r="P201" s="62" t="n">
        <x:v>0</x:v>
      </x:c>
      <x:c r="Q201" s="22" t="n">
        <x:v>0</x:v>
      </x:c>
      <x:c r="R201" s="22" t="str"/>
      <x:c r="S201" s="22" t="str"/>
      <x:c r="T201" s="22" t="str"/>
    </x:row>
    <x:row r="202">
      <x:c r="A202" s="22" t="str">
        <x:v>2013-00064</x:v>
      </x:c>
      <x:c r="B202" s="22" t="str">
        <x:v>L2021-00005-1</x:v>
      </x:c>
      <x:c r="C202" s="22" t="str">
        <x:v>용역</x:v>
      </x:c>
      <x:c r="D202" s="25" t="str">
        <x:v>볼리비아 고원지역 농업 기계화 및 농민역량 강화를 통한 생산성 증대사업 설계사 선정 현지입찰</x:v>
      </x:c>
      <x:c r="E202" s="22" t="n">
        <x:v>0</x:v>
      </x:c>
      <x:c r="F202" s="22" t="str">
        <x:v>.docx</x:v>
      </x:c>
      <x:c r="G202" s="25" t="str">
        <x:v>L2021-00005-1/붙임2. 입찰 계획서(영문) 및 관련 양식/Bolivia quinoa_5.0 Standard Forms of Contract_2021 0121.docx</x:v>
      </x:c>
      <x:c r="H202" s="28" t="n">
        <x:v>45103</x:v>
      </x:c>
      <x:c r="I202" s="22" t="str">
        <x:v>5976b10f0bb38681902e8d4d756129424fd042d400f0bb0361aa6a9249510be5</x:v>
      </x:c>
      <x:c r="J202" s="22" t="n">
        <x:v>0</x:v>
      </x:c>
      <x:c r="K202" s="22" t="n">
        <x:v>0</x:v>
      </x:c>
      <x:c r="L202" s="22" t="n">
        <x:v>0</x:v>
      </x:c>
      <x:c r="M202" s="28" t="n">
        <x:v>0</x:v>
      </x:c>
      <x:c r="N202" s="28" t="n">
        <x:v>0</x:v>
      </x:c>
      <x:c r="O202" s="28" t="n">
        <x:v>0</x:v>
      </x:c>
      <x:c r="P202" s="62" t="n">
        <x:v>0</x:v>
      </x:c>
      <x:c r="Q202" s="22" t="n">
        <x:v>0</x:v>
      </x:c>
      <x:c r="R202" s="22" t="str"/>
      <x:c r="S202" s="22" t="str"/>
      <x:c r="T202" s="22" t="str"/>
    </x:row>
    <x:row r="203">
      <x:c r="A203" s="22" t="str">
        <x:v>2013-00064</x:v>
      </x:c>
      <x:c r="B203" s="22" t="str">
        <x:v>L2021-00005-1</x:v>
      </x:c>
      <x:c r="C203" s="22" t="str">
        <x:v>용역</x:v>
      </x:c>
      <x:c r="D203" s="25" t="str">
        <x:v>볼리비아 고원지역 농업 기계화 및 농민역량 강화를 통한 생산성 증대사업 설계사 선정 현지입찰</x:v>
      </x:c>
      <x:c r="E203" s="22" t="n">
        <x:v>0</x:v>
      </x:c>
      <x:c r="F203" s="22" t="str">
        <x:v>.docx</x:v>
      </x:c>
      <x:c r="G203" s="25" t="str">
        <x:v>L2021-00005-1/붙임2. 입찰 계획서(영문) 및 관련 양식/Bolivia quinoa_3.0 Bidding Forms_2021 0121.docx</x:v>
      </x:c>
      <x:c r="H203" s="28" t="n">
        <x:v>81480</x:v>
      </x:c>
      <x:c r="I203" s="22" t="str">
        <x:v>ec49ee1b81ab22c79b937d16c400fe2dffa82eea89e43972ca75241c0d71be6e</x:v>
      </x:c>
      <x:c r="J203" s="22" t="n">
        <x:v>0</x:v>
      </x:c>
      <x:c r="K203" s="22" t="n">
        <x:v>0</x:v>
      </x:c>
      <x:c r="L203" s="22" t="n">
        <x:v>0</x:v>
      </x:c>
      <x:c r="M203" s="28" t="n">
        <x:v>0</x:v>
      </x:c>
      <x:c r="N203" s="28" t="n">
        <x:v>0</x:v>
      </x:c>
      <x:c r="O203" s="28" t="n">
        <x:v>0</x:v>
      </x:c>
      <x:c r="P203" s="62" t="n">
        <x:v>0</x:v>
      </x:c>
      <x:c r="Q203" s="22" t="n">
        <x:v>0</x:v>
      </x:c>
      <x:c r="R203" s="22" t="str"/>
      <x:c r="S203" s="22" t="str"/>
      <x:c r="T203" s="22" t="str"/>
    </x:row>
    <x:row r="204">
      <x:c r="A204" s="22" t="str">
        <x:v>2013-00064</x:v>
      </x:c>
      <x:c r="B204" s="22" t="str">
        <x:v>L2021-00005-1</x:v>
      </x:c>
      <x:c r="C204" s="22" t="str">
        <x:v>용역</x:v>
      </x:c>
      <x:c r="D204" s="25" t="str">
        <x:v>볼리비아 고원지역 농업 기계화 및 농민역량 강화를 통한 생산성 증대사업 설계사 선정 현지입찰</x:v>
      </x:c>
      <x:c r="E204" s="22" t="n">
        <x:v>0</x:v>
      </x:c>
      <x:c r="F204" s="22" t="str">
        <x:v>.docx</x:v>
      </x:c>
      <x:c r="G204" s="25" t="str">
        <x:v>L2021-00005-1/붙임2. 입찰 계획서(영문) 및 관련 양식/Bolivia quinoa_4.0 Terms of Reference_2021 0121.docx</x:v>
      </x:c>
      <x:c r="H204" s="28" t="n">
        <x:v>3965873</x:v>
      </x:c>
      <x:c r="I204" s="22" t="str">
        <x:v>8a1c6f581af57f07c5f5e63139796386297016edec257d1a2f3792724da9342d</x:v>
      </x:c>
      <x:c r="J204" s="22" t="n">
        <x:v>0</x:v>
      </x:c>
      <x:c r="K204" s="22" t="n">
        <x:v>0</x:v>
      </x:c>
      <x:c r="L204" s="22" t="n">
        <x:v>0</x:v>
      </x:c>
      <x:c r="M204" s="28" t="n">
        <x:v>0</x:v>
      </x:c>
      <x:c r="N204" s="28" t="n">
        <x:v>0</x:v>
      </x:c>
      <x:c r="O204" s="28" t="n">
        <x:v>0</x:v>
      </x:c>
      <x:c r="P204" s="62" t="n">
        <x:v>0</x:v>
      </x:c>
      <x:c r="Q204" s="22" t="n">
        <x:v>0</x:v>
      </x:c>
      <x:c r="R204" s="22" t="str"/>
      <x:c r="S204" s="22" t="str"/>
      <x:c r="T204" s="22" t="str"/>
    </x:row>
    <x:row r="205">
      <x:c r="A205" s="22" t="str">
        <x:v>2013-00064</x:v>
      </x:c>
      <x:c r="B205" s="22" t="str">
        <x:v>L2021-00005-1</x:v>
      </x:c>
      <x:c r="C205" s="22" t="str">
        <x:v>용역</x:v>
      </x:c>
      <x:c r="D205" s="25" t="str">
        <x:v>볼리비아 고원지역 농업 기계화 및 농민역량 강화를 통한 생산성 증대사업 설계사 선정 현지입찰</x:v>
      </x:c>
      <x:c r="E205" s="22" t="n">
        <x:v>0</x:v>
      </x:c>
      <x:c r="F205" s="22" t="str">
        <x:v>.docx</x:v>
      </x:c>
      <x:c r="G205" s="25" t="str">
        <x:v>L2021-00005-1/붙임2. 입찰 계획서(영문) 및 관련 양식/Bolivia quinoa_2.0 ITB &amp; BDS_2021 0121.docx</x:v>
      </x:c>
      <x:c r="H205" s="28" t="n">
        <x:v>65112</x:v>
      </x:c>
      <x:c r="I205" s="22" t="str">
        <x:v>a2c2814b3dab4919313daac9841d0014ed8afce7e54b0e9cc0e6e75afbe893b9</x:v>
      </x:c>
      <x:c r="J205" s="22" t="n">
        <x:v>0</x:v>
      </x:c>
      <x:c r="K205" s="22" t="n">
        <x:v>0</x:v>
      </x:c>
      <x:c r="L205" s="22" t="n">
        <x:v>0</x:v>
      </x:c>
      <x:c r="M205" s="28" t="n">
        <x:v>0</x:v>
      </x:c>
      <x:c r="N205" s="28" t="n">
        <x:v>0</x:v>
      </x:c>
      <x:c r="O205" s="28" t="n">
        <x:v>0</x:v>
      </x:c>
      <x:c r="P205" s="62" t="n">
        <x:v>0</x:v>
      </x:c>
      <x:c r="Q205" s="22" t="n">
        <x:v>0</x:v>
      </x:c>
      <x:c r="R205" s="22" t="str"/>
      <x:c r="S205" s="22" t="str"/>
      <x:c r="T205" s="22" t="str"/>
    </x:row>
    <x:row r="206">
      <x:c r="A206" s="22" t="str">
        <x:v>2013-00064</x:v>
      </x:c>
      <x:c r="B206" s="22" t="str">
        <x:v>L2021-00005-1</x:v>
      </x:c>
      <x:c r="C206" s="22" t="str">
        <x:v>용역</x:v>
      </x:c>
      <x:c r="D206" s="25" t="str">
        <x:v>볼리비아 고원지역 농업 기계화 및 농민역량 강화를 통한 생산성 증대사업 설계사 선정 현지입찰</x:v>
      </x:c>
      <x:c r="E206" s="22" t="n">
        <x:v>0</x:v>
      </x:c>
      <x:c r="F206" s="22" t="str">
        <x:v>.docx</x:v>
      </x:c>
      <x:c r="G206" s="25" t="str">
        <x:v>L2021-00005-1/붙임2. 입찰 계획서(영문) 및 관련 양식/Bolivia quinoa_0.0_Bidding Guideline(ENG)_2021 0121.docx</x:v>
      </x:c>
      <x:c r="H206" s="28" t="n">
        <x:v>3282788</x:v>
      </x:c>
      <x:c r="I206" s="22" t="str">
        <x:v>2be1a58d064d958ed108e1b4d4f747f3932b9817ffe99ee523b32b64c328d2b7</x:v>
      </x:c>
      <x:c r="J206" s="22" t="n">
        <x:v>0</x:v>
      </x:c>
      <x:c r="K206" s="22" t="n">
        <x:v>0</x:v>
      </x:c>
      <x:c r="L206" s="22" t="n">
        <x:v>0</x:v>
      </x:c>
      <x:c r="M206" s="28" t="n">
        <x:v>0</x:v>
      </x:c>
      <x:c r="N206" s="28" t="n">
        <x:v>0</x:v>
      </x:c>
      <x:c r="O206" s="28" t="n">
        <x:v>0</x:v>
      </x:c>
      <x:c r="P206" s="62" t="n">
        <x:v>0</x:v>
      </x:c>
      <x:c r="Q206" s="22" t="n">
        <x:v>0</x:v>
      </x:c>
      <x:c r="R206" s="22" t="str"/>
      <x:c r="S206" s="22" t="str"/>
      <x:c r="T206" s="22" t="str"/>
    </x:row>
    <x:row r="207">
      <x:c r="A207" s="22" t="str">
        <x:v>2013-00064</x:v>
      </x:c>
      <x:c r="B207" s="22" t="str">
        <x:v>L2021-00005-1</x:v>
      </x:c>
      <x:c r="C207" s="22" t="str">
        <x:v>용역</x:v>
      </x:c>
      <x:c r="D207" s="25" t="str">
        <x:v>볼리비아 고원지역 농업 기계화 및 농민역량 강화를 통한 생산성 증대사업 설계사 선정 현지입찰</x:v>
      </x:c>
      <x:c r="E207" s="22" t="n">
        <x:v>0</x:v>
      </x:c>
      <x:c r="F207" s="22" t="str">
        <x:v>.docx</x:v>
      </x:c>
      <x:c r="G207" s="25" t="str">
        <x:v>L2021-00005-1/붙임2. 입찰 계획서(영문) 및 관련 양식/Bolivia quinoa_1.0 IFB_2021 0121.docx</x:v>
      </x:c>
      <x:c r="H207" s="28" t="n">
        <x:v>44231</x:v>
      </x:c>
      <x:c r="I207" s="22" t="str">
        <x:v>da5b84c7bde1da7f85031cb2b067e4078b110cd5b9ec6a72cb79bd79fbffa246</x:v>
      </x:c>
      <x:c r="J207" s="22" t="n">
        <x:v>0</x:v>
      </x:c>
      <x:c r="K207" s="22" t="n">
        <x:v>0</x:v>
      </x:c>
      <x:c r="L207" s="22" t="n">
        <x:v>0</x:v>
      </x:c>
      <x:c r="M207" s="28" t="n">
        <x:v>0</x:v>
      </x:c>
      <x:c r="N207" s="28" t="n">
        <x:v>0</x:v>
      </x:c>
      <x:c r="O207" s="28" t="n">
        <x:v>0</x:v>
      </x:c>
      <x:c r="P207" s="62" t="n">
        <x:v>0</x:v>
      </x:c>
      <x:c r="Q207" s="22" t="n">
        <x:v>0</x:v>
      </x:c>
      <x:c r="R207" s="22" t="str"/>
      <x:c r="S207" s="22" t="str"/>
      <x:c r="T207" s="22" t="str"/>
    </x:row>
    <x:row r="208">
      <x:c r="A208" s="22" t="str">
        <x:v>2013-00064</x:v>
      </x:c>
      <x:c r="B208" s="22" t="str">
        <x:v>L2023-00012-1</x:v>
      </x:c>
      <x:c r="C208" s="22" t="str">
        <x:v>공사</x:v>
      </x:c>
      <x:c r="D208" s="25" t="str">
        <x:v>볼리비아 고원지역 농업기계화 및 농민 역량강화를 통한 생산성증대 지원사업 시공 용역 입찰</x:v>
      </x:c>
      <x:c r="E208" s="22" t="n">
        <x:v>1</x:v>
      </x:c>
      <x:c r="F208" s="22" t="str">
        <x:v>.doc</x:v>
      </x:c>
      <x:c r="G208" s="25" t="str">
        <x:v>L2023-00012-1/붙임 2. (영문) 입찰 공고(안).doc</x:v>
      </x:c>
      <x:c r="H208" s="28" t="n">
        <x:v>134144</x:v>
      </x:c>
      <x:c r="I208" s="22" t="str">
        <x:v>1e75e46efcf95484a3353e555fae0b3d57ff301781faec09730c5abe0f43c13e</x:v>
      </x:c>
      <x:c r="J208" s="22" t="n">
        <x:v>0</x:v>
      </x:c>
      <x:c r="K208" s="22" t="n">
        <x:v>0</x:v>
      </x:c>
      <x:c r="L208" s="22" t="n">
        <x:v>0</x:v>
      </x:c>
      <x:c r="M208" s="28" t="n">
        <x:v>0</x:v>
      </x:c>
      <x:c r="N208" s="28" t="n">
        <x:v>0</x:v>
      </x:c>
      <x:c r="O208" s="28" t="n">
        <x:v>0</x:v>
      </x:c>
      <x:c r="P208" s="62" t="n">
        <x:v>0</x:v>
      </x:c>
      <x:c r="Q208" s="22" t="n">
        <x:v>0</x:v>
      </x:c>
      <x:c r="R208" s="22" t="str"/>
      <x:c r="S208" s="22" t="str"/>
      <x:c r="T208" s="22" t="str"/>
    </x:row>
    <x:row r="209">
      <x:c r="A209" s="22" t="str">
        <x:v>2013-00064</x:v>
      </x:c>
      <x:c r="B209" s="22" t="str">
        <x:v>L2023-00012-1</x:v>
      </x:c>
      <x:c r="C209" s="22" t="str">
        <x:v>공사</x:v>
      </x:c>
      <x:c r="D209" s="25" t="str">
        <x:v>볼리비아 고원지역 농업기계화 및 농민 역량강화를 통한 생산성증대 지원사업 시공 용역 입찰</x:v>
      </x:c>
      <x:c r="E209" s="22" t="n">
        <x:v>1</x:v>
      </x:c>
      <x:c r="F209" s="22" t="str">
        <x:v>.zip</x:v>
      </x:c>
      <x:c r="G209" s="25" t="str">
        <x:v>L2023-00012-1/붙임 6. 서약서.Zip</x:v>
      </x:c>
      <x:c r="H209" s="28" t="n">
        <x:v>65638</x:v>
      </x:c>
      <x:c r="I209" s="22" t="str">
        <x:v>4f017c81c924b57a1946a21a2e3d52fe39d96701b77273cc40154e053b6bbfcd</x:v>
      </x:c>
      <x:c r="J209" s="22" t="n">
        <x:v>0</x:v>
      </x:c>
      <x:c r="K209" s="22" t="n">
        <x:v>0</x:v>
      </x:c>
      <x:c r="L209" s="22" t="n">
        <x:v>0</x:v>
      </x:c>
      <x:c r="M209" s="28" t="n">
        <x:v>0</x:v>
      </x:c>
      <x:c r="N209" s="28" t="n">
        <x:v>0</x:v>
      </x:c>
      <x:c r="O209" s="28" t="n">
        <x:v>0</x:v>
      </x:c>
      <x:c r="P209" s="62" t="n">
        <x:v>0</x:v>
      </x:c>
      <x:c r="Q209" s="22" t="n">
        <x:v>0</x:v>
      </x:c>
      <x:c r="R209" s="22" t="str"/>
      <x:c r="S209" s="22" t="str"/>
      <x:c r="T209" s="22" t="str"/>
    </x:row>
    <x:row r="210">
      <x:c r="A210" s="22" t="str">
        <x:v>2013-00064</x:v>
      </x:c>
      <x:c r="B210" s="22" t="str">
        <x:v>L2023-00012-1</x:v>
      </x:c>
      <x:c r="C210" s="22" t="str">
        <x:v>공사</x:v>
      </x:c>
      <x:c r="D210" s="25" t="str">
        <x:v>볼리비아 고원지역 농업기계화 및 농민 역량강화를 통한 생산성증대 지원사업 시공 용역 입찰</x:v>
      </x:c>
      <x:c r="E210" s="22" t="n">
        <x:v>1</x:v>
      </x:c>
      <x:c r="F210" s="22" t="str">
        <x:v>.zip</x:v>
      </x:c>
      <x:c r="G210" s="25" t="str">
        <x:v>L2023-00012-1/붙임 3. 부속서류 일체.Zip</x:v>
      </x:c>
      <x:c r="H210" s="28" t="n">
        <x:v>620369</x:v>
      </x:c>
      <x:c r="I210" s="22" t="str">
        <x:v>c27477ff77a5cb20e7e3e62d54328f7a2d21ae0a8ddf19d88a47f97f4d9f4e02</x:v>
      </x:c>
      <x:c r="J210" s="22" t="n">
        <x:v>0</x:v>
      </x:c>
      <x:c r="K210" s="22" t="n">
        <x:v>0</x:v>
      </x:c>
      <x:c r="L210" s="22" t="n">
        <x:v>0</x:v>
      </x:c>
      <x:c r="M210" s="28" t="n">
        <x:v>0</x:v>
      </x:c>
      <x:c r="N210" s="28" t="n">
        <x:v>0</x:v>
      </x:c>
      <x:c r="O210" s="28" t="n">
        <x:v>0</x:v>
      </x:c>
      <x:c r="P210" s="62" t="n">
        <x:v>0</x:v>
      </x:c>
      <x:c r="Q210" s="22" t="n">
        <x:v>0</x:v>
      </x:c>
      <x:c r="R210" s="22" t="str"/>
      <x:c r="S210" s="22" t="str"/>
      <x:c r="T210" s="22" t="str"/>
    </x:row>
    <x:row r="211">
      <x:c r="A211" s="22" t="str">
        <x:v>2013-00064</x:v>
      </x:c>
      <x:c r="B211" s="22" t="str">
        <x:v>L2023-00012-1</x:v>
      </x:c>
      <x:c r="C211" s="22" t="str">
        <x:v>공사</x:v>
      </x:c>
      <x:c r="D211" s="25" t="str">
        <x:v>볼리비아 고원지역 농업기계화 및 농민 역량강화를 통한 생산성증대 지원사업 시공 용역 입찰</x:v>
      </x:c>
      <x:c r="E211" s="22" t="n">
        <x:v>1</x:v>
      </x:c>
      <x:c r="F211" s="22" t="str">
        <x:v>.hwp</x:v>
      </x:c>
      <x:c r="G211" s="25" t="str">
        <x:v>L2023-00012-1/붙임 2. (국문) 입찰 계획서.hwp</x:v>
      </x:c>
      <x:c r="H211" s="28" t="n">
        <x:v>342016</x:v>
      </x:c>
      <x:c r="I211" s="22" t="str">
        <x:v>7eeb06e6b621da7fe7ad440d018ff2813acbb4d24e98ef0fdccbd4296bbf4e05</x:v>
      </x:c>
      <x:c r="J211" s="22" t="n">
        <x:v>0</x:v>
      </x:c>
      <x:c r="K211" s="22" t="n">
        <x:v>0</x:v>
      </x:c>
      <x:c r="L211" s="22" t="n">
        <x:v>0</x:v>
      </x:c>
      <x:c r="M211" s="28" t="n">
        <x:v>0</x:v>
      </x:c>
      <x:c r="N211" s="28" t="n">
        <x:v>0</x:v>
      </x:c>
      <x:c r="O211" s="28" t="n">
        <x:v>0</x:v>
      </x:c>
      <x:c r="P211" s="62" t="n">
        <x:v>0</x:v>
      </x:c>
      <x:c r="Q211" s="22" t="n">
        <x:v>0</x:v>
      </x:c>
      <x:c r="R211" s="22" t="str"/>
      <x:c r="S211" s="22" t="str"/>
      <x:c r="T211" s="22" t="str"/>
    </x:row>
    <x:row r="212">
      <x:c r="A212" s="22" t="str">
        <x:v>2013-00064</x:v>
      </x:c>
      <x:c r="B212" s="22" t="str">
        <x:v>L2023-00012-1</x:v>
      </x:c>
      <x:c r="C212" s="22" t="str">
        <x:v>공사</x:v>
      </x:c>
      <x:c r="D212" s="25" t="str">
        <x:v>볼리비아 고원지역 농업기계화 및 농민 역량강화를 통한 생산성증대 지원사업 시공 용역 입찰</x:v>
      </x:c>
      <x:c r="E212" s="22" t="n">
        <x:v>1</x:v>
      </x:c>
      <x:c r="F212" s="22" t="str">
        <x:v>.docx</x:v>
      </x:c>
      <x:c r="G212" s="25" t="str">
        <x:v>L2023-00012-1/붙임 6. 서약서/Integrity Pledge (청렴계약서).docx</x:v>
      </x:c>
      <x:c r="H212" s="28" t="n">
        <x:v>36805</x:v>
      </x:c>
      <x:c r="I212" s="22" t="str">
        <x:v>a652cd653478a9e7b0d8c37e7b963d6784f9711b6dab1ac887854293590df3f1</x:v>
      </x:c>
      <x:c r="J212" s="22" t="n">
        <x:v>0</x:v>
      </x:c>
      <x:c r="K212" s="22" t="n">
        <x:v>0</x:v>
      </x:c>
      <x:c r="L212" s="22" t="n">
        <x:v>0</x:v>
      </x:c>
      <x:c r="M212" s="28" t="n">
        <x:v>0</x:v>
      </x:c>
      <x:c r="N212" s="28" t="n">
        <x:v>0</x:v>
      </x:c>
      <x:c r="O212" s="28" t="n">
        <x:v>0</x:v>
      </x:c>
      <x:c r="P212" s="62" t="n">
        <x:v>0</x:v>
      </x:c>
      <x:c r="Q212" s="22" t="n">
        <x:v>0</x:v>
      </x:c>
      <x:c r="R212" s="22" t="str"/>
      <x:c r="S212" s="22" t="str"/>
      <x:c r="T212" s="22" t="str"/>
    </x:row>
    <x:row r="213">
      <x:c r="A213" s="22" t="str">
        <x:v>2013-00064</x:v>
      </x:c>
      <x:c r="B213" s="22" t="str">
        <x:v>L2023-00012-1</x:v>
      </x:c>
      <x:c r="C213" s="22" t="str">
        <x:v>공사</x:v>
      </x:c>
      <x:c r="D213" s="25" t="str">
        <x:v>볼리비아 고원지역 농업기계화 및 농민 역량강화를 통한 생산성증대 지원사업 시공 용역 입찰</x:v>
      </x:c>
      <x:c r="E213" s="22" t="n">
        <x:v>1</x:v>
      </x:c>
      <x:c r="F213" s="22" t="str">
        <x:v>.docx</x:v>
      </x:c>
      <x:c r="G213" s="25" t="str">
        <x:v>L2023-00012-1/붙임 6. 서약서/Fair Contract Pledge Letter (공정계약 서약서).docx</x:v>
      </x:c>
      <x:c r="H213" s="28" t="n">
        <x:v>15332</x:v>
      </x:c>
      <x:c r="I213" s="22" t="str">
        <x:v>b86142edc91f25f6963b0e279a039c54ae36ad5381ab958b5315e27a4756f42a</x:v>
      </x:c>
      <x:c r="J213" s="22" t="n">
        <x:v>0</x:v>
      </x:c>
      <x:c r="K213" s="22" t="n">
        <x:v>0</x:v>
      </x:c>
      <x:c r="L213" s="22" t="n">
        <x:v>0</x:v>
      </x:c>
      <x:c r="M213" s="28" t="n">
        <x:v>0</x:v>
      </x:c>
      <x:c r="N213" s="28" t="n">
        <x:v>0</x:v>
      </x:c>
      <x:c r="O213" s="28" t="n">
        <x:v>0</x:v>
      </x:c>
      <x:c r="P213" s="62" t="n">
        <x:v>0</x:v>
      </x:c>
      <x:c r="Q213" s="22" t="n">
        <x:v>0</x:v>
      </x:c>
      <x:c r="R213" s="22" t="str"/>
      <x:c r="S213" s="22" t="str"/>
      <x:c r="T213" s="22" t="str"/>
    </x:row>
    <x:row r="214">
      <x:c r="A214" s="22" t="str">
        <x:v>2013-00064</x:v>
      </x:c>
      <x:c r="B214" s="22" t="str">
        <x:v>L2023-00012-1</x:v>
      </x:c>
      <x:c r="C214" s="22" t="str">
        <x:v>공사</x:v>
      </x:c>
      <x:c r="D214" s="25" t="str">
        <x:v>볼리비아 고원지역 농업기계화 및 농민 역량강화를 통한 생산성증대 지원사업 시공 용역 입찰</x:v>
      </x:c>
      <x:c r="E214" s="22" t="n">
        <x:v>1</x:v>
      </x:c>
      <x:c r="F214" s="22" t="str">
        <x:v>.docx</x:v>
      </x:c>
      <x:c r="G214" s="25" t="str">
        <x:v>L2023-00012-1/붙임 6. 서약서/Declaration of Anti_Corruption (반부패 선언서).docx</x:v>
      </x:c>
      <x:c r="H214" s="28" t="n">
        <x:v>22643</x:v>
      </x:c>
      <x:c r="I214" s="22" t="str">
        <x:v>799964300f5ec7d2abb2fca623b7cab2a8195a91faea589307d42c547ab25c01</x:v>
      </x:c>
      <x:c r="J214" s="22" t="n">
        <x:v>0</x:v>
      </x:c>
      <x:c r="K214" s="22" t="n">
        <x:v>0</x:v>
      </x:c>
      <x:c r="L214" s="22" t="n">
        <x:v>0</x:v>
      </x:c>
      <x:c r="M214" s="28" t="n">
        <x:v>0</x:v>
      </x:c>
      <x:c r="N214" s="28" t="n">
        <x:v>0</x:v>
      </x:c>
      <x:c r="O214" s="28" t="n">
        <x:v>0</x:v>
      </x:c>
      <x:c r="P214" s="62" t="n">
        <x:v>0</x:v>
      </x:c>
      <x:c r="Q214" s="22" t="n">
        <x:v>0</x:v>
      </x:c>
      <x:c r="R214" s="22" t="str"/>
      <x:c r="S214" s="22" t="str"/>
      <x:c r="T214" s="22" t="str"/>
    </x:row>
    <x:row r="215">
      <x:c r="A215" s="22" t="str">
        <x:v>2013-00064</x:v>
      </x:c>
      <x:c r="B215" s="22" t="str">
        <x:v>L2023-00012-1</x:v>
      </x:c>
      <x:c r="C215" s="22" t="str">
        <x:v>공사</x:v>
      </x:c>
      <x:c r="D215" s="25" t="str">
        <x:v>볼리비아 고원지역 농업기계화 및 농민 역량강화를 통한 생산성증대 지원사업 시공 용역 입찰</x:v>
      </x:c>
      <x:c r="E215" s="22" t="n">
        <x:v>1</x:v>
      </x:c>
      <x:c r="F215" s="22" t="str">
        <x:v>.docx</x:v>
      </x:c>
      <x:c r="G215" s="25" t="str">
        <x:v>L2023-00012-1/붙임 3. 부속서류 일체/Section 1 - Instructions to Bidders (ITB).docx</x:v>
      </x:c>
      <x:c r="H215" s="28" t="n">
        <x:v>33211</x:v>
      </x:c>
      <x:c r="I215" s="22" t="str">
        <x:v>ea8ef1fa29c62dcc30e3f7b74fe542e04d799834d0ddad14f37202b898ad8cbb</x:v>
      </x:c>
      <x:c r="J215" s="22" t="n">
        <x:v>0</x:v>
      </x:c>
      <x:c r="K215" s="22" t="n">
        <x:v>0</x:v>
      </x:c>
      <x:c r="L215" s="22" t="n">
        <x:v>0</x:v>
      </x:c>
      <x:c r="M215" s="28" t="n">
        <x:v>0</x:v>
      </x:c>
      <x:c r="N215" s="28" t="n">
        <x:v>0</x:v>
      </x:c>
      <x:c r="O215" s="28" t="n">
        <x:v>0</x:v>
      </x:c>
      <x:c r="P215" s="62" t="n">
        <x:v>0</x:v>
      </x:c>
      <x:c r="Q215" s="22" t="n">
        <x:v>0</x:v>
      </x:c>
      <x:c r="R215" s="22" t="str"/>
      <x:c r="S215" s="22" t="str"/>
      <x:c r="T215" s="22" t="str"/>
    </x:row>
    <x:row r="216">
      <x:c r="A216" s="22" t="str">
        <x:v>2013-00064</x:v>
      </x:c>
      <x:c r="B216" s="22" t="str">
        <x:v>L2023-00012-1</x:v>
      </x:c>
      <x:c r="C216" s="22" t="str">
        <x:v>공사</x:v>
      </x:c>
      <x:c r="D216" s="25" t="str">
        <x:v>볼리비아 고원지역 농업기계화 및 농민 역량강화를 통한 생산성증대 지원사업 시공 용역 입찰</x:v>
      </x:c>
      <x:c r="E216" s="22" t="n">
        <x:v>1</x:v>
      </x:c>
      <x:c r="F216" s="22" t="str">
        <x:v>.docx</x:v>
      </x:c>
      <x:c r="G216" s="25" t="str">
        <x:v>L2023-00012-1/붙임 3. 부속서류 일체/Section 2 - Bid Data Sheet (BDS).docx</x:v>
      </x:c>
      <x:c r="H216" s="28" t="n">
        <x:v>262437</x:v>
      </x:c>
      <x:c r="I216" s="22" t="str">
        <x:v>83b5bd035771b093f59de2f8f2b618efd8a12b6fb97ea79af1a93938b8ff72e4</x:v>
      </x:c>
      <x:c r="J216" s="22" t="n">
        <x:v>0</x:v>
      </x:c>
      <x:c r="K216" s="22" t="n">
        <x:v>0</x:v>
      </x:c>
      <x:c r="L216" s="22" t="n">
        <x:v>0</x:v>
      </x:c>
      <x:c r="M216" s="28" t="n">
        <x:v>0</x:v>
      </x:c>
      <x:c r="N216" s="28" t="n">
        <x:v>0</x:v>
      </x:c>
      <x:c r="O216" s="28" t="n">
        <x:v>0</x:v>
      </x:c>
      <x:c r="P216" s="62" t="n">
        <x:v>0</x:v>
      </x:c>
      <x:c r="Q216" s="22" t="n">
        <x:v>0</x:v>
      </x:c>
      <x:c r="R216" s="22" t="str"/>
      <x:c r="S216" s="22" t="str"/>
      <x:c r="T216" s="22" t="str"/>
    </x:row>
    <x:row r="217">
      <x:c r="A217" s="22" t="str">
        <x:v>2013-00064</x:v>
      </x:c>
      <x:c r="B217" s="22" t="str">
        <x:v>L2023-00012-1</x:v>
      </x:c>
      <x:c r="C217" s="22" t="str">
        <x:v>공사</x:v>
      </x:c>
      <x:c r="D217" s="25" t="str">
        <x:v>볼리비아 고원지역 농업기계화 및 농민 역량강화를 통한 생산성증대 지원사업 시공 용역 입찰</x:v>
      </x:c>
      <x:c r="E217" s="22" t="n">
        <x:v>1</x:v>
      </x:c>
      <x:c r="F217" s="22" t="str">
        <x:v>.docx</x:v>
      </x:c>
      <x:c r="G217" s="25" t="str">
        <x:v>L2023-00012-1/붙임 3. 부속서류 일체/Section 9 - Contract Forms.docx</x:v>
      </x:c>
      <x:c r="H217" s="28" t="n">
        <x:v>37546</x:v>
      </x:c>
      <x:c r="I217" s="22" t="str">
        <x:v>a9cc5fea0df95add5d4ac1a36072b51021ddae1374579f35ca97cfa85b0ddefc</x:v>
      </x:c>
      <x:c r="J217" s="22" t="n">
        <x:v>0</x:v>
      </x:c>
      <x:c r="K217" s="22" t="n">
        <x:v>0</x:v>
      </x:c>
      <x:c r="L217" s="22" t="n">
        <x:v>0</x:v>
      </x:c>
      <x:c r="M217" s="28" t="n">
        <x:v>0</x:v>
      </x:c>
      <x:c r="N217" s="28" t="n">
        <x:v>0</x:v>
      </x:c>
      <x:c r="O217" s="28" t="n">
        <x:v>0</x:v>
      </x:c>
      <x:c r="P217" s="62" t="n">
        <x:v>0</x:v>
      </x:c>
      <x:c r="Q217" s="22" t="n">
        <x:v>0</x:v>
      </x:c>
      <x:c r="R217" s="22" t="str"/>
      <x:c r="S217" s="22" t="str"/>
      <x:c r="T217" s="22" t="str"/>
    </x:row>
    <x:row r="218">
      <x:c r="A218" s="22" t="str">
        <x:v>2013-00064</x:v>
      </x:c>
      <x:c r="B218" s="22" t="str">
        <x:v>L2023-00012-1</x:v>
      </x:c>
      <x:c r="C218" s="22" t="str">
        <x:v>공사</x:v>
      </x:c>
      <x:c r="D218" s="25" t="str">
        <x:v>볼리비아 고원지역 농업기계화 및 농민 역량강화를 통한 생산성증대 지원사업 시공 용역 입찰</x:v>
      </x:c>
      <x:c r="E218" s="22" t="n">
        <x:v>1</x:v>
      </x:c>
      <x:c r="F218" s="22" t="str">
        <x:v>.docx</x:v>
      </x:c>
      <x:c r="G218" s="25" t="str">
        <x:v>L2023-00012-1/붙임 3. 부속서류 일체/Section 7 - General Conditions of Contract.docx</x:v>
      </x:c>
      <x:c r="H218" s="28" t="n">
        <x:v>203691</x:v>
      </x:c>
      <x:c r="I218" s="22" t="str">
        <x:v>7e272559a008864607ea07a6defc3e272361d04181fc78601676a24c5093e3ca</x:v>
      </x:c>
      <x:c r="J218" s="22" t="n">
        <x:v>0</x:v>
      </x:c>
      <x:c r="K218" s="22" t="n">
        <x:v>0</x:v>
      </x:c>
      <x:c r="L218" s="22" t="n">
        <x:v>0</x:v>
      </x:c>
      <x:c r="M218" s="28" t="n">
        <x:v>0</x:v>
      </x:c>
      <x:c r="N218" s="28" t="n">
        <x:v>0</x:v>
      </x:c>
      <x:c r="O218" s="28" t="n">
        <x:v>0</x:v>
      </x:c>
      <x:c r="P218" s="62" t="n">
        <x:v>0</x:v>
      </x:c>
      <x:c r="Q218" s="22" t="n">
        <x:v>0</x:v>
      </x:c>
      <x:c r="R218" s="22" t="str"/>
      <x:c r="S218" s="22" t="str"/>
      <x:c r="T218" s="22" t="str"/>
    </x:row>
    <x:row r="219">
      <x:c r="A219" s="22" t="str">
        <x:v>2013-00064</x:v>
      </x:c>
      <x:c r="B219" s="22" t="str">
        <x:v>L2023-00012-1</x:v>
      </x:c>
      <x:c r="C219" s="22" t="str">
        <x:v>공사</x:v>
      </x:c>
      <x:c r="D219" s="25" t="str">
        <x:v>볼리비아 고원지역 농업기계화 및 농민 역량강화를 통한 생산성증대 지원사업 시공 용역 입찰</x:v>
      </x:c>
      <x:c r="E219" s="22" t="n">
        <x:v>1</x:v>
      </x:c>
      <x:c r="F219" s="22" t="str">
        <x:v>.docx</x:v>
      </x:c>
      <x:c r="G219" s="25" t="str">
        <x:v>L2023-00012-1/붙임 3. 부속서류 일체/Section 8 - Specail Conditions of Contract.docx</x:v>
      </x:c>
      <x:c r="H219" s="28" t="n">
        <x:v>62186</x:v>
      </x:c>
      <x:c r="I219" s="22" t="str">
        <x:v>61d3b9d85f1d6627d337a04404ec3d5dc28c8a7cf172ff300696afbfdaf4cf77</x:v>
      </x:c>
      <x:c r="J219" s="22" t="n">
        <x:v>0</x:v>
      </x:c>
      <x:c r="K219" s="22" t="n">
        <x:v>0</x:v>
      </x:c>
      <x:c r="L219" s="22" t="n">
        <x:v>0</x:v>
      </x:c>
      <x:c r="M219" s="28" t="n">
        <x:v>0</x:v>
      </x:c>
      <x:c r="N219" s="28" t="n">
        <x:v>0</x:v>
      </x:c>
      <x:c r="O219" s="28" t="n">
        <x:v>0</x:v>
      </x:c>
      <x:c r="P219" s="62" t="n">
        <x:v>0</x:v>
      </x:c>
      <x:c r="Q219" s="22" t="n">
        <x:v>0</x:v>
      </x:c>
      <x:c r="R219" s="22" t="str"/>
      <x:c r="S219" s="22" t="str"/>
      <x:c r="T219" s="22" t="str"/>
    </x:row>
    <x:row r="220">
      <x:c r="A220" s="22" t="str">
        <x:v>2013-00064</x:v>
      </x:c>
      <x:c r="B220" s="22" t="str">
        <x:v>L2023-00012-1</x:v>
      </x:c>
      <x:c r="C220" s="22" t="str">
        <x:v>공사</x:v>
      </x:c>
      <x:c r="D220" s="25" t="str">
        <x:v>볼리비아 고원지역 농업기계화 및 농민 역량강화를 통한 생산성증대 지원사업 시공 용역 입찰</x:v>
      </x:c>
      <x:c r="E220" s="22" t="n">
        <x:v>1</x:v>
      </x:c>
      <x:c r="F220" s="22" t="str">
        <x:v>.docx</x:v>
      </x:c>
      <x:c r="G220" s="25" t="str">
        <x:v>L2023-00012-1/붙임 3. 부속서류 일체/Section 3 - Bidding Forms.docx</x:v>
      </x:c>
      <x:c r="H220" s="28" t="n">
        <x:v>41532</x:v>
      </x:c>
      <x:c r="I220" s="22" t="str">
        <x:v>18877675a3f27266f452ce9a81adec9e0cd4b1c107cd36759fcd2e4784815fdc</x:v>
      </x:c>
      <x:c r="J220" s="22" t="n">
        <x:v>0</x:v>
      </x:c>
      <x:c r="K220" s="22" t="n">
        <x:v>0</x:v>
      </x:c>
      <x:c r="L220" s="22" t="n">
        <x:v>0</x:v>
      </x:c>
      <x:c r="M220" s="28" t="n">
        <x:v>0</x:v>
      </x:c>
      <x:c r="N220" s="28" t="n">
        <x:v>0</x:v>
      </x:c>
      <x:c r="O220" s="28" t="n">
        <x:v>0</x:v>
      </x:c>
      <x:c r="P220" s="62" t="n">
        <x:v>0</x:v>
      </x:c>
      <x:c r="Q220" s="22" t="n">
        <x:v>0</x:v>
      </x:c>
      <x:c r="R220" s="22" t="str"/>
      <x:c r="S220" s="22" t="str"/>
      <x:c r="T220" s="22" t="str"/>
    </x:row>
    <x:row r="221">
      <x:c r="A221" s="22" t="str">
        <x:v>2013-00064</x:v>
      </x:c>
      <x:c r="B221" s="22" t="str">
        <x:v>L2023-00015-1</x:v>
      </x:c>
      <x:c r="C221" s="22" t="str">
        <x:v>용역</x:v>
      </x:c>
      <x:c r="D221" s="25" t="str">
        <x:v>볼리비아 고원지역 농업기계화 및 농민 역량강화를 통한 생산성증대 지원사업 감리 용역 입찰</x:v>
      </x:c>
      <x:c r="E221" s="22" t="n">
        <x:v>0</x:v>
      </x:c>
      <x:c r="F221" s="22" t="str">
        <x:v>.zip</x:v>
      </x:c>
      <x:c r="G221" s="25" t="str">
        <x:v>L2023-00015-1/붙임 3. 입찰 관련 부속서류 일체.Zip</x:v>
      </x:c>
      <x:c r="H221" s="28" t="n">
        <x:v>535530</x:v>
      </x:c>
      <x:c r="I221" s="22" t="str">
        <x:v>396ed5a76684a37175551dee7d340d89739d31015a62be525fc6dda2f3f6e51a</x:v>
      </x:c>
      <x:c r="J221" s="22" t="n">
        <x:v>0</x:v>
      </x:c>
      <x:c r="K221" s="22" t="n">
        <x:v>0</x:v>
      </x:c>
      <x:c r="L221" s="22" t="n">
        <x:v>0</x:v>
      </x:c>
      <x:c r="M221" s="28" t="n">
        <x:v>0</x:v>
      </x:c>
      <x:c r="N221" s="28" t="n">
        <x:v>0</x:v>
      </x:c>
      <x:c r="O221" s="28" t="n">
        <x:v>0</x:v>
      </x:c>
      <x:c r="P221" s="62" t="n">
        <x:v>0</x:v>
      </x:c>
      <x:c r="Q221" s="22" t="n">
        <x:v>0</x:v>
      </x:c>
      <x:c r="R221" s="22" t="str"/>
      <x:c r="S221" s="22" t="str"/>
      <x:c r="T221" s="22" t="str"/>
    </x:row>
    <x:row r="222">
      <x:c r="A222" s="22" t="str">
        <x:v>2013-00064</x:v>
      </x:c>
      <x:c r="B222" s="22" t="str">
        <x:v>L2023-00015-1</x:v>
      </x:c>
      <x:c r="C222" s="22" t="str">
        <x:v>용역</x:v>
      </x:c>
      <x:c r="D222" s="25" t="str">
        <x:v>볼리비아 고원지역 농업기계화 및 농민 역량강화를 통한 생산성증대 지원사업 감리 용역 입찰</x:v>
      </x:c>
      <x:c r="E222" s="22" t="n">
        <x:v>0</x:v>
      </x:c>
      <x:c r="F222" s="22" t="str">
        <x:v>.hwp</x:v>
      </x:c>
      <x:c r="G222" s="25" t="str">
        <x:v>L2023-00015-1/붙임 1. (국문) 감리입찰계획(안).hwp</x:v>
      </x:c>
      <x:c r="H222" s="28" t="n">
        <x:v>346112</x:v>
      </x:c>
      <x:c r="I222" s="22" t="str">
        <x:v>3c4ea68bb1ef56893468e2b7a4379fe68752eb9e735eaf1f0e89013b69b950ed</x:v>
      </x:c>
      <x:c r="J222" s="22" t="n">
        <x:v>0</x:v>
      </x:c>
      <x:c r="K222" s="22" t="n">
        <x:v>0</x:v>
      </x:c>
      <x:c r="L222" s="22" t="n">
        <x:v>0</x:v>
      </x:c>
      <x:c r="M222" s="28" t="n">
        <x:v>0</x:v>
      </x:c>
      <x:c r="N222" s="28" t="n">
        <x:v>0</x:v>
      </x:c>
      <x:c r="O222" s="28" t="n">
        <x:v>0</x:v>
      </x:c>
      <x:c r="P222" s="62" t="n">
        <x:v>0</x:v>
      </x:c>
      <x:c r="Q222" s="22" t="n">
        <x:v>0</x:v>
      </x:c>
      <x:c r="R222" s="22" t="str"/>
      <x:c r="S222" s="22" t="str"/>
      <x:c r="T222" s="22" t="str"/>
    </x:row>
    <x:row r="223">
      <x:c r="A223" s="22" t="str">
        <x:v>2013-00064</x:v>
      </x:c>
      <x:c r="B223" s="22" t="str">
        <x:v>L2023-00015-1</x:v>
      </x:c>
      <x:c r="C223" s="22" t="str">
        <x:v>용역</x:v>
      </x:c>
      <x:c r="D223" s="25" t="str">
        <x:v>볼리비아 고원지역 농업기계화 및 농민 역량강화를 통한 생산성증대 지원사업 감리 용역 입찰</x:v>
      </x:c>
      <x:c r="E223" s="22" t="n">
        <x:v>0</x:v>
      </x:c>
      <x:c r="F223" s="22" t="str">
        <x:v>.docx</x:v>
      </x:c>
      <x:c r="G223" s="25" t="str">
        <x:v>L2023-00015-1/붙임 2. (영문) 감리 입찰 공고(안).docx</x:v>
      </x:c>
      <x:c r="H223" s="28" t="n">
        <x:v>63754</x:v>
      </x:c>
      <x:c r="I223" s="22" t="str">
        <x:v>13916d2efe6a899ee69b121e944ff45ef73f464da87b5393a615b9c96982f096</x:v>
      </x:c>
      <x:c r="J223" s="22" t="n">
        <x:v>0</x:v>
      </x:c>
      <x:c r="K223" s="22" t="n">
        <x:v>0</x:v>
      </x:c>
      <x:c r="L223" s="22" t="n">
        <x:v>0</x:v>
      </x:c>
      <x:c r="M223" s="28" t="n">
        <x:v>0</x:v>
      </x:c>
      <x:c r="N223" s="28" t="n">
        <x:v>0</x:v>
      </x:c>
      <x:c r="O223" s="28" t="n">
        <x:v>0</x:v>
      </x:c>
      <x:c r="P223" s="62" t="n">
        <x:v>0</x:v>
      </x:c>
      <x:c r="Q223" s="22" t="n">
        <x:v>0</x:v>
      </x:c>
      <x:c r="R223" s="22" t="str"/>
      <x:c r="S223" s="22" t="str"/>
      <x:c r="T223" s="22" t="str"/>
    </x:row>
    <x:row r="224">
      <x:c r="A224" s="22" t="str">
        <x:v>2013-00064</x:v>
      </x:c>
      <x:c r="B224" s="22" t="str">
        <x:v>L2023-00015-1</x:v>
      </x:c>
      <x:c r="C224" s="22" t="str">
        <x:v>용역</x:v>
      </x:c>
      <x:c r="D224" s="25" t="str">
        <x:v>볼리비아 고원지역 농업기계화 및 농민 역량강화를 통한 생산성증대 지원사업 감리 용역 입찰</x:v>
      </x:c>
      <x:c r="E224" s="22" t="n">
        <x:v>0</x:v>
      </x:c>
      <x:c r="F224" s="22" t="str">
        <x:v>.docx</x:v>
      </x:c>
      <x:c r="G224" s="25" t="str">
        <x:v>L2023-00015-1/붙임 3. 입찰 관련 부속서류 일체/20230317_Section 7 - Special Conditions of Contract.docx</x:v>
      </x:c>
      <x:c r="H224" s="28" t="n">
        <x:v>19684</x:v>
      </x:c>
      <x:c r="I224" s="22" t="str">
        <x:v>dbc6f8d713c38dd0f0b8c504a0de0052ed11ed27ac9146cccb268214529f81f2</x:v>
      </x:c>
      <x:c r="J224" s="22" t="n">
        <x:v>0</x:v>
      </x:c>
      <x:c r="K224" s="22" t="n">
        <x:v>0</x:v>
      </x:c>
      <x:c r="L224" s="22" t="n">
        <x:v>0</x:v>
      </x:c>
      <x:c r="M224" s="28" t="n">
        <x:v>0</x:v>
      </x:c>
      <x:c r="N224" s="28" t="n">
        <x:v>0</x:v>
      </x:c>
      <x:c r="O224" s="28" t="n">
        <x:v>0</x:v>
      </x:c>
      <x:c r="P224" s="62" t="n">
        <x:v>0</x:v>
      </x:c>
      <x:c r="Q224" s="22" t="n">
        <x:v>0</x:v>
      </x:c>
      <x:c r="R224" s="22" t="str"/>
      <x:c r="S224" s="22" t="str"/>
      <x:c r="T224" s="22" t="str"/>
    </x:row>
    <x:row r="225">
      <x:c r="A225" s="22" t="str">
        <x:v>2013-00064</x:v>
      </x:c>
      <x:c r="B225" s="22" t="str">
        <x:v>L2023-00015-1</x:v>
      </x:c>
      <x:c r="C225" s="22" t="str">
        <x:v>용역</x:v>
      </x:c>
      <x:c r="D225" s="25" t="str">
        <x:v>볼리비아 고원지역 농업기계화 및 농민 역량강화를 통한 생산성증대 지원사업 감리 용역 입찰</x:v>
      </x:c>
      <x:c r="E225" s="22" t="n">
        <x:v>0</x:v>
      </x:c>
      <x:c r="F225" s="22" t="str">
        <x:v>.docx</x:v>
      </x:c>
      <x:c r="G225" s="25" t="str">
        <x:v>L2023-00015-1/붙임 3. 입찰 관련 부속서류 일체/20230317_Section 6 - General Conditions of Contract.docx</x:v>
      </x:c>
      <x:c r="H225" s="28" t="n">
        <x:v>26604</x:v>
      </x:c>
      <x:c r="I225" s="22" t="str">
        <x:v>70c3e0a52e88537bd2511994814814477f22137392748fb8f94dd4d039fbe745</x:v>
      </x:c>
      <x:c r="J225" s="22" t="n">
        <x:v>0</x:v>
      </x:c>
      <x:c r="K225" s="22" t="n">
        <x:v>0</x:v>
      </x:c>
      <x:c r="L225" s="22" t="n">
        <x:v>0</x:v>
      </x:c>
      <x:c r="M225" s="28" t="n">
        <x:v>0</x:v>
      </x:c>
      <x:c r="N225" s="28" t="n">
        <x:v>0</x:v>
      </x:c>
      <x:c r="O225" s="28" t="n">
        <x:v>0</x:v>
      </x:c>
      <x:c r="P225" s="62" t="n">
        <x:v>0</x:v>
      </x:c>
      <x:c r="Q225" s="22" t="n">
        <x:v>0</x:v>
      </x:c>
      <x:c r="R225" s="22" t="str"/>
      <x:c r="S225" s="22" t="str"/>
      <x:c r="T225" s="22" t="str"/>
    </x:row>
    <x:row r="226">
      <x:c r="A226" s="22" t="str">
        <x:v>2013-00064</x:v>
      </x:c>
      <x:c r="B226" s="22" t="str">
        <x:v>L2023-00015-1</x:v>
      </x:c>
      <x:c r="C226" s="22" t="str">
        <x:v>용역</x:v>
      </x:c>
      <x:c r="D226" s="25" t="str">
        <x:v>볼리비아 고원지역 농업기계화 및 농민 역량강화를 통한 생산성증대 지원사업 감리 용역 입찰</x:v>
      </x:c>
      <x:c r="E226" s="22" t="n">
        <x:v>0</x:v>
      </x:c>
      <x:c r="F226" s="22" t="str">
        <x:v>.docx</x:v>
      </x:c>
      <x:c r="G226" s="25" t="str">
        <x:v>L2023-00015-1/붙임 3. 입찰 관련 부속서류 일체/20230320_Section 1 - Instructions to Bidders (ITB).docx</x:v>
      </x:c>
      <x:c r="H226" s="28" t="n">
        <x:v>37058</x:v>
      </x:c>
      <x:c r="I226" s="22" t="str">
        <x:v>b6b8cd5f40e1d6d4f26362ad5a09a12139e360af58948537711ae6631dea76bd</x:v>
      </x:c>
      <x:c r="J226" s="22" t="n">
        <x:v>0</x:v>
      </x:c>
      <x:c r="K226" s="22" t="n">
        <x:v>0</x:v>
      </x:c>
      <x:c r="L226" s="22" t="n">
        <x:v>0</x:v>
      </x:c>
      <x:c r="M226" s="28" t="n">
        <x:v>0</x:v>
      </x:c>
      <x:c r="N226" s="28" t="n">
        <x:v>0</x:v>
      </x:c>
      <x:c r="O226" s="28" t="n">
        <x:v>0</x:v>
      </x:c>
      <x:c r="P226" s="62" t="n">
        <x:v>0</x:v>
      </x:c>
      <x:c r="Q226" s="22" t="n">
        <x:v>0</x:v>
      </x:c>
      <x:c r="R226" s="22" t="str"/>
      <x:c r="S226" s="22" t="str"/>
      <x:c r="T226" s="22" t="str"/>
    </x:row>
    <x:row r="227">
      <x:c r="A227" s="22" t="str">
        <x:v>2013-00064</x:v>
      </x:c>
      <x:c r="B227" s="22" t="str">
        <x:v>L2023-00015-1</x:v>
      </x:c>
      <x:c r="C227" s="22" t="str">
        <x:v>용역</x:v>
      </x:c>
      <x:c r="D227" s="25" t="str">
        <x:v>볼리비아 고원지역 농업기계화 및 농민 역량강화를 통한 생산성증대 지원사업 감리 용역 입찰</x:v>
      </x:c>
      <x:c r="E227" s="22" t="n">
        <x:v>0</x:v>
      </x:c>
      <x:c r="F227" s="22" t="str">
        <x:v>.docx</x:v>
      </x:c>
      <x:c r="G227" s="25" t="str">
        <x:v>L2023-00015-1/붙임 3. 입찰 관련 부속서류 일체/20230317_Section 3 - Bidding Forms.docx</x:v>
      </x:c>
      <x:c r="H227" s="28" t="n">
        <x:v>62807</x:v>
      </x:c>
      <x:c r="I227" s="22" t="str">
        <x:v>03ee48f78e973dc3920676f54091a91d5a63e7ccc127a414c96323d4d614ac1d</x:v>
      </x:c>
      <x:c r="J227" s="22" t="n">
        <x:v>0</x:v>
      </x:c>
      <x:c r="K227" s="22" t="n">
        <x:v>0</x:v>
      </x:c>
      <x:c r="L227" s="22" t="n">
        <x:v>0</x:v>
      </x:c>
      <x:c r="M227" s="28" t="n">
        <x:v>0</x:v>
      </x:c>
      <x:c r="N227" s="28" t="n">
        <x:v>0</x:v>
      </x:c>
      <x:c r="O227" s="28" t="n">
        <x:v>0</x:v>
      </x:c>
      <x:c r="P227" s="62" t="n">
        <x:v>0</x:v>
      </x:c>
      <x:c r="Q227" s="22" t="n">
        <x:v>0</x:v>
      </x:c>
      <x:c r="R227" s="22" t="str"/>
      <x:c r="S227" s="22" t="str"/>
      <x:c r="T227" s="22" t="str"/>
    </x:row>
    <x:row r="228">
      <x:c r="A228" s="22" t="str">
        <x:v>2013-00064</x:v>
      </x:c>
      <x:c r="B228" s="22" t="str">
        <x:v>L2023-00015-1</x:v>
      </x:c>
      <x:c r="C228" s="22" t="str">
        <x:v>용역</x:v>
      </x:c>
      <x:c r="D228" s="25" t="str">
        <x:v>볼리비아 고원지역 농업기계화 및 농민 역량강화를 통한 생산성증대 지원사업 감리 용역 입찰</x:v>
      </x:c>
      <x:c r="E228" s="22" t="n">
        <x:v>0</x:v>
      </x:c>
      <x:c r="F228" s="22" t="str">
        <x:v>.docx</x:v>
      </x:c>
      <x:c r="G228" s="25" t="str">
        <x:v>L2023-00015-1/붙임 3. 입찰 관련 부속서류 일체/20230317_Section 4 - Scope of Works.docx</x:v>
      </x:c>
      <x:c r="H228" s="28" t="n">
        <x:v>101731</x:v>
      </x:c>
      <x:c r="I228" s="22" t="str">
        <x:v>6066168a1382778cbb0d41182d6ec68ac5ed6bc8230f547b84ad8d6ec0709999</x:v>
      </x:c>
      <x:c r="J228" s="22" t="n">
        <x:v>0</x:v>
      </x:c>
      <x:c r="K228" s="22" t="n">
        <x:v>0</x:v>
      </x:c>
      <x:c r="L228" s="22" t="n">
        <x:v>0</x:v>
      </x:c>
      <x:c r="M228" s="28" t="n">
        <x:v>0</x:v>
      </x:c>
      <x:c r="N228" s="28" t="n">
        <x:v>0</x:v>
      </x:c>
      <x:c r="O228" s="28" t="n">
        <x:v>0</x:v>
      </x:c>
      <x:c r="P228" s="62" t="n">
        <x:v>0</x:v>
      </x:c>
      <x:c r="Q228" s="22" t="n">
        <x:v>0</x:v>
      </x:c>
      <x:c r="R228" s="22" t="str"/>
      <x:c r="S228" s="22" t="str"/>
      <x:c r="T228" s="22" t="str"/>
    </x:row>
    <x:row r="229">
      <x:c r="A229" s="22" t="str">
        <x:v>2013-00064</x:v>
      </x:c>
      <x:c r="B229" s="22" t="str">
        <x:v>L2023-00015-1</x:v>
      </x:c>
      <x:c r="C229" s="22" t="str">
        <x:v>용역</x:v>
      </x:c>
      <x:c r="D229" s="25" t="str">
        <x:v>볼리비아 고원지역 농업기계화 및 농민 역량강화를 통한 생산성증대 지원사업 감리 용역 입찰</x:v>
      </x:c>
      <x:c r="E229" s="22" t="n">
        <x:v>0</x:v>
      </x:c>
      <x:c r="F229" s="22" t="str">
        <x:v>.docx</x:v>
      </x:c>
      <x:c r="G229" s="25" t="str">
        <x:v>L2023-00015-1/붙임 3. 입찰 관련 부속서류 일체/20230317_Section 8 - Contract Forms.docx</x:v>
      </x:c>
      <x:c r="H229" s="28" t="n">
        <x:v>39920</x:v>
      </x:c>
      <x:c r="I229" s="22" t="str">
        <x:v>c245a5d79ef48c591651a339c7e4eb0f5a393c8073b12b357d96782919b5d3b4</x:v>
      </x:c>
      <x:c r="J229" s="22" t="n">
        <x:v>0</x:v>
      </x:c>
      <x:c r="K229" s="22" t="n">
        <x:v>0</x:v>
      </x:c>
      <x:c r="L229" s="22" t="n">
        <x:v>0</x:v>
      </x:c>
      <x:c r="M229" s="28" t="n">
        <x:v>0</x:v>
      </x:c>
      <x:c r="N229" s="28" t="n">
        <x:v>0</x:v>
      </x:c>
      <x:c r="O229" s="28" t="n">
        <x:v>0</x:v>
      </x:c>
      <x:c r="P229" s="62" t="n">
        <x:v>0</x:v>
      </x:c>
      <x:c r="Q229" s="22" t="n">
        <x:v>0</x:v>
      </x:c>
      <x:c r="R229" s="22" t="str"/>
      <x:c r="S229" s="22" t="str"/>
      <x:c r="T229" s="22" t="str"/>
    </x:row>
    <x:row r="230">
      <x:c r="A230" s="22" t="str">
        <x:v>2013-00064</x:v>
      </x:c>
      <x:c r="B230" s="22" t="str">
        <x:v>L2023-00015-1</x:v>
      </x:c>
      <x:c r="C230" s="22" t="str">
        <x:v>용역</x:v>
      </x:c>
      <x:c r="D230" s="25" t="str">
        <x:v>볼리비아 고원지역 농업기계화 및 농민 역량강화를 통한 생산성증대 지원사업 감리 용역 입찰</x:v>
      </x:c>
      <x:c r="E230" s="22" t="n">
        <x:v>0</x:v>
      </x:c>
      <x:c r="F230" s="22" t="str">
        <x:v>.docx</x:v>
      </x:c>
      <x:c r="G230" s="25" t="str">
        <x:v>L2023-00015-1/붙임 3. 입찰 관련 부속서류 일체/20230320_Section 2 - Bid Data Sheet (BDS).docx</x:v>
      </x:c>
      <x:c r="H230" s="28" t="n">
        <x:v>270271</x:v>
      </x:c>
      <x:c r="I230" s="22" t="str">
        <x:v>d21a69bb07ca013d7e59c5b10649f1a7451a05e2ada4c0b6b5a97c4ed7ea63ac</x:v>
      </x:c>
      <x:c r="J230" s="22" t="n">
        <x:v>0</x:v>
      </x:c>
      <x:c r="K230" s="22" t="n">
        <x:v>0</x:v>
      </x:c>
      <x:c r="L230" s="22" t="n">
        <x:v>0</x:v>
      </x:c>
      <x:c r="M230" s="28" t="n">
        <x:v>0</x:v>
      </x:c>
      <x:c r="N230" s="28" t="n">
        <x:v>0</x:v>
      </x:c>
      <x:c r="O230" s="28" t="n">
        <x:v>0</x:v>
      </x:c>
      <x:c r="P230" s="62" t="n">
        <x:v>0</x:v>
      </x:c>
      <x:c r="Q230" s="22" t="n">
        <x:v>0</x:v>
      </x:c>
      <x:c r="R230" s="22" t="str"/>
      <x:c r="S230" s="22" t="str"/>
      <x:c r="T230" s="22" t="str"/>
    </x:row>
    <x:row r="231">
      <x:c r="A231" s="22" t="str">
        <x:v>2013-00064</x:v>
      </x:c>
      <x:c r="B231" s="22" t="str">
        <x:v>L2025-00012-1</x:v>
      </x:c>
      <x:c r="C231" s="22" t="str">
        <x:v>공사</x:v>
      </x:c>
      <x:c r="D231" s="25" t="str">
        <x:v>볼리비아 고원 지역 농업 기계화 및 농민역량 강화를 통한 생산성 증대 사업 퀴노아 연구센터 차칼라 건립 공사 시공사 선정 현지 입찰</x:v>
      </x:c>
      <x:c r="E231" s="22" t="n">
        <x:v>1</x:v>
      </x:c>
      <x:c r="F231" s="22" t="str">
        <x:v>.zip</x:v>
      </x:c>
      <x:c r="G231" s="25" t="str">
        <x:v>L2025-00012-1/(붙임2) 입찰 관련 부속서류.zip</x:v>
      </x:c>
      <x:c r="H231" s="28" t="n">
        <x:v>47837224</x:v>
      </x:c>
      <x:c r="I231" s="22" t="str">
        <x:v>a36d670b0514f69d108ed71ff4f1e18136e76394ac8c875f951e9a30141e8cc0</x:v>
      </x:c>
      <x:c r="J231" s="22" t="n">
        <x:v>0</x:v>
      </x:c>
      <x:c r="K231" s="22" t="n">
        <x:v>0</x:v>
      </x:c>
      <x:c r="L231" s="22" t="n">
        <x:v>0</x:v>
      </x:c>
      <x:c r="M231" s="28" t="n">
        <x:v>0</x:v>
      </x:c>
      <x:c r="N231" s="28" t="n">
        <x:v>0</x:v>
      </x:c>
      <x:c r="O231" s="28" t="n">
        <x:v>0</x:v>
      </x:c>
      <x:c r="P231" s="62" t="n">
        <x:v>0</x:v>
      </x:c>
      <x:c r="Q231" s="22" t="n">
        <x:v>0</x:v>
      </x:c>
      <x:c r="R231" s="22" t="str"/>
      <x:c r="S231" s="22" t="str"/>
      <x:c r="T231" s="22" t="str"/>
    </x:row>
    <x:row r="232">
      <x:c r="A232" s="22" t="str">
        <x:v>2013-00064</x:v>
      </x:c>
      <x:c r="B232" s="22" t="str">
        <x:v>L2025-00012-1</x:v>
      </x:c>
      <x:c r="C232" s="22" t="str">
        <x:v>공사</x:v>
      </x:c>
      <x:c r="D232" s="25" t="str">
        <x:v>볼리비아 고원 지역 농업 기계화 및 농민역량 강화를 통한 생산성 증대 사업 퀴노아 연구센터 차칼라 건립 공사 시공사 선정 현지 입찰</x:v>
      </x:c>
      <x:c r="E232" s="22" t="n">
        <x:v>1</x:v>
      </x:c>
      <x:c r="F232" s="22" t="str">
        <x:v>.docx</x:v>
      </x:c>
      <x:c r="G232" s="25" t="str">
        <x:v>L2025-00012-1/(붙임1-2) 영문입찰계획서_Q-Lab_Chacala_Bid Data Sheet (BDS)_20250502.docx</x:v>
      </x:c>
      <x:c r="H232" s="28" t="n">
        <x:v>275433</x:v>
      </x:c>
      <x:c r="I232" s="22" t="str">
        <x:v>d9f4a817d8bb5bd902d9392e6deddb7c47d0dea2ba433c1d61135dc32a07f765</x:v>
      </x:c>
      <x:c r="J232" s="22" t="n">
        <x:v>0</x:v>
      </x:c>
      <x:c r="K232" s="22" t="n">
        <x:v>0</x:v>
      </x:c>
      <x:c r="L232" s="22" t="n">
        <x:v>0</x:v>
      </x:c>
      <x:c r="M232" s="28" t="n">
        <x:v>0</x:v>
      </x:c>
      <x:c r="N232" s="28" t="n">
        <x:v>0</x:v>
      </x:c>
      <x:c r="O232" s="28" t="n">
        <x:v>0</x:v>
      </x:c>
      <x:c r="P232" s="62" t="n">
        <x:v>0</x:v>
      </x:c>
      <x:c r="Q232" s="22" t="n">
        <x:v>0</x:v>
      </x:c>
      <x:c r="R232" s="22" t="str"/>
      <x:c r="S232" s="22" t="str"/>
      <x:c r="T232" s="22" t="str"/>
    </x:row>
    <x:row r="233">
      <x:c r="A233" s="22" t="str">
        <x:v>2013-00064</x:v>
      </x:c>
      <x:c r="B233" s="22" t="str">
        <x:v>L2025-00012-1</x:v>
      </x:c>
      <x:c r="C233" s="22" t="str">
        <x:v>공사</x:v>
      </x:c>
      <x:c r="D233" s="25" t="str">
        <x:v>볼리비아 고원 지역 농업 기계화 및 농민역량 강화를 통한 생산성 증대 사업 퀴노아 연구센터 차칼라 건립 공사 시공사 선정 현지 입찰</x:v>
      </x:c>
      <x:c r="E233" s="22" t="n">
        <x:v>1</x:v>
      </x:c>
      <x:c r="F233" s="22" t="str">
        <x:v>.zip</x:v>
      </x:c>
      <x:c r="G233" s="25" t="str">
        <x:v>L2025-00012-1/(붙임2) 입찰 관련 부속서류/Q-Lab_Chacala_Bidding Doc/Section 4. Q-Lab_Chacala_BOQ_blanked.zip</x:v>
      </x:c>
      <x:c r="H233" s="28" t="n">
        <x:v>6318089</x:v>
      </x:c>
      <x:c r="I233" s="22" t="str">
        <x:v>bbb312fa07ebbb10f4ea0081e34eb74a3022921057e6f566c67a0b0505a75650</x:v>
      </x:c>
      <x:c r="J233" s="22" t="n">
        <x:v>0</x:v>
      </x:c>
      <x:c r="K233" s="22" t="n">
        <x:v>0</x:v>
      </x:c>
      <x:c r="L233" s="22" t="n">
        <x:v>1</x:v>
      </x:c>
      <x:c r="M233" s="28" t="n">
        <x:v>0</x:v>
      </x:c>
      <x:c r="N233" s="28" t="n">
        <x:v>0</x:v>
      </x:c>
      <x:c r="O233" s="28" t="n">
        <x:v>0</x:v>
      </x:c>
      <x:c r="P233" s="62" t="n">
        <x:v>0</x:v>
      </x:c>
      <x:c r="Q233" s="22" t="n">
        <x:v>0</x:v>
      </x:c>
      <x:c r="R233" s="22" t="str"/>
      <x:c r="S233" s="22" t="str"/>
      <x:c r="T233" s="22" t="str"/>
    </x:row>
    <x:row r="234">
      <x:c r="A234" s="22" t="str">
        <x:v>2013-00064</x:v>
      </x:c>
      <x:c r="B234" s="22" t="str">
        <x:v>L2025-00012-1</x:v>
      </x:c>
      <x:c r="C234" s="22" t="str">
        <x:v>공사</x:v>
      </x:c>
      <x:c r="D234" s="25" t="str">
        <x:v>볼리비아 고원 지역 농업 기계화 및 농민역량 강화를 통한 생산성 증대 사업 퀴노아 연구센터 차칼라 건립 공사 시공사 선정 현지 입찰</x:v>
      </x:c>
      <x:c r="E234" s="22" t="n">
        <x:v>1</x:v>
      </x:c>
      <x:c r="F234" s="22" t="str">
        <x:v>.docx</x:v>
      </x:c>
      <x:c r="G234" s="25" t="str">
        <x:v>L2025-00012-1/(붙임2) 입찰 관련 부속서류/Q-Lab_Chacala_Bidding Doc/Section 2._Q-Lab_Chacala_Bid Data Sheet (BDS)_20250502.docx</x:v>
      </x:c>
      <x:c r="H234" s="28" t="n">
        <x:v>275433</x:v>
      </x:c>
      <x:c r="I234" s="22" t="str">
        <x:v>d9f4a817d8bb5bd902d9392e6deddb7c47d0dea2ba433c1d61135dc32a07f765</x:v>
      </x:c>
      <x:c r="J234" s="22" t="n">
        <x:v>0</x:v>
      </x:c>
      <x:c r="K234" s="22" t="n">
        <x:v>0</x:v>
      </x:c>
      <x:c r="L234" s="22" t="n">
        <x:v>0</x:v>
      </x:c>
      <x:c r="M234" s="28" t="n">
        <x:v>0</x:v>
      </x:c>
      <x:c r="N234" s="28" t="n">
        <x:v>0</x:v>
      </x:c>
      <x:c r="O234" s="28" t="n">
        <x:v>0</x:v>
      </x:c>
      <x:c r="P234" s="62" t="n">
        <x:v>0</x:v>
      </x:c>
      <x:c r="Q234" s="22" t="n">
        <x:v>0</x:v>
      </x:c>
      <x:c r="R234" s="22" t="str"/>
      <x:c r="S234" s="22" t="str"/>
      <x:c r="T234" s="22" t="str"/>
    </x:row>
    <x:row r="235">
      <x:c r="A235" s="22" t="str">
        <x:v>2013-00064</x:v>
      </x:c>
      <x:c r="B235" s="22" t="str">
        <x:v>L2025-00012-1</x:v>
      </x:c>
      <x:c r="C235" s="22" t="str">
        <x:v>공사</x:v>
      </x:c>
      <x:c r="D235" s="25" t="str">
        <x:v>볼리비아 고원 지역 농업 기계화 및 농민역량 강화를 통한 생산성 증대 사업 퀴노아 연구센터 차칼라 건립 공사 시공사 선정 현지 입찰</x:v>
      </x:c>
      <x:c r="E235" s="22" t="n">
        <x:v>1</x:v>
      </x:c>
      <x:c r="F235" s="22" t="str">
        <x:v>.docx</x:v>
      </x:c>
      <x:c r="G235" s="25" t="str">
        <x:v>L2025-00012-1/(붙임2) 입찰 관련 부속서류/Q-Lab_Chacala_Bidding Doc/Section 9. Q-Lab_Chacala_Contract Forms.docx</x:v>
      </x:c>
      <x:c r="H235" s="28" t="n">
        <x:v>40342</x:v>
      </x:c>
      <x:c r="I235" s="22" t="str">
        <x:v>8831da156a61d97c77fd6013d7f118d6e8f21039a0fad8b09829972b68153967</x:v>
      </x:c>
      <x:c r="J235" s="22" t="n">
        <x:v>0</x:v>
      </x:c>
      <x:c r="K235" s="22" t="n">
        <x:v>0</x:v>
      </x:c>
      <x:c r="L235" s="22" t="n">
        <x:v>0</x:v>
      </x:c>
      <x:c r="M235" s="28" t="n">
        <x:v>0</x:v>
      </x:c>
      <x:c r="N235" s="28" t="n">
        <x:v>0</x:v>
      </x:c>
      <x:c r="O235" s="28" t="n">
        <x:v>0</x:v>
      </x:c>
      <x:c r="P235" s="62" t="n">
        <x:v>0</x:v>
      </x:c>
      <x:c r="Q235" s="22" t="n">
        <x:v>0</x:v>
      </x:c>
      <x:c r="R235" s="22" t="str"/>
      <x:c r="S235" s="22" t="str"/>
      <x:c r="T235" s="22" t="str"/>
    </x:row>
    <x:row r="236">
      <x:c r="A236" s="22" t="str">
        <x:v>2013-00064</x:v>
      </x:c>
      <x:c r="B236" s="22" t="str">
        <x:v>L2025-00012-1</x:v>
      </x:c>
      <x:c r="C236" s="22" t="str">
        <x:v>공사</x:v>
      </x:c>
      <x:c r="D236" s="25" t="str">
        <x:v>볼리비아 고원 지역 농업 기계화 및 농민역량 강화를 통한 생산성 증대 사업 퀴노아 연구센터 차칼라 건립 공사 시공사 선정 현지 입찰</x:v>
      </x:c>
      <x:c r="E236" s="22" t="n">
        <x:v>1</x:v>
      </x:c>
      <x:c r="F236" s="22" t="str">
        <x:v>.docx</x:v>
      </x:c>
      <x:c r="G236" s="25" t="str">
        <x:v>L2025-00012-1/(붙임2) 입찰 관련 부속서류/Q-Lab_Chacala_Bidding Doc/Section 7. Q-Lab_Chacala_General Conditions of Contract.docx</x:v>
      </x:c>
      <x:c r="H236" s="28" t="n">
        <x:v>205115</x:v>
      </x:c>
      <x:c r="I236" s="22" t="str">
        <x:v>a8915ac8338a1782bca27405f5a881e97682d816adc491e89bf52abeec082e15</x:v>
      </x:c>
      <x:c r="J236" s="22" t="n">
        <x:v>0</x:v>
      </x:c>
      <x:c r="K236" s="22" t="n">
        <x:v>0</x:v>
      </x:c>
      <x:c r="L236" s="22" t="n">
        <x:v>0</x:v>
      </x:c>
      <x:c r="M236" s="28" t="n">
        <x:v>0</x:v>
      </x:c>
      <x:c r="N236" s="28" t="n">
        <x:v>0</x:v>
      </x:c>
      <x:c r="O236" s="28" t="n">
        <x:v>0</x:v>
      </x:c>
      <x:c r="P236" s="62" t="n">
        <x:v>0</x:v>
      </x:c>
      <x:c r="Q236" s="22" t="n">
        <x:v>0</x:v>
      </x:c>
      <x:c r="R236" s="22" t="str"/>
      <x:c r="S236" s="22" t="str"/>
      <x:c r="T236" s="22" t="str"/>
    </x:row>
    <x:row r="237">
      <x:c r="A237" s="22" t="str">
        <x:v>2013-00064</x:v>
      </x:c>
      <x:c r="B237" s="22" t="str">
        <x:v>L2025-00012-1</x:v>
      </x:c>
      <x:c r="C237" s="22" t="str">
        <x:v>공사</x:v>
      </x:c>
      <x:c r="D237" s="25" t="str">
        <x:v>볼리비아 고원 지역 농업 기계화 및 농민역량 강화를 통한 생산성 증대 사업 퀴노아 연구센터 차칼라 건립 공사 시공사 선정 현지 입찰</x:v>
      </x:c>
      <x:c r="E237" s="22" t="n">
        <x:v>1</x:v>
      </x:c>
      <x:c r="F237" s="22" t="str">
        <x:v>.zip</x:v>
      </x:c>
      <x:c r="G237" s="25" t="str">
        <x:v>L2025-00012-1/(붙임2) 입찰 관련 부속서류/Q-Lab_Chacala_Bidding Doc/Attachment01_Pledges.zip</x:v>
      </x:c>
      <x:c r="H237" s="28" t="n">
        <x:v>69219</x:v>
      </x:c>
      <x:c r="I237" s="22" t="str">
        <x:v>ae5455bbd17f4b15e12b5c6d662237b1467749b68da269a976590a4d5bc8ccd9</x:v>
      </x:c>
      <x:c r="J237" s="22" t="n">
        <x:v>0</x:v>
      </x:c>
      <x:c r="K237" s="22" t="n">
        <x:v>0</x:v>
      </x:c>
      <x:c r="L237" s="22" t="n">
        <x:v>0</x:v>
      </x:c>
      <x:c r="M237" s="28" t="n">
        <x:v>0</x:v>
      </x:c>
      <x:c r="N237" s="28" t="n">
        <x:v>0</x:v>
      </x:c>
      <x:c r="O237" s="28" t="n">
        <x:v>0</x:v>
      </x:c>
      <x:c r="P237" s="62" t="n">
        <x:v>0</x:v>
      </x:c>
      <x:c r="Q237" s="22" t="n">
        <x:v>0</x:v>
      </x:c>
      <x:c r="R237" s="22" t="str"/>
      <x:c r="S237" s="22" t="str"/>
      <x:c r="T237" s="22" t="str"/>
    </x:row>
    <x:row r="238">
      <x:c r="A238" s="22" t="str">
        <x:v>2013-00064</x:v>
      </x:c>
      <x:c r="B238" s="22" t="str">
        <x:v>L2025-00012-1</x:v>
      </x:c>
      <x:c r="C238" s="22" t="str">
        <x:v>공사</x:v>
      </x:c>
      <x:c r="D238" s="25" t="str">
        <x:v>볼리비아 고원 지역 농업 기계화 및 농민역량 강화를 통한 생산성 증대 사업 퀴노아 연구센터 차칼라 건립 공사 시공사 선정 현지 입찰</x:v>
      </x:c>
      <x:c r="E238" s="22" t="n">
        <x:v>1</x:v>
      </x:c>
      <x:c r="F238" s="22" t="str">
        <x:v>.zip</x:v>
      </x:c>
      <x:c r="G238" s="25" t="str">
        <x:v>L2025-00012-1/(붙임2) 입찰 관련 부속서류/Q-Lab_Chacala_Bidding Doc/Attachment02_KOICA Bidding Regulations and Guidelines.zip</x:v>
      </x:c>
      <x:c r="H238" s="28" t="n">
        <x:v>1740841</x:v>
      </x:c>
      <x:c r="I238" s="22" t="str">
        <x:v>756daa3bcbe113f56a9cfbf9054aa7fa5f05eb83e8c1e5d475f1a9d28ed954f4</x:v>
      </x:c>
      <x:c r="J238" s="22" t="n">
        <x:v>0</x:v>
      </x:c>
      <x:c r="K238" s="22" t="n">
        <x:v>0</x:v>
      </x:c>
      <x:c r="L238" s="22" t="n">
        <x:v>0</x:v>
      </x:c>
      <x:c r="M238" s="28" t="n">
        <x:v>0</x:v>
      </x:c>
      <x:c r="N238" s="28" t="n">
        <x:v>0</x:v>
      </x:c>
      <x:c r="O238" s="28" t="n">
        <x:v>0</x:v>
      </x:c>
      <x:c r="P238" s="62" t="n">
        <x:v>0</x:v>
      </x:c>
      <x:c r="Q238" s="22" t="n">
        <x:v>0</x:v>
      </x:c>
      <x:c r="R238" s="22" t="str"/>
      <x:c r="S238" s="22" t="str"/>
      <x:c r="T238" s="22" t="str"/>
    </x:row>
    <x:row r="239">
      <x:c r="A239" s="22" t="str">
        <x:v>2013-00064</x:v>
      </x:c>
      <x:c r="B239" s="22" t="str">
        <x:v>L2025-00012-1</x:v>
      </x:c>
      <x:c r="C239" s="22" t="str">
        <x:v>공사</x:v>
      </x:c>
      <x:c r="D239" s="25" t="str">
        <x:v>볼리비아 고원 지역 농업 기계화 및 농민역량 강화를 통한 생산성 증대 사업 퀴노아 연구센터 차칼라 건립 공사 시공사 선정 현지 입찰</x:v>
      </x:c>
      <x:c r="E239" s="22" t="n">
        <x:v>1</x:v>
      </x:c>
      <x:c r="F239" s="22" t="str">
        <x:v>.docx</x:v>
      </x:c>
      <x:c r="G239" s="25" t="str">
        <x:v>L2025-00012-1/(붙임2) 입찰 관련 부속서류/Q-Lab_Chacala_Bidding Doc/Section 8. Q-Lab_Chacala_Specail Conditions of Contract.docx</x:v>
      </x:c>
      <x:c r="H239" s="28" t="n">
        <x:v>65954</x:v>
      </x:c>
      <x:c r="I239" s="22" t="str">
        <x:v>8e0350eabfef096ac33ec66768eaaa13dbe4c84eb3f7c5e35010eb982817e806</x:v>
      </x:c>
      <x:c r="J239" s="22" t="n">
        <x:v>0</x:v>
      </x:c>
      <x:c r="K239" s="22" t="n">
        <x:v>0</x:v>
      </x:c>
      <x:c r="L239" s="22" t="n">
        <x:v>0</x:v>
      </x:c>
      <x:c r="M239" s="28" t="n">
        <x:v>0</x:v>
      </x:c>
      <x:c r="N239" s="28" t="n">
        <x:v>0</x:v>
      </x:c>
      <x:c r="O239" s="28" t="n">
        <x:v>0</x:v>
      </x:c>
      <x:c r="P239" s="62" t="n">
        <x:v>0</x:v>
      </x:c>
      <x:c r="Q239" s="22" t="n">
        <x:v>0</x:v>
      </x:c>
      <x:c r="R239" s="22" t="str"/>
      <x:c r="S239" s="22" t="str"/>
      <x:c r="T239" s="22" t="str"/>
    </x:row>
    <x:row r="240">
      <x:c r="A240" s="22" t="str">
        <x:v>2013-00064</x:v>
      </x:c>
      <x:c r="B240" s="22" t="str">
        <x:v>L2025-00012-1</x:v>
      </x:c>
      <x:c r="C240" s="22" t="str">
        <x:v>공사</x:v>
      </x:c>
      <x:c r="D240" s="25" t="str">
        <x:v>볼리비아 고원 지역 농업 기계화 및 농민역량 강화를 통한 생산성 증대 사업 퀴노아 연구센터 차칼라 건립 공사 시공사 선정 현지 입찰</x:v>
      </x:c>
      <x:c r="E240" s="22" t="n">
        <x:v>1</x:v>
      </x:c>
      <x:c r="F240" s="22" t="str">
        <x:v>.zip</x:v>
      </x:c>
      <x:c r="G240" s="25" t="str">
        <x:v>L2025-00012-1/(붙임2) 입찰 관련 부속서류/Q-Lab_Chacala_Bidding Doc/Section 6. Q-Lab_Chacala_Q-Lab_Technical Specification.zip</x:v>
      </x:c>
      <x:c r="H240" s="28" t="n">
        <x:v>26806734</x:v>
      </x:c>
      <x:c r="I240" s="22" t="str">
        <x:v>7b8ee21beb91a9b4f9245e195ffba9595ff2c77759640a630d91477ad0878190</x:v>
      </x:c>
      <x:c r="J240" s="22" t="n">
        <x:v>0</x:v>
      </x:c>
      <x:c r="K240" s="22" t="n">
        <x:v>0</x:v>
      </x:c>
      <x:c r="L240" s="22" t="n">
        <x:v>0</x:v>
      </x:c>
      <x:c r="M240" s="28" t="n">
        <x:v>0</x:v>
      </x:c>
      <x:c r="N240" s="28" t="n">
        <x:v>0</x:v>
      </x:c>
      <x:c r="O240" s="28" t="n">
        <x:v>0</x:v>
      </x:c>
      <x:c r="P240" s="62" t="n">
        <x:v>0</x:v>
      </x:c>
      <x:c r="Q240" s="22" t="n">
        <x:v>0</x:v>
      </x:c>
      <x:c r="R240" s="22" t="str"/>
      <x:c r="S240" s="22" t="str"/>
      <x:c r="T240" s="22" t="str"/>
    </x:row>
    <x:row r="241">
      <x:c r="A241" s="22" t="str">
        <x:v>2013-00064</x:v>
      </x:c>
      <x:c r="B241" s="22" t="str">
        <x:v>L2025-00012-1</x:v>
      </x:c>
      <x:c r="C241" s="22" t="str">
        <x:v>공사</x:v>
      </x:c>
      <x:c r="D241" s="25" t="str">
        <x:v>볼리비아 고원 지역 농업 기계화 및 농민역량 강화를 통한 생산성 증대 사업 퀴노아 연구센터 차칼라 건립 공사 시공사 선정 현지 입찰</x:v>
      </x:c>
      <x:c r="E241" s="22" t="n">
        <x:v>1</x:v>
      </x:c>
      <x:c r="F241" s="22" t="str">
        <x:v>.docx</x:v>
      </x:c>
      <x:c r="G241" s="25" t="str">
        <x:v>L2025-00012-1/(붙임2) 입찰 관련 부속서류/Q-Lab_Chacala_Bidding Doc/Section 3. Q-Lab_Chacala_Bidding Forms.docx</x:v>
      </x:c>
      <x:c r="H241" s="28" t="n">
        <x:v>51086</x:v>
      </x:c>
      <x:c r="I241" s="22" t="str">
        <x:v>4b488c40ce9e1c090374026a6f228c2e3ce8d299b0e2411a6584452f5ab0992c</x:v>
      </x:c>
      <x:c r="J241" s="22" t="n">
        <x:v>0</x:v>
      </x:c>
      <x:c r="K241" s="22" t="n">
        <x:v>0</x:v>
      </x:c>
      <x:c r="L241" s="22" t="n">
        <x:v>0</x:v>
      </x:c>
      <x:c r="M241" s="28" t="n">
        <x:v>0</x:v>
      </x:c>
      <x:c r="N241" s="28" t="n">
        <x:v>0</x:v>
      </x:c>
      <x:c r="O241" s="28" t="n">
        <x:v>0</x:v>
      </x:c>
      <x:c r="P241" s="62" t="n">
        <x:v>0</x:v>
      </x:c>
      <x:c r="Q241" s="22" t="n">
        <x:v>0</x:v>
      </x:c>
      <x:c r="R241" s="22" t="str"/>
      <x:c r="S241" s="22" t="str"/>
      <x:c r="T241" s="22" t="str"/>
    </x:row>
    <x:row r="242">
      <x:c r="A242" s="22" t="str">
        <x:v>2013-00064</x:v>
      </x:c>
      <x:c r="B242" s="22" t="str">
        <x:v>L2025-00012-1</x:v>
      </x:c>
      <x:c r="C242" s="22" t="str">
        <x:v>공사</x:v>
      </x:c>
      <x:c r="D242" s="25" t="str">
        <x:v>볼리비아 고원 지역 농업 기계화 및 농민역량 강화를 통한 생산성 증대 사업 퀴노아 연구센터 차칼라 건립 공사 시공사 선정 현지 입찰</x:v>
      </x:c>
      <x:c r="E242" s="22" t="n">
        <x:v>1</x:v>
      </x:c>
      <x:c r="F242" s="22" t="str">
        <x:v>.docx</x:v>
      </x:c>
      <x:c r="G242" s="25" t="str">
        <x:v>L2025-00012-1/(붙임2) 입찰 관련 부속서류/Q-Lab_Chacala_Bidding Doc/Section 1. Q-Lab_Chacala_Instructions to Bidders (ITB).docx</x:v>
      </x:c>
      <x:c r="H242" s="28" t="n">
        <x:v>36085</x:v>
      </x:c>
      <x:c r="I242" s="22" t="str">
        <x:v>633227b8ec92b28ca32d0746a92f86110a6232633c03b9ac411ed91937fa9ade</x:v>
      </x:c>
      <x:c r="J242" s="22" t="n">
        <x:v>0</x:v>
      </x:c>
      <x:c r="K242" s="22" t="n">
        <x:v>0</x:v>
      </x:c>
      <x:c r="L242" s="22" t="n">
        <x:v>0</x:v>
      </x:c>
      <x:c r="M242" s="28" t="n">
        <x:v>0</x:v>
      </x:c>
      <x:c r="N242" s="28" t="n">
        <x:v>0</x:v>
      </x:c>
      <x:c r="O242" s="28" t="n">
        <x:v>0</x:v>
      </x:c>
      <x:c r="P242" s="62" t="n">
        <x:v>0</x:v>
      </x:c>
      <x:c r="Q242" s="22" t="n">
        <x:v>0</x:v>
      </x:c>
      <x:c r="R242" s="22" t="str"/>
      <x:c r="S242" s="22" t="str"/>
      <x:c r="T242" s="22" t="str"/>
    </x:row>
    <x:row r="243">
      <x:c r="A243" s="22" t="str">
        <x:v>2013-00064</x:v>
      </x:c>
      <x:c r="B243" s="22" t="str">
        <x:v>L2025-00012-1</x:v>
      </x:c>
      <x:c r="C243" s="22" t="str">
        <x:v>공사</x:v>
      </x:c>
      <x:c r="D243" s="25" t="str">
        <x:v>볼리비아 고원 지역 농업 기계화 및 농민역량 강화를 통한 생산성 증대 사업 퀴노아 연구센터 차칼라 건립 공사 시공사 선정 현지 입찰</x:v>
      </x:c>
      <x:c r="E243" s="22" t="n">
        <x:v>1</x:v>
      </x:c>
      <x:c r="F243" s="22" t="str">
        <x:v>.zip</x:v>
      </x:c>
      <x:c r="G243" s="25" t="str">
        <x:v>L2025-00012-1/(붙임2) 입찰 관련 부속서류/Q-Lab_Chacala_Bidding Doc/Section 5. Q-Lab_Chacala_Q-Lab_DWG.zip</x:v>
      </x:c>
      <x:c r="H243" s="28" t="n">
        <x:v>12315238</x:v>
      </x:c>
      <x:c r="I243" s="22" t="str">
        <x:v>3f59014a7dcf95480a45ef539e6a959901a8adad13df2d9916c49de8664cefed</x:v>
      </x:c>
      <x:c r="J243" s="22" t="n">
        <x:v>0</x:v>
      </x:c>
      <x:c r="K243" s="22" t="n">
        <x:v>0</x:v>
      </x:c>
      <x:c r="L243" s="22" t="n">
        <x:v>0</x:v>
      </x:c>
      <x:c r="M243" s="28" t="n">
        <x:v>0</x:v>
      </x:c>
      <x:c r="N243" s="28" t="n">
        <x:v>0</x:v>
      </x:c>
      <x:c r="O243" s="28" t="n">
        <x:v>0</x:v>
      </x:c>
      <x:c r="P243" s="62" t="n">
        <x:v>0</x:v>
      </x:c>
      <x:c r="Q243" s="22" t="n">
        <x:v>0</x:v>
      </x:c>
      <x:c r="R243" s="22" t="str"/>
      <x:c r="S243" s="22" t="str"/>
      <x:c r="T243" s="22" t="str"/>
    </x:row>
    <x:row r="244">
      <x:c r="A244" s="22" t="str">
        <x:v>2013-00064</x:v>
      </x:c>
      <x:c r="B244" s="22" t="str">
        <x:v>L2025-00012-1</x:v>
      </x:c>
      <x:c r="C244" s="22" t="str">
        <x:v>공사</x:v>
      </x:c>
      <x:c r="D244" s="25" t="str">
        <x:v>볼리비아 고원 지역 농업 기계화 및 농민역량 강화를 통한 생산성 증대 사업 퀴노아 연구센터 차칼라 건립 공사 시공사 선정 현지 입찰</x:v>
      </x:c>
      <x:c r="E244" s="22" t="n">
        <x:v>1</x:v>
      </x:c>
      <x:c r="F244" s="22" t="str">
        <x:v>.xls</x:v>
      </x:c>
      <x:c r="G244" s="25" t="str">
        <x:v>L2025-00012-1/(붙임2) 입찰 관련 부속서류/Q-Lab_Chacala_Bidding Doc/Section 4. Q-Lab_Chacala_BOQ_blanked/G LAND SCAPE.xls</x:v>
      </x:c>
      <x:c r="H244" s="28" t="n">
        <x:v>1558528</x:v>
      </x:c>
      <x:c r="I244" s="22" t="str">
        <x:v>ece87bec3c596a52b49808e23eaf8b7452691f478f3458db783f7a5925cc41dc</x:v>
      </x:c>
      <x:c r="J244" s="22" t="n">
        <x:v>0</x:v>
      </x:c>
      <x:c r="K244" s="22" t="n">
        <x:v>0</x:v>
      </x:c>
      <x:c r="L244" s="22" t="n">
        <x:v>1</x:v>
      </x:c>
      <x:c r="M244" s="28" t="n">
        <x:v>0</x:v>
      </x:c>
      <x:c r="N244" s="28" t="n">
        <x:v>0</x:v>
      </x:c>
      <x:c r="O244" s="28" t="n">
        <x:v>0</x:v>
      </x:c>
      <x:c r="P244" s="62" t="n">
        <x:v>0</x:v>
      </x:c>
      <x:c r="Q244" s="22" t="n">
        <x:v>0</x:v>
      </x:c>
      <x:c r="R244" s="22" t="str"/>
      <x:c r="S244" s="22" t="str"/>
      <x:c r="T244" s="22" t="str"/>
    </x:row>
    <x:row r="245">
      <x:c r="A245" s="22" t="str">
        <x:v>2013-00064</x:v>
      </x:c>
      <x:c r="B245" s="22" t="str">
        <x:v>L2025-00012-1</x:v>
      </x:c>
      <x:c r="C245" s="22" t="str">
        <x:v>공사</x:v>
      </x:c>
      <x:c r="D245" s="25" t="str">
        <x:v>볼리비아 고원 지역 농업 기계화 및 농민역량 강화를 통한 생산성 증대 사업 퀴노아 연구센터 차칼라 건립 공사 시공사 선정 현지 입찰</x:v>
      </x:c>
      <x:c r="E245" s="22" t="n">
        <x:v>1</x:v>
      </x:c>
      <x:c r="F245" s="22" t="str">
        <x:v>.xls</x:v>
      </x:c>
      <x:c r="G245" s="25" t="str">
        <x:v>L2025-00012-1/(붙임2) 입찰 관련 부속서류/Q-Lab_Chacala_Bidding Doc/Section 4. Q-Lab_Chacala_BOQ_blanked/A3 EM STRUCTURE.xls</x:v>
      </x:c>
      <x:c r="H245" s="28" t="n">
        <x:v>1427456</x:v>
      </x:c>
      <x:c r="I245" s="22" t="str">
        <x:v>be4eb3ffac3c73f6eaf90474e2eddf0a2ffa149db63a257d36852c3adf6f913f</x:v>
      </x:c>
      <x:c r="J245" s="22" t="n">
        <x:v>0</x:v>
      </x:c>
      <x:c r="K245" s="22" t="n">
        <x:v>0</x:v>
      </x:c>
      <x:c r="L245" s="22" t="n">
        <x:v>1</x:v>
      </x:c>
      <x:c r="M245" s="28" t="n">
        <x:v>0</x:v>
      </x:c>
      <x:c r="N245" s="28" t="n">
        <x:v>0</x:v>
      </x:c>
      <x:c r="O245" s="28" t="n">
        <x:v>0</x:v>
      </x:c>
      <x:c r="P245" s="62" t="n">
        <x:v>0</x:v>
      </x:c>
      <x:c r="Q245" s="22" t="n">
        <x:v>0</x:v>
      </x:c>
      <x:c r="R245" s="22" t="str"/>
      <x:c r="S245" s="22" t="str"/>
      <x:c r="T245" s="22" t="str"/>
    </x:row>
    <x:row r="246">
      <x:c r="A246" s="22" t="str">
        <x:v>2013-00064</x:v>
      </x:c>
      <x:c r="B246" s="22" t="str">
        <x:v>L2025-00012-1</x:v>
      </x:c>
      <x:c r="C246" s="22" t="str">
        <x:v>공사</x:v>
      </x:c>
      <x:c r="D246" s="25" t="str">
        <x:v>볼리비아 고원 지역 농업 기계화 및 농민역량 강화를 통한 생산성 증대 사업 퀴노아 연구센터 차칼라 건립 공사 시공사 선정 현지 입찰</x:v>
      </x:c>
      <x:c r="E246" s="22" t="n">
        <x:v>1</x:v>
      </x:c>
      <x:c r="F246" s="22" t="str">
        <x:v>.xlsx</x:v>
      </x:c>
      <x:c r="G246" s="25" t="str">
        <x:v>L2025-00012-1/(붙임2) 입찰 관련 부속서류/Q-Lab_Chacala_Bidding Doc/Section 4. Q-Lab_Chacala_BOQ_blanked/F HYDRO SANITARY SYSTEM.xlsx</x:v>
      </x:c>
      <x:c r="H246" s="28" t="n">
        <x:v>2229362</x:v>
      </x:c>
      <x:c r="I246" s="22" t="str">
        <x:v>6b11639d6fabaaa1823187ee5ba99fb4622ca894447107d8a88e8e14f09fefc9</x:v>
      </x:c>
      <x:c r="J246" s="22" t="n">
        <x:v>0</x:v>
      </x:c>
      <x:c r="K246" s="22" t="n">
        <x:v>0</x:v>
      </x:c>
      <x:c r="L246" s="22" t="n">
        <x:v>1</x:v>
      </x:c>
      <x:c r="M246" s="28" t="n">
        <x:v>2</x:v>
      </x:c>
      <x:c r="N246" s="28" t="n">
        <x:v>191</x:v>
      </x:c>
      <x:c r="O246" s="28" t="n">
        <x:v>0</x:v>
      </x:c>
      <x:c r="P246" s="62" t="n">
        <x:v>0</x:v>
      </x:c>
      <x:c r="Q246" s="22" t="n">
        <x:v>0</x:v>
      </x:c>
      <x:c r="R246" s="22" t="str">
        <x:v>Computos Métricos Quinoa</x:v>
      </x:c>
      <x:c r="S246" s="22" t="str">
        <x:v>visible</x:v>
      </x:c>
      <x:c r="T246" s="22" t="str"/>
    </x:row>
    <x:row r="247">
      <x:c r="A247" s="22" t="str">
        <x:v>2013-00064</x:v>
      </x:c>
      <x:c r="B247" s="22" t="str">
        <x:v>L2025-00012-1</x:v>
      </x:c>
      <x:c r="C247" s="22" t="str">
        <x:v>공사</x:v>
      </x:c>
      <x:c r="D247" s="25" t="str">
        <x:v>볼리비아 고원 지역 농업 기계화 및 농민역량 강화를 통한 생산성 증대 사업 퀴노아 연구센터 차칼라 건립 공사 시공사 선정 현지 입찰</x:v>
      </x:c>
      <x:c r="E247" s="22" t="n">
        <x:v>1</x:v>
      </x:c>
      <x:c r="F247" s="22" t="str">
        <x:v>.xlsx</x:v>
      </x:c>
      <x:c r="G247" s="25" t="str">
        <x:v>L2025-00012-1/(붙임2) 입찰 관련 부속서류/Q-Lab_Chacala_Bidding Doc/Section 4. Q-Lab_Chacala_BOQ_blanked/A1 ARCHITECTURE CHACALA.xlsx</x:v>
      </x:c>
      <x:c r="H247" s="28" t="n">
        <x:v>779128</x:v>
      </x:c>
      <x:c r="I247" s="22" t="str">
        <x:v>73623a71fe2a23883e5a998378b9fe9efc5451758aa4e066764c5555dda545a2</x:v>
      </x:c>
      <x:c r="J247" s="22" t="n">
        <x:v>0</x:v>
      </x:c>
      <x:c r="K247" s="22" t="n">
        <x:v>0</x:v>
      </x:c>
      <x:c r="L247" s="22" t="n">
        <x:v>1</x:v>
      </x:c>
      <x:c r="M247" s="28" t="n">
        <x:v>1</x:v>
      </x:c>
      <x:c r="N247" s="28" t="n">
        <x:v>28</x:v>
      </x:c>
      <x:c r="O247" s="28" t="n">
        <x:v>0</x:v>
      </x:c>
      <x:c r="P247" s="62" t="n">
        <x:v>0</x:v>
      </x:c>
      <x:c r="Q247" s="22" t="n">
        <x:v>0</x:v>
      </x:c>
      <x:c r="R247" s="22" t="str">
        <x:v>PPTO-8 CHACALA</x:v>
      </x:c>
      <x:c r="S247" s="22" t="str">
        <x:v>visible</x:v>
      </x:c>
      <x:c r="T247" s="22" t="str"/>
    </x:row>
    <x:row r="248">
      <x:c r="A248" s="22" t="str">
        <x:v>2013-00064</x:v>
      </x:c>
      <x:c r="B248" s="22" t="str">
        <x:v>L2025-00012-1</x:v>
      </x:c>
      <x:c r="C248" s="22" t="str">
        <x:v>공사</x:v>
      </x:c>
      <x:c r="D248" s="25" t="str">
        <x:v>볼리비아 고원 지역 농업 기계화 및 농민역량 강화를 통한 생산성 증대 사업 퀴노아 연구센터 차칼라 건립 공사 시공사 선정 현지 입찰</x:v>
      </x:c>
      <x:c r="E248" s="22" t="n">
        <x:v>1</x:v>
      </x:c>
      <x:c r="F248" s="22" t="str">
        <x:v>.xlsx</x:v>
      </x:c>
      <x:c r="G248" s="25" t="str">
        <x:v>L2025-00012-1/(붙임2) 입찰 관련 부속서류/Q-Lab_Chacala_Bidding Doc/Section 4. Q-Lab_Chacala_BOQ_blanked/B ELECTRIC SYSTEM.xlsx</x:v>
      </x:c>
      <x:c r="H248" s="28" t="n">
        <x:v>109607</x:v>
      </x:c>
      <x:c r="I248" s="22" t="str">
        <x:v>bc94e7a90dea8f9eecbdcfcf1792adf3d6d226fcfbf55c2e1a88c9df8fb25de3</x:v>
      </x:c>
      <x:c r="J248" s="22" t="n">
        <x:v>0</x:v>
      </x:c>
      <x:c r="K248" s="22" t="n">
        <x:v>0</x:v>
      </x:c>
      <x:c r="L248" s="22" t="n">
        <x:v>1</x:v>
      </x:c>
      <x:c r="M248" s="28" t="n">
        <x:v>6</x:v>
      </x:c>
      <x:c r="N248" s="28" t="n">
        <x:v>18</x:v>
      </x:c>
      <x:c r="O248" s="28" t="n">
        <x:v>0</x:v>
      </x:c>
      <x:c r="P248" s="62" t="n">
        <x:v>0</x:v>
      </x:c>
      <x:c r="Q248" s="22" t="n">
        <x:v>0</x:v>
      </x:c>
      <x:c r="R248" s="22" t="str">
        <x:v>TDG-H</x:v>
      </x:c>
      <x:c r="S248" s="22" t="str">
        <x:v>visible</x:v>
      </x:c>
      <x:c r="T248" s="22" t="str"/>
    </x:row>
    <x:row r="249">
      <x:c r="A249" s="22" t="str">
        <x:v>2013-00064</x:v>
      </x:c>
      <x:c r="B249" s="22" t="str">
        <x:v>L2025-00012-1</x:v>
      </x:c>
      <x:c r="C249" s="22" t="str">
        <x:v>공사</x:v>
      </x:c>
      <x:c r="D249" s="25" t="str">
        <x:v>볼리비아 고원 지역 농업 기계화 및 농민역량 강화를 통한 생산성 증대 사업 퀴노아 연구센터 차칼라 건립 공사 시공사 선정 현지 입찰</x:v>
      </x:c>
      <x:c r="E249" s="22" t="n">
        <x:v>1</x:v>
      </x:c>
      <x:c r="F249" s="22" t="str">
        <x:v>.xls</x:v>
      </x:c>
      <x:c r="G249" s="25" t="str">
        <x:v>L2025-00012-1/(붙임2) 입찰 관련 부속서류/Q-Lab_Chacala_Bidding Doc/Section 4. Q-Lab_Chacala_BOQ_blanked/A2 HA STRUCTURE.xls</x:v>
      </x:c>
      <x:c r="H249" s="28" t="n">
        <x:v>1555456</x:v>
      </x:c>
      <x:c r="I249" s="22" t="str">
        <x:v>335205a7ceb9965c6a3103b7052311eb56ae166668d1280f0de1e9c5d3686807</x:v>
      </x:c>
      <x:c r="J249" s="22" t="n">
        <x:v>0</x:v>
      </x:c>
      <x:c r="K249" s="22" t="n">
        <x:v>0</x:v>
      </x:c>
      <x:c r="L249" s="22" t="n">
        <x:v>1</x:v>
      </x:c>
      <x:c r="M249" s="28" t="n">
        <x:v>0</x:v>
      </x:c>
      <x:c r="N249" s="28" t="n">
        <x:v>0</x:v>
      </x:c>
      <x:c r="O249" s="28" t="n">
        <x:v>0</x:v>
      </x:c>
      <x:c r="P249" s="62" t="n">
        <x:v>0</x:v>
      </x:c>
      <x:c r="Q249" s="22" t="n">
        <x:v>0</x:v>
      </x:c>
      <x:c r="R249" s="22" t="str"/>
      <x:c r="S249" s="22" t="str"/>
      <x:c r="T249" s="22" t="str"/>
    </x:row>
    <x:row r="250">
      <x:c r="A250" s="22" t="str">
        <x:v>2013-00064</x:v>
      </x:c>
      <x:c r="B250" s="22" t="str">
        <x:v>L2025-00012-1</x:v>
      </x:c>
      <x:c r="C250" s="22" t="str">
        <x:v>공사</x:v>
      </x:c>
      <x:c r="D250" s="25" t="str">
        <x:v>볼리비아 고원 지역 농업 기계화 및 농민역량 강화를 통한 생산성 증대 사업 퀴노아 연구센터 차칼라 건립 공사 시공사 선정 현지 입찰</x:v>
      </x:c>
      <x:c r="E250" s="22" t="n">
        <x:v>1</x:v>
      </x:c>
      <x:c r="F250" s="22" t="str">
        <x:v>.pdf</x:v>
      </x:c>
      <x:c r="G250" s="25" t="str">
        <x:v>L2025-00012-1/(붙임2) 입찰 관련 부속서류/Q-Lab_Chacala_Bidding Doc/Section 5. Q-Lab_Chacala_Q-Lab_DWG/00_CHACALA_Arch.pdf</x:v>
      </x:c>
      <x:c r="H250" s="28" t="n">
        <x:v>8833442</x:v>
      </x:c>
      <x:c r="I250" s="22" t="str">
        <x:v>c5b9235c22c14a6a02a119f9421ad5895b9a97c4d2185b0ebf8c3b12b9b378a9</x:v>
      </x:c>
      <x:c r="J250" s="22" t="n">
        <x:v>0</x:v>
      </x:c>
      <x:c r="K250" s="22" t="n">
        <x:v>0</x:v>
      </x:c>
      <x:c r="L250" s="22" t="n">
        <x:v>0</x:v>
      </x:c>
      <x:c r="M250" s="28" t="n">
        <x:v>0</x:v>
      </x:c>
      <x:c r="N250" s="28" t="n">
        <x:v>0</x:v>
      </x:c>
      <x:c r="O250" s="28" t="n">
        <x:v>0</x:v>
      </x:c>
      <x:c r="P250" s="62" t="n">
        <x:v>0</x:v>
      </x:c>
      <x:c r="Q250" s="22" t="n">
        <x:v>0</x:v>
      </x:c>
      <x:c r="R250" s="22" t="str"/>
      <x:c r="S250" s="22" t="str"/>
      <x:c r="T250" s="22" t="str"/>
    </x:row>
    <x:row r="251">
      <x:c r="A251" s="22" t="str">
        <x:v>2013-00064</x:v>
      </x:c>
      <x:c r="B251" s="22" t="str">
        <x:v>L2025-00012-1</x:v>
      </x:c>
      <x:c r="C251" s="22" t="str">
        <x:v>공사</x:v>
      </x:c>
      <x:c r="D251" s="25" t="str">
        <x:v>볼리비아 고원 지역 농업 기계화 및 농민역량 강화를 통한 생산성 증대 사업 퀴노아 연구센터 차칼라 건립 공사 시공사 선정 현지 입찰</x:v>
      </x:c>
      <x:c r="E251" s="22" t="n">
        <x:v>1</x:v>
      </x:c>
      <x:c r="F251" s="22" t="str">
        <x:v>.pdf</x:v>
      </x:c>
      <x:c r="G251" s="25" t="str">
        <x:v>L2025-00012-1/(붙임2) 입찰 관련 부속서류/Q-Lab_Chacala_Bidding Doc/Section 5. Q-Lab_Chacala_Q-Lab_DWG/05_SINGAGE CHACALA.pdf</x:v>
      </x:c>
      <x:c r="H251" s="28" t="n">
        <x:v>859476</x:v>
      </x:c>
      <x:c r="I251" s="22" t="str">
        <x:v>485d8e1ab9c5a443455fea02da0e808e2119bf2b54ebbc77920b901d9ea350d8</x:v>
      </x:c>
      <x:c r="J251" s="22" t="n">
        <x:v>0</x:v>
      </x:c>
      <x:c r="K251" s="22" t="n">
        <x:v>0</x:v>
      </x:c>
      <x:c r="L251" s="22" t="n">
        <x:v>0</x:v>
      </x:c>
      <x:c r="M251" s="28" t="n">
        <x:v>0</x:v>
      </x:c>
      <x:c r="N251" s="28" t="n">
        <x:v>0</x:v>
      </x:c>
      <x:c r="O251" s="28" t="n">
        <x:v>0</x:v>
      </x:c>
      <x:c r="P251" s="62" t="n">
        <x:v>0</x:v>
      </x:c>
      <x:c r="Q251" s="22" t="n">
        <x:v>0</x:v>
      </x:c>
      <x:c r="R251" s="22" t="str"/>
      <x:c r="S251" s="22" t="str"/>
      <x:c r="T251" s="22" t="str"/>
    </x:row>
    <x:row r="252">
      <x:c r="A252" s="22" t="str">
        <x:v>2013-00064</x:v>
      </x:c>
      <x:c r="B252" s="22" t="str">
        <x:v>L2025-00012-1</x:v>
      </x:c>
      <x:c r="C252" s="22" t="str">
        <x:v>공사</x:v>
      </x:c>
      <x:c r="D252" s="25" t="str">
        <x:v>볼리비아 고원 지역 농업 기계화 및 농민역량 강화를 통한 생산성 증대 사업 퀴노아 연구센터 차칼라 건립 공사 시공사 선정 현지 입찰</x:v>
      </x:c>
      <x:c r="E252" s="22" t="n">
        <x:v>1</x:v>
      </x:c>
      <x:c r="F252" s="22" t="str">
        <x:v>.pdf</x:v>
      </x:c>
      <x:c r="G252" s="25" t="str">
        <x:v>L2025-00012-1/(붙임2) 입찰 관련 부속서류/Q-Lab_Chacala_Bidding Doc/Section 5. Q-Lab_Chacala_Q-Lab_DWG/04_CHACALA_SA.pdf</x:v>
      </x:c>
      <x:c r="H252" s="28" t="n">
        <x:v>340063</x:v>
      </x:c>
      <x:c r="I252" s="22" t="str">
        <x:v>5fd1829bad637fc210016c4ded96ccf84430f2e7dbd2da814c1962af29a12f5b</x:v>
      </x:c>
      <x:c r="J252" s="22" t="n">
        <x:v>0</x:v>
      </x:c>
      <x:c r="K252" s="22" t="n">
        <x:v>0</x:v>
      </x:c>
      <x:c r="L252" s="22" t="n">
        <x:v>0</x:v>
      </x:c>
      <x:c r="M252" s="28" t="n">
        <x:v>0</x:v>
      </x:c>
      <x:c r="N252" s="28" t="n">
        <x:v>0</x:v>
      </x:c>
      <x:c r="O252" s="28" t="n">
        <x:v>0</x:v>
      </x:c>
      <x:c r="P252" s="62" t="n">
        <x:v>0</x:v>
      </x:c>
      <x:c r="Q252" s="22" t="n">
        <x:v>0</x:v>
      </x:c>
      <x:c r="R252" s="22" t="str"/>
      <x:c r="S252" s="22" t="str"/>
      <x:c r="T252" s="22" t="str"/>
    </x:row>
    <x:row r="253">
      <x:c r="A253" s="22" t="str">
        <x:v>2013-00064</x:v>
      </x:c>
      <x:c r="B253" s="22" t="str">
        <x:v>L2025-00012-1</x:v>
      </x:c>
      <x:c r="C253" s="22" t="str">
        <x:v>공사</x:v>
      </x:c>
      <x:c r="D253" s="25" t="str">
        <x:v>볼리비아 고원 지역 농업 기계화 및 농민역량 강화를 통한 생산성 증대 사업 퀴노아 연구센터 차칼라 건립 공사 시공사 선정 현지 입찰</x:v>
      </x:c>
      <x:c r="E253" s="22" t="n">
        <x:v>1</x:v>
      </x:c>
      <x:c r="F253" s="22" t="str">
        <x:v>.pdf</x:v>
      </x:c>
      <x:c r="G253" s="25" t="str">
        <x:v>L2025-00012-1/(붙임2) 입찰 관련 부속서류/Q-Lab_Chacala_Bidding Doc/Section 5. Q-Lab_Chacala_Q-Lab_DWG/03_CHACALA_EL.pdf</x:v>
      </x:c>
      <x:c r="H253" s="28" t="n">
        <x:v>893587</x:v>
      </x:c>
      <x:c r="I253" s="22" t="str">
        <x:v>49eca2eb931e7649abdac9ec2463dec9f4e45296facc5b3d1cca857ef197ce70</x:v>
      </x:c>
      <x:c r="J253" s="22" t="n">
        <x:v>0</x:v>
      </x:c>
      <x:c r="K253" s="22" t="n">
        <x:v>0</x:v>
      </x:c>
      <x:c r="L253" s="22" t="n">
        <x:v>0</x:v>
      </x:c>
      <x:c r="M253" s="28" t="n">
        <x:v>0</x:v>
      </x:c>
      <x:c r="N253" s="28" t="n">
        <x:v>0</x:v>
      </x:c>
      <x:c r="O253" s="28" t="n">
        <x:v>0</x:v>
      </x:c>
      <x:c r="P253" s="62" t="n">
        <x:v>0</x:v>
      </x:c>
      <x:c r="Q253" s="22" t="n">
        <x:v>0</x:v>
      </x:c>
      <x:c r="R253" s="22" t="str"/>
      <x:c r="S253" s="22" t="str"/>
      <x:c r="T253" s="22" t="str"/>
    </x:row>
    <x:row r="254">
      <x:c r="A254" s="22" t="str">
        <x:v>2013-00064</x:v>
      </x:c>
      <x:c r="B254" s="22" t="str">
        <x:v>L2025-00012-1</x:v>
      </x:c>
      <x:c r="C254" s="22" t="str">
        <x:v>공사</x:v>
      </x:c>
      <x:c r="D254" s="25" t="str">
        <x:v>볼리비아 고원 지역 농업 기계화 및 농민역량 강화를 통한 생산성 증대 사업 퀴노아 연구센터 차칼라 건립 공사 시공사 선정 현지 입찰</x:v>
      </x:c>
      <x:c r="E254" s="22" t="n">
        <x:v>1</x:v>
      </x:c>
      <x:c r="F254" s="22" t="str">
        <x:v>.pdf</x:v>
      </x:c>
      <x:c r="G254" s="25" t="str">
        <x:v>L2025-00012-1/(붙임2) 입찰 관련 부속서류/Q-Lab_Chacala_Bidding Doc/Section 5. Q-Lab_Chacala_Q-Lab_DWG/02_CHACALA_MS.pdf</x:v>
      </x:c>
      <x:c r="H254" s="28" t="n">
        <x:v>887242</x:v>
      </x:c>
      <x:c r="I254" s="22" t="str">
        <x:v>d28047c67a1d72e4d283ff69b6d9c6a12ff9953c6188ec8b53b77a1a0523862f</x:v>
      </x:c>
      <x:c r="J254" s="22" t="n">
        <x:v>0</x:v>
      </x:c>
      <x:c r="K254" s="22" t="n">
        <x:v>0</x:v>
      </x:c>
      <x:c r="L254" s="22" t="n">
        <x:v>0</x:v>
      </x:c>
      <x:c r="M254" s="28" t="n">
        <x:v>0</x:v>
      </x:c>
      <x:c r="N254" s="28" t="n">
        <x:v>0</x:v>
      </x:c>
      <x:c r="O254" s="28" t="n">
        <x:v>0</x:v>
      </x:c>
      <x:c r="P254" s="62" t="n">
        <x:v>0</x:v>
      </x:c>
      <x:c r="Q254" s="22" t="n">
        <x:v>0</x:v>
      </x:c>
      <x:c r="R254" s="22" t="str"/>
      <x:c r="S254" s="22" t="str"/>
      <x:c r="T254" s="22" t="str"/>
    </x:row>
    <x:row r="255">
      <x:c r="A255" s="22" t="str">
        <x:v>2013-00064</x:v>
      </x:c>
      <x:c r="B255" s="22" t="str">
        <x:v>L2025-00012-1</x:v>
      </x:c>
      <x:c r="C255" s="22" t="str">
        <x:v>공사</x:v>
      </x:c>
      <x:c r="D255" s="25" t="str">
        <x:v>볼리비아 고원 지역 농업 기계화 및 농민역량 강화를 통한 생산성 증대 사업 퀴노아 연구센터 차칼라 건립 공사 시공사 선정 현지 입찰</x:v>
      </x:c>
      <x:c r="E255" s="22" t="n">
        <x:v>1</x:v>
      </x:c>
      <x:c r="F255" s="22" t="str">
        <x:v>.pdf</x:v>
      </x:c>
      <x:c r="G255" s="25" t="str">
        <x:v>L2025-00012-1/(붙임2) 입찰 관련 부속서류/Q-Lab_Chacala_Bidding Doc/Section 5. Q-Lab_Chacala_Q-Lab_DWG/01_CHACALA_RC.pdf</x:v>
      </x:c>
      <x:c r="H255" s="28" t="n">
        <x:v>1136288</x:v>
      </x:c>
      <x:c r="I255" s="22" t="str">
        <x:v>90d89870afc46bb24a03d795b1af9be46f3e6f8b9b6dde6fe6f1eb184062d114</x:v>
      </x:c>
      <x:c r="J255" s="22" t="n">
        <x:v>0</x:v>
      </x:c>
      <x:c r="K255" s="22" t="n">
        <x:v>0</x:v>
      </x:c>
      <x:c r="L255" s="22" t="n">
        <x:v>0</x:v>
      </x:c>
      <x:c r="M255" s="28" t="n">
        <x:v>0</x:v>
      </x:c>
      <x:c r="N255" s="28" t="n">
        <x:v>0</x:v>
      </x:c>
      <x:c r="O255" s="28" t="n">
        <x:v>0</x:v>
      </x:c>
      <x:c r="P255" s="62" t="n">
        <x:v>0</x:v>
      </x:c>
      <x:c r="Q255" s="22" t="n">
        <x:v>0</x:v>
      </x:c>
      <x:c r="R255" s="22" t="str"/>
      <x:c r="S255" s="22" t="str"/>
      <x:c r="T255" s="22" t="str"/>
    </x:row>
    <x:row r="256">
      <x:c r="A256" s="22" t="str">
        <x:v>2013-00064</x:v>
      </x:c>
      <x:c r="B256" s="22" t="str">
        <x:v>L2025-00012-1</x:v>
      </x:c>
      <x:c r="C256" s="22" t="str">
        <x:v>공사</x:v>
      </x:c>
      <x:c r="D256" s="25" t="str">
        <x:v>볼리비아 고원 지역 농업 기계화 및 농민역량 강화를 통한 생산성 증대 사업 퀴노아 연구센터 차칼라 건립 공사 시공사 선정 현지 입찰</x:v>
      </x:c>
      <x:c r="E256" s="22" t="n">
        <x:v>1</x:v>
      </x:c>
      <x:c r="F256" s="22" t="str">
        <x:v>.pdf</x:v>
      </x:c>
      <x:c r="G256" s="25" t="str">
        <x:v>L2025-00012-1/(붙임2) 입찰 관련 부속서류/Q-Lab_Chacala_Bidding Doc/Attachment02_KOICA Bidding Regulations and Guidelines/Attachment 1. Detailed Enforcement Rules of the Regulations for Procurement and Contract in Grant Aid Projects.pdf</x:v>
      </x:c>
      <x:c r="H256" s="28" t="n">
        <x:v>554876</x:v>
      </x:c>
      <x:c r="I256" s="22" t="str">
        <x:v>23f11f2154d32db6e78fbfdafb1f52aeba37778e2dd3b78a197b4ea4c2d44892</x:v>
      </x:c>
      <x:c r="J256" s="22" t="n">
        <x:v>0</x:v>
      </x:c>
      <x:c r="K256" s="22" t="n">
        <x:v>0</x:v>
      </x:c>
      <x:c r="L256" s="22" t="n">
        <x:v>0</x:v>
      </x:c>
      <x:c r="M256" s="28" t="n">
        <x:v>0</x:v>
      </x:c>
      <x:c r="N256" s="28" t="n">
        <x:v>0</x:v>
      </x:c>
      <x:c r="O256" s="28" t="n">
        <x:v>0</x:v>
      </x:c>
      <x:c r="P256" s="62" t="n">
        <x:v>0</x:v>
      </x:c>
      <x:c r="Q256" s="22" t="n">
        <x:v>0</x:v>
      </x:c>
      <x:c r="R256" s="22" t="str"/>
      <x:c r="S256" s="22" t="str"/>
      <x:c r="T256" s="22" t="str"/>
    </x:row>
    <x:row r="257">
      <x:c r="A257" s="22" t="str">
        <x:v>2013-00064</x:v>
      </x:c>
      <x:c r="B257" s="22" t="str">
        <x:v>L2025-00012-1</x:v>
      </x:c>
      <x:c r="C257" s="22" t="str">
        <x:v>공사</x:v>
      </x:c>
      <x:c r="D257" s="25" t="str">
        <x:v>볼리비아 고원 지역 농업 기계화 및 농민역량 강화를 통한 생산성 증대 사업 퀴노아 연구센터 차칼라 건립 공사 시공사 선정 현지 입찰</x:v>
      </x:c>
      <x:c r="E257" s="22" t="n">
        <x:v>1</x:v>
      </x:c>
      <x:c r="F257" s="22" t="str">
        <x:v>.pdf</x:v>
      </x:c>
      <x:c r="G257" s="25" t="str">
        <x:v>L2025-00012-1/(붙임2) 입찰 관련 부속서류/Q-Lab_Chacala_Bidding Doc/Attachment02_KOICA Bidding Regulations and Guidelines/Attachment 5. KOICA Safety Management Manual(ENG).pdf</x:v>
      </x:c>
      <x:c r="H257" s="28" t="n">
        <x:v>378337</x:v>
      </x:c>
      <x:c r="I257" s="22" t="str">
        <x:v>b60b641c002f2145d45b33a4840f5ee96569c877a3e79aaa8799ea3dff82522f</x:v>
      </x:c>
      <x:c r="J257" s="22" t="n">
        <x:v>0</x:v>
      </x:c>
      <x:c r="K257" s="22" t="n">
        <x:v>0</x:v>
      </x:c>
      <x:c r="L257" s="22" t="n">
        <x:v>0</x:v>
      </x:c>
      <x:c r="M257" s="28" t="n">
        <x:v>0</x:v>
      </x:c>
      <x:c r="N257" s="28" t="n">
        <x:v>0</x:v>
      </x:c>
      <x:c r="O257" s="28" t="n">
        <x:v>0</x:v>
      </x:c>
      <x:c r="P257" s="62" t="n">
        <x:v>0</x:v>
      </x:c>
      <x:c r="Q257" s="22" t="n">
        <x:v>0</x:v>
      </x:c>
      <x:c r="R257" s="22" t="str"/>
      <x:c r="S257" s="22" t="str"/>
      <x:c r="T257" s="22" t="str"/>
    </x:row>
    <x:row r="258">
      <x:c r="A258" s="22" t="str">
        <x:v>2013-00064</x:v>
      </x:c>
      <x:c r="B258" s="22" t="str">
        <x:v>L2025-00012-1</x:v>
      </x:c>
      <x:c r="C258" s="22" t="str">
        <x:v>공사</x:v>
      </x:c>
      <x:c r="D258" s="25" t="str">
        <x:v>볼리비아 고원 지역 농업 기계화 및 농민역량 강화를 통한 생산성 증대 사업 퀴노아 연구센터 차칼라 건립 공사 시공사 선정 현지 입찰</x:v>
      </x:c>
      <x:c r="E258" s="22" t="n">
        <x:v>1</x:v>
      </x:c>
      <x:c r="F258" s="22" t="str">
        <x:v>.pdf</x:v>
      </x:c>
      <x:c r="G258" s="25" t="str">
        <x:v>L2025-00012-1/(붙임2) 입찰 관련 부속서류/Q-Lab_Chacala_Bidding Doc/Attachment02_KOICA Bidding Regulations and Guidelines/Attachment 4. Standards of Qualification Examination for Selection of Constructor_20140403.pdf</x:v>
      </x:c>
      <x:c r="H258" s="28" t="n">
        <x:v>315288</x:v>
      </x:c>
      <x:c r="I258" s="22" t="str">
        <x:v>1b27d92e7041a9d53b17342ea9a7af1277b13521256c1b62f80ef7fc093b79e8</x:v>
      </x:c>
      <x:c r="J258" s="22" t="n">
        <x:v>0</x:v>
      </x:c>
      <x:c r="K258" s="22" t="n">
        <x:v>0</x:v>
      </x:c>
      <x:c r="L258" s="22" t="n">
        <x:v>0</x:v>
      </x:c>
      <x:c r="M258" s="28" t="n">
        <x:v>0</x:v>
      </x:c>
      <x:c r="N258" s="28" t="n">
        <x:v>0</x:v>
      </x:c>
      <x:c r="O258" s="28" t="n">
        <x:v>0</x:v>
      </x:c>
      <x:c r="P258" s="62" t="n">
        <x:v>0</x:v>
      </x:c>
      <x:c r="Q258" s="22" t="n">
        <x:v>0</x:v>
      </x:c>
      <x:c r="R258" s="22" t="str"/>
      <x:c r="S258" s="22" t="str"/>
      <x:c r="T258" s="22" t="str"/>
    </x:row>
    <x:row r="259">
      <x:c r="A259" s="22" t="str">
        <x:v>2013-00064</x:v>
      </x:c>
      <x:c r="B259" s="22" t="str">
        <x:v>L2025-00012-1</x:v>
      </x:c>
      <x:c r="C259" s="22" t="str">
        <x:v>공사</x:v>
      </x:c>
      <x:c r="D259" s="25" t="str">
        <x:v>볼리비아 고원 지역 농업 기계화 및 농민역량 강화를 통한 생산성 증대 사업 퀴노아 연구센터 차칼라 건립 공사 시공사 선정 현지 입찰</x:v>
      </x:c>
      <x:c r="E259" s="22" t="n">
        <x:v>1</x:v>
      </x:c>
      <x:c r="F259" s="22" t="str">
        <x:v>.pdf</x:v>
      </x:c>
      <x:c r="G259" s="25" t="str">
        <x:v>L2025-00012-1/(붙임2) 입찰 관련 부속서류/Q-Lab_Chacala_Bidding Doc/Attachment02_KOICA Bidding Regulations and Guidelines/Attachment 6. Scope of Works.pdf</x:v>
      </x:c>
      <x:c r="H259" s="28" t="n">
        <x:v>160444</x:v>
      </x:c>
      <x:c r="I259" s="22" t="str">
        <x:v>c930b2a178e9faaae62de145c3a40d20bdc7d42ba12174c180fa5c094e527b24</x:v>
      </x:c>
      <x:c r="J259" s="22" t="n">
        <x:v>0</x:v>
      </x:c>
      <x:c r="K259" s="22" t="n">
        <x:v>0</x:v>
      </x:c>
      <x:c r="L259" s="22" t="n">
        <x:v>0</x:v>
      </x:c>
      <x:c r="M259" s="28" t="n">
        <x:v>0</x:v>
      </x:c>
      <x:c r="N259" s="28" t="n">
        <x:v>0</x:v>
      </x:c>
      <x:c r="O259" s="28" t="n">
        <x:v>0</x:v>
      </x:c>
      <x:c r="P259" s="62" t="n">
        <x:v>0</x:v>
      </x:c>
      <x:c r="Q259" s="22" t="n">
        <x:v>0</x:v>
      </x:c>
      <x:c r="R259" s="22" t="str"/>
      <x:c r="S259" s="22" t="str"/>
      <x:c r="T259" s="22" t="str"/>
    </x:row>
    <x:row r="260">
      <x:c r="A260" s="22" t="str">
        <x:v>2013-00064</x:v>
      </x:c>
      <x:c r="B260" s="22" t="str">
        <x:v>L2025-00012-1</x:v>
      </x:c>
      <x:c r="C260" s="22" t="str">
        <x:v>공사</x:v>
      </x:c>
      <x:c r="D260" s="25" t="str">
        <x:v>볼리비아 고원 지역 농업 기계화 및 농민역량 강화를 통한 생산성 증대 사업 퀴노아 연구센터 차칼라 건립 공사 시공사 선정 현지 입찰</x:v>
      </x:c>
      <x:c r="E260" s="22" t="n">
        <x:v>1</x:v>
      </x:c>
      <x:c r="F260" s="22" t="str">
        <x:v>.pdf</x:v>
      </x:c>
      <x:c r="G260" s="25" t="str">
        <x:v>L2025-00012-1/(붙임2) 입찰 관련 부속서류/Q-Lab_Chacala_Bidding Doc/Attachment02_KOICA Bidding Regulations and Guidelines/Attachment 3. Regulations for Procurement and Contract in Grant Aid Projects_20190520.pdf</x:v>
      </x:c>
      <x:c r="H260" s="28" t="n">
        <x:v>157627</x:v>
      </x:c>
      <x:c r="I260" s="22" t="str">
        <x:v>bcc6062e083bacf0c4b014b08f7566dde8d7c56ad7f791e30c25a04e71aee5ec</x:v>
      </x:c>
      <x:c r="J260" s="22" t="n">
        <x:v>0</x:v>
      </x:c>
      <x:c r="K260" s="22" t="n">
        <x:v>0</x:v>
      </x:c>
      <x:c r="L260" s="22" t="n">
        <x:v>0</x:v>
      </x:c>
      <x:c r="M260" s="28" t="n">
        <x:v>0</x:v>
      </x:c>
      <x:c r="N260" s="28" t="n">
        <x:v>0</x:v>
      </x:c>
      <x:c r="O260" s="28" t="n">
        <x:v>0</x:v>
      </x:c>
      <x:c r="P260" s="62" t="n">
        <x:v>0</x:v>
      </x:c>
      <x:c r="Q260" s="22" t="n">
        <x:v>0</x:v>
      </x:c>
      <x:c r="R260" s="22" t="str"/>
      <x:c r="S260" s="22" t="str"/>
      <x:c r="T260" s="22" t="str"/>
    </x:row>
    <x:row r="261">
      <x:c r="A261" s="22" t="str">
        <x:v>2013-00064</x:v>
      </x:c>
      <x:c r="B261" s="22" t="str">
        <x:v>L2025-00012-1</x:v>
      </x:c>
      <x:c r="C261" s="22" t="str">
        <x:v>공사</x:v>
      </x:c>
      <x:c r="D261" s="25" t="str">
        <x:v>볼리비아 고원 지역 농업 기계화 및 농민역량 강화를 통한 생산성 증대 사업 퀴노아 연구센터 차칼라 건립 공사 시공사 선정 현지 입찰</x:v>
      </x:c>
      <x:c r="E261" s="22" t="n">
        <x:v>1</x:v>
      </x:c>
      <x:c r="F261" s="22" t="str">
        <x:v>.pdf</x:v>
      </x:c>
      <x:c r="G261" s="25" t="str">
        <x:v>L2025-00012-1/(붙임2) 입찰 관련 부속서류/Q-Lab_Chacala_Bidding Doc/Attachment02_KOICA Bidding Regulations and Guidelines/Attachment 2. KOICA Regulations for International Procurement_20190304.pdf</x:v>
      </x:c>
      <x:c r="H261" s="28" t="n">
        <x:v>375625</x:v>
      </x:c>
      <x:c r="I261" s="22" t="str">
        <x:v>a9706e28e1564ba06a6ac833994e7d323b6b5eba68271f1ce70a46a8bd93a7b8</x:v>
      </x:c>
      <x:c r="J261" s="22" t="n">
        <x:v>0</x:v>
      </x:c>
      <x:c r="K261" s="22" t="n">
        <x:v>0</x:v>
      </x:c>
      <x:c r="L261" s="22" t="n">
        <x:v>0</x:v>
      </x:c>
      <x:c r="M261" s="28" t="n">
        <x:v>0</x:v>
      </x:c>
      <x:c r="N261" s="28" t="n">
        <x:v>0</x:v>
      </x:c>
      <x:c r="O261" s="28" t="n">
        <x:v>0</x:v>
      </x:c>
      <x:c r="P261" s="62" t="n">
        <x:v>0</x:v>
      </x:c>
      <x:c r="Q261" s="22" t="n">
        <x:v>0</x:v>
      </x:c>
      <x:c r="R261" s="22" t="str"/>
      <x:c r="S261" s="22" t="str"/>
      <x:c r="T261" s="22" t="str"/>
    </x:row>
    <x:row r="262">
      <x:c r="A262" s="22" t="str">
        <x:v>2013-00064</x:v>
      </x:c>
      <x:c r="B262" s="22" t="str">
        <x:v>L2025-00012-1</x:v>
      </x:c>
      <x:c r="C262" s="22" t="str">
        <x:v>공사</x:v>
      </x:c>
      <x:c r="D262" s="25" t="str">
        <x:v>볼리비아 고원 지역 농업 기계화 및 농민역량 강화를 통한 생산성 증대 사업 퀴노아 연구센터 차칼라 건립 공사 시공사 선정 현지 입찰</x:v>
      </x:c>
      <x:c r="E262" s="22" t="n">
        <x:v>1</x:v>
      </x:c>
      <x:c r="F262" s="22" t="str">
        <x:v>.docx</x:v>
      </x:c>
      <x:c r="G262" s="25" t="str">
        <x:v>L2025-00012-1/(붙임2) 입찰 관련 부속서류/Q-Lab_Chacala_Bidding Doc/Attachment01_Pledges/Section 9 - Pledges/Integrity Pledge (청렴계약서).docx</x:v>
      </x:c>
      <x:c r="H262" s="28" t="n">
        <x:v>36507</x:v>
      </x:c>
      <x:c r="I262" s="22" t="str">
        <x:v>bbf88b1bc23c5ed931639e65f36d47df7d7fbdb8447562024b0cf9f04ec6d6b6</x:v>
      </x:c>
      <x:c r="J262" s="22" t="n">
        <x:v>0</x:v>
      </x:c>
      <x:c r="K262" s="22" t="n">
        <x:v>0</x:v>
      </x:c>
      <x:c r="L262" s="22" t="n">
        <x:v>0</x:v>
      </x:c>
      <x:c r="M262" s="28" t="n">
        <x:v>0</x:v>
      </x:c>
      <x:c r="N262" s="28" t="n">
        <x:v>0</x:v>
      </x:c>
      <x:c r="O262" s="28" t="n">
        <x:v>0</x:v>
      </x:c>
      <x:c r="P262" s="62" t="n">
        <x:v>0</x:v>
      </x:c>
      <x:c r="Q262" s="22" t="n">
        <x:v>0</x:v>
      </x:c>
      <x:c r="R262" s="22" t="str"/>
      <x:c r="S262" s="22" t="str"/>
      <x:c r="T262" s="22" t="str"/>
    </x:row>
    <x:row r="263">
      <x:c r="A263" s="22" t="str">
        <x:v>2013-00064</x:v>
      </x:c>
      <x:c r="B263" s="22" t="str">
        <x:v>L2025-00012-1</x:v>
      </x:c>
      <x:c r="C263" s="22" t="str">
        <x:v>공사</x:v>
      </x:c>
      <x:c r="D263" s="25" t="str">
        <x:v>볼리비아 고원 지역 농업 기계화 및 농민역량 강화를 통한 생산성 증대 사업 퀴노아 연구센터 차칼라 건립 공사 시공사 선정 현지 입찰</x:v>
      </x:c>
      <x:c r="E263" s="22" t="n">
        <x:v>1</x:v>
      </x:c>
      <x:c r="F263" s="22" t="str">
        <x:v>.docx</x:v>
      </x:c>
      <x:c r="G263" s="25" t="str">
        <x:v>L2025-00012-1/(붙임2) 입찰 관련 부속서류/Q-Lab_Chacala_Bidding Doc/Attachment01_Pledges/Section 9 - Pledges/Fair Contract Pledge Letter (공정계약 서약서).docx</x:v>
      </x:c>
      <x:c r="H263" s="28" t="n">
        <x:v>18756</x:v>
      </x:c>
      <x:c r="I263" s="22" t="str">
        <x:v>379cc784a159e5c15ba0045a32dd793d03827ad46a1e4a966b9810ad99102277</x:v>
      </x:c>
      <x:c r="J263" s="22" t="n">
        <x:v>0</x:v>
      </x:c>
      <x:c r="K263" s="22" t="n">
        <x:v>0</x:v>
      </x:c>
      <x:c r="L263" s="22" t="n">
        <x:v>0</x:v>
      </x:c>
      <x:c r="M263" s="28" t="n">
        <x:v>0</x:v>
      </x:c>
      <x:c r="N263" s="28" t="n">
        <x:v>0</x:v>
      </x:c>
      <x:c r="O263" s="28" t="n">
        <x:v>0</x:v>
      </x:c>
      <x:c r="P263" s="62" t="n">
        <x:v>0</x:v>
      </x:c>
      <x:c r="Q263" s="22" t="n">
        <x:v>0</x:v>
      </x:c>
      <x:c r="R263" s="22" t="str"/>
      <x:c r="S263" s="22" t="str"/>
      <x:c r="T263" s="22" t="str"/>
    </x:row>
    <x:row r="264">
      <x:c r="A264" s="22" t="str">
        <x:v>2013-00064</x:v>
      </x:c>
      <x:c r="B264" s="22" t="str">
        <x:v>L2025-00012-1</x:v>
      </x:c>
      <x:c r="C264" s="22" t="str">
        <x:v>공사</x:v>
      </x:c>
      <x:c r="D264" s="25" t="str">
        <x:v>볼리비아 고원 지역 농업 기계화 및 농민역량 강화를 통한 생산성 증대 사업 퀴노아 연구센터 차칼라 건립 공사 시공사 선정 현지 입찰</x:v>
      </x:c>
      <x:c r="E264" s="22" t="n">
        <x:v>1</x:v>
      </x:c>
      <x:c r="F264" s="22" t="str">
        <x:v>.docx</x:v>
      </x:c>
      <x:c r="G264" s="25" t="str">
        <x:v>L2025-00012-1/(붙임2) 입찰 관련 부속서류/Q-Lab_Chacala_Bidding Doc/Attachment01_Pledges/Section 9 - Pledges/Declaration of Anti_Corruption (반부패 선언서).docx</x:v>
      </x:c>
      <x:c r="H264" s="28" t="n">
        <x:v>23026</x:v>
      </x:c>
      <x:c r="I264" s="22" t="str">
        <x:v>81e22a438491f4d1b5a12be15e95b5278073d1be929b00b0cd4fe23da8b9d496</x:v>
      </x:c>
      <x:c r="J264" s="22" t="n">
        <x:v>0</x:v>
      </x:c>
      <x:c r="K264" s="22" t="n">
        <x:v>0</x:v>
      </x:c>
      <x:c r="L264" s="22" t="n">
        <x:v>0</x:v>
      </x:c>
      <x:c r="M264" s="28" t="n">
        <x:v>0</x:v>
      </x:c>
      <x:c r="N264" s="28" t="n">
        <x:v>0</x:v>
      </x:c>
      <x:c r="O264" s="28" t="n">
        <x:v>0</x:v>
      </x:c>
      <x:c r="P264" s="62" t="n">
        <x:v>0</x:v>
      </x:c>
      <x:c r="Q264" s="22" t="n">
        <x:v>0</x:v>
      </x:c>
      <x:c r="R264" s="22" t="str"/>
      <x:c r="S264" s="22" t="str"/>
      <x:c r="T264" s="22" t="str"/>
    </x:row>
    <x:row r="265">
      <x:c r="A265" s="22" t="str">
        <x:v>2013-00064</x:v>
      </x:c>
      <x:c r="B265" s="22" t="str">
        <x:v>L2025-00012-1</x:v>
      </x:c>
      <x:c r="C265" s="22" t="str">
        <x:v>공사</x:v>
      </x:c>
      <x:c r="D265" s="25" t="str">
        <x:v>볼리비아 고원 지역 농업 기계화 및 농민역량 강화를 통한 생산성 증대 사업 퀴노아 연구센터 차칼라 건립 공사 시공사 선정 현지 입찰</x:v>
      </x:c>
      <x:c r="E265" s="22" t="n">
        <x:v>1</x:v>
      </x:c>
      <x:c r="F265" s="22" t="str">
        <x:v>.pdf</x:v>
      </x:c>
      <x:c r="G265" s="25" t="str">
        <x:v>L2025-00012-1/(붙임2) 입찰 관련 부속서류/Q-Lab_Chacala_Bidding Doc/Section 6. Q-Lab_Chacala_Q-Lab_Technical Specification/Q-Lab_TECHNICAL SPECIFICATIONS/01 ARCHITECTURE/PAISAJISMO ESP  ING..pdf</x:v>
      </x:c>
      <x:c r="H265" s="28" t="n">
        <x:v>592415</x:v>
      </x:c>
      <x:c r="I265" s="22" t="str">
        <x:v>2f9d687fb0461a5385c7c72e3babfd0d956dd23a54c013af6247c4c2011b6376</x:v>
      </x:c>
      <x:c r="J265" s="22" t="n">
        <x:v>0</x:v>
      </x:c>
      <x:c r="K265" s="22" t="n">
        <x:v>0</x:v>
      </x:c>
      <x:c r="L265" s="22" t="n">
        <x:v>0</x:v>
      </x:c>
      <x:c r="M265" s="28" t="n">
        <x:v>0</x:v>
      </x:c>
      <x:c r="N265" s="28" t="n">
        <x:v>0</x:v>
      </x:c>
      <x:c r="O265" s="28" t="n">
        <x:v>0</x:v>
      </x:c>
      <x:c r="P265" s="62" t="n">
        <x:v>0</x:v>
      </x:c>
      <x:c r="Q265" s="22" t="n">
        <x:v>0</x:v>
      </x:c>
      <x:c r="R265" s="22" t="str"/>
      <x:c r="S265" s="22" t="str"/>
      <x:c r="T265" s="22" t="str"/>
    </x:row>
    <x:row r="266">
      <x:c r="A266" s="22" t="str">
        <x:v>2013-00064</x:v>
      </x:c>
      <x:c r="B266" s="22" t="str">
        <x:v>L2025-00012-1</x:v>
      </x:c>
      <x:c r="C266" s="22" t="str">
        <x:v>공사</x:v>
      </x:c>
      <x:c r="D266" s="25" t="str">
        <x:v>볼리비아 고원 지역 농업 기계화 및 농민역량 강화를 통한 생산성 증대 사업 퀴노아 연구센터 차칼라 건립 공사 시공사 선정 현지 입찰</x:v>
      </x:c>
      <x:c r="E266" s="22" t="n">
        <x:v>1</x:v>
      </x:c>
      <x:c r="F266" s="22" t="str">
        <x:v>.pdf</x:v>
      </x:c>
      <x:c r="G266" s="25" t="str">
        <x:v>L2025-00012-1/(붙임2) 입찰 관련 부속서류/Q-Lab_Chacala_Bidding Doc/Section 6. Q-Lab_Chacala_Q-Lab_Technical Specification/Q-Lab_TECHNICAL SPECIFICATIONS/01 ARCHITECTURE/01 PLIEGO DE ESPECIFICACIONES TECNICAS es-SP.pdf</x:v>
      </x:c>
      <x:c r="H266" s="28" t="n">
        <x:v>1821773</x:v>
      </x:c>
      <x:c r="I266" s="22" t="str">
        <x:v>a7ae541350326c85000319d3aae6600a7ac9322aa60a1de8d789a6ef78ae702c</x:v>
      </x:c>
      <x:c r="J266" s="22" t="n">
        <x:v>0</x:v>
      </x:c>
      <x:c r="K266" s="22" t="n">
        <x:v>0</x:v>
      </x:c>
      <x:c r="L266" s="22" t="n">
        <x:v>0</x:v>
      </x:c>
      <x:c r="M266" s="28" t="n">
        <x:v>0</x:v>
      </x:c>
      <x:c r="N266" s="28" t="n">
        <x:v>0</x:v>
      </x:c>
      <x:c r="O266" s="28" t="n">
        <x:v>0</x:v>
      </x:c>
      <x:c r="P266" s="62" t="n">
        <x:v>0</x:v>
      </x:c>
      <x:c r="Q266" s="22" t="n">
        <x:v>0</x:v>
      </x:c>
      <x:c r="R266" s="22" t="str"/>
      <x:c r="S266" s="22" t="str"/>
      <x:c r="T266" s="22" t="str"/>
    </x:row>
    <x:row r="267">
      <x:c r="A267" s="22" t="str">
        <x:v>2013-00064</x:v>
      </x:c>
      <x:c r="B267" s="22" t="str">
        <x:v>L2025-00012-1</x:v>
      </x:c>
      <x:c r="C267" s="22" t="str">
        <x:v>공사</x:v>
      </x:c>
      <x:c r="D267" s="25" t="str">
        <x:v>볼리비아 고원 지역 농업 기계화 및 농민역량 강화를 통한 생산성 증대 사업 퀴노아 연구센터 차칼라 건립 공사 시공사 선정 현지 입찰</x:v>
      </x:c>
      <x:c r="E267" s="22" t="n">
        <x:v>1</x:v>
      </x:c>
      <x:c r="F267" s="22" t="str">
        <x:v>.pdf</x:v>
      </x:c>
      <x:c r="G267" s="25" t="str">
        <x:v>L2025-00012-1/(붙임2) 입찰 관련 부속서류/Q-Lab_Chacala_Bidding Doc/Section 6. Q-Lab_Chacala_Q-Lab_Technical Specification/Q-Lab_TECHNICAL SPECIFICATIONS/01 ARCHITECTURE/ESPECIFICATION SHEETT.pdf</x:v>
      </x:c>
      <x:c r="H267" s="28" t="n">
        <x:v>1704961</x:v>
      </x:c>
      <x:c r="I267" s="22" t="str">
        <x:v>c212735ef7daff5d270698660a347d61d0eaaa8509be5a8145db14ed0026e9d0</x:v>
      </x:c>
      <x:c r="J267" s="22" t="n">
        <x:v>0</x:v>
      </x:c>
      <x:c r="K267" s="22" t="n">
        <x:v>0</x:v>
      </x:c>
      <x:c r="L267" s="22" t="n">
        <x:v>0</x:v>
      </x:c>
      <x:c r="M267" s="28" t="n">
        <x:v>0</x:v>
      </x:c>
      <x:c r="N267" s="28" t="n">
        <x:v>0</x:v>
      </x:c>
      <x:c r="O267" s="28" t="n">
        <x:v>0</x:v>
      </x:c>
      <x:c r="P267" s="62" t="n">
        <x:v>0</x:v>
      </x:c>
      <x:c r="Q267" s="22" t="n">
        <x:v>0</x:v>
      </x:c>
      <x:c r="R267" s="22" t="str"/>
      <x:c r="S267" s="22" t="str"/>
      <x:c r="T267" s="22" t="str"/>
    </x:row>
    <x:row r="268">
      <x:c r="A268" s="22" t="str">
        <x:v>2013-00064</x:v>
      </x:c>
      <x:c r="B268" s="22" t="str">
        <x:v>L2025-00012-1</x:v>
      </x:c>
      <x:c r="C268" s="22" t="str">
        <x:v>공사</x:v>
      </x:c>
      <x:c r="D268" s="25" t="str">
        <x:v>볼리비아 고원 지역 농업 기계화 및 농민역량 강화를 통한 생산성 증대 사업 퀴노아 연구센터 차칼라 건립 공사 시공사 선정 현지 입찰</x:v>
      </x:c>
      <x:c r="E268" s="22" t="n">
        <x:v>1</x:v>
      </x:c>
      <x:c r="F268" s="22" t="str">
        <x:v>.pdf</x:v>
      </x:c>
      <x:c r="G268" s="25" t="str">
        <x:v>L2025-00012-1/(붙임2) 입찰 관련 부속서류/Q-Lab_Chacala_Bidding Doc/Section 6. Q-Lab_Chacala_Q-Lab_Technical Specification/Q-Lab_TECHNICAL SPECIFICATIONS/09 HIDRSANYTARI/ESPANISH.pdf</x:v>
      </x:c>
      <x:c r="H268" s="28" t="n">
        <x:v>1423182</x:v>
      </x:c>
      <x:c r="I268" s="22" t="str">
        <x:v>04db992bb90c47ba65474e0215e21f159180d78a8855e5bce329ce74632c50fb</x:v>
      </x:c>
      <x:c r="J268" s="22" t="n">
        <x:v>0</x:v>
      </x:c>
      <x:c r="K268" s="22" t="n">
        <x:v>0</x:v>
      </x:c>
      <x:c r="L268" s="22" t="n">
        <x:v>0</x:v>
      </x:c>
      <x:c r="M268" s="28" t="n">
        <x:v>0</x:v>
      </x:c>
      <x:c r="N268" s="28" t="n">
        <x:v>0</x:v>
      </x:c>
      <x:c r="O268" s="28" t="n">
        <x:v>0</x:v>
      </x:c>
      <x:c r="P268" s="62" t="n">
        <x:v>0</x:v>
      </x:c>
      <x:c r="Q268" s="22" t="n">
        <x:v>0</x:v>
      </x:c>
      <x:c r="R268" s="22" t="str"/>
      <x:c r="S268" s="22" t="str"/>
      <x:c r="T268" s="22" t="str"/>
    </x:row>
    <x:row r="269">
      <x:c r="A269" s="22" t="str">
        <x:v>2013-00064</x:v>
      </x:c>
      <x:c r="B269" s="22" t="str">
        <x:v>L2025-00012-1</x:v>
      </x:c>
      <x:c r="C269" s="22" t="str">
        <x:v>공사</x:v>
      </x:c>
      <x:c r="D269" s="25" t="str">
        <x:v>볼리비아 고원 지역 농업 기계화 및 농민역량 강화를 통한 생산성 증대 사업 퀴노아 연구센터 차칼라 건립 공사 시공사 선정 현지 입찰</x:v>
      </x:c>
      <x:c r="E269" s="22" t="n">
        <x:v>1</x:v>
      </x:c>
      <x:c r="F269" s="22" t="str">
        <x:v>.pdf</x:v>
      </x:c>
      <x:c r="G269" s="25" t="str">
        <x:v>L2025-00012-1/(붙임2) 입찰 관련 부속서류/Q-Lab_Chacala_Bidding Doc/Section 6. Q-Lab_Chacala_Q-Lab_Technical Specification/Q-Lab_TECHNICAL SPECIFICATIONS/09 HIDRSANYTARI/ENGLISH.pdf</x:v>
      </x:c>
      <x:c r="H269" s="28" t="n">
        <x:v>1227152</x:v>
      </x:c>
      <x:c r="I269" s="22" t="str">
        <x:v>7c673ff6b9b4963b96f583afa76ed21f6a2c2eef0a270c0424a739bfbfcdfd8f</x:v>
      </x:c>
      <x:c r="J269" s="22" t="n">
        <x:v>0</x:v>
      </x:c>
      <x:c r="K269" s="22" t="n">
        <x:v>0</x:v>
      </x:c>
      <x:c r="L269" s="22" t="n">
        <x:v>0</x:v>
      </x:c>
      <x:c r="M269" s="28" t="n">
        <x:v>0</x:v>
      </x:c>
      <x:c r="N269" s="28" t="n">
        <x:v>0</x:v>
      </x:c>
      <x:c r="O269" s="28" t="n">
        <x:v>0</x:v>
      </x:c>
      <x:c r="P269" s="62" t="n">
        <x:v>0</x:v>
      </x:c>
      <x:c r="Q269" s="22" t="n">
        <x:v>0</x:v>
      </x:c>
      <x:c r="R269" s="22" t="str"/>
      <x:c r="S269" s="22" t="str"/>
      <x:c r="T269" s="22" t="str"/>
    </x:row>
    <x:row r="270">
      <x:c r="A270" s="22" t="str">
        <x:v>2013-00064</x:v>
      </x:c>
      <x:c r="B270" s="22" t="str">
        <x:v>L2025-00012-1</x:v>
      </x:c>
      <x:c r="C270" s="22" t="str">
        <x:v>공사</x:v>
      </x:c>
      <x:c r="D270" s="25" t="str">
        <x:v>볼리비아 고원 지역 농업 기계화 및 농민역량 강화를 통한 생산성 증대 사업 퀴노아 연구센터 차칼라 건립 공사 시공사 선정 현지 입찰</x:v>
      </x:c>
      <x:c r="E270" s="22" t="n">
        <x:v>1</x:v>
      </x:c>
      <x:c r="F270" s="22" t="str">
        <x:v>.pdf</x:v>
      </x:c>
      <x:c r="G270" s="25" t="str">
        <x:v>L2025-00012-1/(붙임2) 입찰 관련 부속서류/Q-Lab_Chacala_Bidding Doc/Section 6. Q-Lab_Chacala_Q-Lab_Technical Specification/Q-Lab_TECHNICAL SPECIFICATIONS/04 ELECTRIC/EL ESPECIFICACIONES TÉCNICAS (ESP).pdf</x:v>
      </x:c>
      <x:c r="H270" s="28" t="n">
        <x:v>409139</x:v>
      </x:c>
      <x:c r="I270" s="22" t="str">
        <x:v>c5ed1afe3e77d032e98f4b4da8b1ac427e816ecd9f3548eb1331910766a2b356</x:v>
      </x:c>
      <x:c r="J270" s="22" t="n">
        <x:v>0</x:v>
      </x:c>
      <x:c r="K270" s="22" t="n">
        <x:v>0</x:v>
      </x:c>
      <x:c r="L270" s="22" t="n">
        <x:v>0</x:v>
      </x:c>
      <x:c r="M270" s="28" t="n">
        <x:v>0</x:v>
      </x:c>
      <x:c r="N270" s="28" t="n">
        <x:v>0</x:v>
      </x:c>
      <x:c r="O270" s="28" t="n">
        <x:v>0</x:v>
      </x:c>
      <x:c r="P270" s="62" t="n">
        <x:v>0</x:v>
      </x:c>
      <x:c r="Q270" s="22" t="n">
        <x:v>0</x:v>
      </x:c>
      <x:c r="R270" s="22" t="str"/>
      <x:c r="S270" s="22" t="str"/>
      <x:c r="T270" s="22" t="str"/>
    </x:row>
    <x:row r="271">
      <x:c r="A271" s="22" t="str">
        <x:v>2013-00064</x:v>
      </x:c>
      <x:c r="B271" s="22" t="str">
        <x:v>L2025-00012-1</x:v>
      </x:c>
      <x:c r="C271" s="22" t="str">
        <x:v>공사</x:v>
      </x:c>
      <x:c r="D271" s="25" t="str">
        <x:v>볼리비아 고원 지역 농업 기계화 및 농민역량 강화를 통한 생산성 증대 사업 퀴노아 연구센터 차칼라 건립 공사 시공사 선정 현지 입찰</x:v>
      </x:c>
      <x:c r="E271" s="22" t="n">
        <x:v>1</x:v>
      </x:c>
      <x:c r="F271" s="22" t="str">
        <x:v>.pdf</x:v>
      </x:c>
      <x:c r="G271" s="25" t="str">
        <x:v>L2025-00012-1/(붙임2) 입찰 관련 부속서류/Q-Lab_Chacala_Bidding Doc/Section 6. Q-Lab_Chacala_Q-Lab_Technical Specification/Q-Lab_TECHNICAL SPECIFICATIONS/04 ELECTRIC/EL Specificaction Sheets (ENG).pdf</x:v>
      </x:c>
      <x:c r="H271" s="28" t="n">
        <x:v>434004</x:v>
      </x:c>
      <x:c r="I271" s="22" t="str">
        <x:v>833f63da4c7a77bef4e8c5152e41d2de15095bbc06b23bc65287bb9189a846a0</x:v>
      </x:c>
      <x:c r="J271" s="22" t="n">
        <x:v>0</x:v>
      </x:c>
      <x:c r="K271" s="22" t="n">
        <x:v>0</x:v>
      </x:c>
      <x:c r="L271" s="22" t="n">
        <x:v>0</x:v>
      </x:c>
      <x:c r="M271" s="28" t="n">
        <x:v>0</x:v>
      </x:c>
      <x:c r="N271" s="28" t="n">
        <x:v>0</x:v>
      </x:c>
      <x:c r="O271" s="28" t="n">
        <x:v>0</x:v>
      </x:c>
      <x:c r="P271" s="62" t="n">
        <x:v>0</x:v>
      </x:c>
      <x:c r="Q271" s="22" t="n">
        <x:v>0</x:v>
      </x:c>
      <x:c r="R271" s="22" t="str"/>
      <x:c r="S271" s="22" t="str"/>
      <x:c r="T271" s="22" t="str"/>
    </x:row>
    <x:row r="272">
      <x:c r="A272" s="22" t="str">
        <x:v>2013-00064</x:v>
      </x:c>
      <x:c r="B272" s="22" t="str">
        <x:v>L2025-00012-1</x:v>
      </x:c>
      <x:c r="C272" s="22" t="str">
        <x:v>공사</x:v>
      </x:c>
      <x:c r="D272" s="25" t="str">
        <x:v>볼리비아 고원 지역 농업 기계화 및 농민역량 강화를 통한 생산성 증대 사업 퀴노아 연구센터 차칼라 건립 공사 시공사 선정 현지 입찰</x:v>
      </x:c>
      <x:c r="E272" s="22" t="n">
        <x:v>1</x:v>
      </x:c>
      <x:c r="F272" s="22" t="str">
        <x:v>.pdf</x:v>
      </x:c>
      <x:c r="G272" s="25" t="str">
        <x:v>L2025-00012-1/(붙임2) 입찰 관련 부속서류/Q-Lab_Chacala_Bidding Doc/Section 6. Q-Lab_Chacala_Q-Lab_Technical Specification/Q-Lab_TECHNICAL SPECIFICATIONS/05 TELECOMUNICATION/IT Specificaction Sheets (ENG).pdf</x:v>
      </x:c>
      <x:c r="H272" s="28" t="n">
        <x:v>572135</x:v>
      </x:c>
      <x:c r="I272" s="22" t="str">
        <x:v>38f6a7dc5d09480dc746bce7ee3d9185a5605a9ef5a34142755e1bf49f9baa2b</x:v>
      </x:c>
      <x:c r="J272" s="22" t="n">
        <x:v>0</x:v>
      </x:c>
      <x:c r="K272" s="22" t="n">
        <x:v>0</x:v>
      </x:c>
      <x:c r="L272" s="22" t="n">
        <x:v>0</x:v>
      </x:c>
      <x:c r="M272" s="28" t="n">
        <x:v>0</x:v>
      </x:c>
      <x:c r="N272" s="28" t="n">
        <x:v>0</x:v>
      </x:c>
      <x:c r="O272" s="28" t="n">
        <x:v>0</x:v>
      </x:c>
      <x:c r="P272" s="62" t="n">
        <x:v>0</x:v>
      </x:c>
      <x:c r="Q272" s="22" t="n">
        <x:v>0</x:v>
      </x:c>
      <x:c r="R272" s="22" t="str"/>
      <x:c r="S272" s="22" t="str"/>
      <x:c r="T272" s="22" t="str"/>
    </x:row>
    <x:row r="273">
      <x:c r="A273" s="22" t="str">
        <x:v>2013-00064</x:v>
      </x:c>
      <x:c r="B273" s="22" t="str">
        <x:v>L2025-00012-1</x:v>
      </x:c>
      <x:c r="C273" s="22" t="str">
        <x:v>공사</x:v>
      </x:c>
      <x:c r="D273" s="25" t="str">
        <x:v>볼리비아 고원 지역 농업 기계화 및 농민역량 강화를 통한 생산성 증대 사업 퀴노아 연구센터 차칼라 건립 공사 시공사 선정 현지 입찰</x:v>
      </x:c>
      <x:c r="E273" s="22" t="n">
        <x:v>1</x:v>
      </x:c>
      <x:c r="F273" s="22" t="str">
        <x:v>.pdf</x:v>
      </x:c>
      <x:c r="G273" s="25" t="str">
        <x:v>L2025-00012-1/(붙임2) 입찰 관련 부속서류/Q-Lab_Chacala_Bidding Doc/Section 6. Q-Lab_Chacala_Q-Lab_Technical Specification/Q-Lab_TECHNICAL SPECIFICATIONS/05 TELECOMUNICATION/IT ESPECIFICACIONES TÉCNICAS (ESP).pdf</x:v>
      </x:c>
      <x:c r="H273" s="28" t="n">
        <x:v>633957</x:v>
      </x:c>
      <x:c r="I273" s="22" t="str">
        <x:v>c28627f12a11873bb7c4b59b6f4cee3fa16e01546560e2f7883b0b307d91213d</x:v>
      </x:c>
      <x:c r="J273" s="22" t="n">
        <x:v>0</x:v>
      </x:c>
      <x:c r="K273" s="22" t="n">
        <x:v>0</x:v>
      </x:c>
      <x:c r="L273" s="22" t="n">
        <x:v>0</x:v>
      </x:c>
      <x:c r="M273" s="28" t="n">
        <x:v>0</x:v>
      </x:c>
      <x:c r="N273" s="28" t="n">
        <x:v>0</x:v>
      </x:c>
      <x:c r="O273" s="28" t="n">
        <x:v>0</x:v>
      </x:c>
      <x:c r="P273" s="62" t="n">
        <x:v>0</x:v>
      </x:c>
      <x:c r="Q273" s="22" t="n">
        <x:v>0</x:v>
      </x:c>
      <x:c r="R273" s="22" t="str"/>
      <x:c r="S273" s="22" t="str"/>
      <x:c r="T273" s="22" t="str"/>
    </x:row>
    <x:row r="274">
      <x:c r="A274" s="22" t="str">
        <x:v>2013-00064</x:v>
      </x:c>
      <x:c r="B274" s="22" t="str">
        <x:v>L2025-00012-1</x:v>
      </x:c>
      <x:c r="C274" s="22" t="str">
        <x:v>공사</x:v>
      </x:c>
      <x:c r="D274" s="25" t="str">
        <x:v>볼리비아 고원 지역 농업 기계화 및 농민역량 강화를 통한 생산성 증대 사업 퀴노아 연구센터 차칼라 건립 공사 시공사 선정 현지 입찰</x:v>
      </x:c>
      <x:c r="E274" s="22" t="n">
        <x:v>1</x:v>
      </x:c>
      <x:c r="F274" s="22" t="str">
        <x:v>.pdf</x:v>
      </x:c>
      <x:c r="G274" s="25" t="str">
        <x:v>L2025-00012-1/(붙임2) 입찰 관련 부속서류/Q-Lab_Chacala_Bidding Doc/Section 6. Q-Lab_Chacala_Q-Lab_Technical Specification/Q-Lab_TECHNICAL SPECIFICATIONS/07 FIRE PROTECTION/CI Specificaction Sheets (ENG).pdf</x:v>
      </x:c>
      <x:c r="H274" s="28" t="n">
        <x:v>350247</x:v>
      </x:c>
      <x:c r="I274" s="22" t="str">
        <x:v>1365bf60a64982418cdc8a9b8b070930795d182dbe350866154eaed81e8e6659</x:v>
      </x:c>
      <x:c r="J274" s="22" t="n">
        <x:v>0</x:v>
      </x:c>
      <x:c r="K274" s="22" t="n">
        <x:v>0</x:v>
      </x:c>
      <x:c r="L274" s="22" t="n">
        <x:v>0</x:v>
      </x:c>
      <x:c r="M274" s="28" t="n">
        <x:v>0</x:v>
      </x:c>
      <x:c r="N274" s="28" t="n">
        <x:v>0</x:v>
      </x:c>
      <x:c r="O274" s="28" t="n">
        <x:v>0</x:v>
      </x:c>
      <x:c r="P274" s="62" t="n">
        <x:v>0</x:v>
      </x:c>
      <x:c r="Q274" s="22" t="n">
        <x:v>0</x:v>
      </x:c>
      <x:c r="R274" s="22" t="str"/>
      <x:c r="S274" s="22" t="str"/>
      <x:c r="T274" s="22" t="str"/>
    </x:row>
    <x:row r="275">
      <x:c r="A275" s="22" t="str">
        <x:v>2013-00064</x:v>
      </x:c>
      <x:c r="B275" s="22" t="str">
        <x:v>L2025-00012-1</x:v>
      </x:c>
      <x:c r="C275" s="22" t="str">
        <x:v>공사</x:v>
      </x:c>
      <x:c r="D275" s="25" t="str">
        <x:v>볼리비아 고원 지역 농업 기계화 및 농민역량 강화를 통한 생산성 증대 사업 퀴노아 연구센터 차칼라 건립 공사 시공사 선정 현지 입찰</x:v>
      </x:c>
      <x:c r="E275" s="22" t="n">
        <x:v>1</x:v>
      </x:c>
      <x:c r="F275" s="22" t="str">
        <x:v>.pdf</x:v>
      </x:c>
      <x:c r="G275" s="25" t="str">
        <x:v>L2025-00012-1/(붙임2) 입찰 관련 부속서류/Q-Lab_Chacala_Bidding Doc/Section 6. Q-Lab_Chacala_Q-Lab_Technical Specification/Q-Lab_TECHNICAL SPECIFICATIONS/07 FIRE PROTECTION/CI ESPECIFICACIONES TÉCNICAS (ESP).pdf</x:v>
      </x:c>
      <x:c r="H275" s="28" t="n">
        <x:v>308284</x:v>
      </x:c>
      <x:c r="I275" s="22" t="str">
        <x:v>a5bddec2df0b73b6b7af22ec9d4622be18ec181bdb990f19e8e4d543902c8a2a</x:v>
      </x:c>
      <x:c r="J275" s="22" t="n">
        <x:v>0</x:v>
      </x:c>
      <x:c r="K275" s="22" t="n">
        <x:v>0</x:v>
      </x:c>
      <x:c r="L275" s="22" t="n">
        <x:v>0</x:v>
      </x:c>
      <x:c r="M275" s="28" t="n">
        <x:v>0</x:v>
      </x:c>
      <x:c r="N275" s="28" t="n">
        <x:v>0</x:v>
      </x:c>
      <x:c r="O275" s="28" t="n">
        <x:v>0</x:v>
      </x:c>
      <x:c r="P275" s="62" t="n">
        <x:v>0</x:v>
      </x:c>
      <x:c r="Q275" s="22" t="n">
        <x:v>0</x:v>
      </x:c>
      <x:c r="R275" s="22" t="str"/>
      <x:c r="S275" s="22" t="str"/>
      <x:c r="T275" s="22" t="str"/>
    </x:row>
    <x:row r="276">
      <x:c r="A276" s="22" t="str">
        <x:v>2013-00064</x:v>
      </x:c>
      <x:c r="B276" s="22" t="str">
        <x:v>L2025-00012-1</x:v>
      </x:c>
      <x:c r="C276" s="22" t="str">
        <x:v>공사</x:v>
      </x:c>
      <x:c r="D276" s="25" t="str">
        <x:v>볼리비아 고원 지역 농업 기계화 및 농민역량 강화를 통한 생산성 증대 사업 퀴노아 연구센터 차칼라 건립 공사 시공사 선정 현지 입찰</x:v>
      </x:c>
      <x:c r="E276" s="22" t="n">
        <x:v>1</x:v>
      </x:c>
      <x:c r="F276" s="22" t="str">
        <x:v>.pdf</x:v>
      </x:c>
      <x:c r="G276" s="25" t="str">
        <x:v>L2025-00012-1/(붙임2) 입찰 관련 부속서류/Q-Lab_Chacala_Bidding Doc/Section 6. Q-Lab_Chacala_Q-Lab_Technical Specification/Q-Lab_TECHNICAL SPECIFICATIONS/06 AIR CONDITIONING/CL ESPECIFICACIONES TÉCNICAS (ESP).pdf</x:v>
      </x:c>
      <x:c r="H276" s="28" t="n">
        <x:v>742353</x:v>
      </x:c>
      <x:c r="I276" s="22" t="str">
        <x:v>3503ec39602c2669dec571a4d0343fb048e51419e6ac4122123fae3cce16d087</x:v>
      </x:c>
      <x:c r="J276" s="22" t="n">
        <x:v>0</x:v>
      </x:c>
      <x:c r="K276" s="22" t="n">
        <x:v>0</x:v>
      </x:c>
      <x:c r="L276" s="22" t="n">
        <x:v>0</x:v>
      </x:c>
      <x:c r="M276" s="28" t="n">
        <x:v>0</x:v>
      </x:c>
      <x:c r="N276" s="28" t="n">
        <x:v>0</x:v>
      </x:c>
      <x:c r="O276" s="28" t="n">
        <x:v>0</x:v>
      </x:c>
      <x:c r="P276" s="62" t="n">
        <x:v>0</x:v>
      </x:c>
      <x:c r="Q276" s="22" t="n">
        <x:v>0</x:v>
      </x:c>
      <x:c r="R276" s="22" t="str"/>
      <x:c r="S276" s="22" t="str"/>
      <x:c r="T276" s="22" t="str"/>
    </x:row>
    <x:row r="277">
      <x:c r="A277" s="22" t="str">
        <x:v>2013-00064</x:v>
      </x:c>
      <x:c r="B277" s="22" t="str">
        <x:v>L2025-00012-1</x:v>
      </x:c>
      <x:c r="C277" s="22" t="str">
        <x:v>공사</x:v>
      </x:c>
      <x:c r="D277" s="25" t="str">
        <x:v>볼리비아 고원 지역 농업 기계화 및 농민역량 강화를 통한 생산성 증대 사업 퀴노아 연구센터 차칼라 건립 공사 시공사 선정 현지 입찰</x:v>
      </x:c>
      <x:c r="E277" s="22" t="n">
        <x:v>1</x:v>
      </x:c>
      <x:c r="F277" s="22" t="str">
        <x:v>.pdf</x:v>
      </x:c>
      <x:c r="G277" s="25" t="str">
        <x:v>L2025-00012-1/(붙임2) 입찰 관련 부속서류/Q-Lab_Chacala_Bidding Doc/Section 6. Q-Lab_Chacala_Q-Lab_Technical Specification/Q-Lab_TECHNICAL SPECIFICATIONS/06 AIR CONDITIONING/CL Specificaction Sheets (ENG).pdf</x:v>
      </x:c>
      <x:c r="H277" s="28" t="n">
        <x:v>688151</x:v>
      </x:c>
      <x:c r="I277" s="22" t="str">
        <x:v>dfeb394f6fd060f519d4c178ea5c744df9d3c50b861f60bf77580f41da6c70cf</x:v>
      </x:c>
      <x:c r="J277" s="22" t="n">
        <x:v>0</x:v>
      </x:c>
      <x:c r="K277" s="22" t="n">
        <x:v>0</x:v>
      </x:c>
      <x:c r="L277" s="22" t="n">
        <x:v>0</x:v>
      </x:c>
      <x:c r="M277" s="28" t="n">
        <x:v>0</x:v>
      </x:c>
      <x:c r="N277" s="28" t="n">
        <x:v>0</x:v>
      </x:c>
      <x:c r="O277" s="28" t="n">
        <x:v>0</x:v>
      </x:c>
      <x:c r="P277" s="62" t="n">
        <x:v>0</x:v>
      </x:c>
      <x:c r="Q277" s="22" t="n">
        <x:v>0</x:v>
      </x:c>
      <x:c r="R277" s="22" t="str"/>
      <x:c r="S277" s="22" t="str"/>
      <x:c r="T277" s="22" t="str"/>
    </x:row>
    <x:row r="278">
      <x:c r="A278" s="22" t="str">
        <x:v>2013-00064</x:v>
      </x:c>
      <x:c r="B278" s="22" t="str">
        <x:v>L2025-00012-1</x:v>
      </x:c>
      <x:c r="C278" s="22" t="str">
        <x:v>공사</x:v>
      </x:c>
      <x:c r="D278" s="25" t="str">
        <x:v>볼리비아 고원 지역 농업 기계화 및 농민역량 강화를 통한 생산성 증대 사업 퀴노아 연구센터 차칼라 건립 공사 시공사 선정 현지 입찰</x:v>
      </x:c>
      <x:c r="E278" s="22" t="n">
        <x:v>1</x:v>
      </x:c>
      <x:c r="F278" s="22" t="str">
        <x:v>.pdf</x:v>
      </x:c>
      <x:c r="G278" s="25" t="str">
        <x:v>L2025-00012-1/(붙임2) 입찰 관련 부속서류/Q-Lab_Chacala_Bidding Doc/Section 6. Q-Lab_Chacala_Q-Lab_Technical Specification/Q-Lab_TECHNICAL SPECIFICATIONS/03 METALLIC ESTRUCTURE/ET 152 CUBIERTA SELLLADA E=5CM-COVER SEALED.pdf</x:v>
      </x:c>
      <x:c r="H278" s="28" t="n">
        <x:v>530290</x:v>
      </x:c>
      <x:c r="I278" s="22" t="str">
        <x:v>29f45fa7a4f00dc3eec27fa93a8b4d286efc769fbc06d2ae6b1a9fc9053faa18</x:v>
      </x:c>
      <x:c r="J278" s="22" t="n">
        <x:v>0</x:v>
      </x:c>
      <x:c r="K278" s="22" t="n">
        <x:v>0</x:v>
      </x:c>
      <x:c r="L278" s="22" t="n">
        <x:v>0</x:v>
      </x:c>
      <x:c r="M278" s="28" t="n">
        <x:v>0</x:v>
      </x:c>
      <x:c r="N278" s="28" t="n">
        <x:v>0</x:v>
      </x:c>
      <x:c r="O278" s="28" t="n">
        <x:v>0</x:v>
      </x:c>
      <x:c r="P278" s="62" t="n">
        <x:v>0</x:v>
      </x:c>
      <x:c r="Q278" s="22" t="n">
        <x:v>0</x:v>
      </x:c>
      <x:c r="R278" s="22" t="str"/>
      <x:c r="S278" s="22" t="str"/>
      <x:c r="T278" s="22" t="str"/>
    </x:row>
    <x:row r="279">
      <x:c r="A279" s="22" t="str">
        <x:v>2013-00064</x:v>
      </x:c>
      <x:c r="B279" s="22" t="str">
        <x:v>L2025-00012-1</x:v>
      </x:c>
      <x:c r="C279" s="22" t="str">
        <x:v>공사</x:v>
      </x:c>
      <x:c r="D279" s="25" t="str">
        <x:v>볼리비아 고원 지역 농업 기계화 및 농민역량 강화를 통한 생산성 증대 사업 퀴노아 연구센터 차칼라 건립 공사 시공사 선정 현지 입찰</x:v>
      </x:c>
      <x:c r="E279" s="22" t="n">
        <x:v>1</x:v>
      </x:c>
      <x:c r="F279" s="22" t="str">
        <x:v>.pdf</x:v>
      </x:c>
      <x:c r="G279" s="25" t="str">
        <x:v>L2025-00012-1/(붙임2) 입찰 관련 부속서류/Q-Lab_Chacala_Bidding Doc/Section 6. Q-Lab_Chacala_Q-Lab_Technical Specification/Q-Lab_TECHNICAL SPECIFICATIONS/03 METALLIC ESTRUCTURE/ET 150 ESTRUCTURA METALICA-STTEL STRUCTURE.pdf</x:v>
      </x:c>
      <x:c r="H279" s="28" t="n">
        <x:v>478173</x:v>
      </x:c>
      <x:c r="I279" s="22" t="str">
        <x:v>3af8e6579080a81e44a65c12d3dcf553480de5f1273cbcba43eb94dcf6cb7ac4</x:v>
      </x:c>
      <x:c r="J279" s="22" t="n">
        <x:v>0</x:v>
      </x:c>
      <x:c r="K279" s="22" t="n">
        <x:v>0</x:v>
      </x:c>
      <x:c r="L279" s="22" t="n">
        <x:v>0</x:v>
      </x:c>
      <x:c r="M279" s="28" t="n">
        <x:v>0</x:v>
      </x:c>
      <x:c r="N279" s="28" t="n">
        <x:v>0</x:v>
      </x:c>
      <x:c r="O279" s="28" t="n">
        <x:v>0</x:v>
      </x:c>
      <x:c r="P279" s="62" t="n">
        <x:v>0</x:v>
      </x:c>
      <x:c r="Q279" s="22" t="n">
        <x:v>0</x:v>
      </x:c>
      <x:c r="R279" s="22" t="str"/>
      <x:c r="S279" s="22" t="str"/>
      <x:c r="T279" s="22" t="str"/>
    </x:row>
    <x:row r="280">
      <x:c r="A280" s="22" t="str">
        <x:v>2013-00064</x:v>
      </x:c>
      <x:c r="B280" s="22" t="str">
        <x:v>L2025-00012-1</x:v>
      </x:c>
      <x:c r="C280" s="22" t="str">
        <x:v>공사</x:v>
      </x:c>
      <x:c r="D280" s="25" t="str">
        <x:v>볼리비아 고원 지역 농업 기계화 및 농민역량 강화를 통한 생산성 증대 사업 퀴노아 연구센터 차칼라 건립 공사 시공사 선정 현지 입찰</x:v>
      </x:c>
      <x:c r="E280" s="22" t="n">
        <x:v>1</x:v>
      </x:c>
      <x:c r="F280" s="22" t="str">
        <x:v>.pdf</x:v>
      </x:c>
      <x:c r="G280" s="25" t="str">
        <x:v>L2025-00012-1/(붙임2) 입찰 관련 부속서류/Q-Lab_Chacala_Bidding Doc/Section 6. Q-Lab_Chacala_Q-Lab_Technical Specification/Q-Lab_TECHNICAL SPECIFICATIONS/08 FURNITURE/ESPECIFICACIONES TÉCNICAS - BLOQUE I.pdf</x:v>
      </x:c>
      <x:c r="H280" s="28" t="n">
        <x:v>799377</x:v>
      </x:c>
      <x:c r="I280" s="22" t="str">
        <x:v>b31ee327d4b25b0354432641a2650c6f346da72508db7f7bfd1d12192b985711</x:v>
      </x:c>
      <x:c r="J280" s="22" t="n">
        <x:v>0</x:v>
      </x:c>
      <x:c r="K280" s="22" t="n">
        <x:v>0</x:v>
      </x:c>
      <x:c r="L280" s="22" t="n">
        <x:v>0</x:v>
      </x:c>
      <x:c r="M280" s="28" t="n">
        <x:v>0</x:v>
      </x:c>
      <x:c r="N280" s="28" t="n">
        <x:v>0</x:v>
      </x:c>
      <x:c r="O280" s="28" t="n">
        <x:v>0</x:v>
      </x:c>
      <x:c r="P280" s="62" t="n">
        <x:v>0</x:v>
      </x:c>
      <x:c r="Q280" s="22" t="n">
        <x:v>0</x:v>
      </x:c>
      <x:c r="R280" s="22" t="str"/>
      <x:c r="S280" s="22" t="str"/>
      <x:c r="T280" s="22" t="str"/>
    </x:row>
    <x:row r="281">
      <x:c r="A281" s="22" t="str">
        <x:v>2013-00064</x:v>
      </x:c>
      <x:c r="B281" s="22" t="str">
        <x:v>L2025-00012-1</x:v>
      </x:c>
      <x:c r="C281" s="22" t="str">
        <x:v>공사</x:v>
      </x:c>
      <x:c r="D281" s="25" t="str">
        <x:v>볼리비아 고원 지역 농업 기계화 및 농민역량 강화를 통한 생산성 증대 사업 퀴노아 연구센터 차칼라 건립 공사 시공사 선정 현지 입찰</x:v>
      </x:c>
      <x:c r="E281" s="22" t="n">
        <x:v>1</x:v>
      </x:c>
      <x:c r="F281" s="22" t="str">
        <x:v>.pdf</x:v>
      </x:c>
      <x:c r="G281" s="25" t="str">
        <x:v>L2025-00012-1/(붙임2) 입찰 관련 부속서류/Q-Lab_Chacala_Bidding Doc/Section 6. Q-Lab_Chacala_Q-Lab_Technical Specification/Q-Lab_TECHNICAL SPECIFICATIONS/08 FURNITURE/ESPECIFICACIONES BLOQUE B - DISEÑO DETALLADO.pdf</x:v>
      </x:c>
      <x:c r="H281" s="28" t="n">
        <x:v>1440999</x:v>
      </x:c>
      <x:c r="I281" s="22" t="str">
        <x:v>d5a03f033f228dfa9a63a2d8928ef59243c41c6e0feb6c7dda8f8108418a10c2</x:v>
      </x:c>
      <x:c r="J281" s="22" t="n">
        <x:v>0</x:v>
      </x:c>
      <x:c r="K281" s="22" t="n">
        <x:v>0</x:v>
      </x:c>
      <x:c r="L281" s="22" t="n">
        <x:v>0</x:v>
      </x:c>
      <x:c r="M281" s="28" t="n">
        <x:v>0</x:v>
      </x:c>
      <x:c r="N281" s="28" t="n">
        <x:v>0</x:v>
      </x:c>
      <x:c r="O281" s="28" t="n">
        <x:v>0</x:v>
      </x:c>
      <x:c r="P281" s="62" t="n">
        <x:v>0</x:v>
      </x:c>
      <x:c r="Q281" s="22" t="n">
        <x:v>0</x:v>
      </x:c>
      <x:c r="R281" s="22" t="str"/>
      <x:c r="S281" s="22" t="str"/>
      <x:c r="T281" s="22" t="str"/>
    </x:row>
    <x:row r="282">
      <x:c r="A282" s="22" t="str">
        <x:v>2013-00064</x:v>
      </x:c>
      <x:c r="B282" s="22" t="str">
        <x:v>L2025-00012-1</x:v>
      </x:c>
      <x:c r="C282" s="22" t="str">
        <x:v>공사</x:v>
      </x:c>
      <x:c r="D282" s="25" t="str">
        <x:v>볼리비아 고원 지역 농업 기계화 및 농민역량 강화를 통한 생산성 증대 사업 퀴노아 연구센터 차칼라 건립 공사 시공사 선정 현지 입찰</x:v>
      </x:c>
      <x:c r="E282" s="22" t="n">
        <x:v>1</x:v>
      </x:c>
      <x:c r="F282" s="22" t="str">
        <x:v>.pdf</x:v>
      </x:c>
      <x:c r="G282" s="25" t="str">
        <x:v>L2025-00012-1/(붙임2) 입찰 관련 부속서류/Q-Lab_Chacala_Bidding Doc/Section 6. Q-Lab_Chacala_Q-Lab_Technical Specification/Q-Lab_TECHNICAL SPECIFICATIONS/08 FURNITURE/ESPECIFICACIONES BLOQUE C - DETAIL DESIGN.pdf</x:v>
      </x:c>
      <x:c r="H282" s="28" t="n">
        <x:v>837872</x:v>
      </x:c>
      <x:c r="I282" s="22" t="str">
        <x:v>6f9b1c5c045dfc077f22be6236fb18a391816aff5d37049f620278343413545d</x:v>
      </x:c>
      <x:c r="J282" s="22" t="n">
        <x:v>0</x:v>
      </x:c>
      <x:c r="K282" s="22" t="n">
        <x:v>0</x:v>
      </x:c>
      <x:c r="L282" s="22" t="n">
        <x:v>0</x:v>
      </x:c>
      <x:c r="M282" s="28" t="n">
        <x:v>0</x:v>
      </x:c>
      <x:c r="N282" s="28" t="n">
        <x:v>0</x:v>
      </x:c>
      <x:c r="O282" s="28" t="n">
        <x:v>0</x:v>
      </x:c>
      <x:c r="P282" s="62" t="n">
        <x:v>0</x:v>
      </x:c>
      <x:c r="Q282" s="22" t="n">
        <x:v>0</x:v>
      </x:c>
      <x:c r="R282" s="22" t="str"/>
      <x:c r="S282" s="22" t="str"/>
      <x:c r="T282" s="22" t="str"/>
    </x:row>
    <x:row r="283">
      <x:c r="A283" s="22" t="str">
        <x:v>2013-00064</x:v>
      </x:c>
      <x:c r="B283" s="22" t="str">
        <x:v>L2025-00012-1</x:v>
      </x:c>
      <x:c r="C283" s="22" t="str">
        <x:v>공사</x:v>
      </x:c>
      <x:c r="D283" s="25" t="str">
        <x:v>볼리비아 고원 지역 농업 기계화 및 농민역량 강화를 통한 생산성 증대 사업 퀴노아 연구센터 차칼라 건립 공사 시공사 선정 현지 입찰</x:v>
      </x:c>
      <x:c r="E283" s="22" t="n">
        <x:v>1</x:v>
      </x:c>
      <x:c r="F283" s="22" t="str">
        <x:v>.pdf</x:v>
      </x:c>
      <x:c r="G283" s="25" t="str">
        <x:v>L2025-00012-1/(붙임2) 입찰 관련 부속서류/Q-Lab_Chacala_Bidding Doc/Section 6. Q-Lab_Chacala_Q-Lab_Technical Specification/Q-Lab_TECHNICAL SPECIFICATIONS/08 FURNITURE/ESPECIFICACIONES BLOQUE D - DETAIL DESIGN.pdf</x:v>
      </x:c>
      <x:c r="H283" s="28" t="n">
        <x:v>4895811</x:v>
      </x:c>
      <x:c r="I283" s="22" t="str">
        <x:v>7019305877d1b80cb39a3902799fd02586a4034ba7fe0ecd8a61bd74ba76340e</x:v>
      </x:c>
      <x:c r="J283" s="22" t="n">
        <x:v>0</x:v>
      </x:c>
      <x:c r="K283" s="22" t="n">
        <x:v>0</x:v>
      </x:c>
      <x:c r="L283" s="22" t="n">
        <x:v>0</x:v>
      </x:c>
      <x:c r="M283" s="28" t="n">
        <x:v>0</x:v>
      </x:c>
      <x:c r="N283" s="28" t="n">
        <x:v>0</x:v>
      </x:c>
      <x:c r="O283" s="28" t="n">
        <x:v>0</x:v>
      </x:c>
      <x:c r="P283" s="62" t="n">
        <x:v>0</x:v>
      </x:c>
      <x:c r="Q283" s="22" t="n">
        <x:v>0</x:v>
      </x:c>
      <x:c r="R283" s="22" t="str"/>
      <x:c r="S283" s="22" t="str"/>
      <x:c r="T283" s="22" t="str"/>
    </x:row>
    <x:row r="284">
      <x:c r="A284" s="22" t="str">
        <x:v>2013-00064</x:v>
      </x:c>
      <x:c r="B284" s="22" t="str">
        <x:v>L2025-00012-1</x:v>
      </x:c>
      <x:c r="C284" s="22" t="str">
        <x:v>공사</x:v>
      </x:c>
      <x:c r="D284" s="25" t="str">
        <x:v>볼리비아 고원 지역 농업 기계화 및 농민역량 강화를 통한 생산성 증대 사업 퀴노아 연구센터 차칼라 건립 공사 시공사 선정 현지 입찰</x:v>
      </x:c>
      <x:c r="E284" s="22" t="n">
        <x:v>1</x:v>
      </x:c>
      <x:c r="F284" s="22" t="str">
        <x:v>.pdf</x:v>
      </x:c>
      <x:c r="G284" s="25" t="str">
        <x:v>L2025-00012-1/(붙임2) 입찰 관련 부속서류/Q-Lab_Chacala_Bidding Doc/Section 6. Q-Lab_Chacala_Q-Lab_Technical Specification/Q-Lab_TECHNICAL SPECIFICATIONS/08 FURNITURE/ESPECIFICACIONES BLOQUE L - DETAIL DESIGN.pdf</x:v>
      </x:c>
      <x:c r="H284" s="28" t="n">
        <x:v>8057283</x:v>
      </x:c>
      <x:c r="I284" s="22" t="str">
        <x:v>8766241af57d229d90137bb34a06c7b6a1f7663bf4efb09bfa81498f4f91e0c6</x:v>
      </x:c>
      <x:c r="J284" s="22" t="n">
        <x:v>0</x:v>
      </x:c>
      <x:c r="K284" s="22" t="n">
        <x:v>0</x:v>
      </x:c>
      <x:c r="L284" s="22" t="n">
        <x:v>0</x:v>
      </x:c>
      <x:c r="M284" s="28" t="n">
        <x:v>0</x:v>
      </x:c>
      <x:c r="N284" s="28" t="n">
        <x:v>0</x:v>
      </x:c>
      <x:c r="O284" s="28" t="n">
        <x:v>0</x:v>
      </x:c>
      <x:c r="P284" s="62" t="n">
        <x:v>0</x:v>
      </x:c>
      <x:c r="Q284" s="22" t="n">
        <x:v>0</x:v>
      </x:c>
      <x:c r="R284" s="22" t="str"/>
      <x:c r="S284" s="22" t="str"/>
      <x:c r="T284" s="22" t="str"/>
    </x:row>
    <x:row r="285">
      <x:c r="A285" s="22" t="str">
        <x:v>2013-00064</x:v>
      </x:c>
      <x:c r="B285" s="22" t="str">
        <x:v>L2025-00012-1</x:v>
      </x:c>
      <x:c r="C285" s="22" t="str">
        <x:v>공사</x:v>
      </x:c>
      <x:c r="D285" s="25" t="str">
        <x:v>볼리비아 고원 지역 농업 기계화 및 농민역량 강화를 통한 생산성 증대 사업 퀴노아 연구센터 차칼라 건립 공사 시공사 선정 현지 입찰</x:v>
      </x:c>
      <x:c r="E285" s="22" t="n">
        <x:v>1</x:v>
      </x:c>
      <x:c r="F285" s="22" t="str">
        <x:v>.pdf</x:v>
      </x:c>
      <x:c r="G285" s="25" t="str">
        <x:v>L2025-00012-1/(붙임2) 입찰 관련 부속서류/Q-Lab_Chacala_Bidding Doc/Section 6. Q-Lab_Chacala_Q-Lab_Technical Specification/Q-Lab_TECHNICAL SPECIFICATIONS/02 ESTRUCTURE/02-Inglés/02-SPECIFIC TECHNICAL SPECIFICATION EST-HA.pdf</x:v>
      </x:c>
      <x:c r="H285" s="28" t="n">
        <x:v>384364</x:v>
      </x:c>
      <x:c r="I285" s="22" t="str">
        <x:v>e54420a9a0df3be1961c3fca1f85864b005b357a8e80a9b40e08913542c7db41</x:v>
      </x:c>
      <x:c r="J285" s="22" t="n">
        <x:v>0</x:v>
      </x:c>
      <x:c r="K285" s="22" t="n">
        <x:v>0</x:v>
      </x:c>
      <x:c r="L285" s="22" t="n">
        <x:v>0</x:v>
      </x:c>
      <x:c r="M285" s="28" t="n">
        <x:v>0</x:v>
      </x:c>
      <x:c r="N285" s="28" t="n">
        <x:v>0</x:v>
      </x:c>
      <x:c r="O285" s="28" t="n">
        <x:v>0</x:v>
      </x:c>
      <x:c r="P285" s="62" t="n">
        <x:v>0</x:v>
      </x:c>
      <x:c r="Q285" s="22" t="n">
        <x:v>0</x:v>
      </x:c>
      <x:c r="R285" s="22" t="str"/>
      <x:c r="S285" s="22" t="str"/>
      <x:c r="T285" s="22" t="str"/>
    </x:row>
    <x:row r="286">
      <x:c r="A286" s="22" t="str">
        <x:v>2013-00064</x:v>
      </x:c>
      <x:c r="B286" s="22" t="str">
        <x:v>L2025-00012-1</x:v>
      </x:c>
      <x:c r="C286" s="22" t="str">
        <x:v>공사</x:v>
      </x:c>
      <x:c r="D286" s="25" t="str">
        <x:v>볼리비아 고원 지역 농업 기계화 및 농민역량 강화를 통한 생산성 증대 사업 퀴노아 연구센터 차칼라 건립 공사 시공사 선정 현지 입찰</x:v>
      </x:c>
      <x:c r="E286" s="22" t="n">
        <x:v>1</x:v>
      </x:c>
      <x:c r="F286" s="22" t="str">
        <x:v>.pdf</x:v>
      </x:c>
      <x:c r="G286" s="25" t="str">
        <x:v>L2025-00012-1/(붙임2) 입찰 관련 부속서류/Q-Lab_Chacala_Bidding Doc/Section 6. Q-Lab_Chacala_Q-Lab_Technical Specification/Q-Lab_TECHNICAL SPECIFICATIONS/02 ESTRUCTURE/02-Inglés/01-General Technical Specifications.pdf</x:v>
      </x:c>
      <x:c r="H286" s="28" t="n">
        <x:v>422809</x:v>
      </x:c>
      <x:c r="I286" s="22" t="str">
        <x:v>12f82980ab04a36245aa182b4a183b78cbed388889d0942efc1e38203ad6b968</x:v>
      </x:c>
      <x:c r="J286" s="22" t="n">
        <x:v>0</x:v>
      </x:c>
      <x:c r="K286" s="22" t="n">
        <x:v>0</x:v>
      </x:c>
      <x:c r="L286" s="22" t="n">
        <x:v>0</x:v>
      </x:c>
      <x:c r="M286" s="28" t="n">
        <x:v>0</x:v>
      </x:c>
      <x:c r="N286" s="28" t="n">
        <x:v>0</x:v>
      </x:c>
      <x:c r="O286" s="28" t="n">
        <x:v>0</x:v>
      </x:c>
      <x:c r="P286" s="62" t="n">
        <x:v>0</x:v>
      </x:c>
      <x:c r="Q286" s="22" t="n">
        <x:v>0</x:v>
      </x:c>
      <x:c r="R286" s="22" t="str"/>
      <x:c r="S286" s="22" t="str"/>
      <x:c r="T286" s="22" t="str"/>
    </x:row>
    <x:row r="287">
      <x:c r="A287" s="22" t="str">
        <x:v>2013-00064</x:v>
      </x:c>
      <x:c r="B287" s="22" t="str">
        <x:v>L2025-00012-1</x:v>
      </x:c>
      <x:c r="C287" s="22" t="str">
        <x:v>공사</x:v>
      </x:c>
      <x:c r="D287" s="25" t="str">
        <x:v>볼리비아 고원 지역 농업 기계화 및 농민역량 강화를 통한 생산성 증대 사업 퀴노아 연구센터 차칼라 건립 공사 시공사 선정 현지 입찰</x:v>
      </x:c>
      <x:c r="E287" s="22" t="n">
        <x:v>1</x:v>
      </x:c>
      <x:c r="F287" s="22" t="str">
        <x:v>.pdf</x:v>
      </x:c>
      <x:c r="G287" s="25" t="str">
        <x:v>L2025-00012-1/(붙임2) 입찰 관련 부속서류/Q-Lab_Chacala_Bidding Doc/Section 6. Q-Lab_Chacala_Q-Lab_Technical Specification/Q-Lab_TECHNICAL SPECIFICATIONS/02 ESTRUCTURE/01-Español/01-Especificaciones Técnicas Generales.pdf</x:v>
      </x:c>
      <x:c r="H287" s="28" t="n">
        <x:v>474262</x:v>
      </x:c>
      <x:c r="I287" s="22" t="str">
        <x:v>18061db0b729d0e12bb600fce479b0ec2e9407d0830f06e21594806796c194fa</x:v>
      </x:c>
      <x:c r="J287" s="22" t="n">
        <x:v>0</x:v>
      </x:c>
      <x:c r="K287" s="22" t="n">
        <x:v>0</x:v>
      </x:c>
      <x:c r="L287" s="22" t="n">
        <x:v>0</x:v>
      </x:c>
      <x:c r="M287" s="28" t="n">
        <x:v>0</x:v>
      </x:c>
      <x:c r="N287" s="28" t="n">
        <x:v>0</x:v>
      </x:c>
      <x:c r="O287" s="28" t="n">
        <x:v>0</x:v>
      </x:c>
      <x:c r="P287" s="62" t="n">
        <x:v>0</x:v>
      </x:c>
      <x:c r="Q287" s="22" t="n">
        <x:v>0</x:v>
      </x:c>
      <x:c r="R287" s="22" t="str"/>
      <x:c r="S287" s="22" t="str"/>
      <x:c r="T287" s="22" t="str"/>
    </x:row>
    <x:row r="288">
      <x:c r="A288" s="22" t="str">
        <x:v>2013-00064</x:v>
      </x:c>
      <x:c r="B288" s="22" t="str">
        <x:v>L2025-00012-2</x:v>
      </x:c>
      <x:c r="C288" s="22" t="str">
        <x:v>공사</x:v>
      </x:c>
      <x:c r="D288" s="25" t="str">
        <x:v>볼리비아 고원 지역 농업 기계화 및 농민역량 강화를 통한 생산성 증대 사업 퀴노아 연구센터 차칼라 건립 공사 시공사 선정 현지 입찰 재공고</x:v>
      </x:c>
      <x:c r="E288" s="22" t="n">
        <x:v>1</x:v>
      </x:c>
      <x:c r="F288" s="22" t="str">
        <x:v>.zip</x:v>
      </x:c>
      <x:c r="G288" s="25" t="str">
        <x:v>L2025-00012-2/(붙임2) 입찰 관련 부속서류.zip</x:v>
      </x:c>
      <x:c r="H288" s="28" t="n">
        <x:v>47837224</x:v>
      </x:c>
      <x:c r="I288" s="22" t="str">
        <x:v>a36d670b0514f69d108ed71ff4f1e18136e76394ac8c875f951e9a30141e8cc0</x:v>
      </x:c>
      <x:c r="J288" s="22" t="n">
        <x:v>0</x:v>
      </x:c>
      <x:c r="K288" s="22" t="n">
        <x:v>0</x:v>
      </x:c>
      <x:c r="L288" s="22" t="n">
        <x:v>0</x:v>
      </x:c>
      <x:c r="M288" s="28" t="n">
        <x:v>0</x:v>
      </x:c>
      <x:c r="N288" s="28" t="n">
        <x:v>0</x:v>
      </x:c>
      <x:c r="O288" s="28" t="n">
        <x:v>0</x:v>
      </x:c>
      <x:c r="P288" s="62" t="n">
        <x:v>0</x:v>
      </x:c>
      <x:c r="Q288" s="22" t="n">
        <x:v>0</x:v>
      </x:c>
      <x:c r="R288" s="22" t="str"/>
      <x:c r="S288" s="22" t="str"/>
      <x:c r="T288" s="22" t="str"/>
    </x:row>
    <x:row r="289">
      <x:c r="A289" s="22" t="str">
        <x:v>2013-00064</x:v>
      </x:c>
      <x:c r="B289" s="22" t="str">
        <x:v>L2025-00012-2</x:v>
      </x:c>
      <x:c r="C289" s="22" t="str">
        <x:v>공사</x:v>
      </x:c>
      <x:c r="D289" s="25" t="str">
        <x:v>볼리비아 고원 지역 농업 기계화 및 농민역량 강화를 통한 생산성 증대 사업 퀴노아 연구센터 차칼라 건립 공사 시공사 선정 현지 입찰 재공고</x:v>
      </x:c>
      <x:c r="E289" s="22" t="n">
        <x:v>1</x:v>
      </x:c>
      <x:c r="F289" s="22" t="str">
        <x:v>.docx</x:v>
      </x:c>
      <x:c r="G289" s="25" t="str">
        <x:v>L2025-00012-2/(붙임1-2) 영문입찰계획서_Q-Lab_Chacala_Bid Data Sheet (BDS)_20250502.docx</x:v>
      </x:c>
      <x:c r="H289" s="28" t="n">
        <x:v>275433</x:v>
      </x:c>
      <x:c r="I289" s="22" t="str">
        <x:v>d9f4a817d8bb5bd902d9392e6deddb7c47d0dea2ba433c1d61135dc32a07f765</x:v>
      </x:c>
      <x:c r="J289" s="22" t="n">
        <x:v>0</x:v>
      </x:c>
      <x:c r="K289" s="22" t="n">
        <x:v>0</x:v>
      </x:c>
      <x:c r="L289" s="22" t="n">
        <x:v>0</x:v>
      </x:c>
      <x:c r="M289" s="28" t="n">
        <x:v>0</x:v>
      </x:c>
      <x:c r="N289" s="28" t="n">
        <x:v>0</x:v>
      </x:c>
      <x:c r="O289" s="28" t="n">
        <x:v>0</x:v>
      </x:c>
      <x:c r="P289" s="62" t="n">
        <x:v>0</x:v>
      </x:c>
      <x:c r="Q289" s="22" t="n">
        <x:v>0</x:v>
      </x:c>
      <x:c r="R289" s="22" t="str"/>
      <x:c r="S289" s="22" t="str"/>
      <x:c r="T289" s="22" t="str"/>
    </x:row>
    <x:row r="290">
      <x:c r="A290" s="22" t="str">
        <x:v>2013-00064</x:v>
      </x:c>
      <x:c r="B290" s="22" t="str">
        <x:v>L2025-00012-2</x:v>
      </x:c>
      <x:c r="C290" s="22" t="str">
        <x:v>공사</x:v>
      </x:c>
      <x:c r="D290" s="25" t="str">
        <x:v>볼리비아 고원 지역 농업 기계화 및 농민역량 강화를 통한 생산성 증대 사업 퀴노아 연구센터 차칼라 건립 공사 시공사 선정 현지 입찰 재공고</x:v>
      </x:c>
      <x:c r="E290" s="22" t="n">
        <x:v>1</x:v>
      </x:c>
      <x:c r="F290" s="22" t="str">
        <x:v>.zip</x:v>
      </x:c>
      <x:c r="G290" s="25" t="str">
        <x:v>L2025-00012-2/(붙임2) 입찰 관련 부속서류/Q-Lab_Chacala_Bidding Doc/Section 4. Q-Lab_Chacala_BOQ_blanked.zip</x:v>
      </x:c>
      <x:c r="H290" s="28" t="n">
        <x:v>6318089</x:v>
      </x:c>
      <x:c r="I290" s="22" t="str">
        <x:v>bbb312fa07ebbb10f4ea0081e34eb74a3022921057e6f566c67a0b0505a75650</x:v>
      </x:c>
      <x:c r="J290" s="22" t="n">
        <x:v>0</x:v>
      </x:c>
      <x:c r="K290" s="22" t="n">
        <x:v>0</x:v>
      </x:c>
      <x:c r="L290" s="22" t="n">
        <x:v>1</x:v>
      </x:c>
      <x:c r="M290" s="28" t="n">
        <x:v>0</x:v>
      </x:c>
      <x:c r="N290" s="28" t="n">
        <x:v>0</x:v>
      </x:c>
      <x:c r="O290" s="28" t="n">
        <x:v>0</x:v>
      </x:c>
      <x:c r="P290" s="62" t="n">
        <x:v>0</x:v>
      </x:c>
      <x:c r="Q290" s="22" t="n">
        <x:v>0</x:v>
      </x:c>
      <x:c r="R290" s="22" t="str"/>
      <x:c r="S290" s="22" t="str"/>
      <x:c r="T290" s="22" t="str"/>
    </x:row>
    <x:row r="291">
      <x:c r="A291" s="22" t="str">
        <x:v>2013-00064</x:v>
      </x:c>
      <x:c r="B291" s="22" t="str">
        <x:v>L2025-00012-2</x:v>
      </x:c>
      <x:c r="C291" s="22" t="str">
        <x:v>공사</x:v>
      </x:c>
      <x:c r="D291" s="25" t="str">
        <x:v>볼리비아 고원 지역 농업 기계화 및 농민역량 강화를 통한 생산성 증대 사업 퀴노아 연구센터 차칼라 건립 공사 시공사 선정 현지 입찰 재공고</x:v>
      </x:c>
      <x:c r="E291" s="22" t="n">
        <x:v>1</x:v>
      </x:c>
      <x:c r="F291" s="22" t="str">
        <x:v>.docx</x:v>
      </x:c>
      <x:c r="G291" s="25" t="str">
        <x:v>L2025-00012-2/(붙임2) 입찰 관련 부속서류/Q-Lab_Chacala_Bidding Doc/Section 2._Q-Lab_Chacala_Bid Data Sheet (BDS)_20250502.docx</x:v>
      </x:c>
      <x:c r="H291" s="28" t="n">
        <x:v>275433</x:v>
      </x:c>
      <x:c r="I291" s="22" t="str">
        <x:v>d9f4a817d8bb5bd902d9392e6deddb7c47d0dea2ba433c1d61135dc32a07f765</x:v>
      </x:c>
      <x:c r="J291" s="22" t="n">
        <x:v>0</x:v>
      </x:c>
      <x:c r="K291" s="22" t="n">
        <x:v>0</x:v>
      </x:c>
      <x:c r="L291" s="22" t="n">
        <x:v>0</x:v>
      </x:c>
      <x:c r="M291" s="28" t="n">
        <x:v>0</x:v>
      </x:c>
      <x:c r="N291" s="28" t="n">
        <x:v>0</x:v>
      </x:c>
      <x:c r="O291" s="28" t="n">
        <x:v>0</x:v>
      </x:c>
      <x:c r="P291" s="62" t="n">
        <x:v>0</x:v>
      </x:c>
      <x:c r="Q291" s="22" t="n">
        <x:v>0</x:v>
      </x:c>
      <x:c r="R291" s="22" t="str"/>
      <x:c r="S291" s="22" t="str"/>
      <x:c r="T291" s="22" t="str"/>
    </x:row>
    <x:row r="292">
      <x:c r="A292" s="22" t="str">
        <x:v>2013-00064</x:v>
      </x:c>
      <x:c r="B292" s="22" t="str">
        <x:v>L2025-00012-2</x:v>
      </x:c>
      <x:c r="C292" s="22" t="str">
        <x:v>공사</x:v>
      </x:c>
      <x:c r="D292" s="25" t="str">
        <x:v>볼리비아 고원 지역 농업 기계화 및 농민역량 강화를 통한 생산성 증대 사업 퀴노아 연구센터 차칼라 건립 공사 시공사 선정 현지 입찰 재공고</x:v>
      </x:c>
      <x:c r="E292" s="22" t="n">
        <x:v>1</x:v>
      </x:c>
      <x:c r="F292" s="22" t="str">
        <x:v>.docx</x:v>
      </x:c>
      <x:c r="G292" s="25" t="str">
        <x:v>L2025-00012-2/(붙임2) 입찰 관련 부속서류/Q-Lab_Chacala_Bidding Doc/Section 9. Q-Lab_Chacala_Contract Forms.docx</x:v>
      </x:c>
      <x:c r="H292" s="28" t="n">
        <x:v>40342</x:v>
      </x:c>
      <x:c r="I292" s="22" t="str">
        <x:v>8831da156a61d97c77fd6013d7f118d6e8f21039a0fad8b09829972b68153967</x:v>
      </x:c>
      <x:c r="J292" s="22" t="n">
        <x:v>0</x:v>
      </x:c>
      <x:c r="K292" s="22" t="n">
        <x:v>0</x:v>
      </x:c>
      <x:c r="L292" s="22" t="n">
        <x:v>0</x:v>
      </x:c>
      <x:c r="M292" s="28" t="n">
        <x:v>0</x:v>
      </x:c>
      <x:c r="N292" s="28" t="n">
        <x:v>0</x:v>
      </x:c>
      <x:c r="O292" s="28" t="n">
        <x:v>0</x:v>
      </x:c>
      <x:c r="P292" s="62" t="n">
        <x:v>0</x:v>
      </x:c>
      <x:c r="Q292" s="22" t="n">
        <x:v>0</x:v>
      </x:c>
      <x:c r="R292" s="22" t="str"/>
      <x:c r="S292" s="22" t="str"/>
      <x:c r="T292" s="22" t="str"/>
    </x:row>
    <x:row r="293">
      <x:c r="A293" s="22" t="str">
        <x:v>2013-00064</x:v>
      </x:c>
      <x:c r="B293" s="22" t="str">
        <x:v>L2025-00012-2</x:v>
      </x:c>
      <x:c r="C293" s="22" t="str">
        <x:v>공사</x:v>
      </x:c>
      <x:c r="D293" s="25" t="str">
        <x:v>볼리비아 고원 지역 농업 기계화 및 농민역량 강화를 통한 생산성 증대 사업 퀴노아 연구센터 차칼라 건립 공사 시공사 선정 현지 입찰 재공고</x:v>
      </x:c>
      <x:c r="E293" s="22" t="n">
        <x:v>1</x:v>
      </x:c>
      <x:c r="F293" s="22" t="str">
        <x:v>.docx</x:v>
      </x:c>
      <x:c r="G293" s="25" t="str">
        <x:v>L2025-00012-2/(붙임2) 입찰 관련 부속서류/Q-Lab_Chacala_Bidding Doc/Section 7. Q-Lab_Chacala_General Conditions of Contract.docx</x:v>
      </x:c>
      <x:c r="H293" s="28" t="n">
        <x:v>205115</x:v>
      </x:c>
      <x:c r="I293" s="22" t="str">
        <x:v>a8915ac8338a1782bca27405f5a881e97682d816adc491e89bf52abeec082e15</x:v>
      </x:c>
      <x:c r="J293" s="22" t="n">
        <x:v>0</x:v>
      </x:c>
      <x:c r="K293" s="22" t="n">
        <x:v>0</x:v>
      </x:c>
      <x:c r="L293" s="22" t="n">
        <x:v>0</x:v>
      </x:c>
      <x:c r="M293" s="28" t="n">
        <x:v>0</x:v>
      </x:c>
      <x:c r="N293" s="28" t="n">
        <x:v>0</x:v>
      </x:c>
      <x:c r="O293" s="28" t="n">
        <x:v>0</x:v>
      </x:c>
      <x:c r="P293" s="62" t="n">
        <x:v>0</x:v>
      </x:c>
      <x:c r="Q293" s="22" t="n">
        <x:v>0</x:v>
      </x:c>
      <x:c r="R293" s="22" t="str"/>
      <x:c r="S293" s="22" t="str"/>
      <x:c r="T293" s="22" t="str"/>
    </x:row>
    <x:row r="294">
      <x:c r="A294" s="22" t="str">
        <x:v>2013-00064</x:v>
      </x:c>
      <x:c r="B294" s="22" t="str">
        <x:v>L2025-00012-2</x:v>
      </x:c>
      <x:c r="C294" s="22" t="str">
        <x:v>공사</x:v>
      </x:c>
      <x:c r="D294" s="25" t="str">
        <x:v>볼리비아 고원 지역 농업 기계화 및 농민역량 강화를 통한 생산성 증대 사업 퀴노아 연구센터 차칼라 건립 공사 시공사 선정 현지 입찰 재공고</x:v>
      </x:c>
      <x:c r="E294" s="22" t="n">
        <x:v>1</x:v>
      </x:c>
      <x:c r="F294" s="22" t="str">
        <x:v>.zip</x:v>
      </x:c>
      <x:c r="G294" s="25" t="str">
        <x:v>L2025-00012-2/(붙임2) 입찰 관련 부속서류/Q-Lab_Chacala_Bidding Doc/Attachment01_Pledges.zip</x:v>
      </x:c>
      <x:c r="H294" s="28" t="n">
        <x:v>69219</x:v>
      </x:c>
      <x:c r="I294" s="22" t="str">
        <x:v>ae5455bbd17f4b15e12b5c6d662237b1467749b68da269a976590a4d5bc8ccd9</x:v>
      </x:c>
      <x:c r="J294" s="22" t="n">
        <x:v>0</x:v>
      </x:c>
      <x:c r="K294" s="22" t="n">
        <x:v>0</x:v>
      </x:c>
      <x:c r="L294" s="22" t="n">
        <x:v>0</x:v>
      </x:c>
      <x:c r="M294" s="28" t="n">
        <x:v>0</x:v>
      </x:c>
      <x:c r="N294" s="28" t="n">
        <x:v>0</x:v>
      </x:c>
      <x:c r="O294" s="28" t="n">
        <x:v>0</x:v>
      </x:c>
      <x:c r="P294" s="62" t="n">
        <x:v>0</x:v>
      </x:c>
      <x:c r="Q294" s="22" t="n">
        <x:v>0</x:v>
      </x:c>
      <x:c r="R294" s="22" t="str"/>
      <x:c r="S294" s="22" t="str"/>
      <x:c r="T294" s="22" t="str"/>
    </x:row>
    <x:row r="295">
      <x:c r="A295" s="22" t="str">
        <x:v>2013-00064</x:v>
      </x:c>
      <x:c r="B295" s="22" t="str">
        <x:v>L2025-00012-2</x:v>
      </x:c>
      <x:c r="C295" s="22" t="str">
        <x:v>공사</x:v>
      </x:c>
      <x:c r="D295" s="25" t="str">
        <x:v>볼리비아 고원 지역 농업 기계화 및 농민역량 강화를 통한 생산성 증대 사업 퀴노아 연구센터 차칼라 건립 공사 시공사 선정 현지 입찰 재공고</x:v>
      </x:c>
      <x:c r="E295" s="22" t="n">
        <x:v>1</x:v>
      </x:c>
      <x:c r="F295" s="22" t="str">
        <x:v>.zip</x:v>
      </x:c>
      <x:c r="G295" s="25" t="str">
        <x:v>L2025-00012-2/(붙임2) 입찰 관련 부속서류/Q-Lab_Chacala_Bidding Doc/Attachment02_KOICA Bidding Regulations and Guidelines.zip</x:v>
      </x:c>
      <x:c r="H295" s="28" t="n">
        <x:v>1740841</x:v>
      </x:c>
      <x:c r="I295" s="22" t="str">
        <x:v>756daa3bcbe113f56a9cfbf9054aa7fa5f05eb83e8c1e5d475f1a9d28ed954f4</x:v>
      </x:c>
      <x:c r="J295" s="22" t="n">
        <x:v>0</x:v>
      </x:c>
      <x:c r="K295" s="22" t="n">
        <x:v>0</x:v>
      </x:c>
      <x:c r="L295" s="22" t="n">
        <x:v>0</x:v>
      </x:c>
      <x:c r="M295" s="28" t="n">
        <x:v>0</x:v>
      </x:c>
      <x:c r="N295" s="28" t="n">
        <x:v>0</x:v>
      </x:c>
      <x:c r="O295" s="28" t="n">
        <x:v>0</x:v>
      </x:c>
      <x:c r="P295" s="62" t="n">
        <x:v>0</x:v>
      </x:c>
      <x:c r="Q295" s="22" t="n">
        <x:v>0</x:v>
      </x:c>
      <x:c r="R295" s="22" t="str"/>
      <x:c r="S295" s="22" t="str"/>
      <x:c r="T295" s="22" t="str"/>
    </x:row>
    <x:row r="296">
      <x:c r="A296" s="22" t="str">
        <x:v>2013-00064</x:v>
      </x:c>
      <x:c r="B296" s="22" t="str">
        <x:v>L2025-00012-2</x:v>
      </x:c>
      <x:c r="C296" s="22" t="str">
        <x:v>공사</x:v>
      </x:c>
      <x:c r="D296" s="25" t="str">
        <x:v>볼리비아 고원 지역 농업 기계화 및 농민역량 강화를 통한 생산성 증대 사업 퀴노아 연구센터 차칼라 건립 공사 시공사 선정 현지 입찰 재공고</x:v>
      </x:c>
      <x:c r="E296" s="22" t="n">
        <x:v>1</x:v>
      </x:c>
      <x:c r="F296" s="22" t="str">
        <x:v>.docx</x:v>
      </x:c>
      <x:c r="G296" s="25" t="str">
        <x:v>L2025-00012-2/(붙임2) 입찰 관련 부속서류/Q-Lab_Chacala_Bidding Doc/Section 8. Q-Lab_Chacala_Specail Conditions of Contract.docx</x:v>
      </x:c>
      <x:c r="H296" s="28" t="n">
        <x:v>65954</x:v>
      </x:c>
      <x:c r="I296" s="22" t="str">
        <x:v>8e0350eabfef096ac33ec66768eaaa13dbe4c84eb3f7c5e35010eb982817e806</x:v>
      </x:c>
      <x:c r="J296" s="22" t="n">
        <x:v>0</x:v>
      </x:c>
      <x:c r="K296" s="22" t="n">
        <x:v>0</x:v>
      </x:c>
      <x:c r="L296" s="22" t="n">
        <x:v>0</x:v>
      </x:c>
      <x:c r="M296" s="28" t="n">
        <x:v>0</x:v>
      </x:c>
      <x:c r="N296" s="28" t="n">
        <x:v>0</x:v>
      </x:c>
      <x:c r="O296" s="28" t="n">
        <x:v>0</x:v>
      </x:c>
      <x:c r="P296" s="62" t="n">
        <x:v>0</x:v>
      </x:c>
      <x:c r="Q296" s="22" t="n">
        <x:v>0</x:v>
      </x:c>
      <x:c r="R296" s="22" t="str"/>
      <x:c r="S296" s="22" t="str"/>
      <x:c r="T296" s="22" t="str"/>
    </x:row>
    <x:row r="297">
      <x:c r="A297" s="22" t="str">
        <x:v>2013-00064</x:v>
      </x:c>
      <x:c r="B297" s="22" t="str">
        <x:v>L2025-00012-2</x:v>
      </x:c>
      <x:c r="C297" s="22" t="str">
        <x:v>공사</x:v>
      </x:c>
      <x:c r="D297" s="25" t="str">
        <x:v>볼리비아 고원 지역 농업 기계화 및 농민역량 강화를 통한 생산성 증대 사업 퀴노아 연구센터 차칼라 건립 공사 시공사 선정 현지 입찰 재공고</x:v>
      </x:c>
      <x:c r="E297" s="22" t="n">
        <x:v>1</x:v>
      </x:c>
      <x:c r="F297" s="22" t="str">
        <x:v>.zip</x:v>
      </x:c>
      <x:c r="G297" s="25" t="str">
        <x:v>L2025-00012-2/(붙임2) 입찰 관련 부속서류/Q-Lab_Chacala_Bidding Doc/Section 6. Q-Lab_Chacala_Q-Lab_Technical Specification.zip</x:v>
      </x:c>
      <x:c r="H297" s="28" t="n">
        <x:v>26806734</x:v>
      </x:c>
      <x:c r="I297" s="22" t="str">
        <x:v>7b8ee21beb91a9b4f9245e195ffba9595ff2c77759640a630d91477ad0878190</x:v>
      </x:c>
      <x:c r="J297" s="22" t="n">
        <x:v>0</x:v>
      </x:c>
      <x:c r="K297" s="22" t="n">
        <x:v>0</x:v>
      </x:c>
      <x:c r="L297" s="22" t="n">
        <x:v>0</x:v>
      </x:c>
      <x:c r="M297" s="28" t="n">
        <x:v>0</x:v>
      </x:c>
      <x:c r="N297" s="28" t="n">
        <x:v>0</x:v>
      </x:c>
      <x:c r="O297" s="28" t="n">
        <x:v>0</x:v>
      </x:c>
      <x:c r="P297" s="62" t="n">
        <x:v>0</x:v>
      </x:c>
      <x:c r="Q297" s="22" t="n">
        <x:v>0</x:v>
      </x:c>
      <x:c r="R297" s="22" t="str"/>
      <x:c r="S297" s="22" t="str"/>
      <x:c r="T297" s="22" t="str"/>
    </x:row>
    <x:row r="298">
      <x:c r="A298" s="22" t="str">
        <x:v>2013-00064</x:v>
      </x:c>
      <x:c r="B298" s="22" t="str">
        <x:v>L2025-00012-2</x:v>
      </x:c>
      <x:c r="C298" s="22" t="str">
        <x:v>공사</x:v>
      </x:c>
      <x:c r="D298" s="25" t="str">
        <x:v>볼리비아 고원 지역 농업 기계화 및 농민역량 강화를 통한 생산성 증대 사업 퀴노아 연구센터 차칼라 건립 공사 시공사 선정 현지 입찰 재공고</x:v>
      </x:c>
      <x:c r="E298" s="22" t="n">
        <x:v>1</x:v>
      </x:c>
      <x:c r="F298" s="22" t="str">
        <x:v>.docx</x:v>
      </x:c>
      <x:c r="G298" s="25" t="str">
        <x:v>L2025-00012-2/(붙임2) 입찰 관련 부속서류/Q-Lab_Chacala_Bidding Doc/Section 3. Q-Lab_Chacala_Bidding Forms.docx</x:v>
      </x:c>
      <x:c r="H298" s="28" t="n">
        <x:v>51086</x:v>
      </x:c>
      <x:c r="I298" s="22" t="str">
        <x:v>4b488c40ce9e1c090374026a6f228c2e3ce8d299b0e2411a6584452f5ab0992c</x:v>
      </x:c>
      <x:c r="J298" s="22" t="n">
        <x:v>0</x:v>
      </x:c>
      <x:c r="K298" s="22" t="n">
        <x:v>0</x:v>
      </x:c>
      <x:c r="L298" s="22" t="n">
        <x:v>0</x:v>
      </x:c>
      <x:c r="M298" s="28" t="n">
        <x:v>0</x:v>
      </x:c>
      <x:c r="N298" s="28" t="n">
        <x:v>0</x:v>
      </x:c>
      <x:c r="O298" s="28" t="n">
        <x:v>0</x:v>
      </x:c>
      <x:c r="P298" s="62" t="n">
        <x:v>0</x:v>
      </x:c>
      <x:c r="Q298" s="22" t="n">
        <x:v>0</x:v>
      </x:c>
      <x:c r="R298" s="22" t="str"/>
      <x:c r="S298" s="22" t="str"/>
      <x:c r="T298" s="22" t="str"/>
    </x:row>
    <x:row r="299">
      <x:c r="A299" s="22" t="str">
        <x:v>2013-00064</x:v>
      </x:c>
      <x:c r="B299" s="22" t="str">
        <x:v>L2025-00012-2</x:v>
      </x:c>
      <x:c r="C299" s="22" t="str">
        <x:v>공사</x:v>
      </x:c>
      <x:c r="D299" s="25" t="str">
        <x:v>볼리비아 고원 지역 농업 기계화 및 농민역량 강화를 통한 생산성 증대 사업 퀴노아 연구센터 차칼라 건립 공사 시공사 선정 현지 입찰 재공고</x:v>
      </x:c>
      <x:c r="E299" s="22" t="n">
        <x:v>1</x:v>
      </x:c>
      <x:c r="F299" s="22" t="str">
        <x:v>.docx</x:v>
      </x:c>
      <x:c r="G299" s="25" t="str">
        <x:v>L2025-00012-2/(붙임2) 입찰 관련 부속서류/Q-Lab_Chacala_Bidding Doc/Section 1. Q-Lab_Chacala_Instructions to Bidders (ITB).docx</x:v>
      </x:c>
      <x:c r="H299" s="28" t="n">
        <x:v>36085</x:v>
      </x:c>
      <x:c r="I299" s="22" t="str">
        <x:v>633227b8ec92b28ca32d0746a92f86110a6232633c03b9ac411ed91937fa9ade</x:v>
      </x:c>
      <x:c r="J299" s="22" t="n">
        <x:v>0</x:v>
      </x:c>
      <x:c r="K299" s="22" t="n">
        <x:v>0</x:v>
      </x:c>
      <x:c r="L299" s="22" t="n">
        <x:v>0</x:v>
      </x:c>
      <x:c r="M299" s="28" t="n">
        <x:v>0</x:v>
      </x:c>
      <x:c r="N299" s="28" t="n">
        <x:v>0</x:v>
      </x:c>
      <x:c r="O299" s="28" t="n">
        <x:v>0</x:v>
      </x:c>
      <x:c r="P299" s="62" t="n">
        <x:v>0</x:v>
      </x:c>
      <x:c r="Q299" s="22" t="n">
        <x:v>0</x:v>
      </x:c>
      <x:c r="R299" s="22" t="str"/>
      <x:c r="S299" s="22" t="str"/>
      <x:c r="T299" s="22" t="str"/>
    </x:row>
    <x:row r="300">
      <x:c r="A300" s="22" t="str">
        <x:v>2013-00064</x:v>
      </x:c>
      <x:c r="B300" s="22" t="str">
        <x:v>L2025-00012-2</x:v>
      </x:c>
      <x:c r="C300" s="22" t="str">
        <x:v>공사</x:v>
      </x:c>
      <x:c r="D300" s="25" t="str">
        <x:v>볼리비아 고원 지역 농업 기계화 및 농민역량 강화를 통한 생산성 증대 사업 퀴노아 연구센터 차칼라 건립 공사 시공사 선정 현지 입찰 재공고</x:v>
      </x:c>
      <x:c r="E300" s="22" t="n">
        <x:v>1</x:v>
      </x:c>
      <x:c r="F300" s="22" t="str">
        <x:v>.zip</x:v>
      </x:c>
      <x:c r="G300" s="25" t="str">
        <x:v>L2025-00012-2/(붙임2) 입찰 관련 부속서류/Q-Lab_Chacala_Bidding Doc/Section 5. Q-Lab_Chacala_Q-Lab_DWG.zip</x:v>
      </x:c>
      <x:c r="H300" s="28" t="n">
        <x:v>12315238</x:v>
      </x:c>
      <x:c r="I300" s="22" t="str">
        <x:v>3f59014a7dcf95480a45ef539e6a959901a8adad13df2d9916c49de8664cefed</x:v>
      </x:c>
      <x:c r="J300" s="22" t="n">
        <x:v>0</x:v>
      </x:c>
      <x:c r="K300" s="22" t="n">
        <x:v>0</x:v>
      </x:c>
      <x:c r="L300" s="22" t="n">
        <x:v>0</x:v>
      </x:c>
      <x:c r="M300" s="28" t="n">
        <x:v>0</x:v>
      </x:c>
      <x:c r="N300" s="28" t="n">
        <x:v>0</x:v>
      </x:c>
      <x:c r="O300" s="28" t="n">
        <x:v>0</x:v>
      </x:c>
      <x:c r="P300" s="62" t="n">
        <x:v>0</x:v>
      </x:c>
      <x:c r="Q300" s="22" t="n">
        <x:v>0</x:v>
      </x:c>
      <x:c r="R300" s="22" t="str"/>
      <x:c r="S300" s="22" t="str"/>
      <x:c r="T300" s="22" t="str"/>
    </x:row>
    <x:row r="301">
      <x:c r="A301" s="22" t="str">
        <x:v>2013-00064</x:v>
      </x:c>
      <x:c r="B301" s="22" t="str">
        <x:v>L2025-00012-2</x:v>
      </x:c>
      <x:c r="C301" s="22" t="str">
        <x:v>공사</x:v>
      </x:c>
      <x:c r="D301" s="25" t="str">
        <x:v>볼리비아 고원 지역 농업 기계화 및 농민역량 강화를 통한 생산성 증대 사업 퀴노아 연구센터 차칼라 건립 공사 시공사 선정 현지 입찰 재공고</x:v>
      </x:c>
      <x:c r="E301" s="22" t="n">
        <x:v>1</x:v>
      </x:c>
      <x:c r="F301" s="22" t="str">
        <x:v>.xls</x:v>
      </x:c>
      <x:c r="G301" s="25" t="str">
        <x:v>L2025-00012-2/(붙임2) 입찰 관련 부속서류/Q-Lab_Chacala_Bidding Doc/Section 4. Q-Lab_Chacala_BOQ_blanked/G LAND SCAPE.xls</x:v>
      </x:c>
      <x:c r="H301" s="28" t="n">
        <x:v>1558528</x:v>
      </x:c>
      <x:c r="I301" s="22" t="str">
        <x:v>ece87bec3c596a52b49808e23eaf8b7452691f478f3458db783f7a5925cc41dc</x:v>
      </x:c>
      <x:c r="J301" s="22" t="n">
        <x:v>1</x:v>
      </x:c>
      <x:c r="K301" s="22" t="n">
        <x:v>0</x:v>
      </x:c>
      <x:c r="L301" s="22" t="n">
        <x:v>1</x:v>
      </x:c>
      <x:c r="M301" s="28" t="n">
        <x:v>0</x:v>
      </x:c>
      <x:c r="N301" s="28" t="n">
        <x:v>0</x:v>
      </x:c>
      <x:c r="O301" s="28" t="n">
        <x:v>0</x:v>
      </x:c>
      <x:c r="P301" s="62" t="n">
        <x:v>0</x:v>
      </x:c>
      <x:c r="Q301" s="22" t="n">
        <x:v>0</x:v>
      </x:c>
      <x:c r="R301" s="22" t="str"/>
      <x:c r="S301" s="22" t="str"/>
      <x:c r="T301" s="22" t="str"/>
    </x:row>
    <x:row r="302">
      <x:c r="A302" s="22" t="str">
        <x:v>2013-00064</x:v>
      </x:c>
      <x:c r="B302" s="22" t="str">
        <x:v>L2025-00012-2</x:v>
      </x:c>
      <x:c r="C302" s="22" t="str">
        <x:v>공사</x:v>
      </x:c>
      <x:c r="D302" s="25" t="str">
        <x:v>볼리비아 고원 지역 농업 기계화 및 농민역량 강화를 통한 생산성 증대 사업 퀴노아 연구센터 차칼라 건립 공사 시공사 선정 현지 입찰 재공고</x:v>
      </x:c>
      <x:c r="E302" s="22" t="n">
        <x:v>1</x:v>
      </x:c>
      <x:c r="F302" s="22" t="str">
        <x:v>.xls</x:v>
      </x:c>
      <x:c r="G302" s="25" t="str">
        <x:v>L2025-00012-2/(붙임2) 입찰 관련 부속서류/Q-Lab_Chacala_Bidding Doc/Section 4. Q-Lab_Chacala_BOQ_blanked/A3 EM STRUCTURE.xls</x:v>
      </x:c>
      <x:c r="H302" s="28" t="n">
        <x:v>1427456</x:v>
      </x:c>
      <x:c r="I302" s="22" t="str">
        <x:v>be4eb3ffac3c73f6eaf90474e2eddf0a2ffa149db63a257d36852c3adf6f913f</x:v>
      </x:c>
      <x:c r="J302" s="22" t="n">
        <x:v>1</x:v>
      </x:c>
      <x:c r="K302" s="22" t="n">
        <x:v>0</x:v>
      </x:c>
      <x:c r="L302" s="22" t="n">
        <x:v>1</x:v>
      </x:c>
      <x:c r="M302" s="28" t="n">
        <x:v>0</x:v>
      </x:c>
      <x:c r="N302" s="28" t="n">
        <x:v>0</x:v>
      </x:c>
      <x:c r="O302" s="28" t="n">
        <x:v>0</x:v>
      </x:c>
      <x:c r="P302" s="62" t="n">
        <x:v>0</x:v>
      </x:c>
      <x:c r="Q302" s="22" t="n">
        <x:v>0</x:v>
      </x:c>
      <x:c r="R302" s="22" t="str"/>
      <x:c r="S302" s="22" t="str"/>
      <x:c r="T302" s="22" t="str"/>
    </x:row>
    <x:row r="303">
      <x:c r="A303" s="22" t="str">
        <x:v>2013-00064</x:v>
      </x:c>
      <x:c r="B303" s="22" t="str">
        <x:v>L2025-00012-2</x:v>
      </x:c>
      <x:c r="C303" s="22" t="str">
        <x:v>공사</x:v>
      </x:c>
      <x:c r="D303" s="25" t="str">
        <x:v>볼리비아 고원 지역 농업 기계화 및 농민역량 강화를 통한 생산성 증대 사업 퀴노아 연구센터 차칼라 건립 공사 시공사 선정 현지 입찰 재공고</x:v>
      </x:c>
      <x:c r="E303" s="22" t="n">
        <x:v>1</x:v>
      </x:c>
      <x:c r="F303" s="22" t="str">
        <x:v>.xlsx</x:v>
      </x:c>
      <x:c r="G303" s="25" t="str">
        <x:v>L2025-00012-2/(붙임2) 입찰 관련 부속서류/Q-Lab_Chacala_Bidding Doc/Section 4. Q-Lab_Chacala_BOQ_blanked/F HYDRO SANITARY SYSTEM.xlsx</x:v>
      </x:c>
      <x:c r="H303" s="28" t="n">
        <x:v>2229362</x:v>
      </x:c>
      <x:c r="I303" s="22" t="str">
        <x:v>6b11639d6fabaaa1823187ee5ba99fb4622ca894447107d8a88e8e14f09fefc9</x:v>
      </x:c>
      <x:c r="J303" s="22" t="n">
        <x:v>1</x:v>
      </x:c>
      <x:c r="K303" s="22" t="n">
        <x:v>0</x:v>
      </x:c>
      <x:c r="L303" s="22" t="n">
        <x:v>1</x:v>
      </x:c>
      <x:c r="M303" s="28" t="n">
        <x:v>2</x:v>
      </x:c>
      <x:c r="N303" s="28" t="n">
        <x:v>191</x:v>
      </x:c>
      <x:c r="O303" s="28" t="n">
        <x:v>0</x:v>
      </x:c>
      <x:c r="P303" s="62" t="n">
        <x:v>0</x:v>
      </x:c>
      <x:c r="Q303" s="22" t="n">
        <x:v>0</x:v>
      </x:c>
      <x:c r="R303" s="22" t="str">
        <x:v>Computos Métricos Quinoa</x:v>
      </x:c>
      <x:c r="S303" s="22" t="str">
        <x:v>visible</x:v>
      </x:c>
      <x:c r="T303" s="22" t="str"/>
    </x:row>
    <x:row r="304">
      <x:c r="A304" s="22" t="str">
        <x:v>2013-00064</x:v>
      </x:c>
      <x:c r="B304" s="22" t="str">
        <x:v>L2025-00012-2</x:v>
      </x:c>
      <x:c r="C304" s="22" t="str">
        <x:v>공사</x:v>
      </x:c>
      <x:c r="D304" s="25" t="str">
        <x:v>볼리비아 고원 지역 농업 기계화 및 농민역량 강화를 통한 생산성 증대 사업 퀴노아 연구센터 차칼라 건립 공사 시공사 선정 현지 입찰 재공고</x:v>
      </x:c>
      <x:c r="E304" s="22" t="n">
        <x:v>1</x:v>
      </x:c>
      <x:c r="F304" s="22" t="str">
        <x:v>.xlsx</x:v>
      </x:c>
      <x:c r="G304" s="25" t="str">
        <x:v>L2025-00012-2/(붙임2) 입찰 관련 부속서류/Q-Lab_Chacala_Bidding Doc/Section 4. Q-Lab_Chacala_BOQ_blanked/A1 ARCHITECTURE CHACALA.xlsx</x:v>
      </x:c>
      <x:c r="H304" s="28" t="n">
        <x:v>779128</x:v>
      </x:c>
      <x:c r="I304" s="22" t="str">
        <x:v>73623a71fe2a23883e5a998378b9fe9efc5451758aa4e066764c5555dda545a2</x:v>
      </x:c>
      <x:c r="J304" s="22" t="n">
        <x:v>1</x:v>
      </x:c>
      <x:c r="K304" s="22" t="n">
        <x:v>0</x:v>
      </x:c>
      <x:c r="L304" s="22" t="n">
        <x:v>1</x:v>
      </x:c>
      <x:c r="M304" s="28" t="n">
        <x:v>1</x:v>
      </x:c>
      <x:c r="N304" s="28" t="n">
        <x:v>28</x:v>
      </x:c>
      <x:c r="O304" s="28" t="n">
        <x:v>0</x:v>
      </x:c>
      <x:c r="P304" s="62" t="n">
        <x:v>0</x:v>
      </x:c>
      <x:c r="Q304" s="22" t="n">
        <x:v>0</x:v>
      </x:c>
      <x:c r="R304" s="22" t="str">
        <x:v>PPTO-8 CHACALA</x:v>
      </x:c>
      <x:c r="S304" s="22" t="str">
        <x:v>visible</x:v>
      </x:c>
      <x:c r="T304" s="22" t="str"/>
    </x:row>
    <x:row r="305">
      <x:c r="A305" s="22" t="str">
        <x:v>2013-00064</x:v>
      </x:c>
      <x:c r="B305" s="22" t="str">
        <x:v>L2025-00012-2</x:v>
      </x:c>
      <x:c r="C305" s="22" t="str">
        <x:v>공사</x:v>
      </x:c>
      <x:c r="D305" s="25" t="str">
        <x:v>볼리비아 고원 지역 농업 기계화 및 농민역량 강화를 통한 생산성 증대 사업 퀴노아 연구센터 차칼라 건립 공사 시공사 선정 현지 입찰 재공고</x:v>
      </x:c>
      <x:c r="E305" s="22" t="n">
        <x:v>1</x:v>
      </x:c>
      <x:c r="F305" s="22" t="str">
        <x:v>.xlsx</x:v>
      </x:c>
      <x:c r="G305" s="25" t="str">
        <x:v>L2025-00012-2/(붙임2) 입찰 관련 부속서류/Q-Lab_Chacala_Bidding Doc/Section 4. Q-Lab_Chacala_BOQ_blanked/B ELECTRIC SYSTEM.xlsx</x:v>
      </x:c>
      <x:c r="H305" s="28" t="n">
        <x:v>109607</x:v>
      </x:c>
      <x:c r="I305" s="22" t="str">
        <x:v>bc94e7a90dea8f9eecbdcfcf1792adf3d6d226fcfbf55c2e1a88c9df8fb25de3</x:v>
      </x:c>
      <x:c r="J305" s="22" t="n">
        <x:v>1</x:v>
      </x:c>
      <x:c r="K305" s="22" t="n">
        <x:v>0</x:v>
      </x:c>
      <x:c r="L305" s="22" t="n">
        <x:v>1</x:v>
      </x:c>
      <x:c r="M305" s="28" t="n">
        <x:v>6</x:v>
      </x:c>
      <x:c r="N305" s="28" t="n">
        <x:v>18</x:v>
      </x:c>
      <x:c r="O305" s="28" t="n">
        <x:v>0</x:v>
      </x:c>
      <x:c r="P305" s="62" t="n">
        <x:v>0</x:v>
      </x:c>
      <x:c r="Q305" s="22" t="n">
        <x:v>0</x:v>
      </x:c>
      <x:c r="R305" s="22" t="str">
        <x:v>TDG-H</x:v>
      </x:c>
      <x:c r="S305" s="22" t="str">
        <x:v>visible</x:v>
      </x:c>
      <x:c r="T305" s="22" t="str"/>
    </x:row>
    <x:row r="306">
      <x:c r="A306" s="22" t="str">
        <x:v>2013-00064</x:v>
      </x:c>
      <x:c r="B306" s="22" t="str">
        <x:v>L2025-00012-2</x:v>
      </x:c>
      <x:c r="C306" s="22" t="str">
        <x:v>공사</x:v>
      </x:c>
      <x:c r="D306" s="25" t="str">
        <x:v>볼리비아 고원 지역 농업 기계화 및 농민역량 강화를 통한 생산성 증대 사업 퀴노아 연구센터 차칼라 건립 공사 시공사 선정 현지 입찰 재공고</x:v>
      </x:c>
      <x:c r="E306" s="22" t="n">
        <x:v>1</x:v>
      </x:c>
      <x:c r="F306" s="22" t="str">
        <x:v>.xls</x:v>
      </x:c>
      <x:c r="G306" s="25" t="str">
        <x:v>L2025-00012-2/(붙임2) 입찰 관련 부속서류/Q-Lab_Chacala_Bidding Doc/Section 4. Q-Lab_Chacala_BOQ_blanked/A2 HA STRUCTURE.xls</x:v>
      </x:c>
      <x:c r="H306" s="28" t="n">
        <x:v>1555456</x:v>
      </x:c>
      <x:c r="I306" s="22" t="str">
        <x:v>335205a7ceb9965c6a3103b7052311eb56ae166668d1280f0de1e9c5d3686807</x:v>
      </x:c>
      <x:c r="J306" s="22" t="n">
        <x:v>1</x:v>
      </x:c>
      <x:c r="K306" s="22" t="n">
        <x:v>0</x:v>
      </x:c>
      <x:c r="L306" s="22" t="n">
        <x:v>1</x:v>
      </x:c>
      <x:c r="M306" s="28" t="n">
        <x:v>0</x:v>
      </x:c>
      <x:c r="N306" s="28" t="n">
        <x:v>0</x:v>
      </x:c>
      <x:c r="O306" s="28" t="n">
        <x:v>0</x:v>
      </x:c>
      <x:c r="P306" s="62" t="n">
        <x:v>0</x:v>
      </x:c>
      <x:c r="Q306" s="22" t="n">
        <x:v>0</x:v>
      </x:c>
      <x:c r="R306" s="22" t="str"/>
      <x:c r="S306" s="22" t="str"/>
      <x:c r="T306" s="22" t="str"/>
    </x:row>
    <x:row r="307">
      <x:c r="A307" s="22" t="str">
        <x:v>2013-00064</x:v>
      </x:c>
      <x:c r="B307" s="22" t="str">
        <x:v>L2025-00012-2</x:v>
      </x:c>
      <x:c r="C307" s="22" t="str">
        <x:v>공사</x:v>
      </x:c>
      <x:c r="D307" s="25" t="str">
        <x:v>볼리비아 고원 지역 농업 기계화 및 농민역량 강화를 통한 생산성 증대 사업 퀴노아 연구센터 차칼라 건립 공사 시공사 선정 현지 입찰 재공고</x:v>
      </x:c>
      <x:c r="E307" s="22" t="n">
        <x:v>1</x:v>
      </x:c>
      <x:c r="F307" s="22" t="str">
        <x:v>.pdf</x:v>
      </x:c>
      <x:c r="G307" s="25" t="str">
        <x:v>L2025-00012-2/(붙임2) 입찰 관련 부속서류/Q-Lab_Chacala_Bidding Doc/Section 5. Q-Lab_Chacala_Q-Lab_DWG/00_CHACALA_Arch.pdf</x:v>
      </x:c>
      <x:c r="H307" s="28" t="n">
        <x:v>8833442</x:v>
      </x:c>
      <x:c r="I307" s="22" t="str">
        <x:v>c5b9235c22c14a6a02a119f9421ad5895b9a97c4d2185b0ebf8c3b12b9b378a9</x:v>
      </x:c>
      <x:c r="J307" s="22" t="n">
        <x:v>0</x:v>
      </x:c>
      <x:c r="K307" s="22" t="n">
        <x:v>0</x:v>
      </x:c>
      <x:c r="L307" s="22" t="n">
        <x:v>0</x:v>
      </x:c>
      <x:c r="M307" s="28" t="n">
        <x:v>0</x:v>
      </x:c>
      <x:c r="N307" s="28" t="n">
        <x:v>0</x:v>
      </x:c>
      <x:c r="O307" s="28" t="n">
        <x:v>0</x:v>
      </x:c>
      <x:c r="P307" s="62" t="n">
        <x:v>0</x:v>
      </x:c>
      <x:c r="Q307" s="22" t="n">
        <x:v>0</x:v>
      </x:c>
      <x:c r="R307" s="22" t="str"/>
      <x:c r="S307" s="22" t="str"/>
      <x:c r="T307" s="22" t="str"/>
    </x:row>
    <x:row r="308">
      <x:c r="A308" s="22" t="str">
        <x:v>2013-00064</x:v>
      </x:c>
      <x:c r="B308" s="22" t="str">
        <x:v>L2025-00012-2</x:v>
      </x:c>
      <x:c r="C308" s="22" t="str">
        <x:v>공사</x:v>
      </x:c>
      <x:c r="D308" s="25" t="str">
        <x:v>볼리비아 고원 지역 농업 기계화 및 농민역량 강화를 통한 생산성 증대 사업 퀴노아 연구센터 차칼라 건립 공사 시공사 선정 현지 입찰 재공고</x:v>
      </x:c>
      <x:c r="E308" s="22" t="n">
        <x:v>1</x:v>
      </x:c>
      <x:c r="F308" s="22" t="str">
        <x:v>.pdf</x:v>
      </x:c>
      <x:c r="G308" s="25" t="str">
        <x:v>L2025-00012-2/(붙임2) 입찰 관련 부속서류/Q-Lab_Chacala_Bidding Doc/Section 5. Q-Lab_Chacala_Q-Lab_DWG/05_SINGAGE CHACALA.pdf</x:v>
      </x:c>
      <x:c r="H308" s="28" t="n">
        <x:v>859476</x:v>
      </x:c>
      <x:c r="I308" s="22" t="str">
        <x:v>485d8e1ab9c5a443455fea02da0e808e2119bf2b54ebbc77920b901d9ea350d8</x:v>
      </x:c>
      <x:c r="J308" s="22" t="n">
        <x:v>0</x:v>
      </x:c>
      <x:c r="K308" s="22" t="n">
        <x:v>0</x:v>
      </x:c>
      <x:c r="L308" s="22" t="n">
        <x:v>0</x:v>
      </x:c>
      <x:c r="M308" s="28" t="n">
        <x:v>0</x:v>
      </x:c>
      <x:c r="N308" s="28" t="n">
        <x:v>0</x:v>
      </x:c>
      <x:c r="O308" s="28" t="n">
        <x:v>0</x:v>
      </x:c>
      <x:c r="P308" s="62" t="n">
        <x:v>0</x:v>
      </x:c>
      <x:c r="Q308" s="22" t="n">
        <x:v>0</x:v>
      </x:c>
      <x:c r="R308" s="22" t="str"/>
      <x:c r="S308" s="22" t="str"/>
      <x:c r="T308" s="22" t="str"/>
    </x:row>
    <x:row r="309">
      <x:c r="A309" s="22" t="str">
        <x:v>2013-00064</x:v>
      </x:c>
      <x:c r="B309" s="22" t="str">
        <x:v>L2025-00012-2</x:v>
      </x:c>
      <x:c r="C309" s="22" t="str">
        <x:v>공사</x:v>
      </x:c>
      <x:c r="D309" s="25" t="str">
        <x:v>볼리비아 고원 지역 농업 기계화 및 농민역량 강화를 통한 생산성 증대 사업 퀴노아 연구센터 차칼라 건립 공사 시공사 선정 현지 입찰 재공고</x:v>
      </x:c>
      <x:c r="E309" s="22" t="n">
        <x:v>1</x:v>
      </x:c>
      <x:c r="F309" s="22" t="str">
        <x:v>.pdf</x:v>
      </x:c>
      <x:c r="G309" s="25" t="str">
        <x:v>L2025-00012-2/(붙임2) 입찰 관련 부속서류/Q-Lab_Chacala_Bidding Doc/Section 5. Q-Lab_Chacala_Q-Lab_DWG/04_CHACALA_SA.pdf</x:v>
      </x:c>
      <x:c r="H309" s="28" t="n">
        <x:v>340063</x:v>
      </x:c>
      <x:c r="I309" s="22" t="str">
        <x:v>5fd1829bad637fc210016c4ded96ccf84430f2e7dbd2da814c1962af29a12f5b</x:v>
      </x:c>
      <x:c r="J309" s="22" t="n">
        <x:v>0</x:v>
      </x:c>
      <x:c r="K309" s="22" t="n">
        <x:v>0</x:v>
      </x:c>
      <x:c r="L309" s="22" t="n">
        <x:v>0</x:v>
      </x:c>
      <x:c r="M309" s="28" t="n">
        <x:v>0</x:v>
      </x:c>
      <x:c r="N309" s="28" t="n">
        <x:v>0</x:v>
      </x:c>
      <x:c r="O309" s="28" t="n">
        <x:v>0</x:v>
      </x:c>
      <x:c r="P309" s="62" t="n">
        <x:v>0</x:v>
      </x:c>
      <x:c r="Q309" s="22" t="n">
        <x:v>0</x:v>
      </x:c>
      <x:c r="R309" s="22" t="str"/>
      <x:c r="S309" s="22" t="str"/>
      <x:c r="T309" s="22" t="str"/>
    </x:row>
    <x:row r="310">
      <x:c r="A310" s="22" t="str">
        <x:v>2013-00064</x:v>
      </x:c>
      <x:c r="B310" s="22" t="str">
        <x:v>L2025-00012-2</x:v>
      </x:c>
      <x:c r="C310" s="22" t="str">
        <x:v>공사</x:v>
      </x:c>
      <x:c r="D310" s="25" t="str">
        <x:v>볼리비아 고원 지역 농업 기계화 및 농민역량 강화를 통한 생산성 증대 사업 퀴노아 연구센터 차칼라 건립 공사 시공사 선정 현지 입찰 재공고</x:v>
      </x:c>
      <x:c r="E310" s="22" t="n">
        <x:v>1</x:v>
      </x:c>
      <x:c r="F310" s="22" t="str">
        <x:v>.pdf</x:v>
      </x:c>
      <x:c r="G310" s="25" t="str">
        <x:v>L2025-00012-2/(붙임2) 입찰 관련 부속서류/Q-Lab_Chacala_Bidding Doc/Section 5. Q-Lab_Chacala_Q-Lab_DWG/03_CHACALA_EL.pdf</x:v>
      </x:c>
      <x:c r="H310" s="28" t="n">
        <x:v>893587</x:v>
      </x:c>
      <x:c r="I310" s="22" t="str">
        <x:v>49eca2eb931e7649abdac9ec2463dec9f4e45296facc5b3d1cca857ef197ce70</x:v>
      </x:c>
      <x:c r="J310" s="22" t="n">
        <x:v>0</x:v>
      </x:c>
      <x:c r="K310" s="22" t="n">
        <x:v>0</x:v>
      </x:c>
      <x:c r="L310" s="22" t="n">
        <x:v>0</x:v>
      </x:c>
      <x:c r="M310" s="28" t="n">
        <x:v>0</x:v>
      </x:c>
      <x:c r="N310" s="28" t="n">
        <x:v>0</x:v>
      </x:c>
      <x:c r="O310" s="28" t="n">
        <x:v>0</x:v>
      </x:c>
      <x:c r="P310" s="62" t="n">
        <x:v>0</x:v>
      </x:c>
      <x:c r="Q310" s="22" t="n">
        <x:v>0</x:v>
      </x:c>
      <x:c r="R310" s="22" t="str"/>
      <x:c r="S310" s="22" t="str"/>
      <x:c r="T310" s="22" t="str"/>
    </x:row>
    <x:row r="311">
      <x:c r="A311" s="22" t="str">
        <x:v>2013-00064</x:v>
      </x:c>
      <x:c r="B311" s="22" t="str">
        <x:v>L2025-00012-2</x:v>
      </x:c>
      <x:c r="C311" s="22" t="str">
        <x:v>공사</x:v>
      </x:c>
      <x:c r="D311" s="25" t="str">
        <x:v>볼리비아 고원 지역 농업 기계화 및 농민역량 강화를 통한 생산성 증대 사업 퀴노아 연구센터 차칼라 건립 공사 시공사 선정 현지 입찰 재공고</x:v>
      </x:c>
      <x:c r="E311" s="22" t="n">
        <x:v>1</x:v>
      </x:c>
      <x:c r="F311" s="22" t="str">
        <x:v>.pdf</x:v>
      </x:c>
      <x:c r="G311" s="25" t="str">
        <x:v>L2025-00012-2/(붙임2) 입찰 관련 부속서류/Q-Lab_Chacala_Bidding Doc/Section 5. Q-Lab_Chacala_Q-Lab_DWG/02_CHACALA_MS.pdf</x:v>
      </x:c>
      <x:c r="H311" s="28" t="n">
        <x:v>887242</x:v>
      </x:c>
      <x:c r="I311" s="22" t="str">
        <x:v>d28047c67a1d72e4d283ff69b6d9c6a12ff9953c6188ec8b53b77a1a0523862f</x:v>
      </x:c>
      <x:c r="J311" s="22" t="n">
        <x:v>0</x:v>
      </x:c>
      <x:c r="K311" s="22" t="n">
        <x:v>0</x:v>
      </x:c>
      <x:c r="L311" s="22" t="n">
        <x:v>0</x:v>
      </x:c>
      <x:c r="M311" s="28" t="n">
        <x:v>0</x:v>
      </x:c>
      <x:c r="N311" s="28" t="n">
        <x:v>0</x:v>
      </x:c>
      <x:c r="O311" s="28" t="n">
        <x:v>0</x:v>
      </x:c>
      <x:c r="P311" s="62" t="n">
        <x:v>0</x:v>
      </x:c>
      <x:c r="Q311" s="22" t="n">
        <x:v>0</x:v>
      </x:c>
      <x:c r="R311" s="22" t="str"/>
      <x:c r="S311" s="22" t="str"/>
      <x:c r="T311" s="22" t="str"/>
    </x:row>
    <x:row r="312">
      <x:c r="A312" s="22" t="str">
        <x:v>2013-00064</x:v>
      </x:c>
      <x:c r="B312" s="22" t="str">
        <x:v>L2025-00012-2</x:v>
      </x:c>
      <x:c r="C312" s="22" t="str">
        <x:v>공사</x:v>
      </x:c>
      <x:c r="D312" s="25" t="str">
        <x:v>볼리비아 고원 지역 농업 기계화 및 농민역량 강화를 통한 생산성 증대 사업 퀴노아 연구센터 차칼라 건립 공사 시공사 선정 현지 입찰 재공고</x:v>
      </x:c>
      <x:c r="E312" s="22" t="n">
        <x:v>1</x:v>
      </x:c>
      <x:c r="F312" s="22" t="str">
        <x:v>.pdf</x:v>
      </x:c>
      <x:c r="G312" s="25" t="str">
        <x:v>L2025-00012-2/(붙임2) 입찰 관련 부속서류/Q-Lab_Chacala_Bidding Doc/Section 5. Q-Lab_Chacala_Q-Lab_DWG/01_CHACALA_RC.pdf</x:v>
      </x:c>
      <x:c r="H312" s="28" t="n">
        <x:v>1136288</x:v>
      </x:c>
      <x:c r="I312" s="22" t="str">
        <x:v>90d89870afc46bb24a03d795b1af9be46f3e6f8b9b6dde6fe6f1eb184062d114</x:v>
      </x:c>
      <x:c r="J312" s="22" t="n">
        <x:v>0</x:v>
      </x:c>
      <x:c r="K312" s="22" t="n">
        <x:v>0</x:v>
      </x:c>
      <x:c r="L312" s="22" t="n">
        <x:v>0</x:v>
      </x:c>
      <x:c r="M312" s="28" t="n">
        <x:v>0</x:v>
      </x:c>
      <x:c r="N312" s="28" t="n">
        <x:v>0</x:v>
      </x:c>
      <x:c r="O312" s="28" t="n">
        <x:v>0</x:v>
      </x:c>
      <x:c r="P312" s="62" t="n">
        <x:v>0</x:v>
      </x:c>
      <x:c r="Q312" s="22" t="n">
        <x:v>0</x:v>
      </x:c>
      <x:c r="R312" s="22" t="str"/>
      <x:c r="S312" s="22" t="str"/>
      <x:c r="T312" s="22" t="str"/>
    </x:row>
    <x:row r="313">
      <x:c r="A313" s="22" t="str">
        <x:v>2013-00064</x:v>
      </x:c>
      <x:c r="B313" s="22" t="str">
        <x:v>L2025-00012-2</x:v>
      </x:c>
      <x:c r="C313" s="22" t="str">
        <x:v>공사</x:v>
      </x:c>
      <x:c r="D313" s="25" t="str">
        <x:v>볼리비아 고원 지역 농업 기계화 및 농민역량 강화를 통한 생산성 증대 사업 퀴노아 연구센터 차칼라 건립 공사 시공사 선정 현지 입찰 재공고</x:v>
      </x:c>
      <x:c r="E313" s="22" t="n">
        <x:v>1</x:v>
      </x:c>
      <x:c r="F313" s="22" t="str">
        <x:v>.pdf</x:v>
      </x:c>
      <x:c r="G313" s="25" t="str">
        <x:v>L2025-00012-2/(붙임2) 입찰 관련 부속서류/Q-Lab_Chacala_Bidding Doc/Attachment02_KOICA Bidding Regulations and Guidelines/Attachment 1. Detailed Enforcement Rules of the Regulations for Procurement and Contract in Grant Aid Projects.pdf</x:v>
      </x:c>
      <x:c r="H313" s="28" t="n">
        <x:v>554876</x:v>
      </x:c>
      <x:c r="I313" s="22" t="str">
        <x:v>23f11f2154d32db6e78fbfdafb1f52aeba37778e2dd3b78a197b4ea4c2d44892</x:v>
      </x:c>
      <x:c r="J313" s="22" t="n">
        <x:v>0</x:v>
      </x:c>
      <x:c r="K313" s="22" t="n">
        <x:v>0</x:v>
      </x:c>
      <x:c r="L313" s="22" t="n">
        <x:v>0</x:v>
      </x:c>
      <x:c r="M313" s="28" t="n">
        <x:v>0</x:v>
      </x:c>
      <x:c r="N313" s="28" t="n">
        <x:v>0</x:v>
      </x:c>
      <x:c r="O313" s="28" t="n">
        <x:v>0</x:v>
      </x:c>
      <x:c r="P313" s="62" t="n">
        <x:v>0</x:v>
      </x:c>
      <x:c r="Q313" s="22" t="n">
        <x:v>0</x:v>
      </x:c>
      <x:c r="R313" s="22" t="str"/>
      <x:c r="S313" s="22" t="str"/>
      <x:c r="T313" s="22" t="str"/>
    </x:row>
    <x:row r="314">
      <x:c r="A314" s="22" t="str">
        <x:v>2013-00064</x:v>
      </x:c>
      <x:c r="B314" s="22" t="str">
        <x:v>L2025-00012-2</x:v>
      </x:c>
      <x:c r="C314" s="22" t="str">
        <x:v>공사</x:v>
      </x:c>
      <x:c r="D314" s="25" t="str">
        <x:v>볼리비아 고원 지역 농업 기계화 및 농민역량 강화를 통한 생산성 증대 사업 퀴노아 연구센터 차칼라 건립 공사 시공사 선정 현지 입찰 재공고</x:v>
      </x:c>
      <x:c r="E314" s="22" t="n">
        <x:v>1</x:v>
      </x:c>
      <x:c r="F314" s="22" t="str">
        <x:v>.pdf</x:v>
      </x:c>
      <x:c r="G314" s="25" t="str">
        <x:v>L2025-00012-2/(붙임2) 입찰 관련 부속서류/Q-Lab_Chacala_Bidding Doc/Attachment02_KOICA Bidding Regulations and Guidelines/Attachment 5. KOICA Safety Management Manual(ENG).pdf</x:v>
      </x:c>
      <x:c r="H314" s="28" t="n">
        <x:v>378337</x:v>
      </x:c>
      <x:c r="I314" s="22" t="str">
        <x:v>b60b641c002f2145d45b33a4840f5ee96569c877a3e79aaa8799ea3dff82522f</x:v>
      </x:c>
      <x:c r="J314" s="22" t="n">
        <x:v>0</x:v>
      </x:c>
      <x:c r="K314" s="22" t="n">
        <x:v>0</x:v>
      </x:c>
      <x:c r="L314" s="22" t="n">
        <x:v>0</x:v>
      </x:c>
      <x:c r="M314" s="28" t="n">
        <x:v>0</x:v>
      </x:c>
      <x:c r="N314" s="28" t="n">
        <x:v>0</x:v>
      </x:c>
      <x:c r="O314" s="28" t="n">
        <x:v>0</x:v>
      </x:c>
      <x:c r="P314" s="62" t="n">
        <x:v>0</x:v>
      </x:c>
      <x:c r="Q314" s="22" t="n">
        <x:v>0</x:v>
      </x:c>
      <x:c r="R314" s="22" t="str"/>
      <x:c r="S314" s="22" t="str"/>
      <x:c r="T314" s="22" t="str"/>
    </x:row>
    <x:row r="315">
      <x:c r="A315" s="22" t="str">
        <x:v>2013-00064</x:v>
      </x:c>
      <x:c r="B315" s="22" t="str">
        <x:v>L2025-00012-2</x:v>
      </x:c>
      <x:c r="C315" s="22" t="str">
        <x:v>공사</x:v>
      </x:c>
      <x:c r="D315" s="25" t="str">
        <x:v>볼리비아 고원 지역 농업 기계화 및 농민역량 강화를 통한 생산성 증대 사업 퀴노아 연구센터 차칼라 건립 공사 시공사 선정 현지 입찰 재공고</x:v>
      </x:c>
      <x:c r="E315" s="22" t="n">
        <x:v>1</x:v>
      </x:c>
      <x:c r="F315" s="22" t="str">
        <x:v>.pdf</x:v>
      </x:c>
      <x:c r="G315" s="25" t="str">
        <x:v>L2025-00012-2/(붙임2) 입찰 관련 부속서류/Q-Lab_Chacala_Bidding Doc/Attachment02_KOICA Bidding Regulations and Guidelines/Attachment 4. Standards of Qualification Examination for Selection of Constructor_20140403.pdf</x:v>
      </x:c>
      <x:c r="H315" s="28" t="n">
        <x:v>315288</x:v>
      </x:c>
      <x:c r="I315" s="22" t="str">
        <x:v>1b27d92e7041a9d53b17342ea9a7af1277b13521256c1b62f80ef7fc093b79e8</x:v>
      </x:c>
      <x:c r="J315" s="22" t="n">
        <x:v>0</x:v>
      </x:c>
      <x:c r="K315" s="22" t="n">
        <x:v>0</x:v>
      </x:c>
      <x:c r="L315" s="22" t="n">
        <x:v>0</x:v>
      </x:c>
      <x:c r="M315" s="28" t="n">
        <x:v>0</x:v>
      </x:c>
      <x:c r="N315" s="28" t="n">
        <x:v>0</x:v>
      </x:c>
      <x:c r="O315" s="28" t="n">
        <x:v>0</x:v>
      </x:c>
      <x:c r="P315" s="62" t="n">
        <x:v>0</x:v>
      </x:c>
      <x:c r="Q315" s="22" t="n">
        <x:v>0</x:v>
      </x:c>
      <x:c r="R315" s="22" t="str"/>
      <x:c r="S315" s="22" t="str"/>
      <x:c r="T315" s="22" t="str"/>
    </x:row>
    <x:row r="316">
      <x:c r="A316" s="22" t="str">
        <x:v>2013-00064</x:v>
      </x:c>
      <x:c r="B316" s="22" t="str">
        <x:v>L2025-00012-2</x:v>
      </x:c>
      <x:c r="C316" s="22" t="str">
        <x:v>공사</x:v>
      </x:c>
      <x:c r="D316" s="25" t="str">
        <x:v>볼리비아 고원 지역 농업 기계화 및 농민역량 강화를 통한 생산성 증대 사업 퀴노아 연구센터 차칼라 건립 공사 시공사 선정 현지 입찰 재공고</x:v>
      </x:c>
      <x:c r="E316" s="22" t="n">
        <x:v>1</x:v>
      </x:c>
      <x:c r="F316" s="22" t="str">
        <x:v>.pdf</x:v>
      </x:c>
      <x:c r="G316" s="25" t="str">
        <x:v>L2025-00012-2/(붙임2) 입찰 관련 부속서류/Q-Lab_Chacala_Bidding Doc/Attachment02_KOICA Bidding Regulations and Guidelines/Attachment 6. Scope of Works.pdf</x:v>
      </x:c>
      <x:c r="H316" s="28" t="n">
        <x:v>160444</x:v>
      </x:c>
      <x:c r="I316" s="22" t="str">
        <x:v>c930b2a178e9faaae62de145c3a40d20bdc7d42ba12174c180fa5c094e527b24</x:v>
      </x:c>
      <x:c r="J316" s="22" t="n">
        <x:v>0</x:v>
      </x:c>
      <x:c r="K316" s="22" t="n">
        <x:v>0</x:v>
      </x:c>
      <x:c r="L316" s="22" t="n">
        <x:v>0</x:v>
      </x:c>
      <x:c r="M316" s="28" t="n">
        <x:v>0</x:v>
      </x:c>
      <x:c r="N316" s="28" t="n">
        <x:v>0</x:v>
      </x:c>
      <x:c r="O316" s="28" t="n">
        <x:v>0</x:v>
      </x:c>
      <x:c r="P316" s="62" t="n">
        <x:v>0</x:v>
      </x:c>
      <x:c r="Q316" s="22" t="n">
        <x:v>0</x:v>
      </x:c>
      <x:c r="R316" s="22" t="str"/>
      <x:c r="S316" s="22" t="str"/>
      <x:c r="T316" s="22" t="str"/>
    </x:row>
    <x:row r="317">
      <x:c r="A317" s="22" t="str">
        <x:v>2013-00064</x:v>
      </x:c>
      <x:c r="B317" s="22" t="str">
        <x:v>L2025-00012-2</x:v>
      </x:c>
      <x:c r="C317" s="22" t="str">
        <x:v>공사</x:v>
      </x:c>
      <x:c r="D317" s="25" t="str">
        <x:v>볼리비아 고원 지역 농업 기계화 및 농민역량 강화를 통한 생산성 증대 사업 퀴노아 연구센터 차칼라 건립 공사 시공사 선정 현지 입찰 재공고</x:v>
      </x:c>
      <x:c r="E317" s="22" t="n">
        <x:v>1</x:v>
      </x:c>
      <x:c r="F317" s="22" t="str">
        <x:v>.pdf</x:v>
      </x:c>
      <x:c r="G317" s="25" t="str">
        <x:v>L2025-00012-2/(붙임2) 입찰 관련 부속서류/Q-Lab_Chacala_Bidding Doc/Attachment02_KOICA Bidding Regulations and Guidelines/Attachment 3. Regulations for Procurement and Contract in Grant Aid Projects_20190520.pdf</x:v>
      </x:c>
      <x:c r="H317" s="28" t="n">
        <x:v>157627</x:v>
      </x:c>
      <x:c r="I317" s="22" t="str">
        <x:v>bcc6062e083bacf0c4b014b08f7566dde8d7c56ad7f791e30c25a04e71aee5ec</x:v>
      </x:c>
      <x:c r="J317" s="22" t="n">
        <x:v>0</x:v>
      </x:c>
      <x:c r="K317" s="22" t="n">
        <x:v>0</x:v>
      </x:c>
      <x:c r="L317" s="22" t="n">
        <x:v>0</x:v>
      </x:c>
      <x:c r="M317" s="28" t="n">
        <x:v>0</x:v>
      </x:c>
      <x:c r="N317" s="28" t="n">
        <x:v>0</x:v>
      </x:c>
      <x:c r="O317" s="28" t="n">
        <x:v>0</x:v>
      </x:c>
      <x:c r="P317" s="62" t="n">
        <x:v>0</x:v>
      </x:c>
      <x:c r="Q317" s="22" t="n">
        <x:v>0</x:v>
      </x:c>
      <x:c r="R317" s="22" t="str"/>
      <x:c r="S317" s="22" t="str"/>
      <x:c r="T317" s="22" t="str"/>
    </x:row>
    <x:row r="318">
      <x:c r="A318" s="22" t="str">
        <x:v>2013-00064</x:v>
      </x:c>
      <x:c r="B318" s="22" t="str">
        <x:v>L2025-00012-2</x:v>
      </x:c>
      <x:c r="C318" s="22" t="str">
        <x:v>공사</x:v>
      </x:c>
      <x:c r="D318" s="25" t="str">
        <x:v>볼리비아 고원 지역 농업 기계화 및 농민역량 강화를 통한 생산성 증대 사업 퀴노아 연구센터 차칼라 건립 공사 시공사 선정 현지 입찰 재공고</x:v>
      </x:c>
      <x:c r="E318" s="22" t="n">
        <x:v>1</x:v>
      </x:c>
      <x:c r="F318" s="22" t="str">
        <x:v>.pdf</x:v>
      </x:c>
      <x:c r="G318" s="25" t="str">
        <x:v>L2025-00012-2/(붙임2) 입찰 관련 부속서류/Q-Lab_Chacala_Bidding Doc/Attachment02_KOICA Bidding Regulations and Guidelines/Attachment 2. KOICA Regulations for International Procurement_20190304.pdf</x:v>
      </x:c>
      <x:c r="H318" s="28" t="n">
        <x:v>375625</x:v>
      </x:c>
      <x:c r="I318" s="22" t="str">
        <x:v>a9706e28e1564ba06a6ac833994e7d323b6b5eba68271f1ce70a46a8bd93a7b8</x:v>
      </x:c>
      <x:c r="J318" s="22" t="n">
        <x:v>0</x:v>
      </x:c>
      <x:c r="K318" s="22" t="n">
        <x:v>0</x:v>
      </x:c>
      <x:c r="L318" s="22" t="n">
        <x:v>0</x:v>
      </x:c>
      <x:c r="M318" s="28" t="n">
        <x:v>0</x:v>
      </x:c>
      <x:c r="N318" s="28" t="n">
        <x:v>0</x:v>
      </x:c>
      <x:c r="O318" s="28" t="n">
        <x:v>0</x:v>
      </x:c>
      <x:c r="P318" s="62" t="n">
        <x:v>0</x:v>
      </x:c>
      <x:c r="Q318" s="22" t="n">
        <x:v>0</x:v>
      </x:c>
      <x:c r="R318" s="22" t="str"/>
      <x:c r="S318" s="22" t="str"/>
      <x:c r="T318" s="22" t="str"/>
    </x:row>
    <x:row r="319">
      <x:c r="A319" s="22" t="str">
        <x:v>2013-00064</x:v>
      </x:c>
      <x:c r="B319" s="22" t="str">
        <x:v>L2025-00012-2</x:v>
      </x:c>
      <x:c r="C319" s="22" t="str">
        <x:v>공사</x:v>
      </x:c>
      <x:c r="D319" s="25" t="str">
        <x:v>볼리비아 고원 지역 농업 기계화 및 농민역량 강화를 통한 생산성 증대 사업 퀴노아 연구센터 차칼라 건립 공사 시공사 선정 현지 입찰 재공고</x:v>
      </x:c>
      <x:c r="E319" s="22" t="n">
        <x:v>1</x:v>
      </x:c>
      <x:c r="F319" s="22" t="str">
        <x:v>.docx</x:v>
      </x:c>
      <x:c r="G319" s="25" t="str">
        <x:v>L2025-00012-2/(붙임2) 입찰 관련 부속서류/Q-Lab_Chacala_Bidding Doc/Attachment01_Pledges/Section 9 - Pledges/Integrity Pledge (청렴계약서).docx</x:v>
      </x:c>
      <x:c r="H319" s="28" t="n">
        <x:v>36507</x:v>
      </x:c>
      <x:c r="I319" s="22" t="str">
        <x:v>bbf88b1bc23c5ed931639e65f36d47df7d7fbdb8447562024b0cf9f04ec6d6b6</x:v>
      </x:c>
      <x:c r="J319" s="22" t="n">
        <x:v>0</x:v>
      </x:c>
      <x:c r="K319" s="22" t="n">
        <x:v>0</x:v>
      </x:c>
      <x:c r="L319" s="22" t="n">
        <x:v>0</x:v>
      </x:c>
      <x:c r="M319" s="28" t="n">
        <x:v>0</x:v>
      </x:c>
      <x:c r="N319" s="28" t="n">
        <x:v>0</x:v>
      </x:c>
      <x:c r="O319" s="28" t="n">
        <x:v>0</x:v>
      </x:c>
      <x:c r="P319" s="62" t="n">
        <x:v>0</x:v>
      </x:c>
      <x:c r="Q319" s="22" t="n">
        <x:v>0</x:v>
      </x:c>
      <x:c r="R319" s="22" t="str"/>
      <x:c r="S319" s="22" t="str"/>
      <x:c r="T319" s="22" t="str"/>
    </x:row>
    <x:row r="320">
      <x:c r="A320" s="22" t="str">
        <x:v>2013-00064</x:v>
      </x:c>
      <x:c r="B320" s="22" t="str">
        <x:v>L2025-00012-2</x:v>
      </x:c>
      <x:c r="C320" s="22" t="str">
        <x:v>공사</x:v>
      </x:c>
      <x:c r="D320" s="25" t="str">
        <x:v>볼리비아 고원 지역 농업 기계화 및 농민역량 강화를 통한 생산성 증대 사업 퀴노아 연구센터 차칼라 건립 공사 시공사 선정 현지 입찰 재공고</x:v>
      </x:c>
      <x:c r="E320" s="22" t="n">
        <x:v>1</x:v>
      </x:c>
      <x:c r="F320" s="22" t="str">
        <x:v>.docx</x:v>
      </x:c>
      <x:c r="G320" s="25" t="str">
        <x:v>L2025-00012-2/(붙임2) 입찰 관련 부속서류/Q-Lab_Chacala_Bidding Doc/Attachment01_Pledges/Section 9 - Pledges/Fair Contract Pledge Letter (공정계약 서약서).docx</x:v>
      </x:c>
      <x:c r="H320" s="28" t="n">
        <x:v>18756</x:v>
      </x:c>
      <x:c r="I320" s="22" t="str">
        <x:v>379cc784a159e5c15ba0045a32dd793d03827ad46a1e4a966b9810ad99102277</x:v>
      </x:c>
      <x:c r="J320" s="22" t="n">
        <x:v>0</x:v>
      </x:c>
      <x:c r="K320" s="22" t="n">
        <x:v>0</x:v>
      </x:c>
      <x:c r="L320" s="22" t="n">
        <x:v>0</x:v>
      </x:c>
      <x:c r="M320" s="28" t="n">
        <x:v>0</x:v>
      </x:c>
      <x:c r="N320" s="28" t="n">
        <x:v>0</x:v>
      </x:c>
      <x:c r="O320" s="28" t="n">
        <x:v>0</x:v>
      </x:c>
      <x:c r="P320" s="62" t="n">
        <x:v>0</x:v>
      </x:c>
      <x:c r="Q320" s="22" t="n">
        <x:v>0</x:v>
      </x:c>
      <x:c r="R320" s="22" t="str"/>
      <x:c r="S320" s="22" t="str"/>
      <x:c r="T320" s="22" t="str"/>
    </x:row>
    <x:row r="321">
      <x:c r="A321" s="22" t="str">
        <x:v>2013-00064</x:v>
      </x:c>
      <x:c r="B321" s="22" t="str">
        <x:v>L2025-00012-2</x:v>
      </x:c>
      <x:c r="C321" s="22" t="str">
        <x:v>공사</x:v>
      </x:c>
      <x:c r="D321" s="25" t="str">
        <x:v>볼리비아 고원 지역 농업 기계화 및 농민역량 강화를 통한 생산성 증대 사업 퀴노아 연구센터 차칼라 건립 공사 시공사 선정 현지 입찰 재공고</x:v>
      </x:c>
      <x:c r="E321" s="22" t="n">
        <x:v>1</x:v>
      </x:c>
      <x:c r="F321" s="22" t="str">
        <x:v>.docx</x:v>
      </x:c>
      <x:c r="G321" s="25" t="str">
        <x:v>L2025-00012-2/(붙임2) 입찰 관련 부속서류/Q-Lab_Chacala_Bidding Doc/Attachment01_Pledges/Section 9 - Pledges/Declaration of Anti_Corruption (반부패 선언서).docx</x:v>
      </x:c>
      <x:c r="H321" s="28" t="n">
        <x:v>23026</x:v>
      </x:c>
      <x:c r="I321" s="22" t="str">
        <x:v>81e22a438491f4d1b5a12be15e95b5278073d1be929b00b0cd4fe23da8b9d496</x:v>
      </x:c>
      <x:c r="J321" s="22" t="n">
        <x:v>0</x:v>
      </x:c>
      <x:c r="K321" s="22" t="n">
        <x:v>0</x:v>
      </x:c>
      <x:c r="L321" s="22" t="n">
        <x:v>0</x:v>
      </x:c>
      <x:c r="M321" s="28" t="n">
        <x:v>0</x:v>
      </x:c>
      <x:c r="N321" s="28" t="n">
        <x:v>0</x:v>
      </x:c>
      <x:c r="O321" s="28" t="n">
        <x:v>0</x:v>
      </x:c>
      <x:c r="P321" s="62" t="n">
        <x:v>0</x:v>
      </x:c>
      <x:c r="Q321" s="22" t="n">
        <x:v>0</x:v>
      </x:c>
      <x:c r="R321" s="22" t="str"/>
      <x:c r="S321" s="22" t="str"/>
      <x:c r="T321" s="22" t="str"/>
    </x:row>
    <x:row r="322">
      <x:c r="A322" s="22" t="str">
        <x:v>2013-00064</x:v>
      </x:c>
      <x:c r="B322" s="22" t="str">
        <x:v>L2025-00012-2</x:v>
      </x:c>
      <x:c r="C322" s="22" t="str">
        <x:v>공사</x:v>
      </x:c>
      <x:c r="D322" s="25" t="str">
        <x:v>볼리비아 고원 지역 농업 기계화 및 농민역량 강화를 통한 생산성 증대 사업 퀴노아 연구센터 차칼라 건립 공사 시공사 선정 현지 입찰 재공고</x:v>
      </x:c>
      <x:c r="E322" s="22" t="n">
        <x:v>1</x:v>
      </x:c>
      <x:c r="F322" s="22" t="str">
        <x:v>.pdf</x:v>
      </x:c>
      <x:c r="G322" s="25" t="str">
        <x:v>L2025-00012-2/(붙임2) 입찰 관련 부속서류/Q-Lab_Chacala_Bidding Doc/Section 6. Q-Lab_Chacala_Q-Lab_Technical Specification/Q-Lab_TECHNICAL SPECIFICATIONS/01 ARCHITECTURE/PAISAJISMO ESP  ING..pdf</x:v>
      </x:c>
      <x:c r="H322" s="28" t="n">
        <x:v>592415</x:v>
      </x:c>
      <x:c r="I322" s="22" t="str">
        <x:v>2f9d687fb0461a5385c7c72e3babfd0d956dd23a54c013af6247c4c2011b6376</x:v>
      </x:c>
      <x:c r="J322" s="22" t="n">
        <x:v>0</x:v>
      </x:c>
      <x:c r="K322" s="22" t="n">
        <x:v>0</x:v>
      </x:c>
      <x:c r="L322" s="22" t="n">
        <x:v>0</x:v>
      </x:c>
      <x:c r="M322" s="28" t="n">
        <x:v>0</x:v>
      </x:c>
      <x:c r="N322" s="28" t="n">
        <x:v>0</x:v>
      </x:c>
      <x:c r="O322" s="28" t="n">
        <x:v>0</x:v>
      </x:c>
      <x:c r="P322" s="62" t="n">
        <x:v>0</x:v>
      </x:c>
      <x:c r="Q322" s="22" t="n">
        <x:v>0</x:v>
      </x:c>
      <x:c r="R322" s="22" t="str"/>
      <x:c r="S322" s="22" t="str"/>
      <x:c r="T322" s="22" t="str"/>
    </x:row>
    <x:row r="323">
      <x:c r="A323" s="22" t="str">
        <x:v>2013-00064</x:v>
      </x:c>
      <x:c r="B323" s="22" t="str">
        <x:v>L2025-00012-2</x:v>
      </x:c>
      <x:c r="C323" s="22" t="str">
        <x:v>공사</x:v>
      </x:c>
      <x:c r="D323" s="25" t="str">
        <x:v>볼리비아 고원 지역 농업 기계화 및 농민역량 강화를 통한 생산성 증대 사업 퀴노아 연구센터 차칼라 건립 공사 시공사 선정 현지 입찰 재공고</x:v>
      </x:c>
      <x:c r="E323" s="22" t="n">
        <x:v>1</x:v>
      </x:c>
      <x:c r="F323" s="22" t="str">
        <x:v>.pdf</x:v>
      </x:c>
      <x:c r="G323" s="25" t="str">
        <x:v>L2025-00012-2/(붙임2) 입찰 관련 부속서류/Q-Lab_Chacala_Bidding Doc/Section 6. Q-Lab_Chacala_Q-Lab_Technical Specification/Q-Lab_TECHNICAL SPECIFICATIONS/01 ARCHITECTURE/01 PLIEGO DE ESPECIFICACIONES TECNICAS es-SP.pdf</x:v>
      </x:c>
      <x:c r="H323" s="28" t="n">
        <x:v>1821773</x:v>
      </x:c>
      <x:c r="I323" s="22" t="str">
        <x:v>a7ae541350326c85000319d3aae6600a7ac9322aa60a1de8d789a6ef78ae702c</x:v>
      </x:c>
      <x:c r="J323" s="22" t="n">
        <x:v>0</x:v>
      </x:c>
      <x:c r="K323" s="22" t="n">
        <x:v>0</x:v>
      </x:c>
      <x:c r="L323" s="22" t="n">
        <x:v>0</x:v>
      </x:c>
      <x:c r="M323" s="28" t="n">
        <x:v>0</x:v>
      </x:c>
      <x:c r="N323" s="28" t="n">
        <x:v>0</x:v>
      </x:c>
      <x:c r="O323" s="28" t="n">
        <x:v>0</x:v>
      </x:c>
      <x:c r="P323" s="62" t="n">
        <x:v>0</x:v>
      </x:c>
      <x:c r="Q323" s="22" t="n">
        <x:v>0</x:v>
      </x:c>
      <x:c r="R323" s="22" t="str"/>
      <x:c r="S323" s="22" t="str"/>
      <x:c r="T323" s="22" t="str"/>
    </x:row>
    <x:row r="324">
      <x:c r="A324" s="22" t="str">
        <x:v>2013-00064</x:v>
      </x:c>
      <x:c r="B324" s="22" t="str">
        <x:v>L2025-00012-2</x:v>
      </x:c>
      <x:c r="C324" s="22" t="str">
        <x:v>공사</x:v>
      </x:c>
      <x:c r="D324" s="25" t="str">
        <x:v>볼리비아 고원 지역 농업 기계화 및 농민역량 강화를 통한 생산성 증대 사업 퀴노아 연구센터 차칼라 건립 공사 시공사 선정 현지 입찰 재공고</x:v>
      </x:c>
      <x:c r="E324" s="22" t="n">
        <x:v>1</x:v>
      </x:c>
      <x:c r="F324" s="22" t="str">
        <x:v>.pdf</x:v>
      </x:c>
      <x:c r="G324" s="25" t="str">
        <x:v>L2025-00012-2/(붙임2) 입찰 관련 부속서류/Q-Lab_Chacala_Bidding Doc/Section 6. Q-Lab_Chacala_Q-Lab_Technical Specification/Q-Lab_TECHNICAL SPECIFICATIONS/01 ARCHITECTURE/ESPECIFICATION SHEETT.pdf</x:v>
      </x:c>
      <x:c r="H324" s="28" t="n">
        <x:v>1704961</x:v>
      </x:c>
      <x:c r="I324" s="22" t="str">
        <x:v>c212735ef7daff5d270698660a347d61d0eaaa8509be5a8145db14ed0026e9d0</x:v>
      </x:c>
      <x:c r="J324" s="22" t="n">
        <x:v>0</x:v>
      </x:c>
      <x:c r="K324" s="22" t="n">
        <x:v>0</x:v>
      </x:c>
      <x:c r="L324" s="22" t="n">
        <x:v>0</x:v>
      </x:c>
      <x:c r="M324" s="28" t="n">
        <x:v>0</x:v>
      </x:c>
      <x:c r="N324" s="28" t="n">
        <x:v>0</x:v>
      </x:c>
      <x:c r="O324" s="28" t="n">
        <x:v>0</x:v>
      </x:c>
      <x:c r="P324" s="62" t="n">
        <x:v>0</x:v>
      </x:c>
      <x:c r="Q324" s="22" t="n">
        <x:v>0</x:v>
      </x:c>
      <x:c r="R324" s="22" t="str"/>
      <x:c r="S324" s="22" t="str"/>
      <x:c r="T324" s="22" t="str"/>
    </x:row>
    <x:row r="325">
      <x:c r="A325" s="22" t="str">
        <x:v>2013-00064</x:v>
      </x:c>
      <x:c r="B325" s="22" t="str">
        <x:v>L2025-00012-2</x:v>
      </x:c>
      <x:c r="C325" s="22" t="str">
        <x:v>공사</x:v>
      </x:c>
      <x:c r="D325" s="25" t="str">
        <x:v>볼리비아 고원 지역 농업 기계화 및 농민역량 강화를 통한 생산성 증대 사업 퀴노아 연구센터 차칼라 건립 공사 시공사 선정 현지 입찰 재공고</x:v>
      </x:c>
      <x:c r="E325" s="22" t="n">
        <x:v>1</x:v>
      </x:c>
      <x:c r="F325" s="22" t="str">
        <x:v>.pdf</x:v>
      </x:c>
      <x:c r="G325" s="25" t="str">
        <x:v>L2025-00012-2/(붙임2) 입찰 관련 부속서류/Q-Lab_Chacala_Bidding Doc/Section 6. Q-Lab_Chacala_Q-Lab_Technical Specification/Q-Lab_TECHNICAL SPECIFICATIONS/09 HIDRSANYTARI/ESPANISH.pdf</x:v>
      </x:c>
      <x:c r="H325" s="28" t="n">
        <x:v>1423182</x:v>
      </x:c>
      <x:c r="I325" s="22" t="str">
        <x:v>04db992bb90c47ba65474e0215e21f159180d78a8855e5bce329ce74632c50fb</x:v>
      </x:c>
      <x:c r="J325" s="22" t="n">
        <x:v>0</x:v>
      </x:c>
      <x:c r="K325" s="22" t="n">
        <x:v>0</x:v>
      </x:c>
      <x:c r="L325" s="22" t="n">
        <x:v>0</x:v>
      </x:c>
      <x:c r="M325" s="28" t="n">
        <x:v>0</x:v>
      </x:c>
      <x:c r="N325" s="28" t="n">
        <x:v>0</x:v>
      </x:c>
      <x:c r="O325" s="28" t="n">
        <x:v>0</x:v>
      </x:c>
      <x:c r="P325" s="62" t="n">
        <x:v>0</x:v>
      </x:c>
      <x:c r="Q325" s="22" t="n">
        <x:v>0</x:v>
      </x:c>
      <x:c r="R325" s="22" t="str"/>
      <x:c r="S325" s="22" t="str"/>
      <x:c r="T325" s="22" t="str"/>
    </x:row>
    <x:row r="326">
      <x:c r="A326" s="22" t="str">
        <x:v>2013-00064</x:v>
      </x:c>
      <x:c r="B326" s="22" t="str">
        <x:v>L2025-00012-2</x:v>
      </x:c>
      <x:c r="C326" s="22" t="str">
        <x:v>공사</x:v>
      </x:c>
      <x:c r="D326" s="25" t="str">
        <x:v>볼리비아 고원 지역 농업 기계화 및 농민역량 강화를 통한 생산성 증대 사업 퀴노아 연구센터 차칼라 건립 공사 시공사 선정 현지 입찰 재공고</x:v>
      </x:c>
      <x:c r="E326" s="22" t="n">
        <x:v>1</x:v>
      </x:c>
      <x:c r="F326" s="22" t="str">
        <x:v>.pdf</x:v>
      </x:c>
      <x:c r="G326" s="25" t="str">
        <x:v>L2025-00012-2/(붙임2) 입찰 관련 부속서류/Q-Lab_Chacala_Bidding Doc/Section 6. Q-Lab_Chacala_Q-Lab_Technical Specification/Q-Lab_TECHNICAL SPECIFICATIONS/09 HIDRSANYTARI/ENGLISH.pdf</x:v>
      </x:c>
      <x:c r="H326" s="28" t="n">
        <x:v>1227152</x:v>
      </x:c>
      <x:c r="I326" s="22" t="str">
        <x:v>7c673ff6b9b4963b96f583afa76ed21f6a2c2eef0a270c0424a739bfbfcdfd8f</x:v>
      </x:c>
      <x:c r="J326" s="22" t="n">
        <x:v>0</x:v>
      </x:c>
      <x:c r="K326" s="22" t="n">
        <x:v>0</x:v>
      </x:c>
      <x:c r="L326" s="22" t="n">
        <x:v>0</x:v>
      </x:c>
      <x:c r="M326" s="28" t="n">
        <x:v>0</x:v>
      </x:c>
      <x:c r="N326" s="28" t="n">
        <x:v>0</x:v>
      </x:c>
      <x:c r="O326" s="28" t="n">
        <x:v>0</x:v>
      </x:c>
      <x:c r="P326" s="62" t="n">
        <x:v>0</x:v>
      </x:c>
      <x:c r="Q326" s="22" t="n">
        <x:v>0</x:v>
      </x:c>
      <x:c r="R326" s="22" t="str"/>
      <x:c r="S326" s="22" t="str"/>
      <x:c r="T326" s="22" t="str"/>
    </x:row>
    <x:row r="327">
      <x:c r="A327" s="22" t="str">
        <x:v>2013-00064</x:v>
      </x:c>
      <x:c r="B327" s="22" t="str">
        <x:v>L2025-00012-2</x:v>
      </x:c>
      <x:c r="C327" s="22" t="str">
        <x:v>공사</x:v>
      </x:c>
      <x:c r="D327" s="25" t="str">
        <x:v>볼리비아 고원 지역 농업 기계화 및 농민역량 강화를 통한 생산성 증대 사업 퀴노아 연구센터 차칼라 건립 공사 시공사 선정 현지 입찰 재공고</x:v>
      </x:c>
      <x:c r="E327" s="22" t="n">
        <x:v>1</x:v>
      </x:c>
      <x:c r="F327" s="22" t="str">
        <x:v>.pdf</x:v>
      </x:c>
      <x:c r="G327" s="25" t="str">
        <x:v>L2025-00012-2/(붙임2) 입찰 관련 부속서류/Q-Lab_Chacala_Bidding Doc/Section 6. Q-Lab_Chacala_Q-Lab_Technical Specification/Q-Lab_TECHNICAL SPECIFICATIONS/04 ELECTRIC/EL ESPECIFICACIONES TÉCNICAS (ESP).pdf</x:v>
      </x:c>
      <x:c r="H327" s="28" t="n">
        <x:v>409139</x:v>
      </x:c>
      <x:c r="I327" s="22" t="str">
        <x:v>c5ed1afe3e77d032e98f4b4da8b1ac427e816ecd9f3548eb1331910766a2b356</x:v>
      </x:c>
      <x:c r="J327" s="22" t="n">
        <x:v>0</x:v>
      </x:c>
      <x:c r="K327" s="22" t="n">
        <x:v>0</x:v>
      </x:c>
      <x:c r="L327" s="22" t="n">
        <x:v>0</x:v>
      </x:c>
      <x:c r="M327" s="28" t="n">
        <x:v>0</x:v>
      </x:c>
      <x:c r="N327" s="28" t="n">
        <x:v>0</x:v>
      </x:c>
      <x:c r="O327" s="28" t="n">
        <x:v>0</x:v>
      </x:c>
      <x:c r="P327" s="62" t="n">
        <x:v>0</x:v>
      </x:c>
      <x:c r="Q327" s="22" t="n">
        <x:v>0</x:v>
      </x:c>
      <x:c r="R327" s="22" t="str"/>
      <x:c r="S327" s="22" t="str"/>
      <x:c r="T327" s="22" t="str"/>
    </x:row>
    <x:row r="328">
      <x:c r="A328" s="22" t="str">
        <x:v>2013-00064</x:v>
      </x:c>
      <x:c r="B328" s="22" t="str">
        <x:v>L2025-00012-2</x:v>
      </x:c>
      <x:c r="C328" s="22" t="str">
        <x:v>공사</x:v>
      </x:c>
      <x:c r="D328" s="25" t="str">
        <x:v>볼리비아 고원 지역 농업 기계화 및 농민역량 강화를 통한 생산성 증대 사업 퀴노아 연구센터 차칼라 건립 공사 시공사 선정 현지 입찰 재공고</x:v>
      </x:c>
      <x:c r="E328" s="22" t="n">
        <x:v>1</x:v>
      </x:c>
      <x:c r="F328" s="22" t="str">
        <x:v>.pdf</x:v>
      </x:c>
      <x:c r="G328" s="25" t="str">
        <x:v>L2025-00012-2/(붙임2) 입찰 관련 부속서류/Q-Lab_Chacala_Bidding Doc/Section 6. Q-Lab_Chacala_Q-Lab_Technical Specification/Q-Lab_TECHNICAL SPECIFICATIONS/04 ELECTRIC/EL Specificaction Sheets (ENG).pdf</x:v>
      </x:c>
      <x:c r="H328" s="28" t="n">
        <x:v>434004</x:v>
      </x:c>
      <x:c r="I328" s="22" t="str">
        <x:v>833f63da4c7a77bef4e8c5152e41d2de15095bbc06b23bc65287bb9189a846a0</x:v>
      </x:c>
      <x:c r="J328" s="22" t="n">
        <x:v>0</x:v>
      </x:c>
      <x:c r="K328" s="22" t="n">
        <x:v>0</x:v>
      </x:c>
      <x:c r="L328" s="22" t="n">
        <x:v>0</x:v>
      </x:c>
      <x:c r="M328" s="28" t="n">
        <x:v>0</x:v>
      </x:c>
      <x:c r="N328" s="28" t="n">
        <x:v>0</x:v>
      </x:c>
      <x:c r="O328" s="28" t="n">
        <x:v>0</x:v>
      </x:c>
      <x:c r="P328" s="62" t="n">
        <x:v>0</x:v>
      </x:c>
      <x:c r="Q328" s="22" t="n">
        <x:v>0</x:v>
      </x:c>
      <x:c r="R328" s="22" t="str"/>
      <x:c r="S328" s="22" t="str"/>
      <x:c r="T328" s="22" t="str"/>
    </x:row>
    <x:row r="329">
      <x:c r="A329" s="22" t="str">
        <x:v>2013-00064</x:v>
      </x:c>
      <x:c r="B329" s="22" t="str">
        <x:v>L2025-00012-2</x:v>
      </x:c>
      <x:c r="C329" s="22" t="str">
        <x:v>공사</x:v>
      </x:c>
      <x:c r="D329" s="25" t="str">
        <x:v>볼리비아 고원 지역 농업 기계화 및 농민역량 강화를 통한 생산성 증대 사업 퀴노아 연구센터 차칼라 건립 공사 시공사 선정 현지 입찰 재공고</x:v>
      </x:c>
      <x:c r="E329" s="22" t="n">
        <x:v>1</x:v>
      </x:c>
      <x:c r="F329" s="22" t="str">
        <x:v>.pdf</x:v>
      </x:c>
      <x:c r="G329" s="25" t="str">
        <x:v>L2025-00012-2/(붙임2) 입찰 관련 부속서류/Q-Lab_Chacala_Bidding Doc/Section 6. Q-Lab_Chacala_Q-Lab_Technical Specification/Q-Lab_TECHNICAL SPECIFICATIONS/05 TELECOMUNICATION/IT Specificaction Sheets (ENG).pdf</x:v>
      </x:c>
      <x:c r="H329" s="28" t="n">
        <x:v>572135</x:v>
      </x:c>
      <x:c r="I329" s="22" t="str">
        <x:v>38f6a7dc5d09480dc746bce7ee3d9185a5605a9ef5a34142755e1bf49f9baa2b</x:v>
      </x:c>
      <x:c r="J329" s="22" t="n">
        <x:v>0</x:v>
      </x:c>
      <x:c r="K329" s="22" t="n">
        <x:v>0</x:v>
      </x:c>
      <x:c r="L329" s="22" t="n">
        <x:v>0</x:v>
      </x:c>
      <x:c r="M329" s="28" t="n">
        <x:v>0</x:v>
      </x:c>
      <x:c r="N329" s="28" t="n">
        <x:v>0</x:v>
      </x:c>
      <x:c r="O329" s="28" t="n">
        <x:v>0</x:v>
      </x:c>
      <x:c r="P329" s="62" t="n">
        <x:v>0</x:v>
      </x:c>
      <x:c r="Q329" s="22" t="n">
        <x:v>0</x:v>
      </x:c>
      <x:c r="R329" s="22" t="str"/>
      <x:c r="S329" s="22" t="str"/>
      <x:c r="T329" s="22" t="str"/>
    </x:row>
    <x:row r="330">
      <x:c r="A330" s="22" t="str">
        <x:v>2013-00064</x:v>
      </x:c>
      <x:c r="B330" s="22" t="str">
        <x:v>L2025-00012-2</x:v>
      </x:c>
      <x:c r="C330" s="22" t="str">
        <x:v>공사</x:v>
      </x:c>
      <x:c r="D330" s="25" t="str">
        <x:v>볼리비아 고원 지역 농업 기계화 및 농민역량 강화를 통한 생산성 증대 사업 퀴노아 연구센터 차칼라 건립 공사 시공사 선정 현지 입찰 재공고</x:v>
      </x:c>
      <x:c r="E330" s="22" t="n">
        <x:v>1</x:v>
      </x:c>
      <x:c r="F330" s="22" t="str">
        <x:v>.pdf</x:v>
      </x:c>
      <x:c r="G330" s="25" t="str">
        <x:v>L2025-00012-2/(붙임2) 입찰 관련 부속서류/Q-Lab_Chacala_Bidding Doc/Section 6. Q-Lab_Chacala_Q-Lab_Technical Specification/Q-Lab_TECHNICAL SPECIFICATIONS/05 TELECOMUNICATION/IT ESPECIFICACIONES TÉCNICAS (ESP).pdf</x:v>
      </x:c>
      <x:c r="H330" s="28" t="n">
        <x:v>633957</x:v>
      </x:c>
      <x:c r="I330" s="22" t="str">
        <x:v>c28627f12a11873bb7c4b59b6f4cee3fa16e01546560e2f7883b0b307d91213d</x:v>
      </x:c>
      <x:c r="J330" s="22" t="n">
        <x:v>0</x:v>
      </x:c>
      <x:c r="K330" s="22" t="n">
        <x:v>0</x:v>
      </x:c>
      <x:c r="L330" s="22" t="n">
        <x:v>0</x:v>
      </x:c>
      <x:c r="M330" s="28" t="n">
        <x:v>0</x:v>
      </x:c>
      <x:c r="N330" s="28" t="n">
        <x:v>0</x:v>
      </x:c>
      <x:c r="O330" s="28" t="n">
        <x:v>0</x:v>
      </x:c>
      <x:c r="P330" s="62" t="n">
        <x:v>0</x:v>
      </x:c>
      <x:c r="Q330" s="22" t="n">
        <x:v>0</x:v>
      </x:c>
      <x:c r="R330" s="22" t="str"/>
      <x:c r="S330" s="22" t="str"/>
      <x:c r="T330" s="22" t="str"/>
    </x:row>
    <x:row r="331">
      <x:c r="A331" s="22" t="str">
        <x:v>2013-00064</x:v>
      </x:c>
      <x:c r="B331" s="22" t="str">
        <x:v>L2025-00012-2</x:v>
      </x:c>
      <x:c r="C331" s="22" t="str">
        <x:v>공사</x:v>
      </x:c>
      <x:c r="D331" s="25" t="str">
        <x:v>볼리비아 고원 지역 농업 기계화 및 농민역량 강화를 통한 생산성 증대 사업 퀴노아 연구센터 차칼라 건립 공사 시공사 선정 현지 입찰 재공고</x:v>
      </x:c>
      <x:c r="E331" s="22" t="n">
        <x:v>1</x:v>
      </x:c>
      <x:c r="F331" s="22" t="str">
        <x:v>.pdf</x:v>
      </x:c>
      <x:c r="G331" s="25" t="str">
        <x:v>L2025-00012-2/(붙임2) 입찰 관련 부속서류/Q-Lab_Chacala_Bidding Doc/Section 6. Q-Lab_Chacala_Q-Lab_Technical Specification/Q-Lab_TECHNICAL SPECIFICATIONS/07 FIRE PROTECTION/CI Specificaction Sheets (ENG).pdf</x:v>
      </x:c>
      <x:c r="H331" s="28" t="n">
        <x:v>350247</x:v>
      </x:c>
      <x:c r="I331" s="22" t="str">
        <x:v>1365bf60a64982418cdc8a9b8b070930795d182dbe350866154eaed81e8e6659</x:v>
      </x:c>
      <x:c r="J331" s="22" t="n">
        <x:v>0</x:v>
      </x:c>
      <x:c r="K331" s="22" t="n">
        <x:v>0</x:v>
      </x:c>
      <x:c r="L331" s="22" t="n">
        <x:v>0</x:v>
      </x:c>
      <x:c r="M331" s="28" t="n">
        <x:v>0</x:v>
      </x:c>
      <x:c r="N331" s="28" t="n">
        <x:v>0</x:v>
      </x:c>
      <x:c r="O331" s="28" t="n">
        <x:v>0</x:v>
      </x:c>
      <x:c r="P331" s="62" t="n">
        <x:v>0</x:v>
      </x:c>
      <x:c r="Q331" s="22" t="n">
        <x:v>0</x:v>
      </x:c>
      <x:c r="R331" s="22" t="str"/>
      <x:c r="S331" s="22" t="str"/>
      <x:c r="T331" s="22" t="str"/>
    </x:row>
    <x:row r="332">
      <x:c r="A332" s="22" t="str">
        <x:v>2013-00064</x:v>
      </x:c>
      <x:c r="B332" s="22" t="str">
        <x:v>L2025-00012-2</x:v>
      </x:c>
      <x:c r="C332" s="22" t="str">
        <x:v>공사</x:v>
      </x:c>
      <x:c r="D332" s="25" t="str">
        <x:v>볼리비아 고원 지역 농업 기계화 및 농민역량 강화를 통한 생산성 증대 사업 퀴노아 연구센터 차칼라 건립 공사 시공사 선정 현지 입찰 재공고</x:v>
      </x:c>
      <x:c r="E332" s="22" t="n">
        <x:v>1</x:v>
      </x:c>
      <x:c r="F332" s="22" t="str">
        <x:v>.pdf</x:v>
      </x:c>
      <x:c r="G332" s="25" t="str">
        <x:v>L2025-00012-2/(붙임2) 입찰 관련 부속서류/Q-Lab_Chacala_Bidding Doc/Section 6. Q-Lab_Chacala_Q-Lab_Technical Specification/Q-Lab_TECHNICAL SPECIFICATIONS/07 FIRE PROTECTION/CI ESPECIFICACIONES TÉCNICAS (ESP).pdf</x:v>
      </x:c>
      <x:c r="H332" s="28" t="n">
        <x:v>308284</x:v>
      </x:c>
      <x:c r="I332" s="22" t="str">
        <x:v>a5bddec2df0b73b6b7af22ec9d4622be18ec181bdb990f19e8e4d543902c8a2a</x:v>
      </x:c>
      <x:c r="J332" s="22" t="n">
        <x:v>0</x:v>
      </x:c>
      <x:c r="K332" s="22" t="n">
        <x:v>0</x:v>
      </x:c>
      <x:c r="L332" s="22" t="n">
        <x:v>0</x:v>
      </x:c>
      <x:c r="M332" s="28" t="n">
        <x:v>0</x:v>
      </x:c>
      <x:c r="N332" s="28" t="n">
        <x:v>0</x:v>
      </x:c>
      <x:c r="O332" s="28" t="n">
        <x:v>0</x:v>
      </x:c>
      <x:c r="P332" s="62" t="n">
        <x:v>0</x:v>
      </x:c>
      <x:c r="Q332" s="22" t="n">
        <x:v>0</x:v>
      </x:c>
      <x:c r="R332" s="22" t="str"/>
      <x:c r="S332" s="22" t="str"/>
      <x:c r="T332" s="22" t="str"/>
    </x:row>
    <x:row r="333">
      <x:c r="A333" s="22" t="str">
        <x:v>2013-00064</x:v>
      </x:c>
      <x:c r="B333" s="22" t="str">
        <x:v>L2025-00012-2</x:v>
      </x:c>
      <x:c r="C333" s="22" t="str">
        <x:v>공사</x:v>
      </x:c>
      <x:c r="D333" s="25" t="str">
        <x:v>볼리비아 고원 지역 농업 기계화 및 농민역량 강화를 통한 생산성 증대 사업 퀴노아 연구센터 차칼라 건립 공사 시공사 선정 현지 입찰 재공고</x:v>
      </x:c>
      <x:c r="E333" s="22" t="n">
        <x:v>1</x:v>
      </x:c>
      <x:c r="F333" s="22" t="str">
        <x:v>.pdf</x:v>
      </x:c>
      <x:c r="G333" s="25" t="str">
        <x:v>L2025-00012-2/(붙임2) 입찰 관련 부속서류/Q-Lab_Chacala_Bidding Doc/Section 6. Q-Lab_Chacala_Q-Lab_Technical Specification/Q-Lab_TECHNICAL SPECIFICATIONS/06 AIR CONDITIONING/CL ESPECIFICACIONES TÉCNICAS (ESP).pdf</x:v>
      </x:c>
      <x:c r="H333" s="28" t="n">
        <x:v>742353</x:v>
      </x:c>
      <x:c r="I333" s="22" t="str">
        <x:v>3503ec39602c2669dec571a4d0343fb048e51419e6ac4122123fae3cce16d087</x:v>
      </x:c>
      <x:c r="J333" s="22" t="n">
        <x:v>0</x:v>
      </x:c>
      <x:c r="K333" s="22" t="n">
        <x:v>0</x:v>
      </x:c>
      <x:c r="L333" s="22" t="n">
        <x:v>0</x:v>
      </x:c>
      <x:c r="M333" s="28" t="n">
        <x:v>0</x:v>
      </x:c>
      <x:c r="N333" s="28" t="n">
        <x:v>0</x:v>
      </x:c>
      <x:c r="O333" s="28" t="n">
        <x:v>0</x:v>
      </x:c>
      <x:c r="P333" s="62" t="n">
        <x:v>0</x:v>
      </x:c>
      <x:c r="Q333" s="22" t="n">
        <x:v>0</x:v>
      </x:c>
      <x:c r="R333" s="22" t="str"/>
      <x:c r="S333" s="22" t="str"/>
      <x:c r="T333" s="22" t="str"/>
    </x:row>
    <x:row r="334">
      <x:c r="A334" s="22" t="str">
        <x:v>2013-00064</x:v>
      </x:c>
      <x:c r="B334" s="22" t="str">
        <x:v>L2025-00012-2</x:v>
      </x:c>
      <x:c r="C334" s="22" t="str">
        <x:v>공사</x:v>
      </x:c>
      <x:c r="D334" s="25" t="str">
        <x:v>볼리비아 고원 지역 농업 기계화 및 농민역량 강화를 통한 생산성 증대 사업 퀴노아 연구센터 차칼라 건립 공사 시공사 선정 현지 입찰 재공고</x:v>
      </x:c>
      <x:c r="E334" s="22" t="n">
        <x:v>1</x:v>
      </x:c>
      <x:c r="F334" s="22" t="str">
        <x:v>.pdf</x:v>
      </x:c>
      <x:c r="G334" s="25" t="str">
        <x:v>L2025-00012-2/(붙임2) 입찰 관련 부속서류/Q-Lab_Chacala_Bidding Doc/Section 6. Q-Lab_Chacala_Q-Lab_Technical Specification/Q-Lab_TECHNICAL SPECIFICATIONS/06 AIR CONDITIONING/CL Specificaction Sheets (ENG).pdf</x:v>
      </x:c>
      <x:c r="H334" s="28" t="n">
        <x:v>688151</x:v>
      </x:c>
      <x:c r="I334" s="22" t="str">
        <x:v>dfeb394f6fd060f519d4c178ea5c744df9d3c50b861f60bf77580f41da6c70cf</x:v>
      </x:c>
      <x:c r="J334" s="22" t="n">
        <x:v>0</x:v>
      </x:c>
      <x:c r="K334" s="22" t="n">
        <x:v>0</x:v>
      </x:c>
      <x:c r="L334" s="22" t="n">
        <x:v>0</x:v>
      </x:c>
      <x:c r="M334" s="28" t="n">
        <x:v>0</x:v>
      </x:c>
      <x:c r="N334" s="28" t="n">
        <x:v>0</x:v>
      </x:c>
      <x:c r="O334" s="28" t="n">
        <x:v>0</x:v>
      </x:c>
      <x:c r="P334" s="62" t="n">
        <x:v>0</x:v>
      </x:c>
      <x:c r="Q334" s="22" t="n">
        <x:v>0</x:v>
      </x:c>
      <x:c r="R334" s="22" t="str"/>
      <x:c r="S334" s="22" t="str"/>
      <x:c r="T334" s="22" t="str"/>
    </x:row>
    <x:row r="335">
      <x:c r="A335" s="22" t="str">
        <x:v>2013-00064</x:v>
      </x:c>
      <x:c r="B335" s="22" t="str">
        <x:v>L2025-00012-2</x:v>
      </x:c>
      <x:c r="C335" s="22" t="str">
        <x:v>공사</x:v>
      </x:c>
      <x:c r="D335" s="25" t="str">
        <x:v>볼리비아 고원 지역 농업 기계화 및 농민역량 강화를 통한 생산성 증대 사업 퀴노아 연구센터 차칼라 건립 공사 시공사 선정 현지 입찰 재공고</x:v>
      </x:c>
      <x:c r="E335" s="22" t="n">
        <x:v>1</x:v>
      </x:c>
      <x:c r="F335" s="22" t="str">
        <x:v>.pdf</x:v>
      </x:c>
      <x:c r="G335" s="25" t="str">
        <x:v>L2025-00012-2/(붙임2) 입찰 관련 부속서류/Q-Lab_Chacala_Bidding Doc/Section 6. Q-Lab_Chacala_Q-Lab_Technical Specification/Q-Lab_TECHNICAL SPECIFICATIONS/03 METALLIC ESTRUCTURE/ET 152 CUBIERTA SELLLADA E=5CM-COVER SEALED.pdf</x:v>
      </x:c>
      <x:c r="H335" s="28" t="n">
        <x:v>530290</x:v>
      </x:c>
      <x:c r="I335" s="22" t="str">
        <x:v>29f45fa7a4f00dc3eec27fa93a8b4d286efc769fbc06d2ae6b1a9fc9053faa18</x:v>
      </x:c>
      <x:c r="J335" s="22" t="n">
        <x:v>0</x:v>
      </x:c>
      <x:c r="K335" s="22" t="n">
        <x:v>0</x:v>
      </x:c>
      <x:c r="L335" s="22" t="n">
        <x:v>0</x:v>
      </x:c>
      <x:c r="M335" s="28" t="n">
        <x:v>0</x:v>
      </x:c>
      <x:c r="N335" s="28" t="n">
        <x:v>0</x:v>
      </x:c>
      <x:c r="O335" s="28" t="n">
        <x:v>0</x:v>
      </x:c>
      <x:c r="P335" s="62" t="n">
        <x:v>0</x:v>
      </x:c>
      <x:c r="Q335" s="22" t="n">
        <x:v>0</x:v>
      </x:c>
      <x:c r="R335" s="22" t="str"/>
      <x:c r="S335" s="22" t="str"/>
      <x:c r="T335" s="22" t="str"/>
    </x:row>
    <x:row r="336">
      <x:c r="A336" s="22" t="str">
        <x:v>2013-00064</x:v>
      </x:c>
      <x:c r="B336" s="22" t="str">
        <x:v>L2025-00012-2</x:v>
      </x:c>
      <x:c r="C336" s="22" t="str">
        <x:v>공사</x:v>
      </x:c>
      <x:c r="D336" s="25" t="str">
        <x:v>볼리비아 고원 지역 농업 기계화 및 농민역량 강화를 통한 생산성 증대 사업 퀴노아 연구센터 차칼라 건립 공사 시공사 선정 현지 입찰 재공고</x:v>
      </x:c>
      <x:c r="E336" s="22" t="n">
        <x:v>1</x:v>
      </x:c>
      <x:c r="F336" s="22" t="str">
        <x:v>.pdf</x:v>
      </x:c>
      <x:c r="G336" s="25" t="str">
        <x:v>L2025-00012-2/(붙임2) 입찰 관련 부속서류/Q-Lab_Chacala_Bidding Doc/Section 6. Q-Lab_Chacala_Q-Lab_Technical Specification/Q-Lab_TECHNICAL SPECIFICATIONS/03 METALLIC ESTRUCTURE/ET 150 ESTRUCTURA METALICA-STTEL STRUCTURE.pdf</x:v>
      </x:c>
      <x:c r="H336" s="28" t="n">
        <x:v>478173</x:v>
      </x:c>
      <x:c r="I336" s="22" t="str">
        <x:v>3af8e6579080a81e44a65c12d3dcf553480de5f1273cbcba43eb94dcf6cb7ac4</x:v>
      </x:c>
      <x:c r="J336" s="22" t="n">
        <x:v>0</x:v>
      </x:c>
      <x:c r="K336" s="22" t="n">
        <x:v>0</x:v>
      </x:c>
      <x:c r="L336" s="22" t="n">
        <x:v>0</x:v>
      </x:c>
      <x:c r="M336" s="28" t="n">
        <x:v>0</x:v>
      </x:c>
      <x:c r="N336" s="28" t="n">
        <x:v>0</x:v>
      </x:c>
      <x:c r="O336" s="28" t="n">
        <x:v>0</x:v>
      </x:c>
      <x:c r="P336" s="62" t="n">
        <x:v>0</x:v>
      </x:c>
      <x:c r="Q336" s="22" t="n">
        <x:v>0</x:v>
      </x:c>
      <x:c r="R336" s="22" t="str"/>
      <x:c r="S336" s="22" t="str"/>
      <x:c r="T336" s="22" t="str"/>
    </x:row>
    <x:row r="337">
      <x:c r="A337" s="22" t="str">
        <x:v>2013-00064</x:v>
      </x:c>
      <x:c r="B337" s="22" t="str">
        <x:v>L2025-00012-2</x:v>
      </x:c>
      <x:c r="C337" s="22" t="str">
        <x:v>공사</x:v>
      </x:c>
      <x:c r="D337" s="25" t="str">
        <x:v>볼리비아 고원 지역 농업 기계화 및 농민역량 강화를 통한 생산성 증대 사업 퀴노아 연구센터 차칼라 건립 공사 시공사 선정 현지 입찰 재공고</x:v>
      </x:c>
      <x:c r="E337" s="22" t="n">
        <x:v>1</x:v>
      </x:c>
      <x:c r="F337" s="22" t="str">
        <x:v>.pdf</x:v>
      </x:c>
      <x:c r="G337" s="25" t="str">
        <x:v>L2025-00012-2/(붙임2) 입찰 관련 부속서류/Q-Lab_Chacala_Bidding Doc/Section 6. Q-Lab_Chacala_Q-Lab_Technical Specification/Q-Lab_TECHNICAL SPECIFICATIONS/08 FURNITURE/ESPECIFICACIONES TÉCNICAS - BLOQUE I.pdf</x:v>
      </x:c>
      <x:c r="H337" s="28" t="n">
        <x:v>799377</x:v>
      </x:c>
      <x:c r="I337" s="22" t="str">
        <x:v>b31ee327d4b25b0354432641a2650c6f346da72508db7f7bfd1d12192b985711</x:v>
      </x:c>
      <x:c r="J337" s="22" t="n">
        <x:v>0</x:v>
      </x:c>
      <x:c r="K337" s="22" t="n">
        <x:v>0</x:v>
      </x:c>
      <x:c r="L337" s="22" t="n">
        <x:v>0</x:v>
      </x:c>
      <x:c r="M337" s="28" t="n">
        <x:v>0</x:v>
      </x:c>
      <x:c r="N337" s="28" t="n">
        <x:v>0</x:v>
      </x:c>
      <x:c r="O337" s="28" t="n">
        <x:v>0</x:v>
      </x:c>
      <x:c r="P337" s="62" t="n">
        <x:v>0</x:v>
      </x:c>
      <x:c r="Q337" s="22" t="n">
        <x:v>0</x:v>
      </x:c>
      <x:c r="R337" s="22" t="str"/>
      <x:c r="S337" s="22" t="str"/>
      <x:c r="T337" s="22" t="str"/>
    </x:row>
    <x:row r="338">
      <x:c r="A338" s="22" t="str">
        <x:v>2013-00064</x:v>
      </x:c>
      <x:c r="B338" s="22" t="str">
        <x:v>L2025-00012-2</x:v>
      </x:c>
      <x:c r="C338" s="22" t="str">
        <x:v>공사</x:v>
      </x:c>
      <x:c r="D338" s="25" t="str">
        <x:v>볼리비아 고원 지역 농업 기계화 및 농민역량 강화를 통한 생산성 증대 사업 퀴노아 연구센터 차칼라 건립 공사 시공사 선정 현지 입찰 재공고</x:v>
      </x:c>
      <x:c r="E338" s="22" t="n">
        <x:v>1</x:v>
      </x:c>
      <x:c r="F338" s="22" t="str">
        <x:v>.pdf</x:v>
      </x:c>
      <x:c r="G338" s="25" t="str">
        <x:v>L2025-00012-2/(붙임2) 입찰 관련 부속서류/Q-Lab_Chacala_Bidding Doc/Section 6. Q-Lab_Chacala_Q-Lab_Technical Specification/Q-Lab_TECHNICAL SPECIFICATIONS/08 FURNITURE/ESPECIFICACIONES BLOQUE B - DISEÑO DETALLADO.pdf</x:v>
      </x:c>
      <x:c r="H338" s="28" t="n">
        <x:v>1440999</x:v>
      </x:c>
      <x:c r="I338" s="22" t="str">
        <x:v>d5a03f033f228dfa9a63a2d8928ef59243c41c6e0feb6c7dda8f8108418a10c2</x:v>
      </x:c>
      <x:c r="J338" s="22" t="n">
        <x:v>0</x:v>
      </x:c>
      <x:c r="K338" s="22" t="n">
        <x:v>0</x:v>
      </x:c>
      <x:c r="L338" s="22" t="n">
        <x:v>0</x:v>
      </x:c>
      <x:c r="M338" s="28" t="n">
        <x:v>0</x:v>
      </x:c>
      <x:c r="N338" s="28" t="n">
        <x:v>0</x:v>
      </x:c>
      <x:c r="O338" s="28" t="n">
        <x:v>0</x:v>
      </x:c>
      <x:c r="P338" s="62" t="n">
        <x:v>0</x:v>
      </x:c>
      <x:c r="Q338" s="22" t="n">
        <x:v>0</x:v>
      </x:c>
      <x:c r="R338" s="22" t="str"/>
      <x:c r="S338" s="22" t="str"/>
      <x:c r="T338" s="22" t="str"/>
    </x:row>
    <x:row r="339">
      <x:c r="A339" s="22" t="str">
        <x:v>2013-00064</x:v>
      </x:c>
      <x:c r="B339" s="22" t="str">
        <x:v>L2025-00012-2</x:v>
      </x:c>
      <x:c r="C339" s="22" t="str">
        <x:v>공사</x:v>
      </x:c>
      <x:c r="D339" s="25" t="str">
        <x:v>볼리비아 고원 지역 농업 기계화 및 농민역량 강화를 통한 생산성 증대 사업 퀴노아 연구센터 차칼라 건립 공사 시공사 선정 현지 입찰 재공고</x:v>
      </x:c>
      <x:c r="E339" s="22" t="n">
        <x:v>1</x:v>
      </x:c>
      <x:c r="F339" s="22" t="str">
        <x:v>.pdf</x:v>
      </x:c>
      <x:c r="G339" s="25" t="str">
        <x:v>L2025-00012-2/(붙임2) 입찰 관련 부속서류/Q-Lab_Chacala_Bidding Doc/Section 6. Q-Lab_Chacala_Q-Lab_Technical Specification/Q-Lab_TECHNICAL SPECIFICATIONS/08 FURNITURE/ESPECIFICACIONES BLOQUE C - DETAIL DESIGN.pdf</x:v>
      </x:c>
      <x:c r="H339" s="28" t="n">
        <x:v>837872</x:v>
      </x:c>
      <x:c r="I339" s="22" t="str">
        <x:v>6f9b1c5c045dfc077f22be6236fb18a391816aff5d37049f620278343413545d</x:v>
      </x:c>
      <x:c r="J339" s="22" t="n">
        <x:v>0</x:v>
      </x:c>
      <x:c r="K339" s="22" t="n">
        <x:v>0</x:v>
      </x:c>
      <x:c r="L339" s="22" t="n">
        <x:v>0</x:v>
      </x:c>
      <x:c r="M339" s="28" t="n">
        <x:v>0</x:v>
      </x:c>
      <x:c r="N339" s="28" t="n">
        <x:v>0</x:v>
      </x:c>
      <x:c r="O339" s="28" t="n">
        <x:v>0</x:v>
      </x:c>
      <x:c r="P339" s="62" t="n">
        <x:v>0</x:v>
      </x:c>
      <x:c r="Q339" s="22" t="n">
        <x:v>0</x:v>
      </x:c>
      <x:c r="R339" s="22" t="str"/>
      <x:c r="S339" s="22" t="str"/>
      <x:c r="T339" s="22" t="str"/>
    </x:row>
    <x:row r="340">
      <x:c r="A340" s="22" t="str">
        <x:v>2013-00064</x:v>
      </x:c>
      <x:c r="B340" s="22" t="str">
        <x:v>L2025-00012-2</x:v>
      </x:c>
      <x:c r="C340" s="22" t="str">
        <x:v>공사</x:v>
      </x:c>
      <x:c r="D340" s="25" t="str">
        <x:v>볼리비아 고원 지역 농업 기계화 및 농민역량 강화를 통한 생산성 증대 사업 퀴노아 연구센터 차칼라 건립 공사 시공사 선정 현지 입찰 재공고</x:v>
      </x:c>
      <x:c r="E340" s="22" t="n">
        <x:v>1</x:v>
      </x:c>
      <x:c r="F340" s="22" t="str">
        <x:v>.pdf</x:v>
      </x:c>
      <x:c r="G340" s="25" t="str">
        <x:v>L2025-00012-2/(붙임2) 입찰 관련 부속서류/Q-Lab_Chacala_Bidding Doc/Section 6. Q-Lab_Chacala_Q-Lab_Technical Specification/Q-Lab_TECHNICAL SPECIFICATIONS/08 FURNITURE/ESPECIFICACIONES BLOQUE D - DETAIL DESIGN.pdf</x:v>
      </x:c>
      <x:c r="H340" s="28" t="n">
        <x:v>4895811</x:v>
      </x:c>
      <x:c r="I340" s="22" t="str">
        <x:v>7019305877d1b80cb39a3902799fd02586a4034ba7fe0ecd8a61bd74ba76340e</x:v>
      </x:c>
      <x:c r="J340" s="22" t="n">
        <x:v>0</x:v>
      </x:c>
      <x:c r="K340" s="22" t="n">
        <x:v>0</x:v>
      </x:c>
      <x:c r="L340" s="22" t="n">
        <x:v>0</x:v>
      </x:c>
      <x:c r="M340" s="28" t="n">
        <x:v>0</x:v>
      </x:c>
      <x:c r="N340" s="28" t="n">
        <x:v>0</x:v>
      </x:c>
      <x:c r="O340" s="28" t="n">
        <x:v>0</x:v>
      </x:c>
      <x:c r="P340" s="62" t="n">
        <x:v>0</x:v>
      </x:c>
      <x:c r="Q340" s="22" t="n">
        <x:v>0</x:v>
      </x:c>
      <x:c r="R340" s="22" t="str"/>
      <x:c r="S340" s="22" t="str"/>
      <x:c r="T340" s="22" t="str"/>
    </x:row>
    <x:row r="341">
      <x:c r="A341" s="22" t="str">
        <x:v>2013-00064</x:v>
      </x:c>
      <x:c r="B341" s="22" t="str">
        <x:v>L2025-00012-2</x:v>
      </x:c>
      <x:c r="C341" s="22" t="str">
        <x:v>공사</x:v>
      </x:c>
      <x:c r="D341" s="25" t="str">
        <x:v>볼리비아 고원 지역 농업 기계화 및 농민역량 강화를 통한 생산성 증대 사업 퀴노아 연구센터 차칼라 건립 공사 시공사 선정 현지 입찰 재공고</x:v>
      </x:c>
      <x:c r="E341" s="22" t="n">
        <x:v>1</x:v>
      </x:c>
      <x:c r="F341" s="22" t="str">
        <x:v>.pdf</x:v>
      </x:c>
      <x:c r="G341" s="25" t="str">
        <x:v>L2025-00012-2/(붙임2) 입찰 관련 부속서류/Q-Lab_Chacala_Bidding Doc/Section 6. Q-Lab_Chacala_Q-Lab_Technical Specification/Q-Lab_TECHNICAL SPECIFICATIONS/08 FURNITURE/ESPECIFICACIONES BLOQUE L - DETAIL DESIGN.pdf</x:v>
      </x:c>
      <x:c r="H341" s="28" t="n">
        <x:v>8057283</x:v>
      </x:c>
      <x:c r="I341" s="22" t="str">
        <x:v>8766241af57d229d90137bb34a06c7b6a1f7663bf4efb09bfa81498f4f91e0c6</x:v>
      </x:c>
      <x:c r="J341" s="22" t="n">
        <x:v>0</x:v>
      </x:c>
      <x:c r="K341" s="22" t="n">
        <x:v>0</x:v>
      </x:c>
      <x:c r="L341" s="22" t="n">
        <x:v>0</x:v>
      </x:c>
      <x:c r="M341" s="28" t="n">
        <x:v>0</x:v>
      </x:c>
      <x:c r="N341" s="28" t="n">
        <x:v>0</x:v>
      </x:c>
      <x:c r="O341" s="28" t="n">
        <x:v>0</x:v>
      </x:c>
      <x:c r="P341" s="62" t="n">
        <x:v>0</x:v>
      </x:c>
      <x:c r="Q341" s="22" t="n">
        <x:v>0</x:v>
      </x:c>
      <x:c r="R341" s="22" t="str"/>
      <x:c r="S341" s="22" t="str"/>
      <x:c r="T341" s="22" t="str"/>
    </x:row>
    <x:row r="342">
      <x:c r="A342" s="22" t="str">
        <x:v>2013-00064</x:v>
      </x:c>
      <x:c r="B342" s="22" t="str">
        <x:v>L2025-00012-2</x:v>
      </x:c>
      <x:c r="C342" s="22" t="str">
        <x:v>공사</x:v>
      </x:c>
      <x:c r="D342" s="25" t="str">
        <x:v>볼리비아 고원 지역 농업 기계화 및 농민역량 강화를 통한 생산성 증대 사업 퀴노아 연구센터 차칼라 건립 공사 시공사 선정 현지 입찰 재공고</x:v>
      </x:c>
      <x:c r="E342" s="22" t="n">
        <x:v>1</x:v>
      </x:c>
      <x:c r="F342" s="22" t="str">
        <x:v>.pdf</x:v>
      </x:c>
      <x:c r="G342" s="25" t="str">
        <x:v>L2025-00012-2/(붙임2) 입찰 관련 부속서류/Q-Lab_Chacala_Bidding Doc/Section 6. Q-Lab_Chacala_Q-Lab_Technical Specification/Q-Lab_TECHNICAL SPECIFICATIONS/02 ESTRUCTURE/02-Inglés/02-SPECIFIC TECHNICAL SPECIFICATION EST-HA.pdf</x:v>
      </x:c>
      <x:c r="H342" s="28" t="n">
        <x:v>384364</x:v>
      </x:c>
      <x:c r="I342" s="22" t="str">
        <x:v>e54420a9a0df3be1961c3fca1f85864b005b357a8e80a9b40e08913542c7db41</x:v>
      </x:c>
      <x:c r="J342" s="22" t="n">
        <x:v>0</x:v>
      </x:c>
      <x:c r="K342" s="22" t="n">
        <x:v>0</x:v>
      </x:c>
      <x:c r="L342" s="22" t="n">
        <x:v>0</x:v>
      </x:c>
      <x:c r="M342" s="28" t="n">
        <x:v>0</x:v>
      </x:c>
      <x:c r="N342" s="28" t="n">
        <x:v>0</x:v>
      </x:c>
      <x:c r="O342" s="28" t="n">
        <x:v>0</x:v>
      </x:c>
      <x:c r="P342" s="62" t="n">
        <x:v>0</x:v>
      </x:c>
      <x:c r="Q342" s="22" t="n">
        <x:v>0</x:v>
      </x:c>
      <x:c r="R342" s="22" t="str"/>
      <x:c r="S342" s="22" t="str"/>
      <x:c r="T342" s="22" t="str"/>
    </x:row>
    <x:row r="343">
      <x:c r="A343" s="22" t="str">
        <x:v>2013-00064</x:v>
      </x:c>
      <x:c r="B343" s="22" t="str">
        <x:v>L2025-00012-2</x:v>
      </x:c>
      <x:c r="C343" s="22" t="str">
        <x:v>공사</x:v>
      </x:c>
      <x:c r="D343" s="25" t="str">
        <x:v>볼리비아 고원 지역 농업 기계화 및 농민역량 강화를 통한 생산성 증대 사업 퀴노아 연구센터 차칼라 건립 공사 시공사 선정 현지 입찰 재공고</x:v>
      </x:c>
      <x:c r="E343" s="22" t="n">
        <x:v>1</x:v>
      </x:c>
      <x:c r="F343" s="22" t="str">
        <x:v>.pdf</x:v>
      </x:c>
      <x:c r="G343" s="25" t="str">
        <x:v>L2025-00012-2/(붙임2) 입찰 관련 부속서류/Q-Lab_Chacala_Bidding Doc/Section 6. Q-Lab_Chacala_Q-Lab_Technical Specification/Q-Lab_TECHNICAL SPECIFICATIONS/02 ESTRUCTURE/02-Inglés/01-General Technical Specifications.pdf</x:v>
      </x:c>
      <x:c r="H343" s="28" t="n">
        <x:v>422809</x:v>
      </x:c>
      <x:c r="I343" s="22" t="str">
        <x:v>12f82980ab04a36245aa182b4a183b78cbed388889d0942efc1e38203ad6b968</x:v>
      </x:c>
      <x:c r="J343" s="22" t="n">
        <x:v>0</x:v>
      </x:c>
      <x:c r="K343" s="22" t="n">
        <x:v>0</x:v>
      </x:c>
      <x:c r="L343" s="22" t="n">
        <x:v>0</x:v>
      </x:c>
      <x:c r="M343" s="28" t="n">
        <x:v>0</x:v>
      </x:c>
      <x:c r="N343" s="28" t="n">
        <x:v>0</x:v>
      </x:c>
      <x:c r="O343" s="28" t="n">
        <x:v>0</x:v>
      </x:c>
      <x:c r="P343" s="62" t="n">
        <x:v>0</x:v>
      </x:c>
      <x:c r="Q343" s="22" t="n">
        <x:v>0</x:v>
      </x:c>
      <x:c r="R343" s="22" t="str"/>
      <x:c r="S343" s="22" t="str"/>
      <x:c r="T343" s="22" t="str"/>
    </x:row>
    <x:row r="344">
      <x:c r="A344" s="22" t="str">
        <x:v>2013-00064</x:v>
      </x:c>
      <x:c r="B344" s="22" t="str">
        <x:v>L2025-00012-2</x:v>
      </x:c>
      <x:c r="C344" s="22" t="str">
        <x:v>공사</x:v>
      </x:c>
      <x:c r="D344" s="25" t="str">
        <x:v>볼리비아 고원 지역 농업 기계화 및 농민역량 강화를 통한 생산성 증대 사업 퀴노아 연구센터 차칼라 건립 공사 시공사 선정 현지 입찰 재공고</x:v>
      </x:c>
      <x:c r="E344" s="22" t="n">
        <x:v>1</x:v>
      </x:c>
      <x:c r="F344" s="22" t="str">
        <x:v>.pdf</x:v>
      </x:c>
      <x:c r="G344" s="25" t="str">
        <x:v>L2025-00012-2/(붙임2) 입찰 관련 부속서류/Q-Lab_Chacala_Bidding Doc/Section 6. Q-Lab_Chacala_Q-Lab_Technical Specification/Q-Lab_TECHNICAL SPECIFICATIONS/02 ESTRUCTURE/01-Español/01-Especificaciones Técnicas Generales.pdf</x:v>
      </x:c>
      <x:c r="H344" s="28" t="n">
        <x:v>474262</x:v>
      </x:c>
      <x:c r="I344" s="22" t="str">
        <x:v>18061db0b729d0e12bb600fce479b0ec2e9407d0830f06e21594806796c194fa</x:v>
      </x:c>
      <x:c r="J344" s="22" t="n">
        <x:v>0</x:v>
      </x:c>
      <x:c r="K344" s="22" t="n">
        <x:v>0</x:v>
      </x:c>
      <x:c r="L344" s="22" t="n">
        <x:v>0</x:v>
      </x:c>
      <x:c r="M344" s="28" t="n">
        <x:v>0</x:v>
      </x:c>
      <x:c r="N344" s="28" t="n">
        <x:v>0</x:v>
      </x:c>
      <x:c r="O344" s="28" t="n">
        <x:v>0</x:v>
      </x:c>
      <x:c r="P344" s="62" t="n">
        <x:v>0</x:v>
      </x:c>
      <x:c r="Q344" s="22" t="n">
        <x:v>0</x:v>
      </x:c>
      <x:c r="R344" s="22" t="str"/>
      <x:c r="S344" s="22" t="str"/>
      <x:c r="T344" s="22" t="str"/>
    </x:row>
    <x:row r="345">
      <x:c r="A345" s="22" t="str">
        <x:v>2022-00038</x:v>
      </x:c>
      <x:c r="B345" s="22" t="str">
        <x:v>L2023-00070-1</x:v>
      </x:c>
      <x:c r="C345" s="22" t="str">
        <x:v>용역</x:v>
      </x:c>
      <x:c r="D345" s="25" t="str">
        <x:v>볼리비아 라파스 주 임상병리검사실 체계 강화사업 현지 설계입찰</x:v>
      </x:c>
      <x:c r="E345" s="22" t="n">
        <x:v>0</x:v>
      </x:c>
      <x:c r="F345" s="22" t="str">
        <x:v>.hwp</x:v>
      </x:c>
      <x:c r="G345" s="25" t="str">
        <x:v>L2023-00070-1/1-1. (본부확인본) (입찰설명서) 라파즈주임상병리검사실 설계용역 입찰설명ᄉ.hwp</x:v>
      </x:c>
      <x:c r="H345" s="28" t="n">
        <x:v>1297920</x:v>
      </x:c>
      <x:c r="I345" s="22" t="str">
        <x:v>bb440e2c844557d465a5c6b8397857f24c8b92abc5b0f50f78ef5c96a3588c3f</x:v>
      </x:c>
      <x:c r="J345" s="22" t="n">
        <x:v>0</x:v>
      </x:c>
      <x:c r="K345" s="22" t="n">
        <x:v>0</x:v>
      </x:c>
      <x:c r="L345" s="22" t="n">
        <x:v>0</x:v>
      </x:c>
      <x:c r="M345" s="28" t="n">
        <x:v>0</x:v>
      </x:c>
      <x:c r="N345" s="28" t="n">
        <x:v>0</x:v>
      </x:c>
      <x:c r="O345" s="28" t="n">
        <x:v>0</x:v>
      </x:c>
      <x:c r="P345" s="62" t="n">
        <x:v>0</x:v>
      </x:c>
      <x:c r="Q345" s="22" t="n">
        <x:v>0</x:v>
      </x:c>
      <x:c r="R345" s="22" t="str"/>
      <x:c r="S345" s="22" t="str"/>
      <x:c r="T345" s="22" t="str"/>
    </x:row>
    <x:row r="346">
      <x:c r="A346" s="22" t="str">
        <x:v>2022-00038</x:v>
      </x:c>
      <x:c r="B346" s="22" t="str">
        <x:v>L2023-00070-1</x:v>
      </x:c>
      <x:c r="C346" s="22" t="str">
        <x:v>용역</x:v>
      </x:c>
      <x:c r="D346" s="25" t="str">
        <x:v>볼리비아 라파스 주 임상병리검사실 체계 강화사업 현지 설계입찰</x:v>
      </x:c>
      <x:c r="E346" s="22" t="n">
        <x:v>0</x:v>
      </x:c>
      <x:c r="F346" s="22" t="str">
        <x:v>.zip</x:v>
      </x:c>
      <x:c r="G346" s="25" t="str">
        <x:v>L2023-00070-1/3. (관련규정) KOICA Regulations.zip</x:v>
      </x:c>
      <x:c r="H346" s="28" t="n">
        <x:v>1729598</x:v>
      </x:c>
      <x:c r="I346" s="22" t="str">
        <x:v>80228d7d5f85ed824b1c12e5f6004f9e40362af75c8fd73621f0aad67fb86b7a</x:v>
      </x:c>
      <x:c r="J346" s="22" t="n">
        <x:v>0</x:v>
      </x:c>
      <x:c r="K346" s="22" t="n">
        <x:v>0</x:v>
      </x:c>
      <x:c r="L346" s="22" t="n">
        <x:v>0</x:v>
      </x:c>
      <x:c r="M346" s="28" t="n">
        <x:v>0</x:v>
      </x:c>
      <x:c r="N346" s="28" t="n">
        <x:v>0</x:v>
      </x:c>
      <x:c r="O346" s="28" t="n">
        <x:v>0</x:v>
      </x:c>
      <x:c r="P346" s="62" t="n">
        <x:v>0</x:v>
      </x:c>
      <x:c r="Q346" s="22" t="n">
        <x:v>0</x:v>
      </x:c>
      <x:c r="R346" s="22" t="str"/>
      <x:c r="S346" s="22" t="str"/>
      <x:c r="T346" s="22" t="str"/>
    </x:row>
    <x:row r="347">
      <x:c r="A347" s="22" t="str">
        <x:v>2022-00038</x:v>
      </x:c>
      <x:c r="B347" s="22" t="str">
        <x:v>L2023-00070-1</x:v>
      </x:c>
      <x:c r="C347" s="22" t="str">
        <x:v>용역</x:v>
      </x:c>
      <x:c r="D347" s="25" t="str">
        <x:v>볼리비아 라파스 주 임상병리검사실 체계 강화사업 현지 설계입찰</x:v>
      </x:c>
      <x:c r="E347" s="22" t="n">
        <x:v>0</x:v>
      </x:c>
      <x:c r="F347" s="22" t="str">
        <x:v>.hwp</x:v>
      </x:c>
      <x:c r="G347" s="25" t="str">
        <x:v>L2023-00070-1/(볼리비아) 라파스 주 임상병리검사실 체계 강화사업(2022-2026_700만불) 현지 설계사 선정 ᄋ.hwp</x:v>
      </x:c>
      <x:c r="H347" s="28" t="n">
        <x:v>163840</x:v>
      </x:c>
      <x:c r="I347" s="22" t="str">
        <x:v>a4bd980e62de971fe9a7fc2d1b546fb585d2c5b7a6569b8922cac9a74e4d0a7d</x:v>
      </x:c>
      <x:c r="J347" s="22" t="n">
        <x:v>0</x:v>
      </x:c>
      <x:c r="K347" s="22" t="n">
        <x:v>0</x:v>
      </x:c>
      <x:c r="L347" s="22" t="n">
        <x:v>0</x:v>
      </x:c>
      <x:c r="M347" s="28" t="n">
        <x:v>0</x:v>
      </x:c>
      <x:c r="N347" s="28" t="n">
        <x:v>0</x:v>
      </x:c>
      <x:c r="O347" s="28" t="n">
        <x:v>0</x:v>
      </x:c>
      <x:c r="P347" s="62" t="n">
        <x:v>0</x:v>
      </x:c>
      <x:c r="Q347" s="22" t="n">
        <x:v>0</x:v>
      </x:c>
      <x:c r="R347" s="22" t="str"/>
      <x:c r="S347" s="22" t="str"/>
      <x:c r="T347" s="22" t="str"/>
    </x:row>
    <x:row r="348">
      <x:c r="A348" s="22" t="str">
        <x:v>2022-00038</x:v>
      </x:c>
      <x:c r="B348" s="22" t="str">
        <x:v>L2023-00070-1</x:v>
      </x:c>
      <x:c r="C348" s="22" t="str">
        <x:v>용역</x:v>
      </x:c>
      <x:c r="D348" s="25" t="str">
        <x:v>볼리비아 라파스 주 임상병리검사실 체계 강화사업 현지 설계입찰</x:v>
      </x:c>
      <x:c r="E348" s="22" t="n">
        <x:v>0</x:v>
      </x:c>
      <x:c r="F348" s="22" t="str">
        <x:v>.zip</x:v>
      </x:c>
      <x:c r="G348" s="25" t="str">
        <x:v>L2023-00070-1/2. (입찰서류-영문) LDRL-설계입찰.zip</x:v>
      </x:c>
      <x:c r="H348" s="28" t="n">
        <x:v>2100832</x:v>
      </x:c>
      <x:c r="I348" s="22" t="str">
        <x:v>c7722c3178d6ce9357937d379ae99c3682237d0964274d6e56488ea37c06348e</x:v>
      </x:c>
      <x:c r="J348" s="22" t="n">
        <x:v>0</x:v>
      </x:c>
      <x:c r="K348" s="22" t="n">
        <x:v>0</x:v>
      </x:c>
      <x:c r="L348" s="22" t="n">
        <x:v>0</x:v>
      </x:c>
      <x:c r="M348" s="28" t="n">
        <x:v>0</x:v>
      </x:c>
      <x:c r="N348" s="28" t="n">
        <x:v>0</x:v>
      </x:c>
      <x:c r="O348" s="28" t="n">
        <x:v>0</x:v>
      </x:c>
      <x:c r="P348" s="62" t="n">
        <x:v>0</x:v>
      </x:c>
      <x:c r="Q348" s="22" t="n">
        <x:v>0</x:v>
      </x:c>
      <x:c r="R348" s="22" t="str"/>
      <x:c r="S348" s="22" t="str"/>
      <x:c r="T348" s="22" t="str"/>
    </x:row>
    <x:row r="349">
      <x:c r="A349" s="22" t="str">
        <x:v>2022-00038</x:v>
      </x:c>
      <x:c r="B349" s="22" t="str">
        <x:v>L2023-00070-1</x:v>
      </x:c>
      <x:c r="C349" s="22" t="str">
        <x:v>용역</x:v>
      </x:c>
      <x:c r="D349" s="25" t="str">
        <x:v>볼리비아 라파스 주 임상병리검사실 체계 강화사업 현지 설계입찰</x:v>
      </x:c>
      <x:c r="E349" s="22" t="n">
        <x:v>0</x:v>
      </x:c>
      <x:c r="F349" s="22" t="str">
        <x:v>.hwp</x:v>
      </x:c>
      <x:c r="G349" s="25" t="str">
        <x:v>L2023-00070-1/1-2. (클린버전) (입찰설명서) 라파즈주임상병리검사실 설계용역 입찰설명서.hwp</x:v>
      </x:c>
      <x:c r="H349" s="28" t="n">
        <x:v>1288704</x:v>
      </x:c>
      <x:c r="I349" s="22" t="str">
        <x:v>a1ed131bb36caa618c89cf3d59652c6a936f2c6e7603e115a5a8070e56e16587</x:v>
      </x:c>
      <x:c r="J349" s="22" t="n">
        <x:v>0</x:v>
      </x:c>
      <x:c r="K349" s="22" t="n">
        <x:v>0</x:v>
      </x:c>
      <x:c r="L349" s="22" t="n">
        <x:v>0</x:v>
      </x:c>
      <x:c r="M349" s="28" t="n">
        <x:v>0</x:v>
      </x:c>
      <x:c r="N349" s="28" t="n">
        <x:v>0</x:v>
      </x:c>
      <x:c r="O349" s="28" t="n">
        <x:v>0</x:v>
      </x:c>
      <x:c r="P349" s="62" t="n">
        <x:v>0</x:v>
      </x:c>
      <x:c r="Q349" s="22" t="n">
        <x:v>0</x:v>
      </x:c>
      <x:c r="R349" s="22" t="str"/>
      <x:c r="S349" s="22" t="str"/>
      <x:c r="T349" s="22" t="str"/>
    </x:row>
    <x:row r="350">
      <x:c r="A350" s="22" t="str">
        <x:v>2022-00038</x:v>
      </x:c>
      <x:c r="B350" s="22" t="str">
        <x:v>L2023-00070-1</x:v>
      </x:c>
      <x:c r="C350" s="22" t="str">
        <x:v>용역</x:v>
      </x:c>
      <x:c r="D350" s="25" t="str">
        <x:v>볼리비아 라파스 주 임상병리검사실 체계 강화사업 현지 설계입찰</x:v>
      </x:c>
      <x:c r="E350" s="22" t="n">
        <x:v>0</x:v>
      </x:c>
      <x:c r="F350" s="22" t="str">
        <x:v>.pdf</x:v>
      </x:c>
      <x:c r="G350" s="25" t="str">
        <x:v>L2023-00070-1/3. (관련규정) KOICA Regulations/5. Standard of Prequalification Criteria.pdf</x:v>
      </x:c>
      <x:c r="H350" s="28" t="n">
        <x:v>473791</x:v>
      </x:c>
      <x:c r="I350" s="22" t="str">
        <x:v>4ce2f45e4108dcaacea2f9b35c920ec77c6ce7db055d11f4137ce2581f90cff0</x:v>
      </x:c>
      <x:c r="J350" s="22" t="n">
        <x:v>0</x:v>
      </x:c>
      <x:c r="K350" s="22" t="n">
        <x:v>0</x:v>
      </x:c>
      <x:c r="L350" s="22" t="n">
        <x:v>0</x:v>
      </x:c>
      <x:c r="M350" s="28" t="n">
        <x:v>0</x:v>
      </x:c>
      <x:c r="N350" s="28" t="n">
        <x:v>0</x:v>
      </x:c>
      <x:c r="O350" s="28" t="n">
        <x:v>0</x:v>
      </x:c>
      <x:c r="P350" s="62" t="n">
        <x:v>0</x:v>
      </x:c>
      <x:c r="Q350" s="22" t="n">
        <x:v>0</x:v>
      </x:c>
      <x:c r="R350" s="22" t="str"/>
      <x:c r="S350" s="22" t="str"/>
      <x:c r="T350" s="22" t="str"/>
    </x:row>
    <x:row r="351">
      <x:c r="A351" s="22" t="str">
        <x:v>2022-00038</x:v>
      </x:c>
      <x:c r="B351" s="22" t="str">
        <x:v>L2023-00070-1</x:v>
      </x:c>
      <x:c r="C351" s="22" t="str">
        <x:v>용역</x:v>
      </x:c>
      <x:c r="D351" s="25" t="str">
        <x:v>볼리비아 라파스 주 임상병리검사실 체계 강화사업 현지 설계입찰</x:v>
      </x:c>
      <x:c r="E351" s="22" t="n">
        <x:v>0</x:v>
      </x:c>
      <x:c r="F351" s="22" t="str">
        <x:v>.pdf</x:v>
      </x:c>
      <x:c r="G351" s="25" t="str">
        <x:v>L2023-00070-1/3. (관련규정) KOICA Regulations/4. Regulations for Procurement and Contract in Grant Aid Projects.pdf</x:v>
      </x:c>
      <x:c r="H351" s="28" t="n">
        <x:v>157627</x:v>
      </x:c>
      <x:c r="I351" s="22" t="str">
        <x:v>bcc6062e083bacf0c4b014b08f7566dde8d7c56ad7f791e30c25a04e71aee5ec</x:v>
      </x:c>
      <x:c r="J351" s="22" t="n">
        <x:v>0</x:v>
      </x:c>
      <x:c r="K351" s="22" t="n">
        <x:v>0</x:v>
      </x:c>
      <x:c r="L351" s="22" t="n">
        <x:v>0</x:v>
      </x:c>
      <x:c r="M351" s="28" t="n">
        <x:v>0</x:v>
      </x:c>
      <x:c r="N351" s="28" t="n">
        <x:v>0</x:v>
      </x:c>
      <x:c r="O351" s="28" t="n">
        <x:v>0</x:v>
      </x:c>
      <x:c r="P351" s="62" t="n">
        <x:v>0</x:v>
      </x:c>
      <x:c r="Q351" s="22" t="n">
        <x:v>0</x:v>
      </x:c>
      <x:c r="R351" s="22" t="str"/>
      <x:c r="S351" s="22" t="str"/>
      <x:c r="T351" s="22" t="str"/>
    </x:row>
    <x:row r="352">
      <x:c r="A352" s="22" t="str">
        <x:v>2022-00038</x:v>
      </x:c>
      <x:c r="B352" s="22" t="str">
        <x:v>L2023-00070-1</x:v>
      </x:c>
      <x:c r="C352" s="22" t="str">
        <x:v>용역</x:v>
      </x:c>
      <x:c r="D352" s="25" t="str">
        <x:v>볼리비아 라파스 주 임상병리검사실 체계 강화사업 현지 설계입찰</x:v>
      </x:c>
      <x:c r="E352" s="22" t="n">
        <x:v>0</x:v>
      </x:c>
      <x:c r="F352" s="22" t="str">
        <x:v>.pdf</x:v>
      </x:c>
      <x:c r="G352" s="25" t="str">
        <x:v>L2023-00070-1/3. (관련규정) KOICA Regulations/3. KOICA Regulations for International Procurement.pdf</x:v>
      </x:c>
      <x:c r="H352" s="28" t="n">
        <x:v>375625</x:v>
      </x:c>
      <x:c r="I352" s="22" t="str">
        <x:v>a9706e28e1564ba06a6ac833994e7d323b6b5eba68271f1ce70a46a8bd93a7b8</x:v>
      </x:c>
      <x:c r="J352" s="22" t="n">
        <x:v>0</x:v>
      </x:c>
      <x:c r="K352" s="22" t="n">
        <x:v>0</x:v>
      </x:c>
      <x:c r="L352" s="22" t="n">
        <x:v>0</x:v>
      </x:c>
      <x:c r="M352" s="28" t="n">
        <x:v>0</x:v>
      </x:c>
      <x:c r="N352" s="28" t="n">
        <x:v>0</x:v>
      </x:c>
      <x:c r="O352" s="28" t="n">
        <x:v>0</x:v>
      </x:c>
      <x:c r="P352" s="62" t="n">
        <x:v>0</x:v>
      </x:c>
      <x:c r="Q352" s="22" t="n">
        <x:v>0</x:v>
      </x:c>
      <x:c r="R352" s="22" t="str"/>
      <x:c r="S352" s="22" t="str"/>
      <x:c r="T352" s="22" t="str"/>
    </x:row>
    <x:row r="353">
      <x:c r="A353" s="22" t="str">
        <x:v>2022-00038</x:v>
      </x:c>
      <x:c r="B353" s="22" t="str">
        <x:v>L2023-00070-1</x:v>
      </x:c>
      <x:c r="C353" s="22" t="str">
        <x:v>용역</x:v>
      </x:c>
      <x:c r="D353" s="25" t="str">
        <x:v>볼리비아 라파스 주 임상병리검사실 체계 강화사업 현지 설계입찰</x:v>
      </x:c>
      <x:c r="E353" s="22" t="n">
        <x:v>0</x:v>
      </x:c>
      <x:c r="F353" s="22" t="str">
        <x:v>.pdf</x:v>
      </x:c>
      <x:c r="G353" s="25" t="str">
        <x:v>L2023-00070-1/3. (관련규정) KOICA Regulations/1. Detailed Enforcement Rules of the Regulations for Procurement and Contract in Grant Aid Projects.pdf</x:v>
      </x:c>
      <x:c r="H353" s="28" t="n">
        <x:v>554876</x:v>
      </x:c>
      <x:c r="I353" s="22" t="str">
        <x:v>23f11f2154d32db6e78fbfdafb1f52aeba37778e2dd3b78a197b4ea4c2d44892</x:v>
      </x:c>
      <x:c r="J353" s="22" t="n">
        <x:v>0</x:v>
      </x:c>
      <x:c r="K353" s="22" t="n">
        <x:v>0</x:v>
      </x:c>
      <x:c r="L353" s="22" t="n">
        <x:v>0</x:v>
      </x:c>
      <x:c r="M353" s="28" t="n">
        <x:v>0</x:v>
      </x:c>
      <x:c r="N353" s="28" t="n">
        <x:v>0</x:v>
      </x:c>
      <x:c r="O353" s="28" t="n">
        <x:v>0</x:v>
      </x:c>
      <x:c r="P353" s="62" t="n">
        <x:v>0</x:v>
      </x:c>
      <x:c r="Q353" s="22" t="n">
        <x:v>0</x:v>
      </x:c>
      <x:c r="R353" s="22" t="str"/>
      <x:c r="S353" s="22" t="str"/>
      <x:c r="T353" s="22" t="str"/>
    </x:row>
    <x:row r="354">
      <x:c r="A354" s="22" t="str">
        <x:v>2022-00038</x:v>
      </x:c>
      <x:c r="B354" s="22" t="str">
        <x:v>L2023-00070-1</x:v>
      </x:c>
      <x:c r="C354" s="22" t="str">
        <x:v>용역</x:v>
      </x:c>
      <x:c r="D354" s="25" t="str">
        <x:v>볼리비아 라파스 주 임상병리검사실 체계 강화사업 현지 설계입찰</x:v>
      </x:c>
      <x:c r="E354" s="22" t="n">
        <x:v>0</x:v>
      </x:c>
      <x:c r="F354" s="22" t="str">
        <x:v>.pdf</x:v>
      </x:c>
      <x:c r="G354" s="25" t="str">
        <x:v>L2023-00070-1/3. (관련규정) KOICA Regulations/2. Guidelines for Technical Evaluation.pdf</x:v>
      </x:c>
      <x:c r="H354" s="28" t="n">
        <x:v>416852</x:v>
      </x:c>
      <x:c r="I354" s="22" t="str">
        <x:v>5f61aa2d6d0a5a8e5112eb2bfc3afc5f9a4e31a1328154452eb19e5484072dd0</x:v>
      </x:c>
      <x:c r="J354" s="22" t="n">
        <x:v>0</x:v>
      </x:c>
      <x:c r="K354" s="22" t="n">
        <x:v>0</x:v>
      </x:c>
      <x:c r="L354" s="22" t="n">
        <x:v>0</x:v>
      </x:c>
      <x:c r="M354" s="28" t="n">
        <x:v>0</x:v>
      </x:c>
      <x:c r="N354" s="28" t="n">
        <x:v>0</x:v>
      </x:c>
      <x:c r="O354" s="28" t="n">
        <x:v>0</x:v>
      </x:c>
      <x:c r="P354" s="62" t="n">
        <x:v>0</x:v>
      </x:c>
      <x:c r="Q354" s="22" t="n">
        <x:v>0</x:v>
      </x:c>
      <x:c r="R354" s="22" t="str"/>
      <x:c r="S354" s="22" t="str"/>
      <x:c r="T354" s="22" t="str"/>
    </x:row>
    <x:row r="355">
      <x:c r="A355" s="22" t="str">
        <x:v>2022-00038</x:v>
      </x:c>
      <x:c r="B355" s="22" t="str">
        <x:v>L2023-00070-1</x:v>
      </x:c>
      <x:c r="C355" s="22" t="str">
        <x:v>용역</x:v>
      </x:c>
      <x:c r="D355" s="25" t="str">
        <x:v>볼리비아 라파스 주 임상병리검사실 체계 강화사업 현지 설계입찰</x:v>
      </x:c>
      <x:c r="E355" s="22" t="n">
        <x:v>0</x:v>
      </x:c>
      <x:c r="F355" s="22" t="str">
        <x:v>.docx</x:v>
      </x:c>
      <x:c r="G355" s="25" t="str">
        <x:v>L2023-00070-1/2. (입찰서류-영문) LDRL-설계입찰/2. (입찰서류-영문) LDRL-설계입찰/Integrity Pledge (청렴계약서).docx</x:v>
      </x:c>
      <x:c r="H355" s="28" t="n">
        <x:v>36805</x:v>
      </x:c>
      <x:c r="I355" s="22" t="str">
        <x:v>a652cd653478a9e7b0d8c37e7b963d6784f9711b6dab1ac887854293590df3f1</x:v>
      </x:c>
      <x:c r="J355" s="22" t="n">
        <x:v>0</x:v>
      </x:c>
      <x:c r="K355" s="22" t="n">
        <x:v>0</x:v>
      </x:c>
      <x:c r="L355" s="22" t="n">
        <x:v>0</x:v>
      </x:c>
      <x:c r="M355" s="28" t="n">
        <x:v>0</x:v>
      </x:c>
      <x:c r="N355" s="28" t="n">
        <x:v>0</x:v>
      </x:c>
      <x:c r="O355" s="28" t="n">
        <x:v>0</x:v>
      </x:c>
      <x:c r="P355" s="62" t="n">
        <x:v>0</x:v>
      </x:c>
      <x:c r="Q355" s="22" t="n">
        <x:v>0</x:v>
      </x:c>
      <x:c r="R355" s="22" t="str"/>
      <x:c r="S355" s="22" t="str"/>
      <x:c r="T355" s="22" t="str"/>
    </x:row>
    <x:row r="356">
      <x:c r="A356" s="22" t="str">
        <x:v>2022-00038</x:v>
      </x:c>
      <x:c r="B356" s="22" t="str">
        <x:v>L2023-00070-1</x:v>
      </x:c>
      <x:c r="C356" s="22" t="str">
        <x:v>용역</x:v>
      </x:c>
      <x:c r="D356" s="25" t="str">
        <x:v>볼리비아 라파스 주 임상병리검사실 체계 강화사업 현지 설계입찰</x:v>
      </x:c>
      <x:c r="E356" s="22" t="n">
        <x:v>0</x:v>
      </x:c>
      <x:c r="F356" s="22" t="str">
        <x:v>.docx</x:v>
      </x:c>
      <x:c r="G356" s="25" t="str">
        <x:v>L2023-00070-1/2. (입찰서류-영문) LDRL-설계입찰/2. (입찰서류-영문) LDRL-설계입찰/5. General Conditions of Contract_LDRL.docx</x:v>
      </x:c>
      <x:c r="H356" s="28" t="n">
        <x:v>27738</x:v>
      </x:c>
      <x:c r="I356" s="22" t="str">
        <x:v>c03afd1dd297fdc48e64e2679185bef93ab729d3394e319386aa22572e8c1c32</x:v>
      </x:c>
      <x:c r="J356" s="22" t="n">
        <x:v>0</x:v>
      </x:c>
      <x:c r="K356" s="22" t="n">
        <x:v>0</x:v>
      </x:c>
      <x:c r="L356" s="22" t="n">
        <x:v>0</x:v>
      </x:c>
      <x:c r="M356" s="28" t="n">
        <x:v>0</x:v>
      </x:c>
      <x:c r="N356" s="28" t="n">
        <x:v>0</x:v>
      </x:c>
      <x:c r="O356" s="28" t="n">
        <x:v>0</x:v>
      </x:c>
      <x:c r="P356" s="62" t="n">
        <x:v>0</x:v>
      </x:c>
      <x:c r="Q356" s="22" t="n">
        <x:v>0</x:v>
      </x:c>
      <x:c r="R356" s="22" t="str"/>
      <x:c r="S356" s="22" t="str"/>
      <x:c r="T356" s="22" t="str"/>
    </x:row>
    <x:row r="357">
      <x:c r="A357" s="22" t="str">
        <x:v>2022-00038</x:v>
      </x:c>
      <x:c r="B357" s="22" t="str">
        <x:v>L2023-00070-1</x:v>
      </x:c>
      <x:c r="C357" s="22" t="str">
        <x:v>용역</x:v>
      </x:c>
      <x:c r="D357" s="25" t="str">
        <x:v>볼리비아 라파스 주 임상병리검사실 체계 강화사업 현지 설계입찰</x:v>
      </x:c>
      <x:c r="E357" s="22" t="n">
        <x:v>0</x:v>
      </x:c>
      <x:c r="F357" s="22" t="str">
        <x:v>.docx</x:v>
      </x:c>
      <x:c r="G357" s="25" t="str">
        <x:v>L2023-00070-1/2. (입찰서류-영문) LDRL-설계입찰/2. (입찰서류-영문) LDRL-설계입찰/4. Terms of Reference (TOR)_LDRL_수정.docx</x:v>
      </x:c>
      <x:c r="H357" s="28" t="n">
        <x:v>1842273</x:v>
      </x:c>
      <x:c r="I357" s="22" t="str">
        <x:v>ab2a0e78f7d50944a2ca49e9017eb32f6431cf80b111046b4183e4e800cfb1e8</x:v>
      </x:c>
      <x:c r="J357" s="22" t="n">
        <x:v>0</x:v>
      </x:c>
      <x:c r="K357" s="22" t="n">
        <x:v>0</x:v>
      </x:c>
      <x:c r="L357" s="22" t="n">
        <x:v>0</x:v>
      </x:c>
      <x:c r="M357" s="28" t="n">
        <x:v>0</x:v>
      </x:c>
      <x:c r="N357" s="28" t="n">
        <x:v>0</x:v>
      </x:c>
      <x:c r="O357" s="28" t="n">
        <x:v>0</x:v>
      </x:c>
      <x:c r="P357" s="62" t="n">
        <x:v>0</x:v>
      </x:c>
      <x:c r="Q357" s="22" t="n">
        <x:v>0</x:v>
      </x:c>
      <x:c r="R357" s="22" t="str"/>
      <x:c r="S357" s="22" t="str"/>
      <x:c r="T357" s="22" t="str"/>
    </x:row>
    <x:row r="358">
      <x:c r="A358" s="22" t="str">
        <x:v>2022-00038</x:v>
      </x:c>
      <x:c r="B358" s="22" t="str">
        <x:v>L2023-00070-1</x:v>
      </x:c>
      <x:c r="C358" s="22" t="str">
        <x:v>용역</x:v>
      </x:c>
      <x:c r="D358" s="25" t="str">
        <x:v>볼리비아 라파스 주 임상병리검사실 체계 강화사업 현지 설계입찰</x:v>
      </x:c>
      <x:c r="E358" s="22" t="n">
        <x:v>0</x:v>
      </x:c>
      <x:c r="F358" s="22" t="str">
        <x:v>.docx</x:v>
      </x:c>
      <x:c r="G358" s="25" t="str">
        <x:v>L2023-00070-1/2. (입찰서류-영문) LDRL-설계입찰/2. (입찰서류-영문) LDRL-설계입찰/6. Special Conditions of Contract_LDRL.docx</x:v>
      </x:c>
      <x:c r="H358" s="28" t="n">
        <x:v>18918</x:v>
      </x:c>
      <x:c r="I358" s="22" t="str">
        <x:v>0a639c602125143e7ebd1ef42642f787a023537f2d61012c0510886ed1c1e489</x:v>
      </x:c>
      <x:c r="J358" s="22" t="n">
        <x:v>0</x:v>
      </x:c>
      <x:c r="K358" s="22" t="n">
        <x:v>0</x:v>
      </x:c>
      <x:c r="L358" s="22" t="n">
        <x:v>0</x:v>
      </x:c>
      <x:c r="M358" s="28" t="n">
        <x:v>0</x:v>
      </x:c>
      <x:c r="N358" s="28" t="n">
        <x:v>0</x:v>
      </x:c>
      <x:c r="O358" s="28" t="n">
        <x:v>0</x:v>
      </x:c>
      <x:c r="P358" s="62" t="n">
        <x:v>0</x:v>
      </x:c>
      <x:c r="Q358" s="22" t="n">
        <x:v>0</x:v>
      </x:c>
      <x:c r="R358" s="22" t="str"/>
      <x:c r="S358" s="22" t="str"/>
      <x:c r="T358" s="22" t="str"/>
    </x:row>
    <x:row r="359">
      <x:c r="A359" s="22" t="str">
        <x:v>2022-00038</x:v>
      </x:c>
      <x:c r="B359" s="22" t="str">
        <x:v>L2023-00070-1</x:v>
      </x:c>
      <x:c r="C359" s="22" t="str">
        <x:v>용역</x:v>
      </x:c>
      <x:c r="D359" s="25" t="str">
        <x:v>볼리비아 라파스 주 임상병리검사실 체계 강화사업 현지 설계입찰</x:v>
      </x:c>
      <x:c r="E359" s="22" t="n">
        <x:v>0</x:v>
      </x:c>
      <x:c r="F359" s="22" t="str">
        <x:v>.docx</x:v>
      </x:c>
      <x:c r="G359" s="25" t="str">
        <x:v>L2023-00070-1/2. (입찰서류-영문) LDRL-설계입찰/2. (입찰서류-영문) LDRL-설계입찰/Fair Contract Pledge Letter (공정계약 서약서).docx</x:v>
      </x:c>
      <x:c r="H359" s="28" t="n">
        <x:v>15332</x:v>
      </x:c>
      <x:c r="I359" s="22" t="str">
        <x:v>b86142edc91f25f6963b0e279a039c54ae36ad5381ab958b5315e27a4756f42a</x:v>
      </x:c>
      <x:c r="J359" s="22" t="n">
        <x:v>0</x:v>
      </x:c>
      <x:c r="K359" s="22" t="n">
        <x:v>0</x:v>
      </x:c>
      <x:c r="L359" s="22" t="n">
        <x:v>0</x:v>
      </x:c>
      <x:c r="M359" s="28" t="n">
        <x:v>0</x:v>
      </x:c>
      <x:c r="N359" s="28" t="n">
        <x:v>0</x:v>
      </x:c>
      <x:c r="O359" s="28" t="n">
        <x:v>0</x:v>
      </x:c>
      <x:c r="P359" s="62" t="n">
        <x:v>0</x:v>
      </x:c>
      <x:c r="Q359" s="22" t="n">
        <x:v>0</x:v>
      </x:c>
      <x:c r="R359" s="22" t="str"/>
      <x:c r="S359" s="22" t="str"/>
      <x:c r="T359" s="22" t="str"/>
    </x:row>
    <x:row r="360">
      <x:c r="A360" s="22" t="str">
        <x:v>2022-00038</x:v>
      </x:c>
      <x:c r="B360" s="22" t="str">
        <x:v>L2023-00070-1</x:v>
      </x:c>
      <x:c r="C360" s="22" t="str">
        <x:v>용역</x:v>
      </x:c>
      <x:c r="D360" s="25" t="str">
        <x:v>볼리비아 라파스 주 임상병리검사실 체계 강화사업 현지 설계입찰</x:v>
      </x:c>
      <x:c r="E360" s="22" t="n">
        <x:v>0</x:v>
      </x:c>
      <x:c r="F360" s="22" t="str">
        <x:v>.docx</x:v>
      </x:c>
      <x:c r="G360" s="25" t="str">
        <x:v>L2023-00070-1/2. (입찰서류-영문) LDRL-설계입찰/2. (입찰서류-영문) LDRL-설계입찰/2. Bid Data Sheet (BDS)_LDRL_수정.docx</x:v>
      </x:c>
      <x:c r="H360" s="28" t="n">
        <x:v>43167</x:v>
      </x:c>
      <x:c r="I360" s="22" t="str">
        <x:v>1516a6cac43b297943c20234c5d715b3853af772b289ef533f4772266f3b0cdb</x:v>
      </x:c>
      <x:c r="J360" s="22" t="n">
        <x:v>0</x:v>
      </x:c>
      <x:c r="K360" s="22" t="n">
        <x:v>0</x:v>
      </x:c>
      <x:c r="L360" s="22" t="n">
        <x:v>0</x:v>
      </x:c>
      <x:c r="M360" s="28" t="n">
        <x:v>0</x:v>
      </x:c>
      <x:c r="N360" s="28" t="n">
        <x:v>0</x:v>
      </x:c>
      <x:c r="O360" s="28" t="n">
        <x:v>0</x:v>
      </x:c>
      <x:c r="P360" s="62" t="n">
        <x:v>0</x:v>
      </x:c>
      <x:c r="Q360" s="22" t="n">
        <x:v>0</x:v>
      </x:c>
      <x:c r="R360" s="22" t="str"/>
      <x:c r="S360" s="22" t="str"/>
      <x:c r="T360" s="22" t="str"/>
    </x:row>
    <x:row r="361">
      <x:c r="A361" s="22" t="str">
        <x:v>2022-00038</x:v>
      </x:c>
      <x:c r="B361" s="22" t="str">
        <x:v>L2023-00070-1</x:v>
      </x:c>
      <x:c r="C361" s="22" t="str">
        <x:v>용역</x:v>
      </x:c>
      <x:c r="D361" s="25" t="str">
        <x:v>볼리비아 라파스 주 임상병리검사실 체계 강화사업 현지 설계입찰</x:v>
      </x:c>
      <x:c r="E361" s="22" t="n">
        <x:v>0</x:v>
      </x:c>
      <x:c r="F361" s="22" t="str">
        <x:v>.docx</x:v>
      </x:c>
      <x:c r="G361" s="25" t="str">
        <x:v>L2023-00070-1/2. (입찰서류-영문) LDRL-설계입찰/2. (입찰서류-영문) LDRL-설계입찰/Declaration of Anti_Corruption (반부패 선언서).docx</x:v>
      </x:c>
      <x:c r="H361" s="28" t="n">
        <x:v>22643</x:v>
      </x:c>
      <x:c r="I361" s="22" t="str">
        <x:v>799964300f5ec7d2abb2fca623b7cab2a8195a91faea589307d42c547ab25c01</x:v>
      </x:c>
      <x:c r="J361" s="22" t="n">
        <x:v>0</x:v>
      </x:c>
      <x:c r="K361" s="22" t="n">
        <x:v>0</x:v>
      </x:c>
      <x:c r="L361" s="22" t="n">
        <x:v>0</x:v>
      </x:c>
      <x:c r="M361" s="28" t="n">
        <x:v>0</x:v>
      </x:c>
      <x:c r="N361" s="28" t="n">
        <x:v>0</x:v>
      </x:c>
      <x:c r="O361" s="28" t="n">
        <x:v>0</x:v>
      </x:c>
      <x:c r="P361" s="62" t="n">
        <x:v>0</x:v>
      </x:c>
      <x:c r="Q361" s="22" t="n">
        <x:v>0</x:v>
      </x:c>
      <x:c r="R361" s="22" t="str"/>
      <x:c r="S361" s="22" t="str"/>
      <x:c r="T361" s="22" t="str"/>
    </x:row>
    <x:row r="362">
      <x:c r="A362" s="22" t="str">
        <x:v>2022-00038</x:v>
      </x:c>
      <x:c r="B362" s="22" t="str">
        <x:v>L2023-00070-1</x:v>
      </x:c>
      <x:c r="C362" s="22" t="str">
        <x:v>용역</x:v>
      </x:c>
      <x:c r="D362" s="25" t="str">
        <x:v>볼리비아 라파스 주 임상병리검사실 체계 강화사업 현지 설계입찰</x:v>
      </x:c>
      <x:c r="E362" s="22" t="n">
        <x:v>0</x:v>
      </x:c>
      <x:c r="F362" s="22" t="str">
        <x:v>.docx</x:v>
      </x:c>
      <x:c r="G362" s="25" t="str">
        <x:v>L2023-00070-1/2. (입찰서류-영문) LDRL-설계입찰/2. (입찰서류-영문) LDRL-설계입찰/1. Instructions to Bidders (ITB)_LDRL.docx</x:v>
      </x:c>
      <x:c r="H362" s="28" t="n">
        <x:v>35165</x:v>
      </x:c>
      <x:c r="I362" s="22" t="str">
        <x:v>90beb9cb67b41fedc8b6e4b4ad1c32cd7da6056059328b12a78eafbdf83f3f2c</x:v>
      </x:c>
      <x:c r="J362" s="22" t="n">
        <x:v>0</x:v>
      </x:c>
      <x:c r="K362" s="22" t="n">
        <x:v>0</x:v>
      </x:c>
      <x:c r="L362" s="22" t="n">
        <x:v>0</x:v>
      </x:c>
      <x:c r="M362" s="28" t="n">
        <x:v>0</x:v>
      </x:c>
      <x:c r="N362" s="28" t="n">
        <x:v>0</x:v>
      </x:c>
      <x:c r="O362" s="28" t="n">
        <x:v>0</x:v>
      </x:c>
      <x:c r="P362" s="62" t="n">
        <x:v>0</x:v>
      </x:c>
      <x:c r="Q362" s="22" t="n">
        <x:v>0</x:v>
      </x:c>
      <x:c r="R362" s="22" t="str"/>
      <x:c r="S362" s="22" t="str"/>
      <x:c r="T362" s="22" t="str"/>
    </x:row>
    <x:row r="363">
      <x:c r="A363" s="22" t="str">
        <x:v>2022-00038</x:v>
      </x:c>
      <x:c r="B363" s="22" t="str">
        <x:v>L2023-00070-1</x:v>
      </x:c>
      <x:c r="C363" s="22" t="str">
        <x:v>용역</x:v>
      </x:c>
      <x:c r="D363" s="25" t="str">
        <x:v>볼리비아 라파스 주 임상병리검사실 체계 강화사업 현지 설계입찰</x:v>
      </x:c>
      <x:c r="E363" s="22" t="n">
        <x:v>0</x:v>
      </x:c>
      <x:c r="F363" s="22" t="str">
        <x:v>.docx</x:v>
      </x:c>
      <x:c r="G363" s="25" t="str">
        <x:v>L2023-00070-1/2. (입찰서류-영문) LDRL-설계입찰/2. (입찰서류-영문) LDRL-설계입찰/0. Cover, Table of Contents_LDRL_수정.docx</x:v>
      </x:c>
      <x:c r="H363" s="28" t="n">
        <x:v>19508</x:v>
      </x:c>
      <x:c r="I363" s="22" t="str">
        <x:v>31b47f79a195ddad3c4b2b8fcf583ea6683156132bf87bfebfe3060913325a1e</x:v>
      </x:c>
      <x:c r="J363" s="22" t="n">
        <x:v>0</x:v>
      </x:c>
      <x:c r="K363" s="22" t="n">
        <x:v>0</x:v>
      </x:c>
      <x:c r="L363" s="22" t="n">
        <x:v>0</x:v>
      </x:c>
      <x:c r="M363" s="28" t="n">
        <x:v>0</x:v>
      </x:c>
      <x:c r="N363" s="28" t="n">
        <x:v>0</x:v>
      </x:c>
      <x:c r="O363" s="28" t="n">
        <x:v>0</x:v>
      </x:c>
      <x:c r="P363" s="62" t="n">
        <x:v>0</x:v>
      </x:c>
      <x:c r="Q363" s="22" t="n">
        <x:v>0</x:v>
      </x:c>
      <x:c r="R363" s="22" t="str"/>
      <x:c r="S363" s="22" t="str"/>
      <x:c r="T363" s="22" t="str"/>
    </x:row>
    <x:row r="364">
      <x:c r="A364" s="22" t="str">
        <x:v>2022-00038</x:v>
      </x:c>
      <x:c r="B364" s="22" t="str">
        <x:v>L2023-00070-1</x:v>
      </x:c>
      <x:c r="C364" s="22" t="str">
        <x:v>용역</x:v>
      </x:c>
      <x:c r="D364" s="25" t="str">
        <x:v>볼리비아 라파스 주 임상병리검사실 체계 강화사업 현지 설계입찰</x:v>
      </x:c>
      <x:c r="E364" s="22" t="n">
        <x:v>0</x:v>
      </x:c>
      <x:c r="F364" s="22" t="str">
        <x:v>.docx</x:v>
      </x:c>
      <x:c r="G364" s="25" t="str">
        <x:v>L2023-00070-1/2. (입찰서류-영문) LDRL-설계입찰/2. (입찰서류-영문) LDRL-설계입찰/3. Bidding Forms_LDRL.docx</x:v>
      </x:c>
      <x:c r="H364" s="28" t="n">
        <x:v>44245</x:v>
      </x:c>
      <x:c r="I364" s="22" t="str">
        <x:v>f74c3d9fc1e054b35e133fe490249ef68a2126fa10a2e5af852dea3f013e429b</x:v>
      </x:c>
      <x:c r="J364" s="22" t="n">
        <x:v>0</x:v>
      </x:c>
      <x:c r="K364" s="22" t="n">
        <x:v>0</x:v>
      </x:c>
      <x:c r="L364" s="22" t="n">
        <x:v>0</x:v>
      </x:c>
      <x:c r="M364" s="28" t="n">
        <x:v>0</x:v>
      </x:c>
      <x:c r="N364" s="28" t="n">
        <x:v>0</x:v>
      </x:c>
      <x:c r="O364" s="28" t="n">
        <x:v>0</x:v>
      </x:c>
      <x:c r="P364" s="62" t="n">
        <x:v>0</x:v>
      </x:c>
      <x:c r="Q364" s="22" t="n">
        <x:v>0</x:v>
      </x:c>
      <x:c r="R364" s="22" t="str"/>
      <x:c r="S364" s="22" t="str"/>
      <x:c r="T364" s="22" t="str"/>
    </x:row>
    <x:row r="365">
      <x:c r="A365" s="22" t="str">
        <x:v>2022-00038</x:v>
      </x:c>
      <x:c r="B365" s="22" t="str">
        <x:v>L2023-00070-1</x:v>
      </x:c>
      <x:c r="C365" s="22" t="str">
        <x:v>용역</x:v>
      </x:c>
      <x:c r="D365" s="25" t="str">
        <x:v>볼리비아 라파스 주 임상병리검사실 체계 강화사업 현지 설계입찰</x:v>
      </x:c>
      <x:c r="E365" s="22" t="n">
        <x:v>0</x:v>
      </x:c>
      <x:c r="F365" s="22" t="str">
        <x:v>.docx</x:v>
      </x:c>
      <x:c r="G365" s="25" t="str">
        <x:v>L2023-00070-1/2. (입찰서류-영문) LDRL-설계입찰/2. (입찰서류-영문) LDRL-설계입찰/7. Contract Forms_LDRL_수정.docx</x:v>
      </x:c>
      <x:c r="H365" s="28" t="n">
        <x:v>22968</x:v>
      </x:c>
      <x:c r="I365" s="22" t="str">
        <x:v>22f71564c4b60d610db7bd7dc19250ec25c0fdf7aa8c84f87d88e100e362ac14</x:v>
      </x:c>
      <x:c r="J365" s="22" t="n">
        <x:v>0</x:v>
      </x:c>
      <x:c r="K365" s="22" t="n">
        <x:v>0</x:v>
      </x:c>
      <x:c r="L365" s="22" t="n">
        <x:v>0</x:v>
      </x:c>
      <x:c r="M365" s="28" t="n">
        <x:v>0</x:v>
      </x:c>
      <x:c r="N365" s="28" t="n">
        <x:v>0</x:v>
      </x:c>
      <x:c r="O365" s="28" t="n">
        <x:v>0</x:v>
      </x:c>
      <x:c r="P365" s="62" t="n">
        <x:v>0</x:v>
      </x:c>
      <x:c r="Q365" s="22" t="n">
        <x:v>0</x:v>
      </x:c>
      <x:c r="R365" s="22" t="str"/>
      <x:c r="S365" s="22" t="str"/>
      <x:c r="T365" s="22" t="str"/>
    </x:row>
    <x:row r="366">
      <x:c r="A366" s="22" t="str">
        <x:v>2022-00038</x:v>
      </x:c>
      <x:c r="B366" s="22" t="str">
        <x:v>L2023-00070-2</x:v>
      </x:c>
      <x:c r="C366" s="22" t="str">
        <x:v>용역</x:v>
      </x:c>
      <x:c r="D366" s="25" t="str">
        <x:v>볼리비아 라파스 주 임상병리검사실 체계 강화사업 현지 설계입찰</x:v>
      </x:c>
      <x:c r="E366" s="22" t="n">
        <x:v>0</x:v>
      </x:c>
      <x:c r="F366" s="22" t="str">
        <x:v>.zip</x:v>
      </x:c>
      <x:c r="G366" s="25" t="str">
        <x:v>L2023-00070-2/붙임3. (입찰서류-영문) LDRL-설계입찰_1029.zip</x:v>
      </x:c>
      <x:c r="H366" s="28" t="n">
        <x:v>2116652</x:v>
      </x:c>
      <x:c r="I366" s="22" t="str">
        <x:v>4167448df6fba78e0404f02383057fbbe4001e92a9a3379300cc2e66ea2535ec</x:v>
      </x:c>
      <x:c r="J366" s="22" t="n">
        <x:v>0</x:v>
      </x:c>
      <x:c r="K366" s="22" t="n">
        <x:v>0</x:v>
      </x:c>
      <x:c r="L366" s="22" t="n">
        <x:v>0</x:v>
      </x:c>
      <x:c r="M366" s="28" t="n">
        <x:v>0</x:v>
      </x:c>
      <x:c r="N366" s="28" t="n">
        <x:v>0</x:v>
      </x:c>
      <x:c r="O366" s="28" t="n">
        <x:v>0</x:v>
      </x:c>
      <x:c r="P366" s="62" t="n">
        <x:v>0</x:v>
      </x:c>
      <x:c r="Q366" s="22" t="n">
        <x:v>0</x:v>
      </x:c>
      <x:c r="R366" s="22" t="str"/>
      <x:c r="S366" s="22" t="str"/>
      <x:c r="T366" s="22" t="str"/>
    </x:row>
    <x:row r="367">
      <x:c r="A367" s="22" t="str">
        <x:v>2022-00038</x:v>
      </x:c>
      <x:c r="B367" s="22" t="str">
        <x:v>L2023-00070-2</x:v>
      </x:c>
      <x:c r="C367" s="22" t="str">
        <x:v>용역</x:v>
      </x:c>
      <x:c r="D367" s="25" t="str">
        <x:v>볼리비아 라파스 주 임상병리검사실 체계 강화사업 현지 설계입찰</x:v>
      </x:c>
      <x:c r="E367" s="22" t="n">
        <x:v>0</x:v>
      </x:c>
      <x:c r="F367" s="22" t="str">
        <x:v>.hwp</x:v>
      </x:c>
      <x:c r="G367" s="25" t="str">
        <x:v>L2023-00070-2/붙임2. 재공고 입찰계획안_231029.hwp</x:v>
      </x:c>
      <x:c r="H367" s="28" t="n">
        <x:v>1275392</x:v>
      </x:c>
      <x:c r="I367" s="22" t="str">
        <x:v>b2cfa9c9a39c4412187ac7e932269e115643cd82bebf3cf42f46238dded9b564</x:v>
      </x:c>
      <x:c r="J367" s="22" t="n">
        <x:v>0</x:v>
      </x:c>
      <x:c r="K367" s="22" t="n">
        <x:v>0</x:v>
      </x:c>
      <x:c r="L367" s="22" t="n">
        <x:v>0</x:v>
      </x:c>
      <x:c r="M367" s="28" t="n">
        <x:v>0</x:v>
      </x:c>
      <x:c r="N367" s="28" t="n">
        <x:v>0</x:v>
      </x:c>
      <x:c r="O367" s="28" t="n">
        <x:v>0</x:v>
      </x:c>
      <x:c r="P367" s="62" t="n">
        <x:v>0</x:v>
      </x:c>
      <x:c r="Q367" s="22" t="n">
        <x:v>0</x:v>
      </x:c>
      <x:c r="R367" s="22" t="str"/>
      <x:c r="S367" s="22" t="str"/>
      <x:c r="T367" s="22" t="str"/>
    </x:row>
    <x:row r="368">
      <x:c r="A368" s="22" t="str">
        <x:v>2022-00038</x:v>
      </x:c>
      <x:c r="B368" s="22" t="str">
        <x:v>L2023-00070-2</x:v>
      </x:c>
      <x:c r="C368" s="22" t="str">
        <x:v>용역</x:v>
      </x:c>
      <x:c r="D368" s="25" t="str">
        <x:v>볼리비아 라파스 주 임상병리검사실 체계 강화사업 현지 설계입찰</x:v>
      </x:c>
      <x:c r="E368" s="22" t="n">
        <x:v>0</x:v>
      </x:c>
      <x:c r="F368" s="22" t="str">
        <x:v>.hwp</x:v>
      </x:c>
      <x:c r="G368" s="25" t="str">
        <x:v>L2023-00070-2/(볼리비아) 라파스 주 임상병리검사실 체계 강화사업(2022-2026_700만불) 현지 설계입찰 유ᄎ.hwp</x:v>
      </x:c>
      <x:c r="H368" s="28" t="n">
        <x:v>163840</x:v>
      </x:c>
      <x:c r="I368" s="22" t="str">
        <x:v>8ea8410294dc9e82fbf79c7a78e27a61e4f8e03ecfb3556759822261893b56b7</x:v>
      </x:c>
      <x:c r="J368" s="22" t="n">
        <x:v>0</x:v>
      </x:c>
      <x:c r="K368" s="22" t="n">
        <x:v>0</x:v>
      </x:c>
      <x:c r="L368" s="22" t="n">
        <x:v>0</x:v>
      </x:c>
      <x:c r="M368" s="28" t="n">
        <x:v>0</x:v>
      </x:c>
      <x:c r="N368" s="28" t="n">
        <x:v>0</x:v>
      </x:c>
      <x:c r="O368" s="28" t="n">
        <x:v>0</x:v>
      </x:c>
      <x:c r="P368" s="62" t="n">
        <x:v>0</x:v>
      </x:c>
      <x:c r="Q368" s="22" t="n">
        <x:v>0</x:v>
      </x:c>
      <x:c r="R368" s="22" t="str"/>
      <x:c r="S368" s="22" t="str"/>
      <x:c r="T368" s="22" t="str"/>
    </x:row>
    <x:row r="369">
      <x:c r="A369" s="22" t="str">
        <x:v>2022-00038</x:v>
      </x:c>
      <x:c r="B369" s="22" t="str">
        <x:v>L2023-00070-2</x:v>
      </x:c>
      <x:c r="C369" s="22" t="str">
        <x:v>용역</x:v>
      </x:c>
      <x:c r="D369" s="25" t="str">
        <x:v>볼리비아 라파스 주 임상병리검사실 체계 강화사업 현지 설계입찰</x:v>
      </x:c>
      <x:c r="E369" s="22" t="n">
        <x:v>0</x:v>
      </x:c>
      <x:c r="F369" s="22" t="str">
        <x:v>.zip</x:v>
      </x:c>
      <x:c r="G369" s="25" t="str">
        <x:v>L2023-00070-2/붙임4. (관련규정) KOICA Regulations.zip</x:v>
      </x:c>
      <x:c r="H369" s="28" t="n">
        <x:v>1729598</x:v>
      </x:c>
      <x:c r="I369" s="22" t="str">
        <x:v>80228d7d5f85ed824b1c12e5f6004f9e40362af75c8fd73621f0aad67fb86b7a</x:v>
      </x:c>
      <x:c r="J369" s="22" t="n">
        <x:v>0</x:v>
      </x:c>
      <x:c r="K369" s="22" t="n">
        <x:v>0</x:v>
      </x:c>
      <x:c r="L369" s="22" t="n">
        <x:v>0</x:v>
      </x:c>
      <x:c r="M369" s="28" t="n">
        <x:v>0</x:v>
      </x:c>
      <x:c r="N369" s="28" t="n">
        <x:v>0</x:v>
      </x:c>
      <x:c r="O369" s="28" t="n">
        <x:v>0</x:v>
      </x:c>
      <x:c r="P369" s="62" t="n">
        <x:v>0</x:v>
      </x:c>
      <x:c r="Q369" s="22" t="n">
        <x:v>0</x:v>
      </x:c>
      <x:c r="R369" s="22" t="str"/>
      <x:c r="S369" s="22" t="str"/>
      <x:c r="T369" s="22" t="str"/>
    </x:row>
    <x:row r="370">
      <x:c r="A370" s="22" t="str">
        <x:v>2022-00038</x:v>
      </x:c>
      <x:c r="B370" s="22" t="str">
        <x:v>L2023-00070-2</x:v>
      </x:c>
      <x:c r="C370" s="22" t="str">
        <x:v>용역</x:v>
      </x:c>
      <x:c r="D370" s="25" t="str">
        <x:v>볼리비아 라파스 주 임상병리검사실 체계 강화사업 현지 설계입찰</x:v>
      </x:c>
      <x:c r="E370" s="22" t="n">
        <x:v>0</x:v>
      </x:c>
      <x:c r="F370" s="22" t="str">
        <x:v>.hwp</x:v>
      </x:c>
      <x:c r="G370" s="25" t="str">
        <x:v>L2023-00070-2/붙임1. 라파스 주 임상병리 검사실 설계 입찰 결과(유찰) 보고.hwp</x:v>
      </x:c>
      <x:c r="H370" s="28" t="n">
        <x:v>33280</x:v>
      </x:c>
      <x:c r="I370" s="22" t="str">
        <x:v>b63fc28faabaeb412f9436608f46e5227fbeef7fd345b3fc2781f201bbae99c3</x:v>
      </x:c>
      <x:c r="J370" s="22" t="n">
        <x:v>0</x:v>
      </x:c>
      <x:c r="K370" s="22" t="n">
        <x:v>0</x:v>
      </x:c>
      <x:c r="L370" s="22" t="n">
        <x:v>0</x:v>
      </x:c>
      <x:c r="M370" s="28" t="n">
        <x:v>0</x:v>
      </x:c>
      <x:c r="N370" s="28" t="n">
        <x:v>0</x:v>
      </x:c>
      <x:c r="O370" s="28" t="n">
        <x:v>0</x:v>
      </x:c>
      <x:c r="P370" s="62" t="n">
        <x:v>0</x:v>
      </x:c>
      <x:c r="Q370" s="22" t="n">
        <x:v>0</x:v>
      </x:c>
      <x:c r="R370" s="22" t="str"/>
      <x:c r="S370" s="22" t="str"/>
      <x:c r="T370" s="22" t="str"/>
    </x:row>
    <x:row r="371">
      <x:c r="A371" s="22" t="str">
        <x:v>2022-00038</x:v>
      </x:c>
      <x:c r="B371" s="22" t="str">
        <x:v>L2023-00070-2</x:v>
      </x:c>
      <x:c r="C371" s="22" t="str">
        <x:v>용역</x:v>
      </x:c>
      <x:c r="D371" s="25" t="str">
        <x:v>볼리비아 라파스 주 임상병리검사실 체계 강화사업 현지 설계입찰</x:v>
      </x:c>
      <x:c r="E371" s="22" t="n">
        <x:v>0</x:v>
      </x:c>
      <x:c r="F371" s="22" t="str">
        <x:v>.pdf</x:v>
      </x:c>
      <x:c r="G371" s="25" t="str">
        <x:v>L2023-00070-2/붙임4. (관련규정) KOICA Regulations/5. Standard of Prequalification Criteria.pdf</x:v>
      </x:c>
      <x:c r="H371" s="28" t="n">
        <x:v>473791</x:v>
      </x:c>
      <x:c r="I371" s="22" t="str">
        <x:v>4ce2f45e4108dcaacea2f9b35c920ec77c6ce7db055d11f4137ce2581f90cff0</x:v>
      </x:c>
      <x:c r="J371" s="22" t="n">
        <x:v>0</x:v>
      </x:c>
      <x:c r="K371" s="22" t="n">
        <x:v>0</x:v>
      </x:c>
      <x:c r="L371" s="22" t="n">
        <x:v>0</x:v>
      </x:c>
      <x:c r="M371" s="28" t="n">
        <x:v>0</x:v>
      </x:c>
      <x:c r="N371" s="28" t="n">
        <x:v>0</x:v>
      </x:c>
      <x:c r="O371" s="28" t="n">
        <x:v>0</x:v>
      </x:c>
      <x:c r="P371" s="62" t="n">
        <x:v>0</x:v>
      </x:c>
      <x:c r="Q371" s="22" t="n">
        <x:v>0</x:v>
      </x:c>
      <x:c r="R371" s="22" t="str"/>
      <x:c r="S371" s="22" t="str"/>
      <x:c r="T371" s="22" t="str"/>
    </x:row>
    <x:row r="372">
      <x:c r="A372" s="22" t="str">
        <x:v>2022-00038</x:v>
      </x:c>
      <x:c r="B372" s="22" t="str">
        <x:v>L2023-00070-2</x:v>
      </x:c>
      <x:c r="C372" s="22" t="str">
        <x:v>용역</x:v>
      </x:c>
      <x:c r="D372" s="25" t="str">
        <x:v>볼리비아 라파스 주 임상병리검사실 체계 강화사업 현지 설계입찰</x:v>
      </x:c>
      <x:c r="E372" s="22" t="n">
        <x:v>0</x:v>
      </x:c>
      <x:c r="F372" s="22" t="str">
        <x:v>.pdf</x:v>
      </x:c>
      <x:c r="G372" s="25" t="str">
        <x:v>L2023-00070-2/붙임4. (관련규정) KOICA Regulations/4. Regulations for Procurement and Contract in Grant Aid Projects.pdf</x:v>
      </x:c>
      <x:c r="H372" s="28" t="n">
        <x:v>157627</x:v>
      </x:c>
      <x:c r="I372" s="22" t="str">
        <x:v>bcc6062e083bacf0c4b014b08f7566dde8d7c56ad7f791e30c25a04e71aee5ec</x:v>
      </x:c>
      <x:c r="J372" s="22" t="n">
        <x:v>0</x:v>
      </x:c>
      <x:c r="K372" s="22" t="n">
        <x:v>0</x:v>
      </x:c>
      <x:c r="L372" s="22" t="n">
        <x:v>0</x:v>
      </x:c>
      <x:c r="M372" s="28" t="n">
        <x:v>0</x:v>
      </x:c>
      <x:c r="N372" s="28" t="n">
        <x:v>0</x:v>
      </x:c>
      <x:c r="O372" s="28" t="n">
        <x:v>0</x:v>
      </x:c>
      <x:c r="P372" s="62" t="n">
        <x:v>0</x:v>
      </x:c>
      <x:c r="Q372" s="22" t="n">
        <x:v>0</x:v>
      </x:c>
      <x:c r="R372" s="22" t="str"/>
      <x:c r="S372" s="22" t="str"/>
      <x:c r="T372" s="22" t="str"/>
    </x:row>
    <x:row r="373">
      <x:c r="A373" s="22" t="str">
        <x:v>2022-00038</x:v>
      </x:c>
      <x:c r="B373" s="22" t="str">
        <x:v>L2023-00070-2</x:v>
      </x:c>
      <x:c r="C373" s="22" t="str">
        <x:v>용역</x:v>
      </x:c>
      <x:c r="D373" s="25" t="str">
        <x:v>볼리비아 라파스 주 임상병리검사실 체계 강화사업 현지 설계입찰</x:v>
      </x:c>
      <x:c r="E373" s="22" t="n">
        <x:v>0</x:v>
      </x:c>
      <x:c r="F373" s="22" t="str">
        <x:v>.pdf</x:v>
      </x:c>
      <x:c r="G373" s="25" t="str">
        <x:v>L2023-00070-2/붙임4. (관련규정) KOICA Regulations/3. KOICA Regulations for International Procurement.pdf</x:v>
      </x:c>
      <x:c r="H373" s="28" t="n">
        <x:v>375625</x:v>
      </x:c>
      <x:c r="I373" s="22" t="str">
        <x:v>a9706e28e1564ba06a6ac833994e7d323b6b5eba68271f1ce70a46a8bd93a7b8</x:v>
      </x:c>
      <x:c r="J373" s="22" t="n">
        <x:v>0</x:v>
      </x:c>
      <x:c r="K373" s="22" t="n">
        <x:v>0</x:v>
      </x:c>
      <x:c r="L373" s="22" t="n">
        <x:v>0</x:v>
      </x:c>
      <x:c r="M373" s="28" t="n">
        <x:v>0</x:v>
      </x:c>
      <x:c r="N373" s="28" t="n">
        <x:v>0</x:v>
      </x:c>
      <x:c r="O373" s="28" t="n">
        <x:v>0</x:v>
      </x:c>
      <x:c r="P373" s="62" t="n">
        <x:v>0</x:v>
      </x:c>
      <x:c r="Q373" s="22" t="n">
        <x:v>0</x:v>
      </x:c>
      <x:c r="R373" s="22" t="str"/>
      <x:c r="S373" s="22" t="str"/>
      <x:c r="T373" s="22" t="str"/>
    </x:row>
    <x:row r="374">
      <x:c r="A374" s="22" t="str">
        <x:v>2022-00038</x:v>
      </x:c>
      <x:c r="B374" s="22" t="str">
        <x:v>L2023-00070-2</x:v>
      </x:c>
      <x:c r="C374" s="22" t="str">
        <x:v>용역</x:v>
      </x:c>
      <x:c r="D374" s="25" t="str">
        <x:v>볼리비아 라파스 주 임상병리검사실 체계 강화사업 현지 설계입찰</x:v>
      </x:c>
      <x:c r="E374" s="22" t="n">
        <x:v>0</x:v>
      </x:c>
      <x:c r="F374" s="22" t="str">
        <x:v>.pdf</x:v>
      </x:c>
      <x:c r="G374" s="25" t="str">
        <x:v>L2023-00070-2/붙임4. (관련규정) KOICA Regulations/1. Detailed Enforcement Rules of the Regulations for Procurement and Contract in Grant Aid Projects.pdf</x:v>
      </x:c>
      <x:c r="H374" s="28" t="n">
        <x:v>554876</x:v>
      </x:c>
      <x:c r="I374" s="22" t="str">
        <x:v>23f11f2154d32db6e78fbfdafb1f52aeba37778e2dd3b78a197b4ea4c2d44892</x:v>
      </x:c>
      <x:c r="J374" s="22" t="n">
        <x:v>0</x:v>
      </x:c>
      <x:c r="K374" s="22" t="n">
        <x:v>0</x:v>
      </x:c>
      <x:c r="L374" s="22" t="n">
        <x:v>0</x:v>
      </x:c>
      <x:c r="M374" s="28" t="n">
        <x:v>0</x:v>
      </x:c>
      <x:c r="N374" s="28" t="n">
        <x:v>0</x:v>
      </x:c>
      <x:c r="O374" s="28" t="n">
        <x:v>0</x:v>
      </x:c>
      <x:c r="P374" s="62" t="n">
        <x:v>0</x:v>
      </x:c>
      <x:c r="Q374" s="22" t="n">
        <x:v>0</x:v>
      </x:c>
      <x:c r="R374" s="22" t="str"/>
      <x:c r="S374" s="22" t="str"/>
      <x:c r="T374" s="22" t="str"/>
    </x:row>
    <x:row r="375">
      <x:c r="A375" s="22" t="str">
        <x:v>2022-00038</x:v>
      </x:c>
      <x:c r="B375" s="22" t="str">
        <x:v>L2023-00070-2</x:v>
      </x:c>
      <x:c r="C375" s="22" t="str">
        <x:v>용역</x:v>
      </x:c>
      <x:c r="D375" s="25" t="str">
        <x:v>볼리비아 라파스 주 임상병리검사실 체계 강화사업 현지 설계입찰</x:v>
      </x:c>
      <x:c r="E375" s="22" t="n">
        <x:v>0</x:v>
      </x:c>
      <x:c r="F375" s="22" t="str">
        <x:v>.pdf</x:v>
      </x:c>
      <x:c r="G375" s="25" t="str">
        <x:v>L2023-00070-2/붙임4. (관련규정) KOICA Regulations/2. Guidelines for Technical Evaluation.pdf</x:v>
      </x:c>
      <x:c r="H375" s="28" t="n">
        <x:v>416852</x:v>
      </x:c>
      <x:c r="I375" s="22" t="str">
        <x:v>5f61aa2d6d0a5a8e5112eb2bfc3afc5f9a4e31a1328154452eb19e5484072dd0</x:v>
      </x:c>
      <x:c r="J375" s="22" t="n">
        <x:v>0</x:v>
      </x:c>
      <x:c r="K375" s="22" t="n">
        <x:v>0</x:v>
      </x:c>
      <x:c r="L375" s="22" t="n">
        <x:v>0</x:v>
      </x:c>
      <x:c r="M375" s="28" t="n">
        <x:v>0</x:v>
      </x:c>
      <x:c r="N375" s="28" t="n">
        <x:v>0</x:v>
      </x:c>
      <x:c r="O375" s="28" t="n">
        <x:v>0</x:v>
      </x:c>
      <x:c r="P375" s="62" t="n">
        <x:v>0</x:v>
      </x:c>
      <x:c r="Q375" s="22" t="n">
        <x:v>0</x:v>
      </x:c>
      <x:c r="R375" s="22" t="str"/>
      <x:c r="S375" s="22" t="str"/>
      <x:c r="T375" s="22" t="str"/>
    </x:row>
    <x:row r="376">
      <x:c r="A376" s="22" t="str">
        <x:v>2022-00038</x:v>
      </x:c>
      <x:c r="B376" s="22" t="str">
        <x:v>L2023-00070-2</x:v>
      </x:c>
      <x:c r="C376" s="22" t="str">
        <x:v>용역</x:v>
      </x:c>
      <x:c r="D376" s="25" t="str">
        <x:v>볼리비아 라파스 주 임상병리검사실 체계 강화사업 현지 설계입찰</x:v>
      </x:c>
      <x:c r="E376" s="22" t="n">
        <x:v>0</x:v>
      </x:c>
      <x:c r="F376" s="22" t="str">
        <x:v>.docx</x:v>
      </x:c>
      <x:c r="G376" s="25" t="str">
        <x:v>L2023-00070-2/붙임3. (입찰서류-영문) LDRL-설계입찰_1029/2. (└╘┬√╝¡╖∙-┐╡╣«) LDRL-╝│░Φ└╘┬√_1029/4. Terms of Reference (TOR)_LDRL_╝÷┴ñ.docx</x:v>
      </x:c>
      <x:c r="H376" s="28" t="n">
        <x:v>1842273</x:v>
      </x:c>
      <x:c r="I376" s="22" t="str">
        <x:v>ab2a0e78f7d50944a2ca49e9017eb32f6431cf80b111046b4183e4e800cfb1e8</x:v>
      </x:c>
      <x:c r="J376" s="22" t="n">
        <x:v>0</x:v>
      </x:c>
      <x:c r="K376" s="22" t="n">
        <x:v>0</x:v>
      </x:c>
      <x:c r="L376" s="22" t="n">
        <x:v>0</x:v>
      </x:c>
      <x:c r="M376" s="28" t="n">
        <x:v>0</x:v>
      </x:c>
      <x:c r="N376" s="28" t="n">
        <x:v>0</x:v>
      </x:c>
      <x:c r="O376" s="28" t="n">
        <x:v>0</x:v>
      </x:c>
      <x:c r="P376" s="62" t="n">
        <x:v>0</x:v>
      </x:c>
      <x:c r="Q376" s="22" t="n">
        <x:v>0</x:v>
      </x:c>
      <x:c r="R376" s="22" t="str"/>
      <x:c r="S376" s="22" t="str"/>
      <x:c r="T376" s="22" t="str"/>
    </x:row>
    <x:row r="377">
      <x:c r="A377" s="22" t="str">
        <x:v>2022-00038</x:v>
      </x:c>
      <x:c r="B377" s="22" t="str">
        <x:v>L2023-00070-2</x:v>
      </x:c>
      <x:c r="C377" s="22" t="str">
        <x:v>용역</x:v>
      </x:c>
      <x:c r="D377" s="25" t="str">
        <x:v>볼리비아 라파스 주 임상병리검사실 체계 강화사업 현지 설계입찰</x:v>
      </x:c>
      <x:c r="E377" s="22" t="n">
        <x:v>0</x:v>
      </x:c>
      <x:c r="F377" s="22" t="str">
        <x:v>.docx</x:v>
      </x:c>
      <x:c r="G377" s="25" t="str">
        <x:v>L2023-00070-2/붙임3. (입찰서류-영문) LDRL-설계입찰_1029/2. (└╘┬√╝¡╖∙-┐╡╣«) LDRL-╝│░Φ└╘┬√_1029/5. General Conditions of Contract_LDRL.docx</x:v>
      </x:c>
      <x:c r="H377" s="28" t="n">
        <x:v>27738</x:v>
      </x:c>
      <x:c r="I377" s="22" t="str">
        <x:v>c03afd1dd297fdc48e64e2679185bef93ab729d3394e319386aa22572e8c1c32</x:v>
      </x:c>
      <x:c r="J377" s="22" t="n">
        <x:v>0</x:v>
      </x:c>
      <x:c r="K377" s="22" t="n">
        <x:v>0</x:v>
      </x:c>
      <x:c r="L377" s="22" t="n">
        <x:v>0</x:v>
      </x:c>
      <x:c r="M377" s="28" t="n">
        <x:v>0</x:v>
      </x:c>
      <x:c r="N377" s="28" t="n">
        <x:v>0</x:v>
      </x:c>
      <x:c r="O377" s="28" t="n">
        <x:v>0</x:v>
      </x:c>
      <x:c r="P377" s="62" t="n">
        <x:v>0</x:v>
      </x:c>
      <x:c r="Q377" s="22" t="n">
        <x:v>0</x:v>
      </x:c>
      <x:c r="R377" s="22" t="str"/>
      <x:c r="S377" s="22" t="str"/>
      <x:c r="T377" s="22" t="str"/>
    </x:row>
    <x:row r="378">
      <x:c r="A378" s="22" t="str">
        <x:v>2022-00038</x:v>
      </x:c>
      <x:c r="B378" s="22" t="str">
        <x:v>L2023-00070-2</x:v>
      </x:c>
      <x:c r="C378" s="22" t="str">
        <x:v>용역</x:v>
      </x:c>
      <x:c r="D378" s="25" t="str">
        <x:v>볼리비아 라파스 주 임상병리검사실 체계 강화사업 현지 설계입찰</x:v>
      </x:c>
      <x:c r="E378" s="22" t="n">
        <x:v>0</x:v>
      </x:c>
      <x:c r="F378" s="22" t="str">
        <x:v>.docx</x:v>
      </x:c>
      <x:c r="G378" s="25" t="str">
        <x:v>L2023-00070-2/붙임3. (입찰서류-영문) LDRL-설계입찰_1029/2. (└╘┬√╝¡╖∙-┐╡╣«) LDRL-╝│░Φ└╘┬√_1029/Declaration of Anti_Corruption (╣▌║╬╞╨ ╝▒╛≡╝¡).docx</x:v>
      </x:c>
      <x:c r="H378" s="28" t="n">
        <x:v>22643</x:v>
      </x:c>
      <x:c r="I378" s="22" t="str">
        <x:v>799964300f5ec7d2abb2fca623b7cab2a8195a91faea589307d42c547ab25c01</x:v>
      </x:c>
      <x:c r="J378" s="22" t="n">
        <x:v>0</x:v>
      </x:c>
      <x:c r="K378" s="22" t="n">
        <x:v>0</x:v>
      </x:c>
      <x:c r="L378" s="22" t="n">
        <x:v>0</x:v>
      </x:c>
      <x:c r="M378" s="28" t="n">
        <x:v>0</x:v>
      </x:c>
      <x:c r="N378" s="28" t="n">
        <x:v>0</x:v>
      </x:c>
      <x:c r="O378" s="28" t="n">
        <x:v>0</x:v>
      </x:c>
      <x:c r="P378" s="62" t="n">
        <x:v>0</x:v>
      </x:c>
      <x:c r="Q378" s="22" t="n">
        <x:v>0</x:v>
      </x:c>
      <x:c r="R378" s="22" t="str"/>
      <x:c r="S378" s="22" t="str"/>
      <x:c r="T378" s="22" t="str"/>
    </x:row>
    <x:row r="379">
      <x:c r="A379" s="22" t="str">
        <x:v>2022-00038</x:v>
      </x:c>
      <x:c r="B379" s="22" t="str">
        <x:v>L2023-00070-2</x:v>
      </x:c>
      <x:c r="C379" s="22" t="str">
        <x:v>용역</x:v>
      </x:c>
      <x:c r="D379" s="25" t="str">
        <x:v>볼리비아 라파스 주 임상병리검사실 체계 강화사업 현지 설계입찰</x:v>
      </x:c>
      <x:c r="E379" s="22" t="n">
        <x:v>0</x:v>
      </x:c>
      <x:c r="F379" s="22" t="str">
        <x:v>.docx</x:v>
      </x:c>
      <x:c r="G379" s="25" t="str">
        <x:v>L2023-00070-2/붙임3. (입찰서류-영문) LDRL-설계입찰_1029/2. (└╘┬√╝¡╖∙-┐╡╣«) LDRL-╝│░Φ└╘┬√_1029/Fair Contract Pledge Letter (░°┴ñ░Φ╛α ╝¡╛α╝¡).docx</x:v>
      </x:c>
      <x:c r="H379" s="28" t="n">
        <x:v>15332</x:v>
      </x:c>
      <x:c r="I379" s="22" t="str">
        <x:v>b86142edc91f25f6963b0e279a039c54ae36ad5381ab958b5315e27a4756f42a</x:v>
      </x:c>
      <x:c r="J379" s="22" t="n">
        <x:v>0</x:v>
      </x:c>
      <x:c r="K379" s="22" t="n">
        <x:v>0</x:v>
      </x:c>
      <x:c r="L379" s="22" t="n">
        <x:v>0</x:v>
      </x:c>
      <x:c r="M379" s="28" t="n">
        <x:v>0</x:v>
      </x:c>
      <x:c r="N379" s="28" t="n">
        <x:v>0</x:v>
      </x:c>
      <x:c r="O379" s="28" t="n">
        <x:v>0</x:v>
      </x:c>
      <x:c r="P379" s="62" t="n">
        <x:v>0</x:v>
      </x:c>
      <x:c r="Q379" s="22" t="n">
        <x:v>0</x:v>
      </x:c>
      <x:c r="R379" s="22" t="str"/>
      <x:c r="S379" s="22" t="str"/>
      <x:c r="T379" s="22" t="str"/>
    </x:row>
    <x:row r="380">
      <x:c r="A380" s="22" t="str">
        <x:v>2022-00038</x:v>
      </x:c>
      <x:c r="B380" s="22" t="str">
        <x:v>L2023-00070-2</x:v>
      </x:c>
      <x:c r="C380" s="22" t="str">
        <x:v>용역</x:v>
      </x:c>
      <x:c r="D380" s="25" t="str">
        <x:v>볼리비아 라파스 주 임상병리검사실 체계 강화사업 현지 설계입찰</x:v>
      </x:c>
      <x:c r="E380" s="22" t="n">
        <x:v>0</x:v>
      </x:c>
      <x:c r="F380" s="22" t="str">
        <x:v>.docx</x:v>
      </x:c>
      <x:c r="G380" s="25" t="str">
        <x:v>L2023-00070-2/붙임3. (입찰서류-영문) LDRL-설계입찰_1029/2. (└╘┬√╝¡╖∙-┐╡╣«) LDRL-╝│░Φ└╘┬√_1029/6. Special Conditions of Contract_LDRL.docx</x:v>
      </x:c>
      <x:c r="H380" s="28" t="n">
        <x:v>18918</x:v>
      </x:c>
      <x:c r="I380" s="22" t="str">
        <x:v>0a639c602125143e7ebd1ef42642f787a023537f2d61012c0510886ed1c1e489</x:v>
      </x:c>
      <x:c r="J380" s="22" t="n">
        <x:v>0</x:v>
      </x:c>
      <x:c r="K380" s="22" t="n">
        <x:v>0</x:v>
      </x:c>
      <x:c r="L380" s="22" t="n">
        <x:v>0</x:v>
      </x:c>
      <x:c r="M380" s="28" t="n">
        <x:v>0</x:v>
      </x:c>
      <x:c r="N380" s="28" t="n">
        <x:v>0</x:v>
      </x:c>
      <x:c r="O380" s="28" t="n">
        <x:v>0</x:v>
      </x:c>
      <x:c r="P380" s="62" t="n">
        <x:v>0</x:v>
      </x:c>
      <x:c r="Q380" s="22" t="n">
        <x:v>0</x:v>
      </x:c>
      <x:c r="R380" s="22" t="str"/>
      <x:c r="S380" s="22" t="str"/>
      <x:c r="T380" s="22" t="str"/>
    </x:row>
    <x:row r="381">
      <x:c r="A381" s="22" t="str">
        <x:v>2022-00038</x:v>
      </x:c>
      <x:c r="B381" s="22" t="str">
        <x:v>L2023-00070-2</x:v>
      </x:c>
      <x:c r="C381" s="22" t="str">
        <x:v>용역</x:v>
      </x:c>
      <x:c r="D381" s="25" t="str">
        <x:v>볼리비아 라파스 주 임상병리검사실 체계 강화사업 현지 설계입찰</x:v>
      </x:c>
      <x:c r="E381" s="22" t="n">
        <x:v>0</x:v>
      </x:c>
      <x:c r="F381" s="22" t="str">
        <x:v>.docx</x:v>
      </x:c>
      <x:c r="G381" s="25" t="str">
        <x:v>L2023-00070-2/붙임3. (입찰서류-영문) LDRL-설계입찰_1029/2. (└╘┬√╝¡╖∙-┐╡╣«) LDRL-╝│░Φ└╘┬√_1029/Integrity Pledge (├╗╖┼░Φ╛α╝¡).docx</x:v>
      </x:c>
      <x:c r="H381" s="28" t="n">
        <x:v>36805</x:v>
      </x:c>
      <x:c r="I381" s="22" t="str">
        <x:v>a652cd653478a9e7b0d8c37e7b963d6784f9711b6dab1ac887854293590df3f1</x:v>
      </x:c>
      <x:c r="J381" s="22" t="n">
        <x:v>0</x:v>
      </x:c>
      <x:c r="K381" s="22" t="n">
        <x:v>0</x:v>
      </x:c>
      <x:c r="L381" s="22" t="n">
        <x:v>0</x:v>
      </x:c>
      <x:c r="M381" s="28" t="n">
        <x:v>0</x:v>
      </x:c>
      <x:c r="N381" s="28" t="n">
        <x:v>0</x:v>
      </x:c>
      <x:c r="O381" s="28" t="n">
        <x:v>0</x:v>
      </x:c>
      <x:c r="P381" s="62" t="n">
        <x:v>0</x:v>
      </x:c>
      <x:c r="Q381" s="22" t="n">
        <x:v>0</x:v>
      </x:c>
      <x:c r="R381" s="22" t="str"/>
      <x:c r="S381" s="22" t="str"/>
      <x:c r="T381" s="22" t="str"/>
    </x:row>
    <x:row r="382">
      <x:c r="A382" s="22" t="str">
        <x:v>2022-00038</x:v>
      </x:c>
      <x:c r="B382" s="22" t="str">
        <x:v>L2023-00070-2</x:v>
      </x:c>
      <x:c r="C382" s="22" t="str">
        <x:v>용역</x:v>
      </x:c>
      <x:c r="D382" s="25" t="str">
        <x:v>볼리비아 라파스 주 임상병리검사실 체계 강화사업 현지 설계입찰</x:v>
      </x:c>
      <x:c r="E382" s="22" t="n">
        <x:v>0</x:v>
      </x:c>
      <x:c r="F382" s="22" t="str">
        <x:v>.docx</x:v>
      </x:c>
      <x:c r="G382" s="25" t="str">
        <x:v>L2023-00070-2/붙임3. (입찰서류-영문) LDRL-설계입찰_1029/2. (└╘┬√╝¡╖∙-┐╡╣«) LDRL-╝│░Φ└╘┬√_1029/2. Bid Data Sheet (BDS)_LDRL_╝÷┴ñ_1029.docx</x:v>
      </x:c>
      <x:c r="H382" s="28" t="n">
        <x:v>66996</x:v>
      </x:c>
      <x:c r="I382" s="22" t="str">
        <x:v>5ccdee989d81b88582bd0891e42fa50aaf18fc6cea22b4f42e794d122e0f9e70</x:v>
      </x:c>
      <x:c r="J382" s="22" t="n">
        <x:v>0</x:v>
      </x:c>
      <x:c r="K382" s="22" t="n">
        <x:v>0</x:v>
      </x:c>
      <x:c r="L382" s="22" t="n">
        <x:v>0</x:v>
      </x:c>
      <x:c r="M382" s="28" t="n">
        <x:v>0</x:v>
      </x:c>
      <x:c r="N382" s="28" t="n">
        <x:v>0</x:v>
      </x:c>
      <x:c r="O382" s="28" t="n">
        <x:v>0</x:v>
      </x:c>
      <x:c r="P382" s="62" t="n">
        <x:v>0</x:v>
      </x:c>
      <x:c r="Q382" s="22" t="n">
        <x:v>0</x:v>
      </x:c>
      <x:c r="R382" s="22" t="str"/>
      <x:c r="S382" s="22" t="str"/>
      <x:c r="T382" s="22" t="str"/>
    </x:row>
    <x:row r="383">
      <x:c r="A383" s="22" t="str">
        <x:v>2022-00038</x:v>
      </x:c>
      <x:c r="B383" s="22" t="str">
        <x:v>L2023-00070-2</x:v>
      </x:c>
      <x:c r="C383" s="22" t="str">
        <x:v>용역</x:v>
      </x:c>
      <x:c r="D383" s="25" t="str">
        <x:v>볼리비아 라파스 주 임상병리검사실 체계 강화사업 현지 설계입찰</x:v>
      </x:c>
      <x:c r="E383" s="22" t="n">
        <x:v>0</x:v>
      </x:c>
      <x:c r="F383" s="22" t="str">
        <x:v>.docx</x:v>
      </x:c>
      <x:c r="G383" s="25" t="str">
        <x:v>L2023-00070-2/붙임3. (입찰서류-영문) LDRL-설계입찰_1029/2. (└╘┬√╝¡╖∙-┐╡╣«) LDRL-╝│░Φ└╘┬√_1029/1. Instructions to Bidders (ITB)_LDRL_1029.docx</x:v>
      </x:c>
      <x:c r="H383" s="28" t="n">
        <x:v>35165</x:v>
      </x:c>
      <x:c r="I383" s="22" t="str">
        <x:v>90beb9cb67b41fedc8b6e4b4ad1c32cd7da6056059328b12a78eafbdf83f3f2c</x:v>
      </x:c>
      <x:c r="J383" s="22" t="n">
        <x:v>0</x:v>
      </x:c>
      <x:c r="K383" s="22" t="n">
        <x:v>0</x:v>
      </x:c>
      <x:c r="L383" s="22" t="n">
        <x:v>0</x:v>
      </x:c>
      <x:c r="M383" s="28" t="n">
        <x:v>0</x:v>
      </x:c>
      <x:c r="N383" s="28" t="n">
        <x:v>0</x:v>
      </x:c>
      <x:c r="O383" s="28" t="n">
        <x:v>0</x:v>
      </x:c>
      <x:c r="P383" s="62" t="n">
        <x:v>0</x:v>
      </x:c>
      <x:c r="Q383" s="22" t="n">
        <x:v>0</x:v>
      </x:c>
      <x:c r="R383" s="22" t="str"/>
      <x:c r="S383" s="22" t="str"/>
      <x:c r="T383" s="22" t="str"/>
    </x:row>
    <x:row r="384">
      <x:c r="A384" s="22" t="str">
        <x:v>2022-00038</x:v>
      </x:c>
      <x:c r="B384" s="22" t="str">
        <x:v>L2023-00070-2</x:v>
      </x:c>
      <x:c r="C384" s="22" t="str">
        <x:v>용역</x:v>
      </x:c>
      <x:c r="D384" s="25" t="str">
        <x:v>볼리비아 라파스 주 임상병리검사실 체계 강화사업 현지 설계입찰</x:v>
      </x:c>
      <x:c r="E384" s="22" t="n">
        <x:v>0</x:v>
      </x:c>
      <x:c r="F384" s="22" t="str">
        <x:v>.docx</x:v>
      </x:c>
      <x:c r="G384" s="25" t="str">
        <x:v>L2023-00070-2/붙임3. (입찰서류-영문) LDRL-설계입찰_1029/2. (└╘┬√╝¡╖∙-┐╡╣«) LDRL-╝│░Φ└╘┬√_1029/7. Contract Forms_LDRL_╝÷┴ñ.docx</x:v>
      </x:c>
      <x:c r="H384" s="28" t="n">
        <x:v>22968</x:v>
      </x:c>
      <x:c r="I384" s="22" t="str">
        <x:v>22f71564c4b60d610db7bd7dc19250ec25c0fdf7aa8c84f87d88e100e362ac14</x:v>
      </x:c>
      <x:c r="J384" s="22" t="n">
        <x:v>0</x:v>
      </x:c>
      <x:c r="K384" s="22" t="n">
        <x:v>0</x:v>
      </x:c>
      <x:c r="L384" s="22" t="n">
        <x:v>0</x:v>
      </x:c>
      <x:c r="M384" s="28" t="n">
        <x:v>0</x:v>
      </x:c>
      <x:c r="N384" s="28" t="n">
        <x:v>0</x:v>
      </x:c>
      <x:c r="O384" s="28" t="n">
        <x:v>0</x:v>
      </x:c>
      <x:c r="P384" s="62" t="n">
        <x:v>0</x:v>
      </x:c>
      <x:c r="Q384" s="22" t="n">
        <x:v>0</x:v>
      </x:c>
      <x:c r="R384" s="22" t="str"/>
      <x:c r="S384" s="22" t="str"/>
      <x:c r="T384" s="22" t="str"/>
    </x:row>
    <x:row r="385">
      <x:c r="A385" s="22" t="str">
        <x:v>2022-00038</x:v>
      </x:c>
      <x:c r="B385" s="22" t="str">
        <x:v>L2023-00070-2</x:v>
      </x:c>
      <x:c r="C385" s="22" t="str">
        <x:v>용역</x:v>
      </x:c>
      <x:c r="D385" s="25" t="str">
        <x:v>볼리비아 라파스 주 임상병리검사실 체계 강화사업 현지 설계입찰</x:v>
      </x:c>
      <x:c r="E385" s="22" t="n">
        <x:v>0</x:v>
      </x:c>
      <x:c r="F385" s="22" t="str">
        <x:v>.docx</x:v>
      </x:c>
      <x:c r="G385" s="25" t="str">
        <x:v>L2023-00070-2/붙임3. (입찰서류-영문) LDRL-설계입찰_1029/2. (└╘┬√╝¡╖∙-┐╡╣«) LDRL-╝│░Φ└╘┬√_1029/0. Cover, Table of Contents_LDRL_╝÷┴ñ.docx</x:v>
      </x:c>
      <x:c r="H385" s="28" t="n">
        <x:v>12804</x:v>
      </x:c>
      <x:c r="I385" s="22" t="str">
        <x:v>5c93fbe9f12a82365a3d925a761c82c1ee8846f5a196df736de4451b01d81323</x:v>
      </x:c>
      <x:c r="J385" s="22" t="n">
        <x:v>0</x:v>
      </x:c>
      <x:c r="K385" s="22" t="n">
        <x:v>0</x:v>
      </x:c>
      <x:c r="L385" s="22" t="n">
        <x:v>0</x:v>
      </x:c>
      <x:c r="M385" s="28" t="n">
        <x:v>0</x:v>
      </x:c>
      <x:c r="N385" s="28" t="n">
        <x:v>0</x:v>
      </x:c>
      <x:c r="O385" s="28" t="n">
        <x:v>0</x:v>
      </x:c>
      <x:c r="P385" s="62" t="n">
        <x:v>0</x:v>
      </x:c>
      <x:c r="Q385" s="22" t="n">
        <x:v>0</x:v>
      </x:c>
      <x:c r="R385" s="22" t="str"/>
      <x:c r="S385" s="22" t="str"/>
      <x:c r="T385" s="22" t="str"/>
    </x:row>
    <x:row r="386">
      <x:c r="A386" s="22" t="str">
        <x:v>2022-00038</x:v>
      </x:c>
      <x:c r="B386" s="22" t="str">
        <x:v>L2023-00070-2</x:v>
      </x:c>
      <x:c r="C386" s="22" t="str">
        <x:v>용역</x:v>
      </x:c>
      <x:c r="D386" s="25" t="str">
        <x:v>볼리비아 라파스 주 임상병리검사실 체계 강화사업 현지 설계입찰</x:v>
      </x:c>
      <x:c r="E386" s="22" t="n">
        <x:v>0</x:v>
      </x:c>
      <x:c r="F386" s="22" t="str">
        <x:v>.docx</x:v>
      </x:c>
      <x:c r="G386" s="25" t="str">
        <x:v>L2023-00070-2/붙임3. (입찰서류-영문) LDRL-설계입찰_1029/2. (└╘┬√╝¡╖∙-┐╡╣«) LDRL-╝│░Φ└╘┬√_1029/3. Bidding Forms_LDRL.docx</x:v>
      </x:c>
      <x:c r="H386" s="28" t="n">
        <x:v>44245</x:v>
      </x:c>
      <x:c r="I386" s="22" t="str">
        <x:v>f74c3d9fc1e054b35e133fe490249ef68a2126fa10a2e5af852dea3f013e429b</x:v>
      </x:c>
      <x:c r="J386" s="22" t="n">
        <x:v>0</x:v>
      </x:c>
      <x:c r="K386" s="22" t="n">
        <x:v>0</x:v>
      </x:c>
      <x:c r="L386" s="22" t="n">
        <x:v>0</x:v>
      </x:c>
      <x:c r="M386" s="28" t="n">
        <x:v>0</x:v>
      </x:c>
      <x:c r="N386" s="28" t="n">
        <x:v>0</x:v>
      </x:c>
      <x:c r="O386" s="28" t="n">
        <x:v>0</x:v>
      </x:c>
      <x:c r="P386" s="62" t="n">
        <x:v>0</x:v>
      </x:c>
      <x:c r="Q386" s="22" t="n">
        <x:v>0</x:v>
      </x:c>
      <x:c r="R386" s="22" t="str"/>
      <x:c r="S386" s="22" t="str"/>
      <x:c r="T386" s="22" t="str"/>
    </x:row>
    <x:row r="387">
      <x:c r="A387" s="22" t="str">
        <x:v>2023-00004</x:v>
      </x:c>
      <x:c r="B387" s="22" t="str">
        <x:v>L2025-00078-1</x:v>
      </x:c>
      <x:c r="C387" s="22" t="str">
        <x:v>용역</x:v>
      </x:c>
      <x:c r="D387" s="25" t="str">
        <x:v>볼리비아 엘알또 모성보건센터 신축/증축/보수 공사 설계사 선정</x:v>
      </x:c>
      <x:c r="E387" s="22" t="n">
        <x:v>0</x:v>
      </x:c>
      <x:c r="F387" s="22" t="str">
        <x:v>.pdf</x:v>
      </x:c>
      <x:c r="G387" s="25" t="str">
        <x:v>L2025-00078-1/1. 일간지 공고내역.pdf</x:v>
      </x:c>
      <x:c r="H387" s="28" t="n">
        <x:v>1411733</x:v>
      </x:c>
      <x:c r="I387" s="22" t="str">
        <x:v>22fabfe274420bd9429629909a3e805d8044b2486f5dff854e88ac22ff1bfa25</x:v>
      </x:c>
      <x:c r="J387" s="22" t="n">
        <x:v>0</x:v>
      </x:c>
      <x:c r="K387" s="22" t="n">
        <x:v>0</x:v>
      </x:c>
      <x:c r="L387" s="22" t="n">
        <x:v>0</x:v>
      </x:c>
      <x:c r="M387" s="28" t="n">
        <x:v>0</x:v>
      </x:c>
      <x:c r="N387" s="28" t="n">
        <x:v>0</x:v>
      </x:c>
      <x:c r="O387" s="28" t="n">
        <x:v>0</x:v>
      </x:c>
      <x:c r="P387" s="62" t="n">
        <x:v>0</x:v>
      </x:c>
      <x:c r="Q387" s="22" t="n">
        <x:v>0</x:v>
      </x:c>
      <x:c r="R387" s="22" t="str"/>
      <x:c r="S387" s="22" t="str"/>
      <x:c r="T387" s="22" t="str"/>
    </x:row>
    <x:row r="388">
      <x:c r="A388" s="22" t="str">
        <x:v>2023-00004</x:v>
      </x:c>
      <x:c r="B388" s="22" t="str">
        <x:v>L2025-00078-1</x:v>
      </x:c>
      <x:c r="C388" s="22" t="str">
        <x:v>용역</x:v>
      </x:c>
      <x:c r="D388" s="25" t="str">
        <x:v>볼리비아 엘알또 모성보건센터 신축/증축/보수 공사 설계사 선정</x:v>
      </x:c>
      <x:c r="E388" s="22" t="n">
        <x:v>0</x:v>
      </x:c>
      <x:c r="F388" s="22" t="str">
        <x:v>.docx</x:v>
      </x:c>
      <x:c r="G388" s="25" t="str">
        <x:v>L2025-00078-1/2. (BDS)영문 입찰계획서.docx</x:v>
      </x:c>
      <x:c r="H388" s="28" t="n">
        <x:v>68663</x:v>
      </x:c>
      <x:c r="I388" s="22" t="str">
        <x:v>313f3a5ce58e8378ea6fdad5525df55153a827f64083805cfe74436263582b2e</x:v>
      </x:c>
      <x:c r="J388" s="22" t="n">
        <x:v>0</x:v>
      </x:c>
      <x:c r="K388" s="22" t="n">
        <x:v>0</x:v>
      </x:c>
      <x:c r="L388" s="22" t="n">
        <x:v>0</x:v>
      </x:c>
      <x:c r="M388" s="28" t="n">
        <x:v>0</x:v>
      </x:c>
      <x:c r="N388" s="28" t="n">
        <x:v>0</x:v>
      </x:c>
      <x:c r="O388" s="28" t="n">
        <x:v>0</x:v>
      </x:c>
      <x:c r="P388" s="62" t="n">
        <x:v>0</x:v>
      </x:c>
      <x:c r="Q388" s="22" t="n">
        <x:v>0</x:v>
      </x:c>
      <x:c r="R388" s="22" t="str"/>
      <x:c r="S388" s="22" t="str"/>
      <x:c r="T388" s="22" t="str"/>
    </x:row>
    <x:row r="389">
      <x:c r="A389" s="22" t="str">
        <x:v>2023-00004</x:v>
      </x:c>
      <x:c r="B389" s="22" t="str">
        <x:v>L2025-00078-1</x:v>
      </x:c>
      <x:c r="C389" s="22" t="str">
        <x:v>용역</x:v>
      </x:c>
      <x:c r="D389" s="25" t="str">
        <x:v>볼리비아 엘알또 모성보건센터 신축/증축/보수 공사 설계사 선정</x:v>
      </x:c>
      <x:c r="E389" s="22" t="n">
        <x:v>0</x:v>
      </x:c>
      <x:c r="F389" s="22" t="str">
        <x:v>.hwp</x:v>
      </x:c>
      <x:c r="G389" s="25" t="str">
        <x:v>L2025-00078-1/1. 국문 입찰계획서.hwp</x:v>
      </x:c>
      <x:c r="H389" s="28" t="n">
        <x:v>162304</x:v>
      </x:c>
      <x:c r="I389" s="22" t="str">
        <x:v>afd8313639898577af27556a795292c2793fd22ccab676b51a78d3cb27ff10da</x:v>
      </x:c>
      <x:c r="J389" s="22" t="n">
        <x:v>0</x:v>
      </x:c>
      <x:c r="K389" s="22" t="n">
        <x:v>0</x:v>
      </x:c>
      <x:c r="L389" s="22" t="n">
        <x:v>0</x:v>
      </x:c>
      <x:c r="M389" s="28" t="n">
        <x:v>0</x:v>
      </x:c>
      <x:c r="N389" s="28" t="n">
        <x:v>0</x:v>
      </x:c>
      <x:c r="O389" s="28" t="n">
        <x:v>0</x:v>
      </x:c>
      <x:c r="P389" s="62" t="n">
        <x:v>0</x:v>
      </x:c>
      <x:c r="Q389" s="22" t="n">
        <x:v>0</x:v>
      </x:c>
      <x:c r="R389" s="22" t="str"/>
      <x:c r="S389" s="22" t="str"/>
      <x:c r="T389" s="22" t="str"/>
    </x:row>
    <x:row r="390">
      <x:c r="A390" s="22" t="str">
        <x:v>2024-00006</x:v>
      </x:c>
      <x:c r="B390" s="22" t="str">
        <x:v>L2025-00068-1</x:v>
      </x:c>
      <x:c r="C390" s="22" t="str">
        <x:v>용역</x:v>
      </x:c>
      <x:c r="D390" s="25" t="str">
        <x:v>볼리비아 추키사카 과학수사연구소 신축공사 설계사 선정 입찰</x:v>
      </x:c>
      <x:c r="E390" s="22" t="n">
        <x:v>0</x:v>
      </x:c>
      <x:c r="F390" s="22" t="str">
        <x:v>.pdf</x:v>
      </x:c>
      <x:c r="G390" s="25" t="str">
        <x:v>L2025-00068-1/입찰결과.pdf</x:v>
      </x:c>
      <x:c r="H390" s="28" t="n">
        <x:v>55019</x:v>
      </x:c>
      <x:c r="I390" s="22" t="str">
        <x:v>9130b1d4d093fd93b1932b816a530a565650f68b1484821e7602c21d590b9966</x:v>
      </x:c>
      <x:c r="J390" s="22" t="n">
        <x:v>0</x:v>
      </x:c>
      <x:c r="K390" s="22" t="n">
        <x:v>0</x:v>
      </x:c>
      <x:c r="L390" s="22" t="n">
        <x:v>0</x:v>
      </x:c>
      <x:c r="M390" s="28" t="n">
        <x:v>0</x:v>
      </x:c>
      <x:c r="N390" s="28" t="n">
        <x:v>0</x:v>
      </x:c>
      <x:c r="O390" s="28" t="n">
        <x:v>0</x:v>
      </x:c>
      <x:c r="P390" s="62" t="n">
        <x:v>0</x:v>
      </x:c>
      <x:c r="Q390" s="22" t="n">
        <x:v>0</x:v>
      </x:c>
      <x:c r="R390" s="22" t="str"/>
      <x:c r="S390" s="22" t="str"/>
      <x:c r="T390" s="22" t="str"/>
    </x:row>
    <x:row r="391">
      <x:c r="A391" s="22" t="str">
        <x:v>2024-00006</x:v>
      </x:c>
      <x:c r="B391" s="22" t="str">
        <x:v>L2025-00068-1</x:v>
      </x:c>
      <x:c r="C391" s="22" t="str">
        <x:v>용역</x:v>
      </x:c>
      <x:c r="D391" s="25" t="str">
        <x:v>볼리비아 추키사카 과학수사연구소 신축공사 설계사 선정 입찰</x:v>
      </x:c>
      <x:c r="E391" s="22" t="n">
        <x:v>0</x:v>
      </x:c>
      <x:c r="F391" s="22" t="str">
        <x:v>.xlsx</x:v>
      </x:c>
      <x:c r="G391" s="25" t="str">
        <x:v>L2025-00068-1/최종 평가(총괄표).xlsx</x:v>
      </x:c>
      <x:c r="H391" s="28" t="n">
        <x:v>25110</x:v>
      </x:c>
      <x:c r="I391" s="22" t="str">
        <x:v>ce8e431d8490b127b8bc4b7fde14279115a36382c8ddbc5e4eed83c02bf94ac3</x:v>
      </x:c>
      <x:c r="J391" s="22" t="n">
        <x:v>0</x:v>
      </x:c>
      <x:c r="K391" s="22" t="n">
        <x:v>0</x:v>
      </x:c>
      <x:c r="L391" s="22" t="n">
        <x:v>0</x:v>
      </x:c>
      <x:c r="M391" s="28" t="n">
        <x:v>0</x:v>
      </x:c>
      <x:c r="N391" s="28" t="n">
        <x:v>0</x:v>
      </x:c>
      <x:c r="O391" s="28" t="n">
        <x:v>0</x:v>
      </x:c>
      <x:c r="P391" s="62" t="n">
        <x:v>0</x:v>
      </x:c>
      <x:c r="Q391" s="22" t="n">
        <x:v>0</x:v>
      </x:c>
      <x:c r="R391" s="22" t="str"/>
      <x:c r="S391" s="22" t="str"/>
      <x:c r="T391" s="22" t="str"/>
    </x:row>
    <x:row r="392">
      <x:c r="A392" s="22" t="str">
        <x:v>2024-00006</x:v>
      </x:c>
      <x:c r="B392" s="22" t="str">
        <x:v>L2025-00068-1</x:v>
      </x:c>
      <x:c r="C392" s="22" t="str">
        <x:v>용역</x:v>
      </x:c>
      <x:c r="D392" s="25" t="str">
        <x:v>볼리비아 추키사카 과학수사연구소 신축공사 설계사 선정 입찰</x:v>
      </x:c>
      <x:c r="E392" s="22" t="n">
        <x:v>0</x:v>
      </x:c>
      <x:c r="F392" s="22" t="str">
        <x:v>.pdf</x:v>
      </x:c>
      <x:c r="G392" s="25" t="str">
        <x:v>L2025-00068-1/letter of Oath.pdf</x:v>
      </x:c>
      <x:c r="H392" s="28" t="n">
        <x:v>2971318</x:v>
      </x:c>
      <x:c r="I392" s="22" t="str">
        <x:v>255005096cda8010cd081e0b5dc8b9bde337d2bdd1b2c2e513de3d5e51435763</x:v>
      </x:c>
      <x:c r="J392" s="22" t="n">
        <x:v>0</x:v>
      </x:c>
      <x:c r="K392" s="22" t="n">
        <x:v>0</x:v>
      </x:c>
      <x:c r="L392" s="22" t="n">
        <x:v>0</x:v>
      </x:c>
      <x:c r="M392" s="28" t="n">
        <x:v>0</x:v>
      </x:c>
      <x:c r="N392" s="28" t="n">
        <x:v>0</x:v>
      </x:c>
      <x:c r="O392" s="28" t="n">
        <x:v>0</x:v>
      </x:c>
      <x:c r="P392" s="62" t="n">
        <x:v>0</x:v>
      </x:c>
      <x:c r="Q392" s="22" t="n">
        <x:v>0</x:v>
      </x:c>
      <x:c r="R392" s="22" t="str"/>
      <x:c r="S392" s="22" t="str"/>
      <x:c r="T392" s="22" t="str"/>
    </x:row>
    <x:row r="393">
      <x:c r="A393" s="22" t="str">
        <x:v>2024-00006</x:v>
      </x:c>
      <x:c r="B393" s="22" t="str">
        <x:v>L2025-00068-1</x:v>
      </x:c>
      <x:c r="C393" s="22" t="str">
        <x:v>용역</x:v>
      </x:c>
      <x:c r="D393" s="25" t="str">
        <x:v>볼리비아 추키사카 과학수사연구소 신축공사 설계사 선정 입찰</x:v>
      </x:c>
      <x:c r="E393" s="22" t="n">
        <x:v>0</x:v>
      </x:c>
      <x:c r="F393" s="22" t="str">
        <x:v>.pdf</x:v>
      </x:c>
      <x:c r="G393" s="25" t="str">
        <x:v>L2025-00068-1/Contact History Declaration.pdf</x:v>
      </x:c>
      <x:c r="H393" s="28" t="n">
        <x:v>1798414</x:v>
      </x:c>
      <x:c r="I393" s="22" t="str">
        <x:v>6ae3d4a042ef1a4e0a999dd8feddc1e7ff08142d627fa07a5f08cc89597b72a2</x:v>
      </x:c>
      <x:c r="J393" s="22" t="n">
        <x:v>0</x:v>
      </x:c>
      <x:c r="K393" s="22" t="n">
        <x:v>0</x:v>
      </x:c>
      <x:c r="L393" s="22" t="n">
        <x:v>0</x:v>
      </x:c>
      <x:c r="M393" s="28" t="n">
        <x:v>0</x:v>
      </x:c>
      <x:c r="N393" s="28" t="n">
        <x:v>0</x:v>
      </x:c>
      <x:c r="O393" s="28" t="n">
        <x:v>0</x:v>
      </x:c>
      <x:c r="P393" s="62" t="n">
        <x:v>0</x:v>
      </x:c>
      <x:c r="Q393" s="22" t="n">
        <x:v>0</x:v>
      </x:c>
      <x:c r="R393" s="22" t="str"/>
      <x:c r="S393" s="22" t="str"/>
      <x:c r="T393" s="22" t="str"/>
    </x:row>
    <x:row r="394">
      <x:c r="A394" s="22" t="str">
        <x:v>2022-00003</x:v>
      </x:c>
      <x:c r="B394" s="22" t="str">
        <x:v>L2025-00106-1</x:v>
      </x:c>
      <x:c r="C394" s="22" t="str">
        <x:v>용역</x:v>
      </x:c>
      <x:c r="D394" s="25" t="str">
        <x:v>세네갈 실험실 리모델링 사업 Control Office 계약</x:v>
      </x:c>
      <x:c r="E394" s="22" t="n">
        <x:v>1</x:v>
      </x:c>
      <x:c r="F394" s="22" t="str">
        <x:v>.zip</x:v>
      </x:c>
      <x:c r="G394" s="25" t="str">
        <x:v>L2025-00106-1/실험실 Control office_최종.zip</x:v>
      </x:c>
      <x:c r="H394" s="28" t="n">
        <x:v>96742</x:v>
      </x:c>
      <x:c r="I394" s="22" t="str">
        <x:v>1f3ffa686a0e55259eca3419f37599c4f2435894a4a6adf078d143672bc3d54d</x:v>
      </x:c>
      <x:c r="J394" s="22" t="n">
        <x:v>0</x:v>
      </x:c>
      <x:c r="K394" s="22" t="n">
        <x:v>0</x:v>
      </x:c>
      <x:c r="L394" s="22" t="n">
        <x:v>0</x:v>
      </x:c>
      <x:c r="M394" s="28" t="n">
        <x:v>0</x:v>
      </x:c>
      <x:c r="N394" s="28" t="n">
        <x:v>0</x:v>
      </x:c>
      <x:c r="O394" s="28" t="n">
        <x:v>0</x:v>
      </x:c>
      <x:c r="P394" s="62" t="n">
        <x:v>0</x:v>
      </x:c>
      <x:c r="Q394" s="22" t="n">
        <x:v>0</x:v>
      </x:c>
      <x:c r="R394" s="22" t="str"/>
      <x:c r="S394" s="22" t="str"/>
      <x:c r="T394" s="22" t="str"/>
    </x:row>
    <x:row r="395">
      <x:c r="A395" s="22" t="str">
        <x:v>2022-00003</x:v>
      </x:c>
      <x:c r="B395" s="22" t="str">
        <x:v>L2025-00106-1</x:v>
      </x:c>
      <x:c r="C395" s="22" t="str">
        <x:v>용역</x:v>
      </x:c>
      <x:c r="D395" s="25" t="str">
        <x:v>세네갈 실험실 리모델링 사업 Control Office 계약</x:v>
      </x:c>
      <x:c r="E395" s="22" t="n">
        <x:v>1</x:v>
      </x:c>
      <x:c r="F395" s="22" t="str">
        <x:v>.docx</x:v>
      </x:c>
      <x:c r="G395" s="25" t="str">
        <x:v>L2025-00106-1/실험실 Control office_최종/Control office_최종/RFP for Controll office_CM_clean.docx</x:v>
      </x:c>
      <x:c r="H395" s="28" t="n">
        <x:v>28942</x:v>
      </x:c>
      <x:c r="I395" s="22" t="str">
        <x:v>f235b1cd5b98f8ce8037d4ba0b1a966c5387320d344715d39da3d9650638b6ea</x:v>
      </x:c>
      <x:c r="J395" s="22" t="n">
        <x:v>0</x:v>
      </x:c>
      <x:c r="K395" s="22" t="n">
        <x:v>0</x:v>
      </x:c>
      <x:c r="L395" s="22" t="n">
        <x:v>0</x:v>
      </x:c>
      <x:c r="M395" s="28" t="n">
        <x:v>0</x:v>
      </x:c>
      <x:c r="N395" s="28" t="n">
        <x:v>0</x:v>
      </x:c>
      <x:c r="O395" s="28" t="n">
        <x:v>0</x:v>
      </x:c>
      <x:c r="P395" s="62" t="n">
        <x:v>0</x:v>
      </x:c>
      <x:c r="Q395" s="22" t="n">
        <x:v>0</x:v>
      </x:c>
      <x:c r="R395" s="22" t="str"/>
      <x:c r="S395" s="22" t="str"/>
      <x:c r="T395" s="22" t="str"/>
    </x:row>
    <x:row r="396">
      <x:c r="A396" s="22" t="str">
        <x:v>2022-00003</x:v>
      </x:c>
      <x:c r="B396" s="22" t="str">
        <x:v>L2025-00106-1</x:v>
      </x:c>
      <x:c r="C396" s="22" t="str">
        <x:v>용역</x:v>
      </x:c>
      <x:c r="D396" s="25" t="str">
        <x:v>세네갈 실험실 리모델링 사업 Control Office 계약</x:v>
      </x:c>
      <x:c r="E396" s="22" t="n">
        <x:v>1</x:v>
      </x:c>
      <x:c r="F396" s="22" t="str">
        <x:v>.docx</x:v>
      </x:c>
      <x:c r="G396" s="25" t="str">
        <x:v>L2025-00106-1/실험실 Control office_최종/Control office_최종/ITB to Bid for Controll office_CM.docx</x:v>
      </x:c>
      <x:c r="H396" s="28" t="n">
        <x:v>25274</x:v>
      </x:c>
      <x:c r="I396" s="22" t="str">
        <x:v>c4d903243c0293a03569221fc457031243abd039496008615bf757063923a49c</x:v>
      </x:c>
      <x:c r="J396" s="22" t="n">
        <x:v>0</x:v>
      </x:c>
      <x:c r="K396" s="22" t="n">
        <x:v>0</x:v>
      </x:c>
      <x:c r="L396" s="22" t="n">
        <x:v>0</x:v>
      </x:c>
      <x:c r="M396" s="28" t="n">
        <x:v>0</x:v>
      </x:c>
      <x:c r="N396" s="28" t="n">
        <x:v>0</x:v>
      </x:c>
      <x:c r="O396" s="28" t="n">
        <x:v>0</x:v>
      </x:c>
      <x:c r="P396" s="62" t="n">
        <x:v>0</x:v>
      </x:c>
      <x:c r="Q396" s="22" t="n">
        <x:v>0</x:v>
      </x:c>
      <x:c r="R396" s="22" t="str"/>
      <x:c r="S396" s="22" t="str"/>
      <x:c r="T396" s="22" t="str"/>
    </x:row>
    <x:row r="397">
      <x:c r="A397" s="22" t="str">
        <x:v>2022-00003</x:v>
      </x:c>
      <x:c r="B397" s="22" t="str">
        <x:v>L2025-00106-1</x:v>
      </x:c>
      <x:c r="C397" s="22" t="str">
        <x:v>용역</x:v>
      </x:c>
      <x:c r="D397" s="25" t="str">
        <x:v>세네갈 실험실 리모델링 사업 Control Office 계약</x:v>
      </x:c>
      <x:c r="E397" s="22" t="n">
        <x:v>1</x:v>
      </x:c>
      <x:c r="F397" s="22" t="str">
        <x:v>.docx</x:v>
      </x:c>
      <x:c r="G397" s="25" t="str">
        <x:v>L2025-00106-1/실험실 Control office_최종/Control office_최종/Annex_2_Undertaking_of_Payment_and_Integrity_Pledge_control_CM.docx</x:v>
      </x:c>
      <x:c r="H397" s="28" t="n">
        <x:v>24339</x:v>
      </x:c>
      <x:c r="I397" s="22" t="str">
        <x:v>59b8a19524d8e184d4cadf9601ca5bb9d1b48a5551b448c1ac3550138ebc961d</x:v>
      </x:c>
      <x:c r="J397" s="22" t="n">
        <x:v>0</x:v>
      </x:c>
      <x:c r="K397" s="22" t="n">
        <x:v>0</x:v>
      </x:c>
      <x:c r="L397" s="22" t="n">
        <x:v>0</x:v>
      </x:c>
      <x:c r="M397" s="28" t="n">
        <x:v>0</x:v>
      </x:c>
      <x:c r="N397" s="28" t="n">
        <x:v>0</x:v>
      </x:c>
      <x:c r="O397" s="28" t="n">
        <x:v>0</x:v>
      </x:c>
      <x:c r="P397" s="62" t="n">
        <x:v>0</x:v>
      </x:c>
      <x:c r="Q397" s="22" t="n">
        <x:v>0</x:v>
      </x:c>
      <x:c r="R397" s="22" t="str"/>
      <x:c r="S397" s="22" t="str"/>
      <x:c r="T397" s="22" t="str"/>
    </x:row>
    <x:row r="398">
      <x:c r="A398" s="22" t="str">
        <x:v>2022-00003</x:v>
      </x:c>
      <x:c r="B398" s="22" t="str">
        <x:v>L2025-00106-1</x:v>
      </x:c>
      <x:c r="C398" s="22" t="str">
        <x:v>용역</x:v>
      </x:c>
      <x:c r="D398" s="25" t="str">
        <x:v>세네갈 실험실 리모델링 사업 Control Office 계약</x:v>
      </x:c>
      <x:c r="E398" s="22" t="n">
        <x:v>1</x:v>
      </x:c>
      <x:c r="F398" s="22" t="str">
        <x:v>.docx</x:v>
      </x:c>
      <x:c r="G398" s="25" t="str">
        <x:v>L2025-00106-1/실험실 Control office_최종/Control office_최종/Annex 1. Contract of Control Office for LNSP_CM.docx</x:v>
      </x:c>
      <x:c r="H398" s="28" t="n">
        <x:v>29657</x:v>
      </x:c>
      <x:c r="I398" s="22" t="str">
        <x:v>7e27f421435d045a19a0bd1d5d6b5efe3647ec6417df9a3e6f55574c7ea92001</x:v>
      </x:c>
      <x:c r="J398" s="22" t="n">
        <x:v>0</x:v>
      </x:c>
      <x:c r="K398" s="22" t="n">
        <x:v>0</x:v>
      </x:c>
      <x:c r="L398" s="22" t="n">
        <x:v>0</x:v>
      </x:c>
      <x:c r="M398" s="28" t="n">
        <x:v>0</x:v>
      </x:c>
      <x:c r="N398" s="28" t="n">
        <x:v>0</x:v>
      </x:c>
      <x:c r="O398" s="28" t="n">
        <x:v>0</x:v>
      </x:c>
      <x:c r="P398" s="62" t="n">
        <x:v>0</x:v>
      </x:c>
      <x:c r="Q398" s="22" t="n">
        <x:v>0</x:v>
      </x:c>
      <x:c r="R398" s="22" t="str"/>
      <x:c r="S398" s="22" t="str"/>
      <x:c r="T398" s="22" t="str"/>
    </x:row>
    <x:row r="399">
      <x:c r="A399" s="22" t="str">
        <x:v>2020-00048</x:v>
      </x:c>
      <x:c r="B399" s="22" t="str">
        <x:v>L2024-00062-1</x:v>
      </x:c>
      <x:c r="C399" s="22" t="str">
        <x:v>공사</x:v>
      </x:c>
      <x:c r="D399" s="25" t="str">
        <x:v>세네갈 미곡가치사슬 역량강화 2차사업 미곡종합처리장(RPC)/농기계서비스센터 건축 시공사 선정 현지입찰</x:v>
      </x:c>
      <x:c r="E399" s="22" t="n">
        <x:v>1</x:v>
      </x:c>
      <x:c r="F399" s="22" t="str">
        <x:v>.hwp</x:v>
      </x:c>
      <x:c r="G399" s="25" t="str">
        <x:v>L2024-00062-1/1. 현지입찰 계획서(세네갈 미곡2차 시공)_최종.hwp</x:v>
      </x:c>
      <x:c r="H399" s="28" t="n">
        <x:v>5017600</x:v>
      </x:c>
      <x:c r="I399" s="22" t="str">
        <x:v>621f9d57ec360d0605c6b87a279efc99b24426bbe132eea8a9d349b524e1b87a</x:v>
      </x:c>
      <x:c r="J399" s="22" t="n">
        <x:v>0</x:v>
      </x:c>
      <x:c r="K399" s="22" t="n">
        <x:v>0</x:v>
      </x:c>
      <x:c r="L399" s="22" t="n">
        <x:v>0</x:v>
      </x:c>
      <x:c r="M399" s="28" t="n">
        <x:v>0</x:v>
      </x:c>
      <x:c r="N399" s="28" t="n">
        <x:v>0</x:v>
      </x:c>
      <x:c r="O399" s="28" t="n">
        <x:v>0</x:v>
      </x:c>
      <x:c r="P399" s="62" t="n">
        <x:v>0</x:v>
      </x:c>
      <x:c r="Q399" s="22" t="n">
        <x:v>0</x:v>
      </x:c>
      <x:c r="R399" s="22" t="str"/>
      <x:c r="S399" s="22" t="str"/>
      <x:c r="T399" s="22" t="str"/>
    </x:row>
    <x:row r="400">
      <x:c r="A400" s="22" t="str">
        <x:v>2020-00048</x:v>
      </x:c>
      <x:c r="B400" s="22" t="str">
        <x:v>L2025-00021-1</x:v>
      </x:c>
      <x:c r="C400" s="22" t="str">
        <x:v>용역</x:v>
      </x:c>
      <x:c r="D400" s="25" t="str">
        <x:v>세네갈 미곡가치사슬 2차사업 미곡종합처리장(RPC)/농기계 서비스센터 건축시공 감리용역 입찰</x:v>
      </x:c>
      <x:c r="E400" s="22" t="n">
        <x:v>0</x:v>
      </x:c>
      <x:c r="F400" s="22" t="str">
        <x:v>.docx</x:v>
      </x:c>
      <x:c r="G400" s="25" t="str">
        <x:v>L2025-00021-1/1. (세네갈) 입찰 요약본 (Summary of Bidding) (요약본).docx</x:v>
      </x:c>
      <x:c r="H400" s="28" t="n">
        <x:v>22680</x:v>
      </x:c>
      <x:c r="I400" s="22" t="str">
        <x:v>5d307ac611583af5b44087977eb70b4783fe2929f73cbd97e136713a9db52114</x:v>
      </x:c>
      <x:c r="J400" s="22" t="n">
        <x:v>0</x:v>
      </x:c>
      <x:c r="K400" s="22" t="n">
        <x:v>0</x:v>
      </x:c>
      <x:c r="L400" s="22" t="n">
        <x:v>0</x:v>
      </x:c>
      <x:c r="M400" s="28" t="n">
        <x:v>0</x:v>
      </x:c>
      <x:c r="N400" s="28" t="n">
        <x:v>0</x:v>
      </x:c>
      <x:c r="O400" s="28" t="n">
        <x:v>0</x:v>
      </x:c>
      <x:c r="P400" s="62" t="n">
        <x:v>0</x:v>
      </x:c>
      <x:c r="Q400" s="22" t="n">
        <x:v>0</x:v>
      </x:c>
      <x:c r="R400" s="22" t="str"/>
      <x:c r="S400" s="22" t="str"/>
      <x:c r="T400" s="22" t="str"/>
    </x:row>
    <x:row r="401">
      <x:c r="A401" s="22" t="str">
        <x:v>2020-00048</x:v>
      </x:c>
      <x:c r="B401" s="22" t="str">
        <x:v>L2025-00021-1</x:v>
      </x:c>
      <x:c r="C401" s="22" t="str">
        <x:v>용역</x:v>
      </x:c>
      <x:c r="D401" s="25" t="str">
        <x:v>세네갈 미곡가치사슬 2차사업 미곡종합처리장(RPC)/농기계 서비스센터 건축시공 감리용역 입찰</x:v>
      </x:c>
      <x:c r="E401" s="22" t="n">
        <x:v>0</x:v>
      </x:c>
      <x:c r="F401" s="22" t="str">
        <x:v>.zip</x:v>
      </x:c>
      <x:c r="G401" s="25" t="str">
        <x:v>L2025-00021-1/2. (세네갈) 입찰서류 일체.zip</x:v>
      </x:c>
      <x:c r="H401" s="28" t="n">
        <x:v>1594413</x:v>
      </x:c>
      <x:c r="I401" s="22" t="str">
        <x:v>61c0179874ec0a2ace12431c192eb719bf495c68545ce5ef34db22e0522f2b32</x:v>
      </x:c>
      <x:c r="J401" s="22" t="n">
        <x:v>0</x:v>
      </x:c>
      <x:c r="K401" s="22" t="n">
        <x:v>0</x:v>
      </x:c>
      <x:c r="L401" s="22" t="n">
        <x:v>0</x:v>
      </x:c>
      <x:c r="M401" s="28" t="n">
        <x:v>0</x:v>
      </x:c>
      <x:c r="N401" s="28" t="n">
        <x:v>0</x:v>
      </x:c>
      <x:c r="O401" s="28" t="n">
        <x:v>0</x:v>
      </x:c>
      <x:c r="P401" s="62" t="n">
        <x:v>0</x:v>
      </x:c>
      <x:c r="Q401" s="22" t="n">
        <x:v>0</x:v>
      </x:c>
      <x:c r="R401" s="22" t="str"/>
      <x:c r="S401" s="22" t="str"/>
      <x:c r="T401" s="22" t="str"/>
    </x:row>
    <x:row r="402">
      <x:c r="A402" s="22" t="str">
        <x:v>2020-00048</x:v>
      </x:c>
      <x:c r="B402" s="22" t="str">
        <x:v>L2025-00021-1</x:v>
      </x:c>
      <x:c r="C402" s="22" t="str">
        <x:v>용역</x:v>
      </x:c>
      <x:c r="D402" s="25" t="str">
        <x:v>세네갈 미곡가치사슬 2차사업 미곡종합처리장(RPC)/농기계 서비스센터 건축시공 감리용역 입찰</x:v>
      </x:c>
      <x:c r="E402" s="22" t="n">
        <x:v>0</x:v>
      </x:c>
      <x:c r="F402" s="22" t="str">
        <x:v>.hwp</x:v>
      </x:c>
      <x:c r="G402" s="25" t="str">
        <x:v>L2025-00021-1/3. (세네갈) 입찰계획서 Bid Data Sheet(국문)_미곡2 건축감리.hwp</x:v>
      </x:c>
      <x:c r="H402" s="28" t="n">
        <x:v>5106176</x:v>
      </x:c>
      <x:c r="I402" s="22" t="str">
        <x:v>2618c3981e514394fc62262ecb7bef944dd9d271c2dda559ad79a50fdc43bf38</x:v>
      </x:c>
      <x:c r="J402" s="22" t="n">
        <x:v>0</x:v>
      </x:c>
      <x:c r="K402" s="22" t="n">
        <x:v>0</x:v>
      </x:c>
      <x:c r="L402" s="22" t="n">
        <x:v>0</x:v>
      </x:c>
      <x:c r="M402" s="28" t="n">
        <x:v>0</x:v>
      </x:c>
      <x:c r="N402" s="28" t="n">
        <x:v>0</x:v>
      </x:c>
      <x:c r="O402" s="28" t="n">
        <x:v>0</x:v>
      </x:c>
      <x:c r="P402" s="62" t="n">
        <x:v>0</x:v>
      </x:c>
      <x:c r="Q402" s="22" t="n">
        <x:v>0</x:v>
      </x:c>
      <x:c r="R402" s="22" t="str"/>
      <x:c r="S402" s="22" t="str"/>
      <x:c r="T402" s="22" t="str"/>
    </x:row>
    <x:row r="403">
      <x:c r="A403" s="22" t="str">
        <x:v>2020-00048</x:v>
      </x:c>
      <x:c r="B403" s="22" t="str">
        <x:v>L2025-00021-1</x:v>
      </x:c>
      <x:c r="C403" s="22" t="str">
        <x:v>용역</x:v>
      </x:c>
      <x:c r="D403" s="25" t="str">
        <x:v>세네갈 미곡가치사슬 2차사업 미곡종합처리장(RPC)/농기계 서비스센터 건축시공 감리용역 입찰</x:v>
      </x:c>
      <x:c r="E403" s="22" t="n">
        <x:v>0</x:v>
      </x:c>
      <x:c r="F403" s="22" t="str">
        <x:v>.docx</x:v>
      </x:c>
      <x:c r="G403" s="25" t="str">
        <x:v>L2025-00021-1/2. (세네갈) 입찰서류 일체/2. (세네갈) 입찰서류 일체/Section 9 - Contract Forms.docx</x:v>
      </x:c>
      <x:c r="H403" s="28" t="n">
        <x:v>22992</x:v>
      </x:c>
      <x:c r="I403" s="22" t="str">
        <x:v>aae21e0364d411b003ec863f9587fb5bd419cae961c5c76762dcf0190ad3ff86</x:v>
      </x:c>
      <x:c r="J403" s="22" t="n">
        <x:v>0</x:v>
      </x:c>
      <x:c r="K403" s="22" t="n">
        <x:v>0</x:v>
      </x:c>
      <x:c r="L403" s="22" t="n">
        <x:v>0</x:v>
      </x:c>
      <x:c r="M403" s="28" t="n">
        <x:v>0</x:v>
      </x:c>
      <x:c r="N403" s="28" t="n">
        <x:v>0</x:v>
      </x:c>
      <x:c r="O403" s="28" t="n">
        <x:v>0</x:v>
      </x:c>
      <x:c r="P403" s="62" t="n">
        <x:v>0</x:v>
      </x:c>
      <x:c r="Q403" s="22" t="n">
        <x:v>0</x:v>
      </x:c>
      <x:c r="R403" s="22" t="str"/>
      <x:c r="S403" s="22" t="str"/>
      <x:c r="T403" s="22" t="str"/>
    </x:row>
    <x:row r="404">
      <x:c r="A404" s="22" t="str">
        <x:v>2020-00048</x:v>
      </x:c>
      <x:c r="B404" s="22" t="str">
        <x:v>L2025-00021-1</x:v>
      </x:c>
      <x:c r="C404" s="22" t="str">
        <x:v>용역</x:v>
      </x:c>
      <x:c r="D404" s="25" t="str">
        <x:v>세네갈 미곡가치사슬 2차사업 미곡종합처리장(RPC)/농기계 서비스센터 건축시공 감리용역 입찰</x:v>
      </x:c>
      <x:c r="E404" s="22" t="n">
        <x:v>0</x:v>
      </x:c>
      <x:c r="F404" s="22" t="str">
        <x:v>.docx</x:v>
      </x:c>
      <x:c r="G404" s="25" t="str">
        <x:v>L2025-00021-1/2. (세네갈) 입찰서류 일체/2. (세네갈) 입찰서류 일체/Section 7 - General Conditions of Contract.docx</x:v>
      </x:c>
      <x:c r="H404" s="28" t="n">
        <x:v>34911</x:v>
      </x:c>
      <x:c r="I404" s="22" t="str">
        <x:v>83d7fcabe51ad328fb7329da081d4f921110e5e42367cc1598173d635bbc979e</x:v>
      </x:c>
      <x:c r="J404" s="22" t="n">
        <x:v>0</x:v>
      </x:c>
      <x:c r="K404" s="22" t="n">
        <x:v>0</x:v>
      </x:c>
      <x:c r="L404" s="22" t="n">
        <x:v>0</x:v>
      </x:c>
      <x:c r="M404" s="28" t="n">
        <x:v>0</x:v>
      </x:c>
      <x:c r="N404" s="28" t="n">
        <x:v>0</x:v>
      </x:c>
      <x:c r="O404" s="28" t="n">
        <x:v>0</x:v>
      </x:c>
      <x:c r="P404" s="62" t="n">
        <x:v>0</x:v>
      </x:c>
      <x:c r="Q404" s="22" t="n">
        <x:v>0</x:v>
      </x:c>
      <x:c r="R404" s="22" t="str"/>
      <x:c r="S404" s="22" t="str"/>
      <x:c r="T404" s="22" t="str"/>
    </x:row>
    <x:row r="405">
      <x:c r="A405" s="22" t="str">
        <x:v>2020-00048</x:v>
      </x:c>
      <x:c r="B405" s="22" t="str">
        <x:v>L2025-00021-1</x:v>
      </x:c>
      <x:c r="C405" s="22" t="str">
        <x:v>용역</x:v>
      </x:c>
      <x:c r="D405" s="25" t="str">
        <x:v>세네갈 미곡가치사슬 2차사업 미곡종합처리장(RPC)/농기계 서비스센터 건축시공 감리용역 입찰</x:v>
      </x:c>
      <x:c r="E405" s="22" t="n">
        <x:v>0</x:v>
      </x:c>
      <x:c r="F405" s="22" t="str">
        <x:v>.docx</x:v>
      </x:c>
      <x:c r="G405" s="25" t="str">
        <x:v>L2025-00021-1/2. (세네갈) 입찰서류 일체/2. (세네갈) 입찰서류 일체/Section 3 - Bidding Forms_수정.docx</x:v>
      </x:c>
      <x:c r="H405" s="28" t="n">
        <x:v>60170</x:v>
      </x:c>
      <x:c r="I405" s="22" t="str">
        <x:v>af78166fc8656f60cd1420e578f70d322290bda457113e999ae837aeba7cfff6</x:v>
      </x:c>
      <x:c r="J405" s="22" t="n">
        <x:v>0</x:v>
      </x:c>
      <x:c r="K405" s="22" t="n">
        <x:v>0</x:v>
      </x:c>
      <x:c r="L405" s="22" t="n">
        <x:v>0</x:v>
      </x:c>
      <x:c r="M405" s="28" t="n">
        <x:v>0</x:v>
      </x:c>
      <x:c r="N405" s="28" t="n">
        <x:v>0</x:v>
      </x:c>
      <x:c r="O405" s="28" t="n">
        <x:v>0</x:v>
      </x:c>
      <x:c r="P405" s="62" t="n">
        <x:v>0</x:v>
      </x:c>
      <x:c r="Q405" s="22" t="n">
        <x:v>0</x:v>
      </x:c>
      <x:c r="R405" s="22" t="str"/>
      <x:c r="S405" s="22" t="str"/>
      <x:c r="T405" s="22" t="str"/>
    </x:row>
    <x:row r="406">
      <x:c r="A406" s="22" t="str">
        <x:v>2020-00048</x:v>
      </x:c>
      <x:c r="B406" s="22" t="str">
        <x:v>L2025-00021-1</x:v>
      </x:c>
      <x:c r="C406" s="22" t="str">
        <x:v>용역</x:v>
      </x:c>
      <x:c r="D406" s="25" t="str">
        <x:v>세네갈 미곡가치사슬 2차사업 미곡종합처리장(RPC)/농기계 서비스센터 건축시공 감리용역 입찰</x:v>
      </x:c>
      <x:c r="E406" s="22" t="n">
        <x:v>0</x:v>
      </x:c>
      <x:c r="F406" s="22" t="str">
        <x:v>.zip</x:v>
      </x:c>
      <x:c r="G406" s="25" t="str">
        <x:v>L2025-00021-1/2. (세네갈) 입찰서류 일체/2. (세네갈) 입찰서류 일체/Section 1 - Instructions to Bidders (ITB) - 수정(241115).zip</x:v>
      </x:c>
      <x:c r="H406" s="28" t="n">
        <x:v>346740</x:v>
      </x:c>
      <x:c r="I406" s="22" t="str">
        <x:v>8a8b90a22c4b407dbca52583d9577715903556d090e4d70030676bd6d3c0e605</x:v>
      </x:c>
      <x:c r="J406" s="22" t="n">
        <x:v>0</x:v>
      </x:c>
      <x:c r="K406" s="22" t="n">
        <x:v>0</x:v>
      </x:c>
      <x:c r="L406" s="22" t="n">
        <x:v>0</x:v>
      </x:c>
      <x:c r="M406" s="28" t="n">
        <x:v>0</x:v>
      </x:c>
      <x:c r="N406" s="28" t="n">
        <x:v>0</x:v>
      </x:c>
      <x:c r="O406" s="28" t="n">
        <x:v>0</x:v>
      </x:c>
      <x:c r="P406" s="62" t="n">
        <x:v>0</x:v>
      </x:c>
      <x:c r="Q406" s="22" t="n">
        <x:v>0</x:v>
      </x:c>
      <x:c r="R406" s="22" t="str"/>
      <x:c r="S406" s="22" t="str"/>
      <x:c r="T406" s="22" t="str"/>
    </x:row>
    <x:row r="407">
      <x:c r="A407" s="22" t="str">
        <x:v>2020-00048</x:v>
      </x:c>
      <x:c r="B407" s="22" t="str">
        <x:v>L2025-00021-1</x:v>
      </x:c>
      <x:c r="C407" s="22" t="str">
        <x:v>용역</x:v>
      </x:c>
      <x:c r="D407" s="25" t="str">
        <x:v>세네갈 미곡가치사슬 2차사업 미곡종합처리장(RPC)/농기계 서비스센터 건축시공 감리용역 입찰</x:v>
      </x:c>
      <x:c r="E407" s="22" t="n">
        <x:v>0</x:v>
      </x:c>
      <x:c r="F407" s="22" t="str">
        <x:v>.docx</x:v>
      </x:c>
      <x:c r="G407" s="25" t="str">
        <x:v>L2025-00021-1/2. (세네갈) 입찰서류 일체/2. (세네갈) 입찰서류 일체/Power of Attorney for the authority to sign and execute contracts (계약서 서명권한 위임장).docx</x:v>
      </x:c>
      <x:c r="H407" s="28" t="n">
        <x:v>18759</x:v>
      </x:c>
      <x:c r="I407" s="22" t="str">
        <x:v>ccfa30711d9124ace57f312b9b89267731c2844285ca78c55df13f43969cd647</x:v>
      </x:c>
      <x:c r="J407" s="22" t="n">
        <x:v>0</x:v>
      </x:c>
      <x:c r="K407" s="22" t="n">
        <x:v>0</x:v>
      </x:c>
      <x:c r="L407" s="22" t="n">
        <x:v>0</x:v>
      </x:c>
      <x:c r="M407" s="28" t="n">
        <x:v>0</x:v>
      </x:c>
      <x:c r="N407" s="28" t="n">
        <x:v>0</x:v>
      </x:c>
      <x:c r="O407" s="28" t="n">
        <x:v>0</x:v>
      </x:c>
      <x:c r="P407" s="62" t="n">
        <x:v>0</x:v>
      </x:c>
      <x:c r="Q407" s="22" t="n">
        <x:v>0</x:v>
      </x:c>
      <x:c r="R407" s="22" t="str"/>
      <x:c r="S407" s="22" t="str"/>
      <x:c r="T407" s="22" t="str"/>
    </x:row>
    <x:row r="408">
      <x:c r="A408" s="22" t="str">
        <x:v>2020-00048</x:v>
      </x:c>
      <x:c r="B408" s="22" t="str">
        <x:v>L2025-00021-1</x:v>
      </x:c>
      <x:c r="C408" s="22" t="str">
        <x:v>용역</x:v>
      </x:c>
      <x:c r="D408" s="25" t="str">
        <x:v>세네갈 미곡가치사슬 2차사업 미곡종합처리장(RPC)/농기계 서비스센터 건축시공 감리용역 입찰</x:v>
      </x:c>
      <x:c r="E408" s="22" t="n">
        <x:v>0</x:v>
      </x:c>
      <x:c r="F408" s="22" t="str">
        <x:v>.docx</x:v>
      </x:c>
      <x:c r="G408" s="25" t="str">
        <x:v>L2025-00021-1/2. (세네갈) 입찰서류 일체/2. (세네갈) 입찰서류 일체/Section 8 - Specail Conditions of Contract.docx</x:v>
      </x:c>
      <x:c r="H408" s="28" t="n">
        <x:v>25735</x:v>
      </x:c>
      <x:c r="I408" s="22" t="str">
        <x:v>951c2d255ef262165cfff144d7c962a3895e873a1af01869b7956aaa014fa39f</x:v>
      </x:c>
      <x:c r="J408" s="22" t="n">
        <x:v>0</x:v>
      </x:c>
      <x:c r="K408" s="22" t="n">
        <x:v>0</x:v>
      </x:c>
      <x:c r="L408" s="22" t="n">
        <x:v>0</x:v>
      </x:c>
      <x:c r="M408" s="28" t="n">
        <x:v>0</x:v>
      </x:c>
      <x:c r="N408" s="28" t="n">
        <x:v>0</x:v>
      </x:c>
      <x:c r="O408" s="28" t="n">
        <x:v>0</x:v>
      </x:c>
      <x:c r="P408" s="62" t="n">
        <x:v>0</x:v>
      </x:c>
      <x:c r="Q408" s="22" t="n">
        <x:v>0</x:v>
      </x:c>
      <x:c r="R408" s="22" t="str"/>
      <x:c r="S408" s="22" t="str"/>
      <x:c r="T408" s="22" t="str"/>
    </x:row>
    <x:row r="409">
      <x:c r="A409" s="22" t="str">
        <x:v>2020-00048</x:v>
      </x:c>
      <x:c r="B409" s="22" t="str">
        <x:v>L2025-00021-1</x:v>
      </x:c>
      <x:c r="C409" s="22" t="str">
        <x:v>용역</x:v>
      </x:c>
      <x:c r="D409" s="25" t="str">
        <x:v>세네갈 미곡가치사슬 2차사업 미곡종합처리장(RPC)/농기계 서비스센터 건축시공 감리용역 입찰</x:v>
      </x:c>
      <x:c r="E409" s="22" t="n">
        <x:v>0</x:v>
      </x:c>
      <x:c r="F409" s="22" t="str">
        <x:v>.zip</x:v>
      </x:c>
      <x:c r="G409" s="25" t="str">
        <x:v>L2025-00021-1/2. (세네갈) 입찰서류 일체/2. (세네갈) 입찰서류 일체/Section 9 - Pledges.zip</x:v>
      </x:c>
      <x:c r="H409" s="28" t="n">
        <x:v>69143</x:v>
      </x:c>
      <x:c r="I409" s="22" t="str">
        <x:v>c68e53944a8f0afc1892995c1597fc45de6bfe319f29975a6981e05379561cfa</x:v>
      </x:c>
      <x:c r="J409" s="22" t="n">
        <x:v>0</x:v>
      </x:c>
      <x:c r="K409" s="22" t="n">
        <x:v>0</x:v>
      </x:c>
      <x:c r="L409" s="22" t="n">
        <x:v>0</x:v>
      </x:c>
      <x:c r="M409" s="28" t="n">
        <x:v>0</x:v>
      </x:c>
      <x:c r="N409" s="28" t="n">
        <x:v>0</x:v>
      </x:c>
      <x:c r="O409" s="28" t="n">
        <x:v>0</x:v>
      </x:c>
      <x:c r="P409" s="62" t="n">
        <x:v>0</x:v>
      </x:c>
      <x:c r="Q409" s="22" t="n">
        <x:v>0</x:v>
      </x:c>
      <x:c r="R409" s="22" t="str"/>
      <x:c r="S409" s="22" t="str"/>
      <x:c r="T409" s="22" t="str"/>
    </x:row>
    <x:row r="410">
      <x:c r="A410" s="22" t="str">
        <x:v>2020-00048</x:v>
      </x:c>
      <x:c r="B410" s="22" t="str">
        <x:v>L2025-00021-1</x:v>
      </x:c>
      <x:c r="C410" s="22" t="str">
        <x:v>용역</x:v>
      </x:c>
      <x:c r="D410" s="25" t="str">
        <x:v>세네갈 미곡가치사슬 2차사업 미곡종합처리장(RPC)/농기계 서비스센터 건축시공 감리용역 입찰</x:v>
      </x:c>
      <x:c r="E410" s="22" t="n">
        <x:v>0</x:v>
      </x:c>
      <x:c r="F410" s="22" t="str">
        <x:v>.hwp</x:v>
      </x:c>
      <x:c r="G410" s="25" t="str">
        <x:v>L2025-00021-1/2. (세네갈) 입찰서류 일체/2. (세네갈) 입찰서류 일체/Section x - 계약서.hwp</x:v>
      </x:c>
      <x:c r="H410" s="28" t="n">
        <x:v>53248</x:v>
      </x:c>
      <x:c r="I410" s="22" t="str">
        <x:v>10854d9e57da31c5f296a74dad7cba61bf457d5727c3e2d5da7281b8d9f5ed20</x:v>
      </x:c>
      <x:c r="J410" s="22" t="n">
        <x:v>0</x:v>
      </x:c>
      <x:c r="K410" s="22" t="n">
        <x:v>0</x:v>
      </x:c>
      <x:c r="L410" s="22" t="n">
        <x:v>0</x:v>
      </x:c>
      <x:c r="M410" s="28" t="n">
        <x:v>0</x:v>
      </x:c>
      <x:c r="N410" s="28" t="n">
        <x:v>0</x:v>
      </x:c>
      <x:c r="O410" s="28" t="n">
        <x:v>0</x:v>
      </x:c>
      <x:c r="P410" s="62" t="n">
        <x:v>0</x:v>
      </x:c>
      <x:c r="Q410" s="22" t="n">
        <x:v>0</x:v>
      </x:c>
      <x:c r="R410" s="22" t="str"/>
      <x:c r="S410" s="22" t="str"/>
      <x:c r="T410" s="22" t="str"/>
    </x:row>
    <x:row r="411">
      <x:c r="A411" s="22" t="str">
        <x:v>2020-00048</x:v>
      </x:c>
      <x:c r="B411" s="22" t="str">
        <x:v>L2025-00021-1</x:v>
      </x:c>
      <x:c r="C411" s="22" t="str">
        <x:v>용역</x:v>
      </x:c>
      <x:c r="D411" s="25" t="str">
        <x:v>세네갈 미곡가치사슬 2차사업 미곡종합처리장(RPC)/농기계 서비스센터 건축시공 감리용역 입찰</x:v>
      </x:c>
      <x:c r="E411" s="22" t="n">
        <x:v>0</x:v>
      </x:c>
      <x:c r="F411" s="22" t="str">
        <x:v>.docx</x:v>
      </x:c>
      <x:c r="G411" s="25" t="str">
        <x:v>L2025-00021-1/2. (세네갈) 입찰서류 일체/2. (세네갈) 입찰서류 일체/Section 2 - Bid Data Sheet (BDS)_최종수정(250321).docx</x:v>
      </x:c>
      <x:c r="H411" s="28" t="n">
        <x:v>991351</x:v>
      </x:c>
      <x:c r="I411" s="22" t="str">
        <x:v>6180c75648e72785cdb5d82b4cd3dc65b2729d0ba1d61b52c4388bfb6d17c3dc</x:v>
      </x:c>
      <x:c r="J411" s="22" t="n">
        <x:v>0</x:v>
      </x:c>
      <x:c r="K411" s="22" t="n">
        <x:v>0</x:v>
      </x:c>
      <x:c r="L411" s="22" t="n">
        <x:v>0</x:v>
      </x:c>
      <x:c r="M411" s="28" t="n">
        <x:v>0</x:v>
      </x:c>
      <x:c r="N411" s="28" t="n">
        <x:v>0</x:v>
      </x:c>
      <x:c r="O411" s="28" t="n">
        <x:v>0</x:v>
      </x:c>
      <x:c r="P411" s="62" t="n">
        <x:v>0</x:v>
      </x:c>
      <x:c r="Q411" s="22" t="n">
        <x:v>0</x:v>
      </x:c>
      <x:c r="R411" s="22" t="str"/>
      <x:c r="S411" s="22" t="str"/>
      <x:c r="T411" s="22" t="str"/>
    </x:row>
    <x:row r="412">
      <x:c r="A412" s="22" t="str">
        <x:v>2020-00048</x:v>
      </x:c>
      <x:c r="B412" s="22" t="str">
        <x:v>L2025-00021-1</x:v>
      </x:c>
      <x:c r="C412" s="22" t="str">
        <x:v>용역</x:v>
      </x:c>
      <x:c r="D412" s="25" t="str">
        <x:v>세네갈 미곡가치사슬 2차사업 미곡종합처리장(RPC)/농기계 서비스센터 건축시공 감리용역 입찰</x:v>
      </x:c>
      <x:c r="E412" s="22" t="n">
        <x:v>0</x:v>
      </x:c>
      <x:c r="F412" s="22" t="str">
        <x:v>.pdf</x:v>
      </x:c>
      <x:c r="G412" s="25" t="str">
        <x:v>L2025-00021-1/2. (세네갈) 입찰서류 일체/2. (세네갈) 입찰서류 일체/Section 1 - Instructions to Bidders (ITB) - 수정(241115)/Section 1 - Instructions to Bidders (ITB)_수정.pdf</x:v>
      </x:c>
      <x:c r="H412" s="28" t="n">
        <x:v>161688</x:v>
      </x:c>
      <x:c r="I412" s="22" t="str">
        <x:v>7e9661f6ad25fcd805a17cbbe963b7ca109bca52bca4ea9a49409df119cc19ed</x:v>
      </x:c>
      <x:c r="J412" s="22" t="n">
        <x:v>0</x:v>
      </x:c>
      <x:c r="K412" s="22" t="n">
        <x:v>0</x:v>
      </x:c>
      <x:c r="L412" s="22" t="n">
        <x:v>0</x:v>
      </x:c>
      <x:c r="M412" s="28" t="n">
        <x:v>0</x:v>
      </x:c>
      <x:c r="N412" s="28" t="n">
        <x:v>0</x:v>
      </x:c>
      <x:c r="O412" s="28" t="n">
        <x:v>0</x:v>
      </x:c>
      <x:c r="P412" s="62" t="n">
        <x:v>0</x:v>
      </x:c>
      <x:c r="Q412" s="22" t="n">
        <x:v>0</x:v>
      </x:c>
      <x:c r="R412" s="22" t="str"/>
      <x:c r="S412" s="22" t="str"/>
      <x:c r="T412" s="22" t="str"/>
    </x:row>
    <x:row r="413">
      <x:c r="A413" s="22" t="str">
        <x:v>2020-00048</x:v>
      </x:c>
      <x:c r="B413" s="22" t="str">
        <x:v>L2025-00021-1</x:v>
      </x:c>
      <x:c r="C413" s="22" t="str">
        <x:v>용역</x:v>
      </x:c>
      <x:c r="D413" s="25" t="str">
        <x:v>세네갈 미곡가치사슬 2차사업 미곡종합처리장(RPC)/농기계 서비스센터 건축시공 감리용역 입찰</x:v>
      </x:c>
      <x:c r="E413" s="22" t="n">
        <x:v>0</x:v>
      </x:c>
      <x:c r="F413" s="22" t="str">
        <x:v>.hwp</x:v>
      </x:c>
      <x:c r="G413" s="25" t="str">
        <x:v>L2025-00021-1/2. (세네갈) 입찰서류 일체/2. (세네갈) 입찰서류 일체/Section 1 - Instructions to Bidders (ITB) - 수정(241115)/Section 1 - Instructions to Bidders (ITB)_수정.hwp</x:v>
      </x:c>
      <x:c r="H413" s="28" t="n">
        <x:v>168448</x:v>
      </x:c>
      <x:c r="I413" s="22" t="str">
        <x:v>6285377d2383ad3c4727290929b289b40b5d2a7e3941d9766e1723672f167a6f</x:v>
      </x:c>
      <x:c r="J413" s="22" t="n">
        <x:v>0</x:v>
      </x:c>
      <x:c r="K413" s="22" t="n">
        <x:v>0</x:v>
      </x:c>
      <x:c r="L413" s="22" t="n">
        <x:v>0</x:v>
      </x:c>
      <x:c r="M413" s="28" t="n">
        <x:v>0</x:v>
      </x:c>
      <x:c r="N413" s="28" t="n">
        <x:v>0</x:v>
      </x:c>
      <x:c r="O413" s="28" t="n">
        <x:v>0</x:v>
      </x:c>
      <x:c r="P413" s="62" t="n">
        <x:v>0</x:v>
      </x:c>
      <x:c r="Q413" s="22" t="n">
        <x:v>0</x:v>
      </x:c>
      <x:c r="R413" s="22" t="str"/>
      <x:c r="S413" s="22" t="str"/>
      <x:c r="T413" s="22" t="str"/>
    </x:row>
    <x:row r="414">
      <x:c r="A414" s="22" t="str">
        <x:v>2020-00048</x:v>
      </x:c>
      <x:c r="B414" s="22" t="str">
        <x:v>L2025-00021-1</x:v>
      </x:c>
      <x:c r="C414" s="22" t="str">
        <x:v>용역</x:v>
      </x:c>
      <x:c r="D414" s="25" t="str">
        <x:v>세네갈 미곡가치사슬 2차사업 미곡종합처리장(RPC)/농기계 서비스센터 건축시공 감리용역 입찰</x:v>
      </x:c>
      <x:c r="E414" s="22" t="n">
        <x:v>0</x:v>
      </x:c>
      <x:c r="F414" s="22" t="str">
        <x:v>.hwp</x:v>
      </x:c>
      <x:c r="G414" s="25" t="str">
        <x:v>L2025-00021-1/2. (세네갈) 입찰서류 일체/2. (세네갈) 입찰서류 일체/Section 1 - Instructions to Bidders (ITB) - 수정(241115)/Section 1 - 국제입찰유의서 (ITB).hwp</x:v>
      </x:c>
      <x:c r="H414" s="28" t="n">
        <x:v>92672</x:v>
      </x:c>
      <x:c r="I414" s="22" t="str">
        <x:v>fe8f8948abe9b6e4e05c3ce8e00a4b9cd2aa9b9a8b9dac0bc6ca94b3d564748b</x:v>
      </x:c>
      <x:c r="J414" s="22" t="n">
        <x:v>0</x:v>
      </x:c>
      <x:c r="K414" s="22" t="n">
        <x:v>0</x:v>
      </x:c>
      <x:c r="L414" s="22" t="n">
        <x:v>0</x:v>
      </x:c>
      <x:c r="M414" s="28" t="n">
        <x:v>0</x:v>
      </x:c>
      <x:c r="N414" s="28" t="n">
        <x:v>0</x:v>
      </x:c>
      <x:c r="O414" s="28" t="n">
        <x:v>0</x:v>
      </x:c>
      <x:c r="P414" s="62" t="n">
        <x:v>0</x:v>
      </x:c>
      <x:c r="Q414" s="22" t="n">
        <x:v>0</x:v>
      </x:c>
      <x:c r="R414" s="22" t="str"/>
      <x:c r="S414" s="22" t="str"/>
      <x:c r="T414" s="22" t="str"/>
    </x:row>
    <x:row r="415">
      <x:c r="A415" s="22" t="str">
        <x:v>2020-00048</x:v>
      </x:c>
      <x:c r="B415" s="22" t="str">
        <x:v>L2025-00021-1</x:v>
      </x:c>
      <x:c r="C415" s="22" t="str">
        <x:v>용역</x:v>
      </x:c>
      <x:c r="D415" s="25" t="str">
        <x:v>세네갈 미곡가치사슬 2차사업 미곡종합처리장(RPC)/농기계 서비스센터 건축시공 감리용역 입찰</x:v>
      </x:c>
      <x:c r="E415" s="22" t="n">
        <x:v>0</x:v>
      </x:c>
      <x:c r="F415" s="22" t="str">
        <x:v>.docx</x:v>
      </x:c>
      <x:c r="G415" s="25" t="str">
        <x:v>L2025-00021-1/2. (세네갈) 입찰서류 일체/2. (세네갈) 입찰서류 일체/Section 9 - Pledges/Integrity Pledge (청렴계약서).docx</x:v>
      </x:c>
      <x:c r="H415" s="28" t="n">
        <x:v>36507</x:v>
      </x:c>
      <x:c r="I415" s="22" t="str">
        <x:v>bbf88b1bc23c5ed931639e65f36d47df7d7fbdb8447562024b0cf9f04ec6d6b6</x:v>
      </x:c>
      <x:c r="J415" s="22" t="n">
        <x:v>0</x:v>
      </x:c>
      <x:c r="K415" s="22" t="n">
        <x:v>0</x:v>
      </x:c>
      <x:c r="L415" s="22" t="n">
        <x:v>0</x:v>
      </x:c>
      <x:c r="M415" s="28" t="n">
        <x:v>0</x:v>
      </x:c>
      <x:c r="N415" s="28" t="n">
        <x:v>0</x:v>
      </x:c>
      <x:c r="O415" s="28" t="n">
        <x:v>0</x:v>
      </x:c>
      <x:c r="P415" s="62" t="n">
        <x:v>0</x:v>
      </x:c>
      <x:c r="Q415" s="22" t="n">
        <x:v>0</x:v>
      </x:c>
      <x:c r="R415" s="22" t="str"/>
      <x:c r="S415" s="22" t="str"/>
      <x:c r="T415" s="22" t="str"/>
    </x:row>
    <x:row r="416">
      <x:c r="A416" s="22" t="str">
        <x:v>2020-00048</x:v>
      </x:c>
      <x:c r="B416" s="22" t="str">
        <x:v>L2025-00021-1</x:v>
      </x:c>
      <x:c r="C416" s="22" t="str">
        <x:v>용역</x:v>
      </x:c>
      <x:c r="D416" s="25" t="str">
        <x:v>세네갈 미곡가치사슬 2차사업 미곡종합처리장(RPC)/농기계 서비스센터 건축시공 감리용역 입찰</x:v>
      </x:c>
      <x:c r="E416" s="22" t="n">
        <x:v>0</x:v>
      </x:c>
      <x:c r="F416" s="22" t="str">
        <x:v>.docx</x:v>
      </x:c>
      <x:c r="G416" s="25" t="str">
        <x:v>L2025-00021-1/2. (세네갈) 입찰서류 일체/2. (세네갈) 입찰서류 일체/Section 9 - Pledges/Fair Contract Pledge Letter (공정계약 서약서).docx</x:v>
      </x:c>
      <x:c r="H416" s="28" t="n">
        <x:v>18756</x:v>
      </x:c>
      <x:c r="I416" s="22" t="str">
        <x:v>379cc784a159e5c15ba0045a32dd793d03827ad46a1e4a966b9810ad99102277</x:v>
      </x:c>
      <x:c r="J416" s="22" t="n">
        <x:v>0</x:v>
      </x:c>
      <x:c r="K416" s="22" t="n">
        <x:v>0</x:v>
      </x:c>
      <x:c r="L416" s="22" t="n">
        <x:v>0</x:v>
      </x:c>
      <x:c r="M416" s="28" t="n">
        <x:v>0</x:v>
      </x:c>
      <x:c r="N416" s="28" t="n">
        <x:v>0</x:v>
      </x:c>
      <x:c r="O416" s="28" t="n">
        <x:v>0</x:v>
      </x:c>
      <x:c r="P416" s="62" t="n">
        <x:v>0</x:v>
      </x:c>
      <x:c r="Q416" s="22" t="n">
        <x:v>0</x:v>
      </x:c>
      <x:c r="R416" s="22" t="str"/>
      <x:c r="S416" s="22" t="str"/>
      <x:c r="T416" s="22" t="str"/>
    </x:row>
    <x:row r="417">
      <x:c r="A417" s="22" t="str">
        <x:v>2020-00048</x:v>
      </x:c>
      <x:c r="B417" s="22" t="str">
        <x:v>L2025-00021-1</x:v>
      </x:c>
      <x:c r="C417" s="22" t="str">
        <x:v>용역</x:v>
      </x:c>
      <x:c r="D417" s="25" t="str">
        <x:v>세네갈 미곡가치사슬 2차사업 미곡종합처리장(RPC)/농기계 서비스센터 건축시공 감리용역 입찰</x:v>
      </x:c>
      <x:c r="E417" s="22" t="n">
        <x:v>0</x:v>
      </x:c>
      <x:c r="F417" s="22" t="str">
        <x:v>.docx</x:v>
      </x:c>
      <x:c r="G417" s="25" t="str">
        <x:v>L2025-00021-1/2. (세네갈) 입찰서류 일체/2. (세네갈) 입찰서류 일체/Section 9 - Pledges/Declaration of Anti_Corruption (반부패 선언서).docx</x:v>
      </x:c>
      <x:c r="H417" s="28" t="n">
        <x:v>23026</x:v>
      </x:c>
      <x:c r="I417" s="22" t="str">
        <x:v>81e22a438491f4d1b5a12be15e95b5278073d1be929b00b0cd4fe23da8b9d496</x:v>
      </x:c>
      <x:c r="J417" s="22" t="n">
        <x:v>0</x:v>
      </x:c>
      <x:c r="K417" s="22" t="n">
        <x:v>0</x:v>
      </x:c>
      <x:c r="L417" s="22" t="n">
        <x:v>0</x:v>
      </x:c>
      <x:c r="M417" s="28" t="n">
        <x:v>0</x:v>
      </x:c>
      <x:c r="N417" s="28" t="n">
        <x:v>0</x:v>
      </x:c>
      <x:c r="O417" s="28" t="n">
        <x:v>0</x:v>
      </x:c>
      <x:c r="P417" s="62" t="n">
        <x:v>0</x:v>
      </x:c>
      <x:c r="Q417" s="22" t="n">
        <x:v>0</x:v>
      </x:c>
      <x:c r="R417" s="22" t="str"/>
      <x:c r="S417" s="22" t="str"/>
      <x:c r="T417" s="22" t="str"/>
    </x:row>
    <x:row r="418">
      <x:c r="A418" s="22" t="str">
        <x:v>2025-00099</x:v>
      </x:c>
      <x:c r="B418" s="22" t="str">
        <x:v>L2025-00108-1</x:v>
      </x:c>
      <x:c r="C418" s="22" t="str">
        <x:v>용역</x:v>
      </x:c>
      <x:c r="D418" s="25" t="str">
        <x:v>알제리 실험실 설계감리 용역</x:v>
      </x:c>
      <x:c r="E418" s="22" t="n">
        <x:v>0</x:v>
      </x:c>
      <x:c r="F418" s="22" t="str">
        <x:v>.pdf</x:v>
      </x:c>
      <x:c r="G418" s="25" t="str">
        <x:v>L2025-00108-1/2025 11월 입찰공고.pdf</x:v>
      </x:c>
      <x:c r="H418" s="28" t="n">
        <x:v>4734567</x:v>
      </x:c>
      <x:c r="I418" s="22" t="str">
        <x:v>732bf01e88490b4528d2e01eeee9283d6d4980911d11738688521bb09a76ca91</x:v>
      </x:c>
      <x:c r="J418" s="22" t="n">
        <x:v>0</x:v>
      </x:c>
      <x:c r="K418" s="22" t="n">
        <x:v>0</x:v>
      </x:c>
      <x:c r="L418" s="22" t="n">
        <x:v>0</x:v>
      </x:c>
      <x:c r="M418" s="28" t="n">
        <x:v>0</x:v>
      </x:c>
      <x:c r="N418" s="28" t="n">
        <x:v>0</x:v>
      </x:c>
      <x:c r="O418" s="28" t="n">
        <x:v>0</x:v>
      </x:c>
      <x:c r="P418" s="62" t="n">
        <x:v>0</x:v>
      </x:c>
      <x:c r="Q418" s="22" t="n">
        <x:v>0</x:v>
      </x:c>
      <x:c r="R418" s="22" t="str"/>
      <x:c r="S418" s="22" t="str"/>
      <x:c r="T418" s="22" t="str"/>
    </x:row>
    <x:row r="419">
      <x:c r="A419" s="22" t="str">
        <x:v>2020-00086</x:v>
      </x:c>
      <x:c r="B419" s="22" t="str">
        <x:v>L2022-00003-1</x:v>
      </x:c>
      <x:c r="C419" s="22" t="str">
        <x:v>용역</x:v>
      </x:c>
      <x:c r="D419" s="25" t="str">
        <x:v>우즈베키스탄 우르겐치 직업훈련원 및 직업훈련제도 역량공고화 지원사업 설계 및 감리업체 선정</x:v>
      </x:c>
      <x:c r="E419" s="22" t="n">
        <x:v>0</x:v>
      </x:c>
      <x:c r="F419" s="22" t="str">
        <x:v>.pdf</x:v>
      </x:c>
      <x:c r="G419" s="25" t="str">
        <x:v>L2022-00003-1/코이카사무소_우르겐치직훈원 입찰공고문(홈페이지게시).pdf</x:v>
      </x:c>
      <x:c r="H419" s="28" t="n">
        <x:v>175280</x:v>
      </x:c>
      <x:c r="I419" s="22" t="str">
        <x:v>37e55022a1a2028326e6a75f0d0e9aa2c80828b19eb06245446a76fa01cc159f</x:v>
      </x:c>
      <x:c r="J419" s="22" t="n">
        <x:v>0</x:v>
      </x:c>
      <x:c r="K419" s="22" t="n">
        <x:v>0</x:v>
      </x:c>
      <x:c r="L419" s="22" t="n">
        <x:v>0</x:v>
      </x:c>
      <x:c r="M419" s="28" t="n">
        <x:v>0</x:v>
      </x:c>
      <x:c r="N419" s="28" t="n">
        <x:v>0</x:v>
      </x:c>
      <x:c r="O419" s="28" t="n">
        <x:v>0</x:v>
      </x:c>
      <x:c r="P419" s="62" t="n">
        <x:v>0</x:v>
      </x:c>
      <x:c r="Q419" s="22" t="n">
        <x:v>0</x:v>
      </x:c>
      <x:c r="R419" s="22" t="str"/>
      <x:c r="S419" s="22" t="str"/>
      <x:c r="T419" s="22" t="str"/>
    </x:row>
    <x:row r="420">
      <x:c r="A420" s="22" t="str">
        <x:v>2020-00086</x:v>
      </x:c>
      <x:c r="B420" s="22" t="str">
        <x:v>L2022-00003-1</x:v>
      </x:c>
      <x:c r="C420" s="22" t="str">
        <x:v>용역</x:v>
      </x:c>
      <x:c r="D420" s="25" t="str">
        <x:v>우즈베키스탄 우르겐치 직업훈련원 및 직업훈련제도 역량공고화 지원사업 설계 및 감리업체 선정</x:v>
      </x:c>
      <x:c r="E420" s="22" t="n">
        <x:v>0</x:v>
      </x:c>
      <x:c r="F420" s="22" t="str">
        <x:v>.zip</x:v>
      </x:c>
      <x:c r="G420" s="25" t="str">
        <x:v>L2022-00003-1/KOICA URGENCH BID DOCUMENTS-FINAL(FINAL).zip</x:v>
      </x:c>
      <x:c r="H420" s="28" t="n">
        <x:v>42485685</x:v>
      </x:c>
      <x:c r="I420" s="22" t="str">
        <x:v>962bd8e7613960d22ee4b22d587d20a20a973e3a7308b3ed33899a7c7d16bc29</x:v>
      </x:c>
      <x:c r="J420" s="22" t="n">
        <x:v>0</x:v>
      </x:c>
      <x:c r="K420" s="22" t="n">
        <x:v>0</x:v>
      </x:c>
      <x:c r="L420" s="22" t="n">
        <x:v>0</x:v>
      </x:c>
      <x:c r="M420" s="28" t="n">
        <x:v>0</x:v>
      </x:c>
      <x:c r="N420" s="28" t="n">
        <x:v>0</x:v>
      </x:c>
      <x:c r="O420" s="28" t="n">
        <x:v>0</x:v>
      </x:c>
      <x:c r="P420" s="62" t="n">
        <x:v>0</x:v>
      </x:c>
      <x:c r="Q420" s="22" t="n">
        <x:v>0</x:v>
      </x:c>
      <x:c r="R420" s="22" t="str"/>
      <x:c r="S420" s="22" t="str"/>
      <x:c r="T420" s="22" t="str"/>
    </x:row>
    <x:row r="421">
      <x:c r="A421" s="22" t="str">
        <x:v>2020-00086</x:v>
      </x:c>
      <x:c r="B421" s="22" t="str">
        <x:v>L2022-00003-1</x:v>
      </x:c>
      <x:c r="C421" s="22" t="str">
        <x:v>용역</x:v>
      </x:c>
      <x:c r="D421" s="25" t="str">
        <x:v>우즈베키스탄 우르겐치 직업훈련원 및 직업훈련제도 역량공고화 지원사업 설계 및 감리업체 선정</x:v>
      </x:c>
      <x:c r="E421" s="22" t="n">
        <x:v>0</x:v>
      </x:c>
      <x:c r="F421" s="22" t="str">
        <x:v>.pdf</x:v>
      </x:c>
      <x:c r="G421" s="25" t="str">
        <x:v>L2022-00003-1/KOICA URGENCH BID DOCUMENTS-FINAL(FINAL)/Attachment 9. Technical Proposal  Reference Data.pdf</x:v>
      </x:c>
      <x:c r="H421" s="28" t="n">
        <x:v>27134005</x:v>
      </x:c>
      <x:c r="I421" s="22" t="str">
        <x:v>2049177111a02d08de6c19e63a1971221f07e6eb0c574c39baf304cc52361240</x:v>
      </x:c>
      <x:c r="J421" s="22" t="n">
        <x:v>0</x:v>
      </x:c>
      <x:c r="K421" s="22" t="n">
        <x:v>0</x:v>
      </x:c>
      <x:c r="L421" s="22" t="n">
        <x:v>0</x:v>
      </x:c>
      <x:c r="M421" s="28" t="n">
        <x:v>0</x:v>
      </x:c>
      <x:c r="N421" s="28" t="n">
        <x:v>0</x:v>
      </x:c>
      <x:c r="O421" s="28" t="n">
        <x:v>0</x:v>
      </x:c>
      <x:c r="P421" s="62" t="n">
        <x:v>0</x:v>
      </x:c>
      <x:c r="Q421" s="22" t="n">
        <x:v>0</x:v>
      </x:c>
      <x:c r="R421" s="22" t="str"/>
      <x:c r="S421" s="22" t="str"/>
      <x:c r="T421" s="22" t="str"/>
    </x:row>
    <x:row r="422">
      <x:c r="A422" s="22" t="str">
        <x:v>2020-00086</x:v>
      </x:c>
      <x:c r="B422" s="22" t="str">
        <x:v>L2022-00003-1</x:v>
      </x:c>
      <x:c r="C422" s="22" t="str">
        <x:v>용역</x:v>
      </x:c>
      <x:c r="D422" s="25" t="str">
        <x:v>우즈베키스탄 우르겐치 직업훈련원 및 직업훈련제도 역량공고화 지원사업 설계 및 감리업체 선정</x:v>
      </x:c>
      <x:c r="E422" s="22" t="n">
        <x:v>0</x:v>
      </x:c>
      <x:c r="F422" s="22" t="str">
        <x:v>.docx</x:v>
      </x:c>
      <x:c r="G422" s="25" t="str">
        <x:v>L2022-00003-1/KOICA URGENCH BID DOCUMENTS-FINAL(FINAL)/Form 8. ODA_Declaration of Anti_Corruption.docx</x:v>
      </x:c>
      <x:c r="H422" s="28" t="n">
        <x:v>22687</x:v>
      </x:c>
      <x:c r="I422" s="22" t="str">
        <x:v>e25b71d90ca6be7c7b9a4f72f2c228c4d17b50d75b153f786655c37d5d1aedc6</x:v>
      </x:c>
      <x:c r="J422" s="22" t="n">
        <x:v>0</x:v>
      </x:c>
      <x:c r="K422" s="22" t="n">
        <x:v>0</x:v>
      </x:c>
      <x:c r="L422" s="22" t="n">
        <x:v>0</x:v>
      </x:c>
      <x:c r="M422" s="28" t="n">
        <x:v>0</x:v>
      </x:c>
      <x:c r="N422" s="28" t="n">
        <x:v>0</x:v>
      </x:c>
      <x:c r="O422" s="28" t="n">
        <x:v>0</x:v>
      </x:c>
      <x:c r="P422" s="62" t="n">
        <x:v>0</x:v>
      </x:c>
      <x:c r="Q422" s="22" t="n">
        <x:v>0</x:v>
      </x:c>
      <x:c r="R422" s="22" t="str"/>
      <x:c r="S422" s="22" t="str"/>
      <x:c r="T422" s="22" t="str"/>
    </x:row>
    <x:row r="423">
      <x:c r="A423" s="22" t="str">
        <x:v>2020-00086</x:v>
      </x:c>
      <x:c r="B423" s="22" t="str">
        <x:v>L2022-00003-1</x:v>
      </x:c>
      <x:c r="C423" s="22" t="str">
        <x:v>용역</x:v>
      </x:c>
      <x:c r="D423" s="25" t="str">
        <x:v>우즈베키스탄 우르겐치 직업훈련원 및 직업훈련제도 역량공고화 지원사업 설계 및 감리업체 선정</x:v>
      </x:c>
      <x:c r="E423" s="22" t="n">
        <x:v>0</x:v>
      </x:c>
      <x:c r="F423" s="22" t="str">
        <x:v>.docx</x:v>
      </x:c>
      <x:c r="G423" s="25" t="str">
        <x:v>L2022-00003-1/KOICA URGENCH BID DOCUMENTS-FINAL(FINAL)/Attachment 3. Guideline of Supervision Services.docx</x:v>
      </x:c>
      <x:c r="H423" s="28" t="n">
        <x:v>23763</x:v>
      </x:c>
      <x:c r="I423" s="22" t="str">
        <x:v>68f738276060ddbb388837b6a9837a5f7ee8e1272bc0995bb729025ad9e518e6</x:v>
      </x:c>
      <x:c r="J423" s="22" t="n">
        <x:v>0</x:v>
      </x:c>
      <x:c r="K423" s="22" t="n">
        <x:v>0</x:v>
      </x:c>
      <x:c r="L423" s="22" t="n">
        <x:v>0</x:v>
      </x:c>
      <x:c r="M423" s="28" t="n">
        <x:v>0</x:v>
      </x:c>
      <x:c r="N423" s="28" t="n">
        <x:v>0</x:v>
      </x:c>
      <x:c r="O423" s="28" t="n">
        <x:v>0</x:v>
      </x:c>
      <x:c r="P423" s="62" t="n">
        <x:v>0</x:v>
      </x:c>
      <x:c r="Q423" s="22" t="n">
        <x:v>0</x:v>
      </x:c>
      <x:c r="R423" s="22" t="str"/>
      <x:c r="S423" s="22" t="str"/>
      <x:c r="T423" s="22" t="str"/>
    </x:row>
    <x:row r="424">
      <x:c r="A424" s="22" t="str">
        <x:v>2020-00086</x:v>
      </x:c>
      <x:c r="B424" s="22" t="str">
        <x:v>L2022-00003-1</x:v>
      </x:c>
      <x:c r="C424" s="22" t="str">
        <x:v>용역</x:v>
      </x:c>
      <x:c r="D424" s="25" t="str">
        <x:v>우즈베키스탄 우르겐치 직업훈련원 및 직업훈련제도 역량공고화 지원사업 설계 및 감리업체 선정</x:v>
      </x:c>
      <x:c r="E424" s="22" t="n">
        <x:v>0</x:v>
      </x:c>
      <x:c r="F424" s="22" t="str">
        <x:v>.rtf</x:v>
      </x:c>
      <x:c r="G424" s="25" t="str">
        <x:v>L2022-00003-1/KOICA URGENCH BID DOCUMENTS-FINAL(FINAL)/Attachment 5. Instructions on International Bidding.rtf</x:v>
      </x:c>
      <x:c r="H424" s="28" t="n">
        <x:v>223346</x:v>
      </x:c>
      <x:c r="I424" s="22" t="str">
        <x:v>b6054513897a12e126588275f2b77705e07b80660c94e937df842c246e1269ff</x:v>
      </x:c>
      <x:c r="J424" s="22" t="n">
        <x:v>0</x:v>
      </x:c>
      <x:c r="K424" s="22" t="n">
        <x:v>0</x:v>
      </x:c>
      <x:c r="L424" s="22" t="n">
        <x:v>0</x:v>
      </x:c>
      <x:c r="M424" s="28" t="n">
        <x:v>0</x:v>
      </x:c>
      <x:c r="N424" s="28" t="n">
        <x:v>0</x:v>
      </x:c>
      <x:c r="O424" s="28" t="n">
        <x:v>0</x:v>
      </x:c>
      <x:c r="P424" s="62" t="n">
        <x:v>0</x:v>
      </x:c>
      <x:c r="Q424" s="22" t="n">
        <x:v>0</x:v>
      </x:c>
      <x:c r="R424" s="22" t="str"/>
      <x:c r="S424" s="22" t="str"/>
      <x:c r="T424" s="22" t="str"/>
    </x:row>
    <x:row r="425">
      <x:c r="A425" s="22" t="str">
        <x:v>2020-00086</x:v>
      </x:c>
      <x:c r="B425" s="22" t="str">
        <x:v>L2022-00003-1</x:v>
      </x:c>
      <x:c r="C425" s="22" t="str">
        <x:v>용역</x:v>
      </x:c>
      <x:c r="D425" s="25" t="str">
        <x:v>우즈베키스탄 우르겐치 직업훈련원 및 직업훈련제도 역량공고화 지원사업 설계 및 감리업체 선정</x:v>
      </x:c>
      <x:c r="E425" s="22" t="n">
        <x:v>0</x:v>
      </x:c>
      <x:c r="F425" s="22" t="str">
        <x:v>.docx</x:v>
      </x:c>
      <x:c r="G425" s="25" t="str">
        <x:v>L2022-00003-1/KOICA URGENCH BID DOCUMENTS-FINAL(FINAL)/Attachment 6. Selection of Successful Bidder.docx</x:v>
      </x:c>
      <x:c r="H425" s="28" t="n">
        <x:v>51533</x:v>
      </x:c>
      <x:c r="I425" s="22" t="str">
        <x:v>6377d726e8acb03dc37f0f5d2e17b6c2a00374b4c15e4ce62301ec395f5e8a23</x:v>
      </x:c>
      <x:c r="J425" s="22" t="n">
        <x:v>0</x:v>
      </x:c>
      <x:c r="K425" s="22" t="n">
        <x:v>0</x:v>
      </x:c>
      <x:c r="L425" s="22" t="n">
        <x:v>0</x:v>
      </x:c>
      <x:c r="M425" s="28" t="n">
        <x:v>0</x:v>
      </x:c>
      <x:c r="N425" s="28" t="n">
        <x:v>0</x:v>
      </x:c>
      <x:c r="O425" s="28" t="n">
        <x:v>0</x:v>
      </x:c>
      <x:c r="P425" s="62" t="n">
        <x:v>0</x:v>
      </x:c>
      <x:c r="Q425" s="22" t="n">
        <x:v>0</x:v>
      </x:c>
      <x:c r="R425" s="22" t="str"/>
      <x:c r="S425" s="22" t="str"/>
      <x:c r="T425" s="22" t="str"/>
    </x:row>
    <x:row r="426">
      <x:c r="A426" s="22" t="str">
        <x:v>2020-00086</x:v>
      </x:c>
      <x:c r="B426" s="22" t="str">
        <x:v>L2022-00003-1</x:v>
      </x:c>
      <x:c r="C426" s="22" t="str">
        <x:v>용역</x:v>
      </x:c>
      <x:c r="D426" s="25" t="str">
        <x:v>우즈베키스탄 우르겐치 직업훈련원 및 직업훈련제도 역량공고화 지원사업 설계 및 감리업체 선정</x:v>
      </x:c>
      <x:c r="E426" s="22" t="n">
        <x:v>0</x:v>
      </x:c>
      <x:c r="F426" s="22" t="str">
        <x:v>.docx</x:v>
      </x:c>
      <x:c r="G426" s="25" t="str">
        <x:v>L2022-00003-1/KOICA URGENCH BID DOCUMENTS-FINAL(FINAL)/Form 12. Integrity Pledge Sheet.docx</x:v>
      </x:c>
      <x:c r="H426" s="28" t="n">
        <x:v>35943</x:v>
      </x:c>
      <x:c r="I426" s="22" t="str">
        <x:v>41a40a8a6c94ebe4d1c105247e3c55542b2bfddeda65136795492d9be18b4ec5</x:v>
      </x:c>
      <x:c r="J426" s="22" t="n">
        <x:v>0</x:v>
      </x:c>
      <x:c r="K426" s="22" t="n">
        <x:v>0</x:v>
      </x:c>
      <x:c r="L426" s="22" t="n">
        <x:v>0</x:v>
      </x:c>
      <x:c r="M426" s="28" t="n">
        <x:v>0</x:v>
      </x:c>
      <x:c r="N426" s="28" t="n">
        <x:v>0</x:v>
      </x:c>
      <x:c r="O426" s="28" t="n">
        <x:v>0</x:v>
      </x:c>
      <x:c r="P426" s="62" t="n">
        <x:v>0</x:v>
      </x:c>
      <x:c r="Q426" s="22" t="n">
        <x:v>0</x:v>
      </x:c>
      <x:c r="R426" s="22" t="str"/>
      <x:c r="S426" s="22" t="str"/>
      <x:c r="T426" s="22" t="str"/>
    </x:row>
    <x:row r="427">
      <x:c r="A427" s="22" t="str">
        <x:v>2020-00086</x:v>
      </x:c>
      <x:c r="B427" s="22" t="str">
        <x:v>L2022-00003-1</x:v>
      </x:c>
      <x:c r="C427" s="22" t="str">
        <x:v>용역</x:v>
      </x:c>
      <x:c r="D427" s="25" t="str">
        <x:v>우즈베키스탄 우르겐치 직업훈련원 및 직업훈련제도 역량공고화 지원사업 설계 및 감리업체 선정</x:v>
      </x:c>
      <x:c r="E427" s="22" t="n">
        <x:v>0</x:v>
      </x:c>
      <x:c r="F427" s="22" t="str">
        <x:v>.docx</x:v>
      </x:c>
      <x:c r="G427" s="25" t="str">
        <x:v>L2022-00003-1/KOICA URGENCH BID DOCUMENTS-FINAL(FINAL)/Attachment 2. Scope of Services.docx</x:v>
      </x:c>
      <x:c r="H427" s="28" t="n">
        <x:v>16833359</x:v>
      </x:c>
      <x:c r="I427" s="22" t="str">
        <x:v>13f3adb51490c2f94a727516bd4a8a690f403ae58473ca0d0b60aad9abd9580e</x:v>
      </x:c>
      <x:c r="J427" s="22" t="n">
        <x:v>0</x:v>
      </x:c>
      <x:c r="K427" s="22" t="n">
        <x:v>0</x:v>
      </x:c>
      <x:c r="L427" s="22" t="n">
        <x:v>0</x:v>
      </x:c>
      <x:c r="M427" s="28" t="n">
        <x:v>0</x:v>
      </x:c>
      <x:c r="N427" s="28" t="n">
        <x:v>0</x:v>
      </x:c>
      <x:c r="O427" s="28" t="n">
        <x:v>0</x:v>
      </x:c>
      <x:c r="P427" s="62" t="n">
        <x:v>0</x:v>
      </x:c>
      <x:c r="Q427" s="22" t="n">
        <x:v>0</x:v>
      </x:c>
      <x:c r="R427" s="22" t="str"/>
      <x:c r="S427" s="22" t="str"/>
      <x:c r="T427" s="22" t="str"/>
    </x:row>
    <x:row r="428">
      <x:c r="A428" s="22" t="str">
        <x:v>2020-00086</x:v>
      </x:c>
      <x:c r="B428" s="22" t="str">
        <x:v>L2022-00003-1</x:v>
      </x:c>
      <x:c r="C428" s="22" t="str">
        <x:v>용역</x:v>
      </x:c>
      <x:c r="D428" s="25" t="str">
        <x:v>우즈베키스탄 우르겐치 직업훈련원 및 직업훈련제도 역량공고화 지원사업 설계 및 감리업체 선정</x:v>
      </x:c>
      <x:c r="E428" s="22" t="n">
        <x:v>0</x:v>
      </x:c>
      <x:c r="F428" s="22" t="str">
        <x:v>.docx</x:v>
      </x:c>
      <x:c r="G428" s="25" t="str">
        <x:v>L2022-00003-1/KOICA URGENCH BID DOCUMENTS-FINAL(FINAL)/Attachment 8. Technical Evaluation Guideline.docx</x:v>
      </x:c>
      <x:c r="H428" s="28" t="n">
        <x:v>30614</x:v>
      </x:c>
      <x:c r="I428" s="22" t="str">
        <x:v>ee8a6b98930d02c3a32055300b512fda6f20acc81ba269a9fda1ac9fc39b6b79</x:v>
      </x:c>
      <x:c r="J428" s="22" t="n">
        <x:v>0</x:v>
      </x:c>
      <x:c r="K428" s="22" t="n">
        <x:v>0</x:v>
      </x:c>
      <x:c r="L428" s="22" t="n">
        <x:v>0</x:v>
      </x:c>
      <x:c r="M428" s="28" t="n">
        <x:v>0</x:v>
      </x:c>
      <x:c r="N428" s="28" t="n">
        <x:v>0</x:v>
      </x:c>
      <x:c r="O428" s="28" t="n">
        <x:v>0</x:v>
      </x:c>
      <x:c r="P428" s="62" t="n">
        <x:v>0</x:v>
      </x:c>
      <x:c r="Q428" s="22" t="n">
        <x:v>0</x:v>
      </x:c>
      <x:c r="R428" s="22" t="str"/>
      <x:c r="S428" s="22" t="str"/>
      <x:c r="T428" s="22" t="str"/>
    </x:row>
    <x:row r="429">
      <x:c r="A429" s="22" t="str">
        <x:v>2020-00086</x:v>
      </x:c>
      <x:c r="B429" s="22" t="str">
        <x:v>L2022-00003-1</x:v>
      </x:c>
      <x:c r="C429" s="22" t="str">
        <x:v>용역</x:v>
      </x:c>
      <x:c r="D429" s="25" t="str">
        <x:v>우즈베키스탄 우르겐치 직업훈련원 및 직업훈련제도 역량공고화 지원사업 설계 및 감리업체 선정</x:v>
      </x:c>
      <x:c r="E429" s="22" t="n">
        <x:v>0</x:v>
      </x:c>
      <x:c r="F429" s="22" t="str">
        <x:v>.docx</x:v>
      </x:c>
      <x:c r="G429" s="25" t="str">
        <x:v>L2022-00003-1/KOICA URGENCH BID DOCUMENTS-FINAL(FINAL)/Form 3. Evaluation Table for Technical Proposal.docx</x:v>
      </x:c>
      <x:c r="H429" s="28" t="n">
        <x:v>17246</x:v>
      </x:c>
      <x:c r="I429" s="22" t="str">
        <x:v>6fa36706f77425c86d9a62f54f51c7e0a4408b14ab193ffd1b55b8eb6bd1b9be</x:v>
      </x:c>
      <x:c r="J429" s="22" t="n">
        <x:v>0</x:v>
      </x:c>
      <x:c r="K429" s="22" t="n">
        <x:v>0</x:v>
      </x:c>
      <x:c r="L429" s="22" t="n">
        <x:v>0</x:v>
      </x:c>
      <x:c r="M429" s="28" t="n">
        <x:v>0</x:v>
      </x:c>
      <x:c r="N429" s="28" t="n">
        <x:v>0</x:v>
      </x:c>
      <x:c r="O429" s="28" t="n">
        <x:v>0</x:v>
      </x:c>
      <x:c r="P429" s="62" t="n">
        <x:v>0</x:v>
      </x:c>
      <x:c r="Q429" s="22" t="n">
        <x:v>0</x:v>
      </x:c>
      <x:c r="R429" s="22" t="str"/>
      <x:c r="S429" s="22" t="str"/>
      <x:c r="T429" s="22" t="str"/>
    </x:row>
    <x:row r="430">
      <x:c r="A430" s="22" t="str">
        <x:v>2020-00086</x:v>
      </x:c>
      <x:c r="B430" s="22" t="str">
        <x:v>L2022-00003-1</x:v>
      </x:c>
      <x:c r="C430" s="22" t="str">
        <x:v>용역</x:v>
      </x:c>
      <x:c r="D430" s="25" t="str">
        <x:v>우즈베키스탄 우르겐치 직업훈련원 및 직업훈련제도 역량공고화 지원사업 설계 및 감리업체 선정</x:v>
      </x:c>
      <x:c r="E430" s="22" t="n">
        <x:v>0</x:v>
      </x:c>
      <x:c r="F430" s="22" t="str">
        <x:v>.docx</x:v>
      </x:c>
      <x:c r="G430" s="25" t="str">
        <x:v>L2022-00003-1/KOICA URGENCH BID DOCUMENTS-FINAL(FINAL)/Attachment 1. KOICA_BID Announcement.docx</x:v>
      </x:c>
      <x:c r="H430" s="28" t="n">
        <x:v>28458</x:v>
      </x:c>
      <x:c r="I430" s="22" t="str">
        <x:v>236397e83ec1dd6af439222bf0224d7f251a925980986602b135d20e4f12d2f6</x:v>
      </x:c>
      <x:c r="J430" s="22" t="n">
        <x:v>0</x:v>
      </x:c>
      <x:c r="K430" s="22" t="n">
        <x:v>0</x:v>
      </x:c>
      <x:c r="L430" s="22" t="n">
        <x:v>0</x:v>
      </x:c>
      <x:c r="M430" s="28" t="n">
        <x:v>0</x:v>
      </x:c>
      <x:c r="N430" s="28" t="n">
        <x:v>0</x:v>
      </x:c>
      <x:c r="O430" s="28" t="n">
        <x:v>0</x:v>
      </x:c>
      <x:c r="P430" s="62" t="n">
        <x:v>0</x:v>
      </x:c>
      <x:c r="Q430" s="22" t="n">
        <x:v>0</x:v>
      </x:c>
      <x:c r="R430" s="22" t="str"/>
      <x:c r="S430" s="22" t="str"/>
      <x:c r="T430" s="22" t="str"/>
    </x:row>
    <x:row r="431">
      <x:c r="A431" s="22" t="str">
        <x:v>2020-00086</x:v>
      </x:c>
      <x:c r="B431" s="22" t="str">
        <x:v>L2022-00003-1</x:v>
      </x:c>
      <x:c r="C431" s="22" t="str">
        <x:v>용역</x:v>
      </x:c>
      <x:c r="D431" s="25" t="str">
        <x:v>우즈베키스탄 우르겐치 직업훈련원 및 직업훈련제도 역량공고화 지원사업 설계 및 감리업체 선정</x:v>
      </x:c>
      <x:c r="E431" s="22" t="n">
        <x:v>0</x:v>
      </x:c>
      <x:c r="F431" s="22" t="str">
        <x:v>.docx</x:v>
      </x:c>
      <x:c r="G431" s="25" t="str">
        <x:v>L2022-00003-1/KOICA URGENCH BID DOCUMENTS-FINAL(FINAL)/Form 9. Contract Data.docx</x:v>
      </x:c>
      <x:c r="H431" s="28" t="n">
        <x:v>25667</x:v>
      </x:c>
      <x:c r="I431" s="22" t="str">
        <x:v>4c721c6a4326279697072712a9d2b3687844a040c0fa75ebef9c13f04c72008b</x:v>
      </x:c>
      <x:c r="J431" s="22" t="n">
        <x:v>0</x:v>
      </x:c>
      <x:c r="K431" s="22" t="n">
        <x:v>0</x:v>
      </x:c>
      <x:c r="L431" s="22" t="n">
        <x:v>0</x:v>
      </x:c>
      <x:c r="M431" s="28" t="n">
        <x:v>0</x:v>
      </x:c>
      <x:c r="N431" s="28" t="n">
        <x:v>0</x:v>
      </x:c>
      <x:c r="O431" s="28" t="n">
        <x:v>0</x:v>
      </x:c>
      <x:c r="P431" s="62" t="n">
        <x:v>0</x:v>
      </x:c>
      <x:c r="Q431" s="22" t="n">
        <x:v>0</x:v>
      </x:c>
      <x:c r="R431" s="22" t="str"/>
      <x:c r="S431" s="22" t="str"/>
      <x:c r="T431" s="22" t="str"/>
    </x:row>
    <x:row r="432">
      <x:c r="A432" s="22" t="str">
        <x:v>2020-00086</x:v>
      </x:c>
      <x:c r="B432" s="22" t="str">
        <x:v>L2022-00003-1</x:v>
      </x:c>
      <x:c r="C432" s="22" t="str">
        <x:v>용역</x:v>
      </x:c>
      <x:c r="D432" s="25" t="str">
        <x:v>우즈베키스탄 우르겐치 직업훈련원 및 직업훈련제도 역량공고화 지원사업 설계 및 감리업체 선정</x:v>
      </x:c>
      <x:c r="E432" s="22" t="n">
        <x:v>0</x:v>
      </x:c>
      <x:c r="F432" s="22" t="str">
        <x:v>.doc</x:v>
      </x:c>
      <x:c r="G432" s="25" t="str">
        <x:v>L2022-00003-1/KOICA URGENCH BID DOCUMENTS-FINAL(FINAL)/Attachment 4. RFP.doc</x:v>
      </x:c>
      <x:c r="H432" s="28" t="n">
        <x:v>246784</x:v>
      </x:c>
      <x:c r="I432" s="22" t="str">
        <x:v>c66b71289827664094f1031299760c4de6ddcccd7d773e6e0c7829e4c7a4628f</x:v>
      </x:c>
      <x:c r="J432" s="22" t="n">
        <x:v>0</x:v>
      </x:c>
      <x:c r="K432" s="22" t="n">
        <x:v>0</x:v>
      </x:c>
      <x:c r="L432" s="22" t="n">
        <x:v>0</x:v>
      </x:c>
      <x:c r="M432" s="28" t="n">
        <x:v>0</x:v>
      </x:c>
      <x:c r="N432" s="28" t="n">
        <x:v>0</x:v>
      </x:c>
      <x:c r="O432" s="28" t="n">
        <x:v>0</x:v>
      </x:c>
      <x:c r="P432" s="62" t="n">
        <x:v>0</x:v>
      </x:c>
      <x:c r="Q432" s="22" t="n">
        <x:v>0</x:v>
      </x:c>
      <x:c r="R432" s="22" t="str"/>
      <x:c r="S432" s="22" t="str"/>
      <x:c r="T432" s="22" t="str"/>
    </x:row>
    <x:row r="433">
      <x:c r="A433" s="22" t="str">
        <x:v>2020-00086</x:v>
      </x:c>
      <x:c r="B433" s="22" t="str">
        <x:v>L2022-00003-1</x:v>
      </x:c>
      <x:c r="C433" s="22" t="str">
        <x:v>용역</x:v>
      </x:c>
      <x:c r="D433" s="25" t="str">
        <x:v>우즈베키스탄 우르겐치 직업훈련원 및 직업훈련제도 역량공고화 지원사업 설계 및 감리업체 선정</x:v>
      </x:c>
      <x:c r="E433" s="22" t="n">
        <x:v>0</x:v>
      </x:c>
      <x:c r="F433" s="22" t="str">
        <x:v>.docx</x:v>
      </x:c>
      <x:c r="G433" s="25" t="str">
        <x:v>L2022-00003-1/KOICA URGENCH BID DOCUMENTS-FINAL(FINAL)/Form 1. Letter of Interest.docx</x:v>
      </x:c>
      <x:c r="H433" s="28" t="n">
        <x:v>16446</x:v>
      </x:c>
      <x:c r="I433" s="22" t="str">
        <x:v>3647d92930b5bcf6ad730c1c615b2093994acc2dcded8aa8e945baaf85dcdf50</x:v>
      </x:c>
      <x:c r="J433" s="22" t="n">
        <x:v>0</x:v>
      </x:c>
      <x:c r="K433" s="22" t="n">
        <x:v>0</x:v>
      </x:c>
      <x:c r="L433" s="22" t="n">
        <x:v>0</x:v>
      </x:c>
      <x:c r="M433" s="28" t="n">
        <x:v>0</x:v>
      </x:c>
      <x:c r="N433" s="28" t="n">
        <x:v>0</x:v>
      </x:c>
      <x:c r="O433" s="28" t="n">
        <x:v>0</x:v>
      </x:c>
      <x:c r="P433" s="62" t="n">
        <x:v>0</x:v>
      </x:c>
      <x:c r="Q433" s="22" t="n">
        <x:v>0</x:v>
      </x:c>
      <x:c r="R433" s="22" t="str"/>
      <x:c r="S433" s="22" t="str"/>
      <x:c r="T433" s="22" t="str"/>
    </x:row>
    <x:row r="434">
      <x:c r="A434" s="22" t="str">
        <x:v>2020-00086</x:v>
      </x:c>
      <x:c r="B434" s="22" t="str">
        <x:v>L2022-00003-1</x:v>
      </x:c>
      <x:c r="C434" s="22" t="str">
        <x:v>용역</x:v>
      </x:c>
      <x:c r="D434" s="25" t="str">
        <x:v>우즈베키스탄 우르겐치 직업훈련원 및 직업훈련제도 역량공고화 지원사업 설계 및 감리업체 선정</x:v>
      </x:c>
      <x:c r="E434" s="22" t="n">
        <x:v>0</x:v>
      </x:c>
      <x:c r="F434" s="22" t="str">
        <x:v>.docx</x:v>
      </x:c>
      <x:c r="G434" s="25" t="str">
        <x:v>L2022-00003-1/KOICA URGENCH BID DOCUMENTS-FINAL(FINAL)/Form 7. Form of Security(Bid_Performance_Maintenance).docx</x:v>
      </x:c>
      <x:c r="H434" s="28" t="n">
        <x:v>26527</x:v>
      </x:c>
      <x:c r="I434" s="22" t="str">
        <x:v>4cb868434d0c7828acc2cb352d6671b8828f3db93ce66900af3294223dac7727</x:v>
      </x:c>
      <x:c r="J434" s="22" t="n">
        <x:v>0</x:v>
      </x:c>
      <x:c r="K434" s="22" t="n">
        <x:v>0</x:v>
      </x:c>
      <x:c r="L434" s="22" t="n">
        <x:v>0</x:v>
      </x:c>
      <x:c r="M434" s="28" t="n">
        <x:v>0</x:v>
      </x:c>
      <x:c r="N434" s="28" t="n">
        <x:v>0</x:v>
      </x:c>
      <x:c r="O434" s="28" t="n">
        <x:v>0</x:v>
      </x:c>
      <x:c r="P434" s="62" t="n">
        <x:v>0</x:v>
      </x:c>
      <x:c r="Q434" s="22" t="n">
        <x:v>0</x:v>
      </x:c>
      <x:c r="R434" s="22" t="str"/>
      <x:c r="S434" s="22" t="str"/>
      <x:c r="T434" s="22" t="str"/>
    </x:row>
    <x:row r="435">
      <x:c r="A435" s="22" t="str">
        <x:v>2020-00086</x:v>
      </x:c>
      <x:c r="B435" s="22" t="str">
        <x:v>L2022-00003-1</x:v>
      </x:c>
      <x:c r="C435" s="22" t="str">
        <x:v>용역</x:v>
      </x:c>
      <x:c r="D435" s="25" t="str">
        <x:v>우즈베키스탄 우르겐치 직업훈련원 및 직업훈련제도 역량공고화 지원사업 설계 및 감리업체 선정</x:v>
      </x:c>
      <x:c r="E435" s="22" t="n">
        <x:v>0</x:v>
      </x:c>
      <x:c r="F435" s="22" t="str">
        <x:v>.rtf</x:v>
      </x:c>
      <x:c r="G435" s="25" t="str">
        <x:v>L2022-00003-1/KOICA URGENCH BID DOCUMENTS-FINAL(FINAL)/Attachment 7. Conditions of Contract(GCC SCC).rtf</x:v>
      </x:c>
      <x:c r="H435" s="28" t="n">
        <x:v>223497</x:v>
      </x:c>
      <x:c r="I435" s="22" t="str">
        <x:v>32c252014e321a543cb8a49ce0fa40ee1fac01ce68a0de3444e2c1d50655a0b0</x:v>
      </x:c>
      <x:c r="J435" s="22" t="n">
        <x:v>0</x:v>
      </x:c>
      <x:c r="K435" s="22" t="n">
        <x:v>0</x:v>
      </x:c>
      <x:c r="L435" s="22" t="n">
        <x:v>0</x:v>
      </x:c>
      <x:c r="M435" s="28" t="n">
        <x:v>0</x:v>
      </x:c>
      <x:c r="N435" s="28" t="n">
        <x:v>0</x:v>
      </x:c>
      <x:c r="O435" s="28" t="n">
        <x:v>0</x:v>
      </x:c>
      <x:c r="P435" s="62" t="n">
        <x:v>0</x:v>
      </x:c>
      <x:c r="Q435" s="22" t="n">
        <x:v>0</x:v>
      </x:c>
      <x:c r="R435" s="22" t="str"/>
      <x:c r="S435" s="22" t="str"/>
      <x:c r="T435" s="22" t="str"/>
    </x:row>
    <x:row r="436">
      <x:c r="A436" s="22" t="str">
        <x:v>2020-00086</x:v>
      </x:c>
      <x:c r="B436" s="22" t="str">
        <x:v>L2022-00003-1</x:v>
      </x:c>
      <x:c r="C436" s="22" t="str">
        <x:v>용역</x:v>
      </x:c>
      <x:c r="D436" s="25" t="str">
        <x:v>우즈베키스탄 우르겐치 직업훈련원 및 직업훈련제도 역량공고화 지원사업 설계 및 감리업체 선정</x:v>
      </x:c>
      <x:c r="E436" s="22" t="n">
        <x:v>0</x:v>
      </x:c>
      <x:c r="F436" s="22" t="str">
        <x:v>.doc</x:v>
      </x:c>
      <x:c r="G436" s="25" t="str">
        <x:v>L2022-00003-1/KOICA URGENCH BID DOCUMENTS-FINAL(FINAL)/Form 6. Form of Price Proposal.doc</x:v>
      </x:c>
      <x:c r="H436" s="28" t="n">
        <x:v>57856</x:v>
      </x:c>
      <x:c r="I436" s="22" t="str">
        <x:v>16cea52c1391befb24bd11db230867821c9f0afef4c9f8fb9cb3cbcb90ce0816</x:v>
      </x:c>
      <x:c r="J436" s="22" t="n">
        <x:v>0</x:v>
      </x:c>
      <x:c r="K436" s="22" t="n">
        <x:v>0</x:v>
      </x:c>
      <x:c r="L436" s="22" t="n">
        <x:v>0</x:v>
      </x:c>
      <x:c r="M436" s="28" t="n">
        <x:v>0</x:v>
      </x:c>
      <x:c r="N436" s="28" t="n">
        <x:v>0</x:v>
      </x:c>
      <x:c r="O436" s="28" t="n">
        <x:v>0</x:v>
      </x:c>
      <x:c r="P436" s="62" t="n">
        <x:v>0</x:v>
      </x:c>
      <x:c r="Q436" s="22" t="n">
        <x:v>0</x:v>
      </x:c>
      <x:c r="R436" s="22" t="str"/>
      <x:c r="S436" s="22" t="str"/>
      <x:c r="T436" s="22" t="str"/>
    </x:row>
    <x:row r="437">
      <x:c r="A437" s="22" t="str">
        <x:v>2020-00086</x:v>
      </x:c>
      <x:c r="B437" s="22" t="str">
        <x:v>L2022-00003-1</x:v>
      </x:c>
      <x:c r="C437" s="22" t="str">
        <x:v>용역</x:v>
      </x:c>
      <x:c r="D437" s="25" t="str">
        <x:v>우즈베키스탄 우르겐치 직업훈련원 및 직업훈련제도 역량공고화 지원사업 설계 및 감리업체 선정</x:v>
      </x:c>
      <x:c r="E437" s="22" t="n">
        <x:v>0</x:v>
      </x:c>
      <x:c r="F437" s="22" t="str">
        <x:v>.docx</x:v>
      </x:c>
      <x:c r="G437" s="25" t="str">
        <x:v>L2022-00003-1/KOICA URGENCH BID DOCUMENTS-FINAL(FINAL)/Form 2. Certified Copy Confirmation.docx</x:v>
      </x:c>
      <x:c r="H437" s="28" t="n">
        <x:v>13078</x:v>
      </x:c>
      <x:c r="I437" s="22" t="str">
        <x:v>bbd29b9c08746ae98f17feeac754a52674209f58aa57707159943250cecac26c</x:v>
      </x:c>
      <x:c r="J437" s="22" t="n">
        <x:v>0</x:v>
      </x:c>
      <x:c r="K437" s="22" t="n">
        <x:v>0</x:v>
      </x:c>
      <x:c r="L437" s="22" t="n">
        <x:v>0</x:v>
      </x:c>
      <x:c r="M437" s="28" t="n">
        <x:v>0</x:v>
      </x:c>
      <x:c r="N437" s="28" t="n">
        <x:v>0</x:v>
      </x:c>
      <x:c r="O437" s="28" t="n">
        <x:v>0</x:v>
      </x:c>
      <x:c r="P437" s="62" t="n">
        <x:v>0</x:v>
      </x:c>
      <x:c r="Q437" s="22" t="n">
        <x:v>0</x:v>
      </x:c>
      <x:c r="R437" s="22" t="str"/>
      <x:c r="S437" s="22" t="str"/>
      <x:c r="T437" s="22" t="str"/>
    </x:row>
    <x:row r="438">
      <x:c r="A438" s="22" t="str">
        <x:v>2020-00086</x:v>
      </x:c>
      <x:c r="B438" s="22" t="str">
        <x:v>L2022-00003-1</x:v>
      </x:c>
      <x:c r="C438" s="22" t="str">
        <x:v>용역</x:v>
      </x:c>
      <x:c r="D438" s="25" t="str">
        <x:v>우즈베키스탄 우르겐치 직업훈련원 및 직업훈련제도 역량공고화 지원사업 설계 및 감리업체 선정</x:v>
      </x:c>
      <x:c r="E438" s="22" t="n">
        <x:v>0</x:v>
      </x:c>
      <x:c r="F438" s="22" t="str">
        <x:v>.doc</x:v>
      </x:c>
      <x:c r="G438" s="25" t="str">
        <x:v>L2022-00003-1/KOICA URGENCH BID DOCUMENTS-FINAL(FINAL)/Form 11._Summary of Price Proposal for Design and Supervision.doc</x:v>
      </x:c>
      <x:c r="H438" s="28" t="n">
        <x:v>98816</x:v>
      </x:c>
      <x:c r="I438" s="22" t="str">
        <x:v>5bc64936528c9fc99724bc181289e5f2de02c49c1595a7a01d2f3ac1aba02104</x:v>
      </x:c>
      <x:c r="J438" s="22" t="n">
        <x:v>0</x:v>
      </x:c>
      <x:c r="K438" s="22" t="n">
        <x:v>0</x:v>
      </x:c>
      <x:c r="L438" s="22" t="n">
        <x:v>0</x:v>
      </x:c>
      <x:c r="M438" s="28" t="n">
        <x:v>0</x:v>
      </x:c>
      <x:c r="N438" s="28" t="n">
        <x:v>0</x:v>
      </x:c>
      <x:c r="O438" s="28" t="n">
        <x:v>0</x:v>
      </x:c>
      <x:c r="P438" s="62" t="n">
        <x:v>0</x:v>
      </x:c>
      <x:c r="Q438" s="22" t="n">
        <x:v>0</x:v>
      </x:c>
      <x:c r="R438" s="22" t="str"/>
      <x:c r="S438" s="22" t="str"/>
      <x:c r="T438" s="22" t="str"/>
    </x:row>
    <x:row r="439">
      <x:c r="A439" s="22" t="str">
        <x:v>2020-00086</x:v>
      </x:c>
      <x:c r="B439" s="22" t="str">
        <x:v>L2022-00003-1</x:v>
      </x:c>
      <x:c r="C439" s="22" t="str">
        <x:v>용역</x:v>
      </x:c>
      <x:c r="D439" s="25" t="str">
        <x:v>우즈베키스탄 우르겐치 직업훈련원 및 직업훈련제도 역량공고화 지원사업 설계 및 감리업체 선정</x:v>
      </x:c>
      <x:c r="E439" s="22" t="n">
        <x:v>0</x:v>
      </x:c>
      <x:c r="F439" s="22" t="str">
        <x:v>.docx</x:v>
      </x:c>
      <x:c r="G439" s="25" t="str">
        <x:v>L2022-00003-1/KOICA URGENCH BID DOCUMENTS-FINAL(FINAL)/Form 4.. Contract Agreement for Design and Construction Supervision).docx</x:v>
      </x:c>
      <x:c r="H439" s="28" t="n">
        <x:v>22838</x:v>
      </x:c>
      <x:c r="I439" s="22" t="str">
        <x:v>bb59a6f56dcb4a121fc00ee27cf000fcf4eca371ffc052e756c9d909b90aaaf6</x:v>
      </x:c>
      <x:c r="J439" s="22" t="n">
        <x:v>0</x:v>
      </x:c>
      <x:c r="K439" s="22" t="n">
        <x:v>0</x:v>
      </x:c>
      <x:c r="L439" s="22" t="n">
        <x:v>0</x:v>
      </x:c>
      <x:c r="M439" s="28" t="n">
        <x:v>0</x:v>
      </x:c>
      <x:c r="N439" s="28" t="n">
        <x:v>0</x:v>
      </x:c>
      <x:c r="O439" s="28" t="n">
        <x:v>0</x:v>
      </x:c>
      <x:c r="P439" s="62" t="n">
        <x:v>0</x:v>
      </x:c>
      <x:c r="Q439" s="22" t="n">
        <x:v>0</x:v>
      </x:c>
      <x:c r="R439" s="22" t="str"/>
      <x:c r="S439" s="22" t="str"/>
      <x:c r="T439" s="22" t="str"/>
    </x:row>
    <x:row r="440">
      <x:c r="A440" s="22" t="str">
        <x:v>2020-00086</x:v>
      </x:c>
      <x:c r="B440" s="22" t="str">
        <x:v>L2022-00003-1</x:v>
      </x:c>
      <x:c r="C440" s="22" t="str">
        <x:v>용역</x:v>
      </x:c>
      <x:c r="D440" s="25" t="str">
        <x:v>우즈베키스탄 우르겐치 직업훈련원 및 직업훈련제도 역량공고화 지원사업 설계 및 감리업체 선정</x:v>
      </x:c>
      <x:c r="E440" s="22" t="n">
        <x:v>0</x:v>
      </x:c>
      <x:c r="F440" s="22" t="str">
        <x:v>.docx</x:v>
      </x:c>
      <x:c r="G440" s="25" t="str">
        <x:v>L2022-00003-1/KOICA URGENCH BID DOCUMENTS-FINAL(FINAL)/Form 10. Bid Data Sheet_.docx</x:v>
      </x:c>
      <x:c r="H440" s="28" t="n">
        <x:v>31040</x:v>
      </x:c>
      <x:c r="I440" s="22" t="str">
        <x:v>2307b2561cc96f6c1b655f503a6ee21f254db549ad8186449f69f88c1f93ba83</x:v>
      </x:c>
      <x:c r="J440" s="22" t="n">
        <x:v>0</x:v>
      </x:c>
      <x:c r="K440" s="22" t="n">
        <x:v>0</x:v>
      </x:c>
      <x:c r="L440" s="22" t="n">
        <x:v>0</x:v>
      </x:c>
      <x:c r="M440" s="28" t="n">
        <x:v>0</x:v>
      </x:c>
      <x:c r="N440" s="28" t="n">
        <x:v>0</x:v>
      </x:c>
      <x:c r="O440" s="28" t="n">
        <x:v>0</x:v>
      </x:c>
      <x:c r="P440" s="62" t="n">
        <x:v>0</x:v>
      </x:c>
      <x:c r="Q440" s="22" t="n">
        <x:v>0</x:v>
      </x:c>
      <x:c r="R440" s="22" t="str"/>
      <x:c r="S440" s="22" t="str"/>
      <x:c r="T440" s="22" t="str"/>
    </x:row>
    <x:row r="441">
      <x:c r="A441" s="22" t="str">
        <x:v>2020-00086</x:v>
      </x:c>
      <x:c r="B441" s="22" t="str">
        <x:v>L2022-00003-1</x:v>
      </x:c>
      <x:c r="C441" s="22" t="str">
        <x:v>용역</x:v>
      </x:c>
      <x:c r="D441" s="25" t="str">
        <x:v>우즈베키스탄 우르겐치 직업훈련원 및 직업훈련제도 역량공고화 지원사업 설계 및 감리업체 선정</x:v>
      </x:c>
      <x:c r="E441" s="22" t="n">
        <x:v>0</x:v>
      </x:c>
      <x:c r="F441" s="22" t="str">
        <x:v>.doc</x:v>
      </x:c>
      <x:c r="G441" s="25" t="str">
        <x:v>L2022-00003-1/KOICA URGENCH BID DOCUMENTS-FINAL(FINAL)/Form 5. Form of Technical Proposal.doc</x:v>
      </x:c>
      <x:c r="H441" s="28" t="n">
        <x:v>188928</x:v>
      </x:c>
      <x:c r="I441" s="22" t="str">
        <x:v>e419a757f6c3b4c42723103d9c964cc7ee8e5bc638bd25d566543f984e37abf1</x:v>
      </x:c>
      <x:c r="J441" s="22" t="n">
        <x:v>0</x:v>
      </x:c>
      <x:c r="K441" s="22" t="n">
        <x:v>0</x:v>
      </x:c>
      <x:c r="L441" s="22" t="n">
        <x:v>0</x:v>
      </x:c>
      <x:c r="M441" s="28" t="n">
        <x:v>0</x:v>
      </x:c>
      <x:c r="N441" s="28" t="n">
        <x:v>0</x:v>
      </x:c>
      <x:c r="O441" s="28" t="n">
        <x:v>0</x:v>
      </x:c>
      <x:c r="P441" s="62" t="n">
        <x:v>0</x:v>
      </x:c>
      <x:c r="Q441" s="22" t="n">
        <x:v>0</x:v>
      </x:c>
      <x:c r="R441" s="22" t="str"/>
      <x:c r="S441" s="22" t="str"/>
      <x:c r="T441" s="22" t="str"/>
    </x:row>
    <x:row r="442">
      <x:c r="A442" s="22" t="str">
        <x:v>2020-00086</x:v>
      </x:c>
      <x:c r="B442" s="22" t="str">
        <x:v>L2023-00007-1</x:v>
      </x:c>
      <x:c r="C442" s="22" t="str">
        <x:v>공사</x:v>
      </x:c>
      <x:c r="D442" s="25" t="str">
        <x:v>우즈베키스탄 우르겐치 직업훈련원 건립 및 타슈켄트 교사연수센터 건립사업 시공업체선정 현지입찰</x:v>
      </x:c>
      <x:c r="E442" s="22" t="n">
        <x:v>1</x:v>
      </x:c>
      <x:c r="F442" s="22" t="str">
        <x:v>.zip</x:v>
      </x:c>
      <x:c r="G442" s="25" t="str">
        <x:v>L2023-00007-1/붙임2_우르겐치_시공_입찰공고_첨부서류_모음_수정.zip</x:v>
      </x:c>
      <x:c r="H442" s="28" t="n">
        <x:v>748783</x:v>
      </x:c>
      <x:c r="I442" s="22" t="str">
        <x:v>9c6231eb964d853525c828d237ef8bece342862db5927cf2582222546c10e464</x:v>
      </x:c>
      <x:c r="J442" s="22" t="n">
        <x:v>0</x:v>
      </x:c>
      <x:c r="K442" s="22" t="n">
        <x:v>0</x:v>
      </x:c>
      <x:c r="L442" s="22" t="n">
        <x:v>0</x:v>
      </x:c>
      <x:c r="M442" s="28" t="n">
        <x:v>0</x:v>
      </x:c>
      <x:c r="N442" s="28" t="n">
        <x:v>0</x:v>
      </x:c>
      <x:c r="O442" s="28" t="n">
        <x:v>0</x:v>
      </x:c>
      <x:c r="P442" s="62" t="n">
        <x:v>0</x:v>
      </x:c>
      <x:c r="Q442" s="22" t="n">
        <x:v>0</x:v>
      </x:c>
      <x:c r="R442" s="22" t="str"/>
      <x:c r="S442" s="22" t="str"/>
      <x:c r="T442" s="22" t="str"/>
    </x:row>
    <x:row r="443">
      <x:c r="A443" s="22" t="str">
        <x:v>2020-00086</x:v>
      </x:c>
      <x:c r="B443" s="22" t="str">
        <x:v>L2023-00007-1</x:v>
      </x:c>
      <x:c r="C443" s="22" t="str">
        <x:v>공사</x:v>
      </x:c>
      <x:c r="D443" s="25" t="str">
        <x:v>우즈베키스탄 우르겐치 직업훈련원 건립 및 타슈켄트 교사연수센터 건립사업 시공업체선정 현지입찰</x:v>
      </x:c>
      <x:c r="E443" s="22" t="n">
        <x:v>1</x:v>
      </x:c>
      <x:c r="F443" s="22" t="str">
        <x:v>.docx</x:v>
      </x:c>
      <x:c r="G443" s="25" t="str">
        <x:v>L2023-00007-1/붙임1_우르겐치_시공사선정_입찰공고문_20230228최종수정본.docx</x:v>
      </x:c>
      <x:c r="H443" s="28" t="n">
        <x:v>32485</x:v>
      </x:c>
      <x:c r="I443" s="22" t="str">
        <x:v>5f09465780bdb3a49165c57f24f0d3271d8b4711dc919b9de4f18a4fd54e301d</x:v>
      </x:c>
      <x:c r="J443" s="22" t="n">
        <x:v>0</x:v>
      </x:c>
      <x:c r="K443" s="22" t="n">
        <x:v>0</x:v>
      </x:c>
      <x:c r="L443" s="22" t="n">
        <x:v>0</x:v>
      </x:c>
      <x:c r="M443" s="28" t="n">
        <x:v>0</x:v>
      </x:c>
      <x:c r="N443" s="28" t="n">
        <x:v>0</x:v>
      </x:c>
      <x:c r="O443" s="28" t="n">
        <x:v>0</x:v>
      </x:c>
      <x:c r="P443" s="62" t="n">
        <x:v>0</x:v>
      </x:c>
      <x:c r="Q443" s="22" t="n">
        <x:v>0</x:v>
      </x:c>
      <x:c r="R443" s="22" t="str"/>
      <x:c r="S443" s="22" t="str"/>
      <x:c r="T443" s="22" t="str"/>
    </x:row>
    <x:row r="444">
      <x:c r="A444" s="22" t="str">
        <x:v>2020-00086</x:v>
      </x:c>
      <x:c r="B444" s="22" t="str">
        <x:v>L2023-00007-1</x:v>
      </x:c>
      <x:c r="C444" s="22" t="str">
        <x:v>공사</x:v>
      </x:c>
      <x:c r="D444" s="25" t="str">
        <x:v>우즈베키스탄 우르겐치 직업훈련원 건립 및 타슈켄트 교사연수센터 건립사업 시공업체선정 현지입찰</x:v>
      </x:c>
      <x:c r="E444" s="22" t="n">
        <x:v>1</x:v>
      </x:c>
      <x:c r="F444" s="22" t="str">
        <x:v>.rtf</x:v>
      </x:c>
      <x:c r="G444" s="25" t="str">
        <x:v>L2023-00007-1/붙임2_우르겐치_시공_입찰공고_첨부서류_모음_수정/Section 1 - Instructions to Bidders (ITB)1.rtf</x:v>
      </x:c>
      <x:c r="H444" s="28" t="n">
        <x:v>251864</x:v>
      </x:c>
      <x:c r="I444" s="22" t="str">
        <x:v>f8885a4797d0a2182c4cd0571a6faad21c1b581806209ddd4bd9d1384687109d</x:v>
      </x:c>
      <x:c r="J444" s="22" t="n">
        <x:v>0</x:v>
      </x:c>
      <x:c r="K444" s="22" t="n">
        <x:v>0</x:v>
      </x:c>
      <x:c r="L444" s="22" t="n">
        <x:v>0</x:v>
      </x:c>
      <x:c r="M444" s="28" t="n">
        <x:v>0</x:v>
      </x:c>
      <x:c r="N444" s="28" t="n">
        <x:v>0</x:v>
      </x:c>
      <x:c r="O444" s="28" t="n">
        <x:v>0</x:v>
      </x:c>
      <x:c r="P444" s="62" t="n">
        <x:v>0</x:v>
      </x:c>
      <x:c r="Q444" s="22" t="n">
        <x:v>0</x:v>
      </x:c>
      <x:c r="R444" s="22" t="str"/>
      <x:c r="S444" s="22" t="str"/>
      <x:c r="T444" s="22" t="str"/>
    </x:row>
    <x:row r="445">
      <x:c r="A445" s="22" t="str">
        <x:v>2020-00086</x:v>
      </x:c>
      <x:c r="B445" s="22" t="str">
        <x:v>L2023-00007-1</x:v>
      </x:c>
      <x:c r="C445" s="22" t="str">
        <x:v>공사</x:v>
      </x:c>
      <x:c r="D445" s="25" t="str">
        <x:v>우즈베키스탄 우르겐치 직업훈련원 건립 및 타슈켄트 교사연수센터 건립사업 시공업체선정 현지입찰</x:v>
      </x:c>
      <x:c r="E445" s="22" t="n">
        <x:v>1</x:v>
      </x:c>
      <x:c r="F445" s="22" t="str">
        <x:v>.docx</x:v>
      </x:c>
      <x:c r="G445" s="25" t="str">
        <x:v>L2023-00007-1/붙임2_우르겐치_시공_입찰공고_첨부서류_모음_수정/Section 8 - Special Conditions of Contract1.docx</x:v>
      </x:c>
      <x:c r="H445" s="28" t="n">
        <x:v>69223</x:v>
      </x:c>
      <x:c r="I445" s="22" t="str">
        <x:v>6de5f2180390118e7b5138d209b7b12bf95f6827d83f5eb79a8d1f79188618f9</x:v>
      </x:c>
      <x:c r="J445" s="22" t="n">
        <x:v>0</x:v>
      </x:c>
      <x:c r="K445" s="22" t="n">
        <x:v>0</x:v>
      </x:c>
      <x:c r="L445" s="22" t="n">
        <x:v>0</x:v>
      </x:c>
      <x:c r="M445" s="28" t="n">
        <x:v>0</x:v>
      </x:c>
      <x:c r="N445" s="28" t="n">
        <x:v>0</x:v>
      </x:c>
      <x:c r="O445" s="28" t="n">
        <x:v>0</x:v>
      </x:c>
      <x:c r="P445" s="62" t="n">
        <x:v>0</x:v>
      </x:c>
      <x:c r="Q445" s="22" t="n">
        <x:v>0</x:v>
      </x:c>
      <x:c r="R445" s="22" t="str"/>
      <x:c r="S445" s="22" t="str"/>
      <x:c r="T445" s="22" t="str"/>
    </x:row>
    <x:row r="446">
      <x:c r="A446" s="22" t="str">
        <x:v>2020-00086</x:v>
      </x:c>
      <x:c r="B446" s="22" t="str">
        <x:v>L2023-00007-1</x:v>
      </x:c>
      <x:c r="C446" s="22" t="str">
        <x:v>공사</x:v>
      </x:c>
      <x:c r="D446" s="25" t="str">
        <x:v>우즈베키스탄 우르겐치 직업훈련원 건립 및 타슈켄트 교사연수센터 건립사업 시공업체선정 현지입찰</x:v>
      </x:c>
      <x:c r="E446" s="22" t="n">
        <x:v>1</x:v>
      </x:c>
      <x:c r="F446" s="22" t="str">
        <x:v>.docx</x:v>
      </x:c>
      <x:c r="G446" s="25" t="str">
        <x:v>L2023-00007-1/붙임2_우르겐치_시공_입찰공고_첨부서류_모음_수정/Section 7 - General Conditions of Contract1.docx</x:v>
      </x:c>
      <x:c r="H446" s="28" t="n">
        <x:v>214851</x:v>
      </x:c>
      <x:c r="I446" s="22" t="str">
        <x:v>a9a161802bfdaaf81c95f1a7d74463872435d83743d1f4883d7545b8ead1a8b7</x:v>
      </x:c>
      <x:c r="J446" s="22" t="n">
        <x:v>0</x:v>
      </x:c>
      <x:c r="K446" s="22" t="n">
        <x:v>0</x:v>
      </x:c>
      <x:c r="L446" s="22" t="n">
        <x:v>0</x:v>
      </x:c>
      <x:c r="M446" s="28" t="n">
        <x:v>0</x:v>
      </x:c>
      <x:c r="N446" s="28" t="n">
        <x:v>0</x:v>
      </x:c>
      <x:c r="O446" s="28" t="n">
        <x:v>0</x:v>
      </x:c>
      <x:c r="P446" s="62" t="n">
        <x:v>0</x:v>
      </x:c>
      <x:c r="Q446" s="22" t="n">
        <x:v>0</x:v>
      </x:c>
      <x:c r="R446" s="22" t="str"/>
      <x:c r="S446" s="22" t="str"/>
      <x:c r="T446" s="22" t="str"/>
    </x:row>
    <x:row r="447">
      <x:c r="A447" s="22" t="str">
        <x:v>2020-00086</x:v>
      </x:c>
      <x:c r="B447" s="22" t="str">
        <x:v>L2023-00007-1</x:v>
      </x:c>
      <x:c r="C447" s="22" t="str">
        <x:v>공사</x:v>
      </x:c>
      <x:c r="D447" s="25" t="str">
        <x:v>우즈베키스탄 우르겐치 직업훈련원 건립 및 타슈켄트 교사연수센터 건립사업 시공업체선정 현지입찰</x:v>
      </x:c>
      <x:c r="E447" s="22" t="n">
        <x:v>1</x:v>
      </x:c>
      <x:c r="F447" s="22" t="str">
        <x:v>.docx</x:v>
      </x:c>
      <x:c r="G447" s="25" t="str">
        <x:v>L2023-00007-1/붙임2_우르겐치_시공_입찰공고_첨부서류_모음_수정/Section 9 - Contract Forms1.docx</x:v>
      </x:c>
      <x:c r="H447" s="28" t="n">
        <x:v>37844</x:v>
      </x:c>
      <x:c r="I447" s="22" t="str">
        <x:v>a472fdbbbae0a21a474220a2c95f012480d339abd0a444a49d9eaa7cd42f4385</x:v>
      </x:c>
      <x:c r="J447" s="22" t="n">
        <x:v>0</x:v>
      </x:c>
      <x:c r="K447" s="22" t="n">
        <x:v>0</x:v>
      </x:c>
      <x:c r="L447" s="22" t="n">
        <x:v>0</x:v>
      </x:c>
      <x:c r="M447" s="28" t="n">
        <x:v>0</x:v>
      </x:c>
      <x:c r="N447" s="28" t="n">
        <x:v>0</x:v>
      </x:c>
      <x:c r="O447" s="28" t="n">
        <x:v>0</x:v>
      </x:c>
      <x:c r="P447" s="62" t="n">
        <x:v>0</x:v>
      </x:c>
      <x:c r="Q447" s="22" t="n">
        <x:v>0</x:v>
      </x:c>
      <x:c r="R447" s="22" t="str"/>
      <x:c r="S447" s="22" t="str"/>
      <x:c r="T447" s="22" t="str"/>
    </x:row>
    <x:row r="448">
      <x:c r="A448" s="22" t="str">
        <x:v>2020-00086</x:v>
      </x:c>
      <x:c r="B448" s="22" t="str">
        <x:v>L2023-00007-1</x:v>
      </x:c>
      <x:c r="C448" s="22" t="str">
        <x:v>공사</x:v>
      </x:c>
      <x:c r="D448" s="25" t="str">
        <x:v>우즈베키스탄 우르겐치 직업훈련원 건립 및 타슈켄트 교사연수센터 건립사업 시공업체선정 현지입찰</x:v>
      </x:c>
      <x:c r="E448" s="22" t="n">
        <x:v>1</x:v>
      </x:c>
      <x:c r="F448" s="22" t="str">
        <x:v>.doc</x:v>
      </x:c>
      <x:c r="G448" s="25" t="str">
        <x:v>L2023-00007-1/붙임2_우르겐치_시공_입찰공고_첨부서류_모음_수정/Bid Document cover page1.doc</x:v>
      </x:c>
      <x:c r="H448" s="28" t="n">
        <x:v>52736</x:v>
      </x:c>
      <x:c r="I448" s="22" t="str">
        <x:v>68431834ba1a2f9826d5e83e012c00ca646fe9cbd4fa0181c45ef73760d33b2a</x:v>
      </x:c>
      <x:c r="J448" s="22" t="n">
        <x:v>0</x:v>
      </x:c>
      <x:c r="K448" s="22" t="n">
        <x:v>0</x:v>
      </x:c>
      <x:c r="L448" s="22" t="n">
        <x:v>0</x:v>
      </x:c>
      <x:c r="M448" s="28" t="n">
        <x:v>0</x:v>
      </x:c>
      <x:c r="N448" s="28" t="n">
        <x:v>0</x:v>
      </x:c>
      <x:c r="O448" s="28" t="n">
        <x:v>0</x:v>
      </x:c>
      <x:c r="P448" s="62" t="n">
        <x:v>0</x:v>
      </x:c>
      <x:c r="Q448" s="22" t="n">
        <x:v>0</x:v>
      </x:c>
      <x:c r="R448" s="22" t="str"/>
      <x:c r="S448" s="22" t="str"/>
      <x:c r="T448" s="22" t="str"/>
    </x:row>
    <x:row r="449">
      <x:c r="A449" s="22" t="str">
        <x:v>2020-00086</x:v>
      </x:c>
      <x:c r="B449" s="22" t="str">
        <x:v>L2023-00007-1</x:v>
      </x:c>
      <x:c r="C449" s="22" t="str">
        <x:v>공사</x:v>
      </x:c>
      <x:c r="D449" s="25" t="str">
        <x:v>우즈베키스탄 우르겐치 직업훈련원 건립 및 타슈켄트 교사연수센터 건립사업 시공업체선정 현지입찰</x:v>
      </x:c>
      <x:c r="E449" s="22" t="n">
        <x:v>1</x:v>
      </x:c>
      <x:c r="F449" s="22" t="str">
        <x:v>.pptx</x:v>
      </x:c>
      <x:c r="G449" s="25" t="str">
        <x:v>L2023-00007-1/붙임2_우르겐치_시공_입찰공고_첨부서류_모음_수정/Pre_Bid_Meeting_Document_PPT.pptx</x:v>
      </x:c>
      <x:c r="H449" s="28" t="n">
        <x:v>109472</x:v>
      </x:c>
      <x:c r="I449" s="22" t="str">
        <x:v>57bccbce1d66981fa984117f1ba48dee30aba76ccd4591e09dab89dc97b4750a</x:v>
      </x:c>
      <x:c r="J449" s="22" t="n">
        <x:v>0</x:v>
      </x:c>
      <x:c r="K449" s="22" t="n">
        <x:v>0</x:v>
      </x:c>
      <x:c r="L449" s="22" t="n">
        <x:v>0</x:v>
      </x:c>
      <x:c r="M449" s="28" t="n">
        <x:v>0</x:v>
      </x:c>
      <x:c r="N449" s="28" t="n">
        <x:v>0</x:v>
      </x:c>
      <x:c r="O449" s="28" t="n">
        <x:v>0</x:v>
      </x:c>
      <x:c r="P449" s="62" t="n">
        <x:v>0</x:v>
      </x:c>
      <x:c r="Q449" s="22" t="n">
        <x:v>0</x:v>
      </x:c>
      <x:c r="R449" s="22" t="str"/>
      <x:c r="S449" s="22" t="str"/>
      <x:c r="T449" s="22" t="str"/>
    </x:row>
    <x:row r="450">
      <x:c r="A450" s="22" t="str">
        <x:v>2020-00086</x:v>
      </x:c>
      <x:c r="B450" s="22" t="str">
        <x:v>L2023-00007-1</x:v>
      </x:c>
      <x:c r="C450" s="22" t="str">
        <x:v>공사</x:v>
      </x:c>
      <x:c r="D450" s="25" t="str">
        <x:v>우즈베키스탄 우르겐치 직업훈련원 건립 및 타슈켄트 교사연수센터 건립사업 시공업체선정 현지입찰</x:v>
      </x:c>
      <x:c r="E450" s="22" t="n">
        <x:v>1</x:v>
      </x:c>
      <x:c r="F450" s="22" t="str">
        <x:v>.rtf</x:v>
      </x:c>
      <x:c r="G450" s="25" t="str">
        <x:v>L2023-00007-1/붙임2_우르겐치_시공_입찰공고_첨부서류_모음_수정/Section 2 - Bid Data Sheet (BDS).rtf</x:v>
      </x:c>
      <x:c r="H450" s="28" t="n">
        <x:v>531041</x:v>
      </x:c>
      <x:c r="I450" s="22" t="str">
        <x:v>a72b54a0bf6defe18a3d241497dcb0455c61a9618a87c8a0efeb04b537516eb8</x:v>
      </x:c>
      <x:c r="J450" s="22" t="n">
        <x:v>0</x:v>
      </x:c>
      <x:c r="K450" s="22" t="n">
        <x:v>0</x:v>
      </x:c>
      <x:c r="L450" s="22" t="n">
        <x:v>0</x:v>
      </x:c>
      <x:c r="M450" s="28" t="n">
        <x:v>0</x:v>
      </x:c>
      <x:c r="N450" s="28" t="n">
        <x:v>0</x:v>
      </x:c>
      <x:c r="O450" s="28" t="n">
        <x:v>0</x:v>
      </x:c>
      <x:c r="P450" s="62" t="n">
        <x:v>0</x:v>
      </x:c>
      <x:c r="Q450" s="22" t="n">
        <x:v>0</x:v>
      </x:c>
      <x:c r="R450" s="22" t="str"/>
      <x:c r="S450" s="22" t="str"/>
      <x:c r="T450" s="22" t="str"/>
    </x:row>
    <x:row r="451">
      <x:c r="A451" s="22" t="str">
        <x:v>2020-00086</x:v>
      </x:c>
      <x:c r="B451" s="22" t="str">
        <x:v>L2023-00007-1</x:v>
      </x:c>
      <x:c r="C451" s="22" t="str">
        <x:v>공사</x:v>
      </x:c>
      <x:c r="D451" s="25" t="str">
        <x:v>우즈베키스탄 우르겐치 직업훈련원 건립 및 타슈켄트 교사연수센터 건립사업 시공업체선정 현지입찰</x:v>
      </x:c>
      <x:c r="E451" s="22" t="n">
        <x:v>1</x:v>
      </x:c>
      <x:c r="F451" s="22" t="str">
        <x:v>.docx</x:v>
      </x:c>
      <x:c r="G451" s="25" t="str">
        <x:v>L2023-00007-1/붙임2_우르겐치_시공_입찰공고_첨부서류_모음_수정/Section 4_5_6 - Requirements1.docx</x:v>
      </x:c>
      <x:c r="H451" s="28" t="n">
        <x:v>37440</x:v>
      </x:c>
      <x:c r="I451" s="22" t="str">
        <x:v>c4e2ab973549838d11f6fd21e48d07f828f0a26025a614288cc148f9d61456f7</x:v>
      </x:c>
      <x:c r="J451" s="22" t="n">
        <x:v>0</x:v>
      </x:c>
      <x:c r="K451" s="22" t="n">
        <x:v>0</x:v>
      </x:c>
      <x:c r="L451" s="22" t="n">
        <x:v>0</x:v>
      </x:c>
      <x:c r="M451" s="28" t="n">
        <x:v>0</x:v>
      </x:c>
      <x:c r="N451" s="28" t="n">
        <x:v>0</x:v>
      </x:c>
      <x:c r="O451" s="28" t="n">
        <x:v>0</x:v>
      </x:c>
      <x:c r="P451" s="62" t="n">
        <x:v>0</x:v>
      </x:c>
      <x:c r="Q451" s="22" t="n">
        <x:v>0</x:v>
      </x:c>
      <x:c r="R451" s="22" t="str"/>
      <x:c r="S451" s="22" t="str"/>
      <x:c r="T451" s="22" t="str"/>
    </x:row>
    <x:row r="452">
      <x:c r="A452" s="22" t="str">
        <x:v>2020-00086</x:v>
      </x:c>
      <x:c r="B452" s="22" t="str">
        <x:v>L2023-00007-1</x:v>
      </x:c>
      <x:c r="C452" s="22" t="str">
        <x:v>공사</x:v>
      </x:c>
      <x:c r="D452" s="25" t="str">
        <x:v>우즈베키스탄 우르겐치 직업훈련원 건립 및 타슈켄트 교사연수센터 건립사업 시공업체선정 현지입찰</x:v>
      </x:c>
      <x:c r="E452" s="22" t="n">
        <x:v>1</x:v>
      </x:c>
      <x:c r="F452" s="22" t="str">
        <x:v>.doc</x:v>
      </x:c>
      <x:c r="G452" s="25" t="str">
        <x:v>L2023-00007-1/붙임2_우르겐치_시공_입찰공고_첨부서류_모음_수정/Section 3 - Bidding Forms.doc</x:v>
      </x:c>
      <x:c r="H452" s="28" t="n">
        <x:v>223744</x:v>
      </x:c>
      <x:c r="I452" s="22" t="str">
        <x:v>6f1960ced91ba78ccf5ddf8281f77fd4917900c9daeb240f479f9d792eda94c9</x:v>
      </x:c>
      <x:c r="J452" s="22" t="n">
        <x:v>0</x:v>
      </x:c>
      <x:c r="K452" s="22" t="n">
        <x:v>0</x:v>
      </x:c>
      <x:c r="L452" s="22" t="n">
        <x:v>0</x:v>
      </x:c>
      <x:c r="M452" s="28" t="n">
        <x:v>0</x:v>
      </x:c>
      <x:c r="N452" s="28" t="n">
        <x:v>0</x:v>
      </x:c>
      <x:c r="O452" s="28" t="n">
        <x:v>0</x:v>
      </x:c>
      <x:c r="P452" s="62" t="n">
        <x:v>0</x:v>
      </x:c>
      <x:c r="Q452" s="22" t="n">
        <x:v>0</x:v>
      </x:c>
      <x:c r="R452" s="22" t="str"/>
      <x:c r="S452" s="22" t="str"/>
      <x:c r="T452" s="22" t="str"/>
    </x:row>
    <x:row r="453">
      <x:c r="A453" s="22" t="str">
        <x:v>2020-00086</x:v>
      </x:c>
      <x:c r="B453" s="22" t="str">
        <x:v>L2023-00007-1</x:v>
      </x:c>
      <x:c r="C453" s="22" t="str">
        <x:v>공사</x:v>
      </x:c>
      <x:c r="D453" s="25" t="str">
        <x:v>우즈베키스탄 우르겐치 직업훈련원 건립 및 타슈켄트 교사연수센터 건립사업 시공업체선정 현지입찰</x:v>
      </x:c>
      <x:c r="E453" s="22" t="n">
        <x:v>1</x:v>
      </x:c>
      <x:c r="F453" s="22" t="str">
        <x:v>.docx</x:v>
      </x:c>
      <x:c r="G453" s="25" t="str">
        <x:v>L2023-00007-1/붙임2_우르겐치_시공_입찰공고_첨부서류_모음_수정/Invitation_for_Bids_Bid_Announcement1.docx</x:v>
      </x:c>
      <x:c r="H453" s="28" t="n">
        <x:v>190543</x:v>
      </x:c>
      <x:c r="I453" s="22" t="str">
        <x:v>469dc96d583e417e50fd33867a72326dbdd6d7235450fcfb40e032a1e3355ca3</x:v>
      </x:c>
      <x:c r="J453" s="22" t="n">
        <x:v>0</x:v>
      </x:c>
      <x:c r="K453" s="22" t="n">
        <x:v>0</x:v>
      </x:c>
      <x:c r="L453" s="22" t="n">
        <x:v>0</x:v>
      </x:c>
      <x:c r="M453" s="28" t="n">
        <x:v>0</x:v>
      </x:c>
      <x:c r="N453" s="28" t="n">
        <x:v>0</x:v>
      </x:c>
      <x:c r="O453" s="28" t="n">
        <x:v>0</x:v>
      </x:c>
      <x:c r="P453" s="62" t="n">
        <x:v>0</x:v>
      </x:c>
      <x:c r="Q453" s="22" t="n">
        <x:v>0</x:v>
      </x:c>
      <x:c r="R453" s="22" t="str"/>
      <x:c r="S453" s="22" t="str"/>
      <x:c r="T453" s="22" t="str"/>
    </x:row>
    <x:row r="454">
      <x:c r="A454" s="22" t="str">
        <x:v>2020-00086</x:v>
      </x:c>
      <x:c r="B454" s="22" t="str">
        <x:v>L2023-00036-1</x:v>
      </x:c>
      <x:c r="C454" s="22" t="str">
        <x:v>공사</x:v>
      </x:c>
      <x:c r="D454" s="25" t="str">
        <x:v>우즈베키스탄 우르겐치 직업훈련원 건립 및 타슈켄트 교사연수센터 건립사업 시공업체선정 현지입찰</x:v>
      </x:c>
      <x:c r="E454" s="22" t="n">
        <x:v>1</x:v>
      </x:c>
      <x:c r="F454" s="22" t="str">
        <x:v>.zip</x:v>
      </x:c>
      <x:c r="G454" s="25" t="str">
        <x:v>L2023-00036-1/붙임3_입찰관련서류_검토완_0717.zip</x:v>
      </x:c>
      <x:c r="H454" s="28" t="n">
        <x:v>17241640</x:v>
      </x:c>
      <x:c r="I454" s="22" t="str">
        <x:v>41f6927524f70aab2ee8ae93843081ed8112eebcf59de947e108bf215b3eee04</x:v>
      </x:c>
      <x:c r="J454" s="22" t="n">
        <x:v>0</x:v>
      </x:c>
      <x:c r="K454" s="22" t="n">
        <x:v>0</x:v>
      </x:c>
      <x:c r="L454" s="22" t="n">
        <x:v>0</x:v>
      </x:c>
      <x:c r="M454" s="28" t="n">
        <x:v>0</x:v>
      </x:c>
      <x:c r="N454" s="28" t="n">
        <x:v>0</x:v>
      </x:c>
      <x:c r="O454" s="28" t="n">
        <x:v>0</x:v>
      </x:c>
      <x:c r="P454" s="62" t="n">
        <x:v>0</x:v>
      </x:c>
      <x:c r="Q454" s="22" t="n">
        <x:v>0</x:v>
      </x:c>
      <x:c r="R454" s="22" t="str"/>
      <x:c r="S454" s="22" t="str"/>
      <x:c r="T454" s="22" t="str"/>
    </x:row>
    <x:row r="455">
      <x:c r="A455" s="22" t="str">
        <x:v>2020-00086</x:v>
      </x:c>
      <x:c r="B455" s="22" t="str">
        <x:v>L2023-00036-1</x:v>
      </x:c>
      <x:c r="C455" s="22" t="str">
        <x:v>공사</x:v>
      </x:c>
      <x:c r="D455" s="25" t="str">
        <x:v>우즈베키스탄 우르겐치 직업훈련원 건립 및 타슈켄트 교사연수센터 건립사업 시공업체선정 현지입찰</x:v>
      </x:c>
      <x:c r="E455" s="22" t="n">
        <x:v>1</x:v>
      </x:c>
      <x:c r="F455" s="22" t="str">
        <x:v>.zip</x:v>
      </x:c>
      <x:c r="G455" s="25" t="str">
        <x:v>L2023-00036-1/붙임3_입찰관련서류_검토완_0717/Section 4.  Bill of Quantities(Not-Priced).zip</x:v>
      </x:c>
      <x:c r="H455" s="28" t="n">
        <x:v>13052503</x:v>
      </x:c>
      <x:c r="I455" s="22" t="str">
        <x:v>99a055acc422a26b58aeb64cff198b7e527518a20cc52f0be4eb5bc26fb3afca</x:v>
      </x:c>
      <x:c r="J455" s="22" t="n">
        <x:v>0</x:v>
      </x:c>
      <x:c r="K455" s="22" t="n">
        <x:v>1</x:v>
      </x:c>
      <x:c r="L455" s="22" t="n">
        <x:v>1</x:v>
      </x:c>
      <x:c r="M455" s="28" t="n">
        <x:v>0</x:v>
      </x:c>
      <x:c r="N455" s="28" t="n">
        <x:v>0</x:v>
      </x:c>
      <x:c r="O455" s="28" t="n">
        <x:v>0</x:v>
      </x:c>
      <x:c r="P455" s="62" t="n">
        <x:v>0</x:v>
      </x:c>
      <x:c r="Q455" s="22" t="n">
        <x:v>0</x:v>
      </x:c>
      <x:c r="R455" s="22" t="str"/>
      <x:c r="S455" s="22" t="str"/>
      <x:c r="T455" s="22" t="str"/>
    </x:row>
    <x:row r="456">
      <x:c r="A456" s="22" t="str">
        <x:v>2020-00086</x:v>
      </x:c>
      <x:c r="B456" s="22" t="str">
        <x:v>L2023-00036-1</x:v>
      </x:c>
      <x:c r="C456" s="22" t="str">
        <x:v>공사</x:v>
      </x:c>
      <x:c r="D456" s="25" t="str">
        <x:v>우즈베키스탄 우르겐치 직업훈련원 건립 및 타슈켄트 교사연수센터 건립사업 시공업체선정 현지입찰</x:v>
      </x:c>
      <x:c r="E456" s="22" t="n">
        <x:v>1</x:v>
      </x:c>
      <x:c r="F456" s="22" t="str">
        <x:v>.rtf</x:v>
      </x:c>
      <x:c r="G456" s="25" t="str">
        <x:v>L2023-00036-1/붙임3_입찰관련서류_검토완_0717/Section 1 - Instructions to Bidders (ITB)1.rtf</x:v>
      </x:c>
      <x:c r="H456" s="28" t="n">
        <x:v>245002</x:v>
      </x:c>
      <x:c r="I456" s="22" t="str">
        <x:v>390bbd7576bb3a941037f3e4e3eabc77cbdfb0d67d5e5fa5d6091b723e7b85e2</x:v>
      </x:c>
      <x:c r="J456" s="22" t="n">
        <x:v>0</x:v>
      </x:c>
      <x:c r="K456" s="22" t="n">
        <x:v>0</x:v>
      </x:c>
      <x:c r="L456" s="22" t="n">
        <x:v>0</x:v>
      </x:c>
      <x:c r="M456" s="28" t="n">
        <x:v>0</x:v>
      </x:c>
      <x:c r="N456" s="28" t="n">
        <x:v>0</x:v>
      </x:c>
      <x:c r="O456" s="28" t="n">
        <x:v>0</x:v>
      </x:c>
      <x:c r="P456" s="62" t="n">
        <x:v>0</x:v>
      </x:c>
      <x:c r="Q456" s="22" t="n">
        <x:v>0</x:v>
      </x:c>
      <x:c r="R456" s="22" t="str"/>
      <x:c r="S456" s="22" t="str"/>
      <x:c r="T456" s="22" t="str"/>
    </x:row>
    <x:row r="457">
      <x:c r="A457" s="22" t="str">
        <x:v>2020-00086</x:v>
      </x:c>
      <x:c r="B457" s="22" t="str">
        <x:v>L2023-00036-1</x:v>
      </x:c>
      <x:c r="C457" s="22" t="str">
        <x:v>공사</x:v>
      </x:c>
      <x:c r="D457" s="25" t="str">
        <x:v>우즈베키스탄 우르겐치 직업훈련원 건립 및 타슈켄트 교사연수센터 건립사업 시공업체선정 현지입찰</x:v>
      </x:c>
      <x:c r="E457" s="22" t="n">
        <x:v>1</x:v>
      </x:c>
      <x:c r="F457" s="22" t="str">
        <x:v>.docx</x:v>
      </x:c>
      <x:c r="G457" s="25" t="str">
        <x:v>L2023-00036-1/붙임3_입찰관련서류_검토완_0717/Urgench_VTC_Bid Annoncement(The Daily Korean News for Korean Residents).docx</x:v>
      </x:c>
      <x:c r="H457" s="28" t="n">
        <x:v>33056</x:v>
      </x:c>
      <x:c r="I457" s="22" t="str">
        <x:v>6619ca3a1567ec13ad25e4014a16ca13cb920128da88bd3b0db070d468dfa169</x:v>
      </x:c>
      <x:c r="J457" s="22" t="n">
        <x:v>0</x:v>
      </x:c>
      <x:c r="K457" s="22" t="n">
        <x:v>0</x:v>
      </x:c>
      <x:c r="L457" s="22" t="n">
        <x:v>0</x:v>
      </x:c>
      <x:c r="M457" s="28" t="n">
        <x:v>0</x:v>
      </x:c>
      <x:c r="N457" s="28" t="n">
        <x:v>0</x:v>
      </x:c>
      <x:c r="O457" s="28" t="n">
        <x:v>0</x:v>
      </x:c>
      <x:c r="P457" s="62" t="n">
        <x:v>0</x:v>
      </x:c>
      <x:c r="Q457" s="22" t="n">
        <x:v>0</x:v>
      </x:c>
      <x:c r="R457" s="22" t="str"/>
      <x:c r="S457" s="22" t="str"/>
      <x:c r="T457" s="22" t="str"/>
    </x:row>
    <x:row r="458">
      <x:c r="A458" s="22" t="str">
        <x:v>2020-00086</x:v>
      </x:c>
      <x:c r="B458" s="22" t="str">
        <x:v>L2023-00036-1</x:v>
      </x:c>
      <x:c r="C458" s="22" t="str">
        <x:v>공사</x:v>
      </x:c>
      <x:c r="D458" s="25" t="str">
        <x:v>우즈베키스탄 우르겐치 직업훈련원 건립 및 타슈켄트 교사연수센터 건립사업 시공업체선정 현지입찰</x:v>
      </x:c>
      <x:c r="E458" s="22" t="n">
        <x:v>1</x:v>
      </x:c>
      <x:c r="F458" s="22" t="str">
        <x:v>.docx</x:v>
      </x:c>
      <x:c r="G458" s="25" t="str">
        <x:v>L2023-00036-1/붙임3_입찰관련서류_검토완_0717/Section 8 - Special Conditions of Contract1.docx</x:v>
      </x:c>
      <x:c r="H458" s="28" t="n">
        <x:v>69496</x:v>
      </x:c>
      <x:c r="I458" s="22" t="str">
        <x:v>760b4346ea2afda3ae9c1b46fb4822a0caacb128562e96122d5edeb8397ac261</x:v>
      </x:c>
      <x:c r="J458" s="22" t="n">
        <x:v>0</x:v>
      </x:c>
      <x:c r="K458" s="22" t="n">
        <x:v>0</x:v>
      </x:c>
      <x:c r="L458" s="22" t="n">
        <x:v>0</x:v>
      </x:c>
      <x:c r="M458" s="28" t="n">
        <x:v>0</x:v>
      </x:c>
      <x:c r="N458" s="28" t="n">
        <x:v>0</x:v>
      </x:c>
      <x:c r="O458" s="28" t="n">
        <x:v>0</x:v>
      </x:c>
      <x:c r="P458" s="62" t="n">
        <x:v>0</x:v>
      </x:c>
      <x:c r="Q458" s="22" t="n">
        <x:v>0</x:v>
      </x:c>
      <x:c r="R458" s="22" t="str"/>
      <x:c r="S458" s="22" t="str"/>
      <x:c r="T458" s="22" t="str"/>
    </x:row>
    <x:row r="459">
      <x:c r="A459" s="22" t="str">
        <x:v>2020-00086</x:v>
      </x:c>
      <x:c r="B459" s="22" t="str">
        <x:v>L2023-00036-1</x:v>
      </x:c>
      <x:c r="C459" s="22" t="str">
        <x:v>공사</x:v>
      </x:c>
      <x:c r="D459" s="25" t="str">
        <x:v>우즈베키스탄 우르겐치 직업훈련원 건립 및 타슈켄트 교사연수센터 건립사업 시공업체선정 현지입찰</x:v>
      </x:c>
      <x:c r="E459" s="22" t="n">
        <x:v>1</x:v>
      </x:c>
      <x:c r="F459" s="22" t="str">
        <x:v>.docx</x:v>
      </x:c>
      <x:c r="G459" s="25" t="str">
        <x:v>L2023-00036-1/붙임3_입찰관련서류_검토완_0717/Section 7 - General Conditions of Contract1.docx</x:v>
      </x:c>
      <x:c r="H459" s="28" t="n">
        <x:v>217233</x:v>
      </x:c>
      <x:c r="I459" s="22" t="str">
        <x:v>e75b96a17c6f376efb50a21eb18b9d8370971008633ca1ebbc82da6fdc811362</x:v>
      </x:c>
      <x:c r="J459" s="22" t="n">
        <x:v>0</x:v>
      </x:c>
      <x:c r="K459" s="22" t="n">
        <x:v>0</x:v>
      </x:c>
      <x:c r="L459" s="22" t="n">
        <x:v>0</x:v>
      </x:c>
      <x:c r="M459" s="28" t="n">
        <x:v>0</x:v>
      </x:c>
      <x:c r="N459" s="28" t="n">
        <x:v>0</x:v>
      </x:c>
      <x:c r="O459" s="28" t="n">
        <x:v>0</x:v>
      </x:c>
      <x:c r="P459" s="62" t="n">
        <x:v>0</x:v>
      </x:c>
      <x:c r="Q459" s="22" t="n">
        <x:v>0</x:v>
      </x:c>
      <x:c r="R459" s="22" t="str"/>
      <x:c r="S459" s="22" t="str"/>
      <x:c r="T459" s="22" t="str"/>
    </x:row>
    <x:row r="460">
      <x:c r="A460" s="22" t="str">
        <x:v>2020-00086</x:v>
      </x:c>
      <x:c r="B460" s="22" t="str">
        <x:v>L2023-00036-1</x:v>
      </x:c>
      <x:c r="C460" s="22" t="str">
        <x:v>공사</x:v>
      </x:c>
      <x:c r="D460" s="25" t="str">
        <x:v>우즈베키스탄 우르겐치 직업훈련원 건립 및 타슈켄트 교사연수센터 건립사업 시공업체선정 현지입찰</x:v>
      </x:c>
      <x:c r="E460" s="22" t="n">
        <x:v>1</x:v>
      </x:c>
      <x:c r="F460" s="22" t="str">
        <x:v>.docx</x:v>
      </x:c>
      <x:c r="G460" s="25" t="str">
        <x:v>L2023-00036-1/붙임3_입찰관련서류_검토완_0717/Section 9 - Contract Forms1.docx</x:v>
      </x:c>
      <x:c r="H460" s="28" t="n">
        <x:v>38156</x:v>
      </x:c>
      <x:c r="I460" s="22" t="str">
        <x:v>db9a1ebf8dcc45bc51acbd9a0497d1864d3efaf6e56d715838970cc5c1e337c8</x:v>
      </x:c>
      <x:c r="J460" s="22" t="n">
        <x:v>0</x:v>
      </x:c>
      <x:c r="K460" s="22" t="n">
        <x:v>0</x:v>
      </x:c>
      <x:c r="L460" s="22" t="n">
        <x:v>0</x:v>
      </x:c>
      <x:c r="M460" s="28" t="n">
        <x:v>0</x:v>
      </x:c>
      <x:c r="N460" s="28" t="n">
        <x:v>0</x:v>
      </x:c>
      <x:c r="O460" s="28" t="n">
        <x:v>0</x:v>
      </x:c>
      <x:c r="P460" s="62" t="n">
        <x:v>0</x:v>
      </x:c>
      <x:c r="Q460" s="22" t="n">
        <x:v>0</x:v>
      </x:c>
      <x:c r="R460" s="22" t="str"/>
      <x:c r="S460" s="22" t="str"/>
      <x:c r="T460" s="22" t="str"/>
    </x:row>
    <x:row r="461">
      <x:c r="A461" s="22" t="str">
        <x:v>2020-00086</x:v>
      </x:c>
      <x:c r="B461" s="22" t="str">
        <x:v>L2023-00036-1</x:v>
      </x:c>
      <x:c r="C461" s="22" t="str">
        <x:v>공사</x:v>
      </x:c>
      <x:c r="D461" s="25" t="str">
        <x:v>우즈베키스탄 우르겐치 직업훈련원 건립 및 타슈켄트 교사연수센터 건립사업 시공업체선정 현지입찰</x:v>
      </x:c>
      <x:c r="E461" s="22" t="n">
        <x:v>1</x:v>
      </x:c>
      <x:c r="F461" s="22" t="str">
        <x:v>.doc</x:v>
      </x:c>
      <x:c r="G461" s="25" t="str">
        <x:v>L2023-00036-1/붙임3_입찰관련서류_검토완_0717/Bid Document cover page.doc</x:v>
      </x:c>
      <x:c r="H461" s="28" t="n">
        <x:v>52224</x:v>
      </x:c>
      <x:c r="I461" s="22" t="str">
        <x:v>b5396fa96a9ac37efc9f302eaa5625bbdb33206fce6dce412fce915f40bd6740</x:v>
      </x:c>
      <x:c r="J461" s="22" t="n">
        <x:v>0</x:v>
      </x:c>
      <x:c r="K461" s="22" t="n">
        <x:v>0</x:v>
      </x:c>
      <x:c r="L461" s="22" t="n">
        <x:v>0</x:v>
      </x:c>
      <x:c r="M461" s="28" t="n">
        <x:v>0</x:v>
      </x:c>
      <x:c r="N461" s="28" t="n">
        <x:v>0</x:v>
      </x:c>
      <x:c r="O461" s="28" t="n">
        <x:v>0</x:v>
      </x:c>
      <x:c r="P461" s="62" t="n">
        <x:v>0</x:v>
      </x:c>
      <x:c r="Q461" s="22" t="n">
        <x:v>0</x:v>
      </x:c>
      <x:c r="R461" s="22" t="str"/>
      <x:c r="S461" s="22" t="str"/>
      <x:c r="T461" s="22" t="str"/>
    </x:row>
    <x:row r="462">
      <x:c r="A462" s="22" t="str">
        <x:v>2020-00086</x:v>
      </x:c>
      <x:c r="B462" s="22" t="str">
        <x:v>L2023-00036-1</x:v>
      </x:c>
      <x:c r="C462" s="22" t="str">
        <x:v>공사</x:v>
      </x:c>
      <x:c r="D462" s="25" t="str">
        <x:v>우즈베키스탄 우르겐치 직업훈련원 건립 및 타슈켄트 교사연수센터 건립사업 시공업체선정 현지입찰</x:v>
      </x:c>
      <x:c r="E462" s="22" t="n">
        <x:v>1</x:v>
      </x:c>
      <x:c r="F462" s="22" t="str">
        <x:v>.pptx</x:v>
      </x:c>
      <x:c r="G462" s="25" t="str">
        <x:v>L2023-00036-1/붙임3_입찰관련서류_검토완_0717/Section 6. Specification(SNIF_ GOST_ Bid Explaination ).pptx</x:v>
      </x:c>
      <x:c r="H462" s="28" t="n">
        <x:v>3528725</x:v>
      </x:c>
      <x:c r="I462" s="22" t="str">
        <x:v>8c04057c6fe9d5df9fd5a197ab1a4612b4e7051a530b11edb88c0c73d960c258</x:v>
      </x:c>
      <x:c r="J462" s="22" t="n">
        <x:v>0</x:v>
      </x:c>
      <x:c r="K462" s="22" t="n">
        <x:v>0</x:v>
      </x:c>
      <x:c r="L462" s="22" t="n">
        <x:v>0</x:v>
      </x:c>
      <x:c r="M462" s="28" t="n">
        <x:v>0</x:v>
      </x:c>
      <x:c r="N462" s="28" t="n">
        <x:v>0</x:v>
      </x:c>
      <x:c r="O462" s="28" t="n">
        <x:v>0</x:v>
      </x:c>
      <x:c r="P462" s="62" t="n">
        <x:v>0</x:v>
      </x:c>
      <x:c r="Q462" s="22" t="n">
        <x:v>0</x:v>
      </x:c>
      <x:c r="R462" s="22" t="str"/>
      <x:c r="S462" s="22" t="str"/>
      <x:c r="T462" s="22" t="str"/>
    </x:row>
    <x:row r="463">
      <x:c r="A463" s="22" t="str">
        <x:v>2020-00086</x:v>
      </x:c>
      <x:c r="B463" s="22" t="str">
        <x:v>L2023-00036-1</x:v>
      </x:c>
      <x:c r="C463" s="22" t="str">
        <x:v>공사</x:v>
      </x:c>
      <x:c r="D463" s="25" t="str">
        <x:v>우즈베키스탄 우르겐치 직업훈련원 건립 및 타슈켄트 교사연수센터 건립사업 시공업체선정 현지입찰</x:v>
      </x:c>
      <x:c r="E463" s="22" t="n">
        <x:v>1</x:v>
      </x:c>
      <x:c r="F463" s="22" t="str">
        <x:v>.rtf</x:v>
      </x:c>
      <x:c r="G463" s="25" t="str">
        <x:v>L2023-00036-1/붙임3_입찰관련서류_검토완_0717/Section 2 - Bid Data Sheet (BDS).rtf</x:v>
      </x:c>
      <x:c r="H463" s="28" t="n">
        <x:v>564273</x:v>
      </x:c>
      <x:c r="I463" s="22" t="str">
        <x:v>8171ccf66d166474e70a7de0c281f7299cf63528495e23733a0742e245286485</x:v>
      </x:c>
      <x:c r="J463" s="22" t="n">
        <x:v>0</x:v>
      </x:c>
      <x:c r="K463" s="22" t="n">
        <x:v>0</x:v>
      </x:c>
      <x:c r="L463" s="22" t="n">
        <x:v>0</x:v>
      </x:c>
      <x:c r="M463" s="28" t="n">
        <x:v>0</x:v>
      </x:c>
      <x:c r="N463" s="28" t="n">
        <x:v>0</x:v>
      </x:c>
      <x:c r="O463" s="28" t="n">
        <x:v>0</x:v>
      </x:c>
      <x:c r="P463" s="62" t="n">
        <x:v>0</x:v>
      </x:c>
      <x:c r="Q463" s="22" t="n">
        <x:v>0</x:v>
      </x:c>
      <x:c r="R463" s="22" t="str"/>
      <x:c r="S463" s="22" t="str"/>
      <x:c r="T463" s="22" t="str"/>
    </x:row>
    <x:row r="464">
      <x:c r="A464" s="22" t="str">
        <x:v>2020-00086</x:v>
      </x:c>
      <x:c r="B464" s="22" t="str">
        <x:v>L2023-00036-1</x:v>
      </x:c>
      <x:c r="C464" s="22" t="str">
        <x:v>공사</x:v>
      </x:c>
      <x:c r="D464" s="25" t="str">
        <x:v>우즈베키스탄 우르겐치 직업훈련원 건립 및 타슈켄트 교사연수센터 건립사업 시공업체선정 현지입찰</x:v>
      </x:c>
      <x:c r="E464" s="22" t="n">
        <x:v>1</x:v>
      </x:c>
      <x:c r="F464" s="22" t="str">
        <x:v>.docx</x:v>
      </x:c>
      <x:c r="G464" s="25" t="str">
        <x:v>L2023-00036-1/붙임3_입찰관련서류_검토완_0717/Section 4_5_6 - Requirements1.docx</x:v>
      </x:c>
      <x:c r="H464" s="28" t="n">
        <x:v>35598</x:v>
      </x:c>
      <x:c r="I464" s="22" t="str">
        <x:v>8ac3a3512581869d6c2ceab54a934d9abc32035f917b7b8764b101daaeb84341</x:v>
      </x:c>
      <x:c r="J464" s="22" t="n">
        <x:v>0</x:v>
      </x:c>
      <x:c r="K464" s="22" t="n">
        <x:v>0</x:v>
      </x:c>
      <x:c r="L464" s="22" t="n">
        <x:v>0</x:v>
      </x:c>
      <x:c r="M464" s="28" t="n">
        <x:v>0</x:v>
      </x:c>
      <x:c r="N464" s="28" t="n">
        <x:v>0</x:v>
      </x:c>
      <x:c r="O464" s="28" t="n">
        <x:v>0</x:v>
      </x:c>
      <x:c r="P464" s="62" t="n">
        <x:v>0</x:v>
      </x:c>
      <x:c r="Q464" s="22" t="n">
        <x:v>0</x:v>
      </x:c>
      <x:c r="R464" s="22" t="str"/>
      <x:c r="S464" s="22" t="str"/>
      <x:c r="T464" s="22" t="str"/>
    </x:row>
    <x:row r="465">
      <x:c r="A465" s="22" t="str">
        <x:v>2020-00086</x:v>
      </x:c>
      <x:c r="B465" s="22" t="str">
        <x:v>L2023-00036-1</x:v>
      </x:c>
      <x:c r="C465" s="22" t="str">
        <x:v>공사</x:v>
      </x:c>
      <x:c r="D465" s="25" t="str">
        <x:v>우즈베키스탄 우르겐치 직업훈련원 건립 및 타슈켄트 교사연수센터 건립사업 시공업체선정 현지입찰</x:v>
      </x:c>
      <x:c r="E465" s="22" t="n">
        <x:v>1</x:v>
      </x:c>
      <x:c r="F465" s="22" t="str">
        <x:v>.doc</x:v>
      </x:c>
      <x:c r="G465" s="25" t="str">
        <x:v>L2023-00036-1/붙임3_입찰관련서류_검토완_0717/Section 3 - Bidding Forms.doc</x:v>
      </x:c>
      <x:c r="H465" s="28" t="n">
        <x:v>219648</x:v>
      </x:c>
      <x:c r="I465" s="22" t="str">
        <x:v>6acb9c2edc1f485f83db0b9aa713834d2206474f2ec2356c35005512c2e6bdf9</x:v>
      </x:c>
      <x:c r="J465" s="22" t="n">
        <x:v>0</x:v>
      </x:c>
      <x:c r="K465" s="22" t="n">
        <x:v>0</x:v>
      </x:c>
      <x:c r="L465" s="22" t="n">
        <x:v>0</x:v>
      </x:c>
      <x:c r="M465" s="28" t="n">
        <x:v>0</x:v>
      </x:c>
      <x:c r="N465" s="28" t="n">
        <x:v>0</x:v>
      </x:c>
      <x:c r="O465" s="28" t="n">
        <x:v>0</x:v>
      </x:c>
      <x:c r="P465" s="62" t="n">
        <x:v>0</x:v>
      </x:c>
      <x:c r="Q465" s="22" t="n">
        <x:v>0</x:v>
      </x:c>
      <x:c r="R465" s="22" t="str"/>
      <x:c r="S465" s="22" t="str"/>
      <x:c r="T465" s="22" t="str"/>
    </x:row>
    <x:row r="466">
      <x:c r="A466" s="22" t="str">
        <x:v>2020-00086</x:v>
      </x:c>
      <x:c r="B466" s="22" t="str">
        <x:v>L2023-00036-1</x:v>
      </x:c>
      <x:c r="C466" s="22" t="str">
        <x:v>공사</x:v>
      </x:c>
      <x:c r="D466" s="25" t="str">
        <x:v>우즈베키스탄 우르겐치 직업훈련원 건립 및 타슈켄트 교사연수센터 건립사업 시공업체선정 현지입찰</x:v>
      </x:c>
      <x:c r="E466" s="22" t="n">
        <x:v>1</x:v>
      </x:c>
      <x:c r="F466" s="22" t="str">
        <x:v>.docx</x:v>
      </x:c>
      <x:c r="G466" s="25" t="str">
        <x:v>L2023-00036-1/붙임3_입찰관련서류_검토완_0717/Invitation_for_Bids_Bid_Announcement1.docx</x:v>
      </x:c>
      <x:c r="H466" s="28" t="n">
        <x:v>190534</x:v>
      </x:c>
      <x:c r="I466" s="22" t="str">
        <x:v>488875c770d7abe18eef3625558238bb9f7139e3e3e328452fba3f1696f19140</x:v>
      </x:c>
      <x:c r="J466" s="22" t="n">
        <x:v>0</x:v>
      </x:c>
      <x:c r="K466" s="22" t="n">
        <x:v>0</x:v>
      </x:c>
      <x:c r="L466" s="22" t="n">
        <x:v>0</x:v>
      </x:c>
      <x:c r="M466" s="28" t="n">
        <x:v>0</x:v>
      </x:c>
      <x:c r="N466" s="28" t="n">
        <x:v>0</x:v>
      </x:c>
      <x:c r="O466" s="28" t="n">
        <x:v>0</x:v>
      </x:c>
      <x:c r="P466" s="62" t="n">
        <x:v>0</x:v>
      </x:c>
      <x:c r="Q466" s="22" t="n">
        <x:v>0</x:v>
      </x:c>
      <x:c r="R466" s="22" t="str"/>
      <x:c r="S466" s="22" t="str"/>
      <x:c r="T466" s="22" t="str"/>
    </x:row>
    <x:row r="467">
      <x:c r="A467" s="22" t="str">
        <x:v>2020-00086</x:v>
      </x:c>
      <x:c r="B467" s="22" t="str">
        <x:v>L2023-00036-1</x:v>
      </x:c>
      <x:c r="C467" s="22" t="str">
        <x:v>공사</x:v>
      </x:c>
      <x:c r="D467" s="25" t="str">
        <x:v>우즈베키스탄 우르겐치 직업훈련원 건립 및 타슈켄트 교사연수센터 건립사업 시공업체선정 현지입찰</x:v>
      </x:c>
      <x:c r="E467" s="22" t="n">
        <x:v>1</x:v>
      </x:c>
      <x:c r="F467" s="22" t="str">
        <x:v>.docx</x:v>
      </x:c>
      <x:c r="G467" s="25" t="str">
        <x:v>L2023-00036-1/붙임3_입찰관련서류_검토완_0717/Section 4.  Bill of Quantities(Not-Priced)/Estimate Detailed Conditions)(VTC+TTC)_Final_.docx</x:v>
      </x:c>
      <x:c r="H467" s="28" t="n">
        <x:v>80256</x:v>
      </x:c>
      <x:c r="I467" s="22" t="str">
        <x:v>85e95a0b24220bc384b973a8b80ddf9f69be2a1263001b8c8ae3065ad7d3c962</x:v>
      </x:c>
      <x:c r="J467" s="22" t="n">
        <x:v>0</x:v>
      </x:c>
      <x:c r="K467" s="22" t="n">
        <x:v>1</x:v>
      </x:c>
      <x:c r="L467" s="22" t="n">
        <x:v>1</x:v>
      </x:c>
      <x:c r="M467" s="28" t="n">
        <x:v>0</x:v>
      </x:c>
      <x:c r="N467" s="28" t="n">
        <x:v>0</x:v>
      </x:c>
      <x:c r="O467" s="28" t="n">
        <x:v>0</x:v>
      </x:c>
      <x:c r="P467" s="62" t="n">
        <x:v>0</x:v>
      </x:c>
      <x:c r="Q467" s="22" t="n">
        <x:v>0</x:v>
      </x:c>
      <x:c r="R467" s="22" t="str"/>
      <x:c r="S467" s="22" t="str"/>
      <x:c r="T467" s="22" t="str"/>
    </x:row>
    <x:row r="468">
      <x:c r="A468" s="22" t="str">
        <x:v>2020-00086</x:v>
      </x:c>
      <x:c r="B468" s="22" t="str">
        <x:v>L2023-00036-1</x:v>
      </x:c>
      <x:c r="C468" s="22" t="str">
        <x:v>공사</x:v>
      </x:c>
      <x:c r="D468" s="25" t="str">
        <x:v>우즈베키스탄 우르겐치 직업훈련원 건립 및 타슈켄트 교사연수센터 건립사업 시공업체선정 현지입찰</x:v>
      </x:c>
      <x:c r="E468" s="22" t="n">
        <x:v>1</x:v>
      </x:c>
      <x:c r="F468" s="22" t="str">
        <x:v>.zip</x:v>
      </x:c>
      <x:c r="G468" s="25" t="str">
        <x:v>L2023-00036-1/붙임3_입찰관련서류_검토완_0717/Section 4.  Bill of Quantities(Not-Priced)/.Urgench_CM_Comments_Arch_VTC_and_TTC_ENG_20230707.zip</x:v>
      </x:c>
      <x:c r="H468" s="28" t="n">
        <x:v>6277094</x:v>
      </x:c>
      <x:c r="I468" s="22" t="str">
        <x:v>bb0bb341fea9c97c5d1f6886bfc0e8d81bef7ec0a0005c4732279204d73f6f30</x:v>
      </x:c>
      <x:c r="J468" s="22" t="n">
        <x:v>0</x:v>
      </x:c>
      <x:c r="K468" s="22" t="n">
        <x:v>1</x:v>
      </x:c>
      <x:c r="L468" s="22" t="n">
        <x:v>1</x:v>
      </x:c>
      <x:c r="M468" s="28" t="n">
        <x:v>0</x:v>
      </x:c>
      <x:c r="N468" s="28" t="n">
        <x:v>0</x:v>
      </x:c>
      <x:c r="O468" s="28" t="n">
        <x:v>0</x:v>
      </x:c>
      <x:c r="P468" s="62" t="n">
        <x:v>0</x:v>
      </x:c>
      <x:c r="Q468" s="22" t="n">
        <x:v>0</x:v>
      </x:c>
      <x:c r="R468" s="22" t="str"/>
      <x:c r="S468" s="22" t="str"/>
      <x:c r="T468" s="22" t="str"/>
    </x:row>
    <x:row r="469">
      <x:c r="A469" s="22" t="str">
        <x:v>2020-00086</x:v>
      </x:c>
      <x:c r="B469" s="22" t="str">
        <x:v>L2023-00036-1</x:v>
      </x:c>
      <x:c r="C469" s="22" t="str">
        <x:v>공사</x:v>
      </x:c>
      <x:c r="D469" s="25" t="str">
        <x:v>우즈베키스탄 우르겐치 직업훈련원 건립 및 타슈켄트 교사연수센터 건립사업 시공업체선정 현지입찰</x:v>
      </x:c>
      <x:c r="E469" s="22" t="n">
        <x:v>1</x:v>
      </x:c>
      <x:c r="F469" s="22" t="str">
        <x:v>.xls</x:v>
      </x:c>
      <x:c r="G469" s="25" t="str">
        <x:v>L2023-00036-1/붙임3_입찰관련서류_검토완_0717/Section 4.  Bill of Quantities(Not-Priced)/Section 4. Bill of Quantity(Not-Priced) Summary.xls</x:v>
      </x:c>
      <x:c r="H469" s="28" t="n">
        <x:v>76800</x:v>
      </x:c>
      <x:c r="I469" s="22" t="str">
        <x:v>037a7d1fe991db0c65622821b70b45e6af52d1e48416557c86b53041692045d7</x:v>
      </x:c>
      <x:c r="J469" s="22" t="n">
        <x:v>0</x:v>
      </x:c>
      <x:c r="K469" s="22" t="n">
        <x:v>1</x:v>
      </x:c>
      <x:c r="L469" s="22" t="n">
        <x:v>1</x:v>
      </x:c>
      <x:c r="M469" s="28" t="n">
        <x:v>0</x:v>
      </x:c>
      <x:c r="N469" s="28" t="n">
        <x:v>0</x:v>
      </x:c>
      <x:c r="O469" s="28" t="n">
        <x:v>0</x:v>
      </x:c>
      <x:c r="P469" s="62" t="n">
        <x:v>0</x:v>
      </x:c>
      <x:c r="Q469" s="22" t="n">
        <x:v>0</x:v>
      </x:c>
      <x:c r="R469" s="22" t="str"/>
      <x:c r="S469" s="22" t="str"/>
      <x:c r="T469" s="22" t="str"/>
    </x:row>
    <x:row r="470">
      <x:c r="A470" s="22" t="str">
        <x:v>2020-00086</x:v>
      </x:c>
      <x:c r="B470" s="22" t="str">
        <x:v>L2023-00036-1</x:v>
      </x:c>
      <x:c r="C470" s="22" t="str">
        <x:v>공사</x:v>
      </x:c>
      <x:c r="D470" s="25" t="str">
        <x:v>우즈베키스탄 우르겐치 직업훈련원 건립 및 타슈켄트 교사연수센터 건립사업 시공업체선정 현지입찰</x:v>
      </x:c>
      <x:c r="E470" s="22" t="n">
        <x:v>1</x:v>
      </x:c>
      <x:c r="F470" s="22" t="str">
        <x:v>.docx</x:v>
      </x:c>
      <x:c r="G470" s="25" t="str">
        <x:v>L2023-00036-1/붙임3_입찰관련서류_검토완_0717/Section 4.  Bill of Quantities(Not-Priced)/.Urgench_CM_Comments_Arch_VTC_and_TTC_ENG_20230707/1.3.3. Urgench CM_Comments_Mech_VTC_and_TTC_Main_ENG_20230707.xlsx.docx</x:v>
      </x:c>
      <x:c r="H470" s="28" t="n">
        <x:v>16615</x:v>
      </x:c>
      <x:c r="I470" s="22" t="str">
        <x:v>29ae17bcfb236300ba73df96caa054ed9ce989b8ba57084acd00b934eb9595a3</x:v>
      </x:c>
      <x:c r="J470" s="22" t="n">
        <x:v>0</x:v>
      </x:c>
      <x:c r="K470" s="22" t="n">
        <x:v>1</x:v>
      </x:c>
      <x:c r="L470" s="22" t="n">
        <x:v>1</x:v>
      </x:c>
      <x:c r="M470" s="28" t="n">
        <x:v>0</x:v>
      </x:c>
      <x:c r="N470" s="28" t="n">
        <x:v>0</x:v>
      </x:c>
      <x:c r="O470" s="28" t="n">
        <x:v>0</x:v>
      </x:c>
      <x:c r="P470" s="62" t="n">
        <x:v>0</x:v>
      </x:c>
      <x:c r="Q470" s="22" t="n">
        <x:v>0</x:v>
      </x:c>
      <x:c r="R470" s="22" t="str"/>
      <x:c r="S470" s="22" t="str"/>
      <x:c r="T470" s="22" t="str"/>
    </x:row>
    <x:row r="471">
      <x:c r="A471" s="22" t="str">
        <x:v>2020-00086</x:v>
      </x:c>
      <x:c r="B471" s="22" t="str">
        <x:v>L2023-00036-1</x:v>
      </x:c>
      <x:c r="C471" s="22" t="str">
        <x:v>공사</x:v>
      </x:c>
      <x:c r="D471" s="25" t="str">
        <x:v>우즈베키스탄 우르겐치 직업훈련원 건립 및 타슈켄트 교사연수센터 건립사업 시공업체선정 현지입찰</x:v>
      </x:c>
      <x:c r="E471" s="22" t="n">
        <x:v>1</x:v>
      </x:c>
      <x:c r="F471" s="22" t="str">
        <x:v>.xlsx</x:v>
      </x:c>
      <x:c r="G471" s="25" t="str">
        <x:v>L2023-00036-1/붙임3_입찰관련서류_검토완_0717/Section 4.  Bill of Quantities(Not-Priced)/.Urgench_CM_Comments_Arch_VTC_and_TTC_ENG_20230707/1.4. Urgench CM_Comments_PMC_VTC_and_TTC_ENG_20230707.xlsx</x:v>
      </x:c>
      <x:c r="H471" s="28" t="n">
        <x:v>18240</x:v>
      </x:c>
      <x:c r="I471" s="22" t="str">
        <x:v>6267ba3be03e15ebb107a67e18bd725ae8b33e8b48c5827fa075966fde925d4a</x:v>
      </x:c>
      <x:c r="J471" s="22" t="n">
        <x:v>0</x:v>
      </x:c>
      <x:c r="K471" s="22" t="n">
        <x:v>1</x:v>
      </x:c>
      <x:c r="L471" s="22" t="n">
        <x:v>1</x:v>
      </x:c>
      <x:c r="M471" s="28" t="n">
        <x:v>0</x:v>
      </x:c>
      <x:c r="N471" s="28" t="n">
        <x:v>0</x:v>
      </x:c>
      <x:c r="O471" s="28" t="n">
        <x:v>0</x:v>
      </x:c>
      <x:c r="P471" s="62" t="n">
        <x:v>0</x:v>
      </x:c>
      <x:c r="Q471" s="22" t="n">
        <x:v>0</x:v>
      </x:c>
      <x:c r="R471" s="22" t="str"/>
      <x:c r="S471" s="22" t="str"/>
      <x:c r="T471" s="22" t="str"/>
    </x:row>
    <x:row r="472">
      <x:c r="A472" s="22" t="str">
        <x:v>2020-00086</x:v>
      </x:c>
      <x:c r="B472" s="22" t="str">
        <x:v>L2023-00036-1</x:v>
      </x:c>
      <x:c r="C472" s="22" t="str">
        <x:v>공사</x:v>
      </x:c>
      <x:c r="D472" s="25" t="str">
        <x:v>우즈베키스탄 우르겐치 직업훈련원 건립 및 타슈켄트 교사연수센터 건립사업 시공업체선정 현지입찰</x:v>
      </x:c>
      <x:c r="E472" s="22" t="n">
        <x:v>1</x:v>
      </x:c>
      <x:c r="F472" s="22" t="str">
        <x:v>.xlsx</x:v>
      </x:c>
      <x:c r="G472" s="25" t="str">
        <x:v>L2023-00036-1/붙임3_입찰관련서류_검토완_0717/Section 4.  Bill of Quantities(Not-Priced)/.Urgench_CM_Comments_Arch_VTC_and_TTC_ENG_20230707/1.3.1. Urgench CM Comments(Mech) VTC_20230704_R3.xlsx</x:v>
      </x:c>
      <x:c r="H472" s="28" t="n">
        <x:v>6188237</x:v>
      </x:c>
      <x:c r="I472" s="22" t="str">
        <x:v>3748d4f009cd54f2282e881d0536c882181a3e457e4d641bd2f93b9ae5b7fc3b</x:v>
      </x:c>
      <x:c r="J472" s="22" t="n">
        <x:v>0</x:v>
      </x:c>
      <x:c r="K472" s="22" t="n">
        <x:v>1</x:v>
      </x:c>
      <x:c r="L472" s="22" t="n">
        <x:v>1</x:v>
      </x:c>
      <x:c r="M472" s="28" t="n">
        <x:v>0</x:v>
      </x:c>
      <x:c r="N472" s="28" t="n">
        <x:v>0</x:v>
      </x:c>
      <x:c r="O472" s="28" t="n">
        <x:v>0</x:v>
      </x:c>
      <x:c r="P472" s="62" t="n">
        <x:v>0</x:v>
      </x:c>
      <x:c r="Q472" s="22" t="n">
        <x:v>0</x:v>
      </x:c>
      <x:c r="R472" s="22" t="str"/>
      <x:c r="S472" s="22" t="str"/>
      <x:c r="T472" s="22" t="str"/>
    </x:row>
    <x:row r="473">
      <x:c r="A473" s="22" t="str">
        <x:v>2020-00086</x:v>
      </x:c>
      <x:c r="B473" s="22" t="str">
        <x:v>L2023-00036-1</x:v>
      </x:c>
      <x:c r="C473" s="22" t="str">
        <x:v>공사</x:v>
      </x:c>
      <x:c r="D473" s="25" t="str">
        <x:v>우즈베키스탄 우르겐치 직업훈련원 건립 및 타슈켄트 교사연수센터 건립사업 시공업체선정 현지입찰</x:v>
      </x:c>
      <x:c r="E473" s="22" t="n">
        <x:v>1</x:v>
      </x:c>
      <x:c r="F473" s="22" t="str">
        <x:v>.xlsx</x:v>
      </x:c>
      <x:c r="G473" s="25" t="str">
        <x:v>L2023-00036-1/붙임3_입찰관련서류_검토완_0717/Section 4.  Bill of Quantities(Not-Priced)/.Urgench_CM_Comments_Arch_VTC_and_TTC_ENG_20230707/1.1.Urgench_CM_Comments_Arch_VTC_and_TTC_ENG_20230505.xlsx</x:v>
      </x:c>
      <x:c r="H473" s="28" t="n">
        <x:v>26633</x:v>
      </x:c>
      <x:c r="I473" s="22" t="str">
        <x:v>08702e1b68ae13cb4ea31105eb2d1413073365045e5def30a2c799ad087aa8e7</x:v>
      </x:c>
      <x:c r="J473" s="22" t="n">
        <x:v>0</x:v>
      </x:c>
      <x:c r="K473" s="22" t="n">
        <x:v>1</x:v>
      </x:c>
      <x:c r="L473" s="22" t="n">
        <x:v>1</x:v>
      </x:c>
      <x:c r="M473" s="28" t="n">
        <x:v>0</x:v>
      </x:c>
      <x:c r="N473" s="28" t="n">
        <x:v>0</x:v>
      </x:c>
      <x:c r="O473" s="28" t="n">
        <x:v>0</x:v>
      </x:c>
      <x:c r="P473" s="62" t="n">
        <x:v>0</x:v>
      </x:c>
      <x:c r="Q473" s="22" t="n">
        <x:v>0</x:v>
      </x:c>
      <x:c r="R473" s="22" t="str"/>
      <x:c r="S473" s="22" t="str"/>
      <x:c r="T473" s="22" t="str"/>
    </x:row>
    <x:row r="474">
      <x:c r="A474" s="22" t="str">
        <x:v>2020-00086</x:v>
      </x:c>
      <x:c r="B474" s="22" t="str">
        <x:v>L2023-00036-1</x:v>
      </x:c>
      <x:c r="C474" s="22" t="str">
        <x:v>공사</x:v>
      </x:c>
      <x:c r="D474" s="25" t="str">
        <x:v>우즈베키스탄 우르겐치 직업훈련원 건립 및 타슈켄트 교사연수센터 건립사업 시공업체선정 현지입찰</x:v>
      </x:c>
      <x:c r="E474" s="22" t="n">
        <x:v>1</x:v>
      </x:c>
      <x:c r="F474" s="22" t="str">
        <x:v>.xlsx</x:v>
      </x:c>
      <x:c r="G474" s="25" t="str">
        <x:v>L2023-00036-1/붙임3_입찰관련서류_검토완_0717/Section 4.  Bill of Quantities(Not-Priced)/.Urgench_CM_Comments_Arch_VTC_and_TTC_ENG_20230707/1.3.2. Urgench CM Comments(Mech)_Tashkent_TTC_Drawings_20230704.xlsx</x:v>
      </x:c>
      <x:c r="H474" s="28" t="n">
        <x:v>788369</x:v>
      </x:c>
      <x:c r="I474" s="22" t="str">
        <x:v>d6dcc478819c73e452f13add3e10ce964f21104cb779fc3b9992106eb0026c87</x:v>
      </x:c>
      <x:c r="J474" s="22" t="n">
        <x:v>0</x:v>
      </x:c>
      <x:c r="K474" s="22" t="n">
        <x:v>1</x:v>
      </x:c>
      <x:c r="L474" s="22" t="n">
        <x:v>1</x:v>
      </x:c>
      <x:c r="M474" s="28" t="n">
        <x:v>0</x:v>
      </x:c>
      <x:c r="N474" s="28" t="n">
        <x:v>0</x:v>
      </x:c>
      <x:c r="O474" s="28" t="n">
        <x:v>0</x:v>
      </x:c>
      <x:c r="P474" s="62" t="n">
        <x:v>0</x:v>
      </x:c>
      <x:c r="Q474" s="22" t="n">
        <x:v>0</x:v>
      </x:c>
      <x:c r="R474" s="22" t="str"/>
      <x:c r="S474" s="22" t="str"/>
      <x:c r="T474" s="22" t="str"/>
    </x:row>
    <x:row r="475">
      <x:c r="A475" s="22" t="str">
        <x:v>2020-00086</x:v>
      </x:c>
      <x:c r="B475" s="22" t="str">
        <x:v>L2023-00036-1</x:v>
      </x:c>
      <x:c r="C475" s="22" t="str">
        <x:v>공사</x:v>
      </x:c>
      <x:c r="D475" s="25" t="str">
        <x:v>우즈베키스탄 우르겐치 직업훈련원 건립 및 타슈켄트 교사연수센터 건립사업 시공업체선정 현지입찰</x:v>
      </x:c>
      <x:c r="E475" s="22" t="n">
        <x:v>1</x:v>
      </x:c>
      <x:c r="F475" s="22" t="str">
        <x:v>.xlsx</x:v>
      </x:c>
      <x:c r="G475" s="25" t="str">
        <x:v>L2023-00036-1/붙임3_입찰관련서류_검토완_0717/Section 4.  Bill of Quantities(Not-Priced)/.Urgench_CM_Comments_Arch_VTC_and_TTC_ENG_20230707/1.2. Urgench CM Comments(Elec)_VTC+TTC-(ENG)__20230707.xlsx</x:v>
      </x:c>
      <x:c r="H475" s="28" t="n">
        <x:v>18391</x:v>
      </x:c>
      <x:c r="I475" s="22" t="str">
        <x:v>97cbb7c5606fd8e13d33953e0c4258dc32df19871ad462ac80d3d9ab0de4ebe3</x:v>
      </x:c>
      <x:c r="J475" s="22" t="n">
        <x:v>0</x:v>
      </x:c>
      <x:c r="K475" s="22" t="n">
        <x:v>1</x:v>
      </x:c>
      <x:c r="L475" s="22" t="n">
        <x:v>1</x:v>
      </x:c>
      <x:c r="M475" s="28" t="n">
        <x:v>0</x:v>
      </x:c>
      <x:c r="N475" s="28" t="n">
        <x:v>0</x:v>
      </x:c>
      <x:c r="O475" s="28" t="n">
        <x:v>0</x:v>
      </x:c>
      <x:c r="P475" s="62" t="n">
        <x:v>0</x:v>
      </x:c>
      <x:c r="Q475" s="22" t="n">
        <x:v>0</x:v>
      </x:c>
      <x:c r="R475" s="22" t="str"/>
      <x:c r="S475" s="22" t="str"/>
      <x:c r="T475" s="22" t="str"/>
    </x:row>
    <x:row r="476">
      <x:c r="A476" s="22" t="str">
        <x:v>2020-00086</x:v>
      </x:c>
      <x:c r="B476" s="22" t="str">
        <x:v>L2023-00036-1</x:v>
      </x:c>
      <x:c r="C476" s="22" t="str">
        <x:v>공사</x:v>
      </x:c>
      <x:c r="D476" s="25" t="str">
        <x:v>우즈베키스탄 우르겐치 직업훈련원 건립 및 타슈켄트 교사연수센터 건립사업 시공업체선정 현지입찰</x:v>
      </x:c>
      <x:c r="E476" s="22" t="n">
        <x:v>1</x:v>
      </x:c>
      <x:c r="F476" s="22" t="str">
        <x:v>.xls</x:v>
      </x:c>
      <x:c r="G476" s="25" t="str">
        <x:v>L2023-00036-1/붙임3_입찰관련서류_검토완_0717/Section 4.  Bill of Quantities(Not-Priced)/공내역서/Total Table(VTC+TTC o).xls</x:v>
      </x:c>
      <x:c r="H476" s="28" t="n">
        <x:v>46592</x:v>
      </x:c>
      <x:c r="I476" s="22" t="str">
        <x:v>2b31964c93f2361fea7c845e3bb14da51759b044460b06d74d5174fc81a876a8</x:v>
      </x:c>
      <x:c r="J476" s="22" t="n">
        <x:v>0</x:v>
      </x:c>
      <x:c r="K476" s="22" t="n">
        <x:v>1</x:v>
      </x:c>
      <x:c r="L476" s="22" t="n">
        <x:v>1</x:v>
      </x:c>
      <x:c r="M476" s="28" t="n">
        <x:v>0</x:v>
      </x:c>
      <x:c r="N476" s="28" t="n">
        <x:v>0</x:v>
      </x:c>
      <x:c r="O476" s="28" t="n">
        <x:v>0</x:v>
      </x:c>
      <x:c r="P476" s="62" t="n">
        <x:v>0</x:v>
      </x:c>
      <x:c r="Q476" s="22" t="n">
        <x:v>0</x:v>
      </x:c>
      <x:c r="R476" s="22" t="str"/>
      <x:c r="S476" s="22" t="str"/>
      <x:c r="T476" s="22" t="str"/>
    </x:row>
    <x:row r="477">
      <x:c r="A477" s="22" t="str">
        <x:v>2020-00086</x:v>
      </x:c>
      <x:c r="B477" s="22" t="str">
        <x:v>L2023-00036-1</x:v>
      </x:c>
      <x:c r="C477" s="22" t="str">
        <x:v>공사</x:v>
      </x:c>
      <x:c r="D477" s="25" t="str">
        <x:v>우즈베키스탄 우르겐치 직업훈련원 건립 및 타슈켄트 교사연수센터 건립사업 시공업체선정 현지입찰</x:v>
      </x:c>
      <x:c r="E477" s="22" t="n">
        <x:v>1</x:v>
      </x:c>
      <x:c r="F477" s="22" t="str">
        <x:v>.docx</x:v>
      </x:c>
      <x:c r="G477" s="25" t="str">
        <x:v>L2023-00036-1/붙임3_입찰관련서류_검토완_0717/Section 4.  Bill of Quantities(Not-Priced)/공내역서/TTC견적서/Estimate Manual(VTC+TTC).docx</x:v>
      </x:c>
      <x:c r="H477" s="28" t="n">
        <x:v>61925</x:v>
      </x:c>
      <x:c r="I477" s="22" t="str">
        <x:v>45d6dcb2d563481212a18017b78a268e453685bae9d504e1f74e23b5679e21b1</x:v>
      </x:c>
      <x:c r="J477" s="22" t="n">
        <x:v>0</x:v>
      </x:c>
      <x:c r="K477" s="22" t="n">
        <x:v>1</x:v>
      </x:c>
      <x:c r="L477" s="22" t="n">
        <x:v>1</x:v>
      </x:c>
      <x:c r="M477" s="28" t="n">
        <x:v>0</x:v>
      </x:c>
      <x:c r="N477" s="28" t="n">
        <x:v>0</x:v>
      </x:c>
      <x:c r="O477" s="28" t="n">
        <x:v>0</x:v>
      </x:c>
      <x:c r="P477" s="62" t="n">
        <x:v>0</x:v>
      </x:c>
      <x:c r="Q477" s="22" t="n">
        <x:v>0</x:v>
      </x:c>
      <x:c r="R477" s="22" t="str"/>
      <x:c r="S477" s="22" t="str"/>
      <x:c r="T477" s="22" t="str"/>
    </x:row>
    <x:row r="478">
      <x:c r="A478" s="22" t="str">
        <x:v>2020-00086</x:v>
      </x:c>
      <x:c r="B478" s="22" t="str">
        <x:v>L2023-00036-1</x:v>
      </x:c>
      <x:c r="C478" s="22" t="str">
        <x:v>공사</x:v>
      </x:c>
      <x:c r="D478" s="25" t="str">
        <x:v>우즈베키스탄 우르겐치 직업훈련원 건립 및 타슈켄트 교사연수센터 건립사업 시공업체선정 현지입찰</x:v>
      </x:c>
      <x:c r="E478" s="22" t="n">
        <x:v>1</x:v>
      </x:c>
      <x:c r="F478" s="22" t="str">
        <x:v>.xls</x:v>
      </x:c>
      <x:c r="G478" s="25" t="str">
        <x:v>L2023-00036-1/붙임3_입찰관련서류_검토완_0717/Section 4.  Bill of Quantities(Not-Priced)/공내역서/TTC견적서/Total Table(TTC o).xls</x:v>
      </x:c>
      <x:c r="H478" s="28" t="n">
        <x:v>46080</x:v>
      </x:c>
      <x:c r="I478" s="22" t="str">
        <x:v>28d446c09dedabb50892b509edb8f58f15a29925ca0afbc015ed89632a9de30e</x:v>
      </x:c>
      <x:c r="J478" s="22" t="n">
        <x:v>0</x:v>
      </x:c>
      <x:c r="K478" s="22" t="n">
        <x:v>1</x:v>
      </x:c>
      <x:c r="L478" s="22" t="n">
        <x:v>1</x:v>
      </x:c>
      <x:c r="M478" s="28" t="n">
        <x:v>0</x:v>
      </x:c>
      <x:c r="N478" s="28" t="n">
        <x:v>0</x:v>
      </x:c>
      <x:c r="O478" s="28" t="n">
        <x:v>0</x:v>
      </x:c>
      <x:c r="P478" s="62" t="n">
        <x:v>0</x:v>
      </x:c>
      <x:c r="Q478" s="22" t="n">
        <x:v>0</x:v>
      </x:c>
      <x:c r="R478" s="22" t="str"/>
      <x:c r="S478" s="22" t="str"/>
      <x:c r="T478" s="22" t="str"/>
    </x:row>
    <x:row r="479">
      <x:c r="A479" s="22" t="str">
        <x:v>2020-00086</x:v>
      </x:c>
      <x:c r="B479" s="22" t="str">
        <x:v>L2023-00036-1</x:v>
      </x:c>
      <x:c r="C479" s="22" t="str">
        <x:v>공사</x:v>
      </x:c>
      <x:c r="D479" s="25" t="str">
        <x:v>우즈베키스탄 우르겐치 직업훈련원 건립 및 타슈켄트 교사연수센터 건립사업 시공업체선정 현지입찰</x:v>
      </x:c>
      <x:c r="E479" s="22" t="n">
        <x:v>1</x:v>
      </x:c>
      <x:c r="F479" s="22" t="str">
        <x:v>.docx</x:v>
      </x:c>
      <x:c r="G479" s="25" t="str">
        <x:v>L2023-00036-1/붙임3_입찰관련서류_검토완_0717/Section 4.  Bill of Quantities(Not-Priced)/공내역서/VTC견적서/Estimate Manual(VTC+TTC).docx</x:v>
      </x:c>
      <x:c r="H479" s="28" t="n">
        <x:v>61925</x:v>
      </x:c>
      <x:c r="I479" s="22" t="str">
        <x:v>45d6dcb2d563481212a18017b78a268e453685bae9d504e1f74e23b5679e21b1</x:v>
      </x:c>
      <x:c r="J479" s="22" t="n">
        <x:v>0</x:v>
      </x:c>
      <x:c r="K479" s="22" t="n">
        <x:v>1</x:v>
      </x:c>
      <x:c r="L479" s="22" t="n">
        <x:v>1</x:v>
      </x:c>
      <x:c r="M479" s="28" t="n">
        <x:v>0</x:v>
      </x:c>
      <x:c r="N479" s="28" t="n">
        <x:v>0</x:v>
      </x:c>
      <x:c r="O479" s="28" t="n">
        <x:v>0</x:v>
      </x:c>
      <x:c r="P479" s="62" t="n">
        <x:v>0</x:v>
      </x:c>
      <x:c r="Q479" s="22" t="n">
        <x:v>0</x:v>
      </x:c>
      <x:c r="R479" s="22" t="str"/>
      <x:c r="S479" s="22" t="str"/>
      <x:c r="T479" s="22" t="str"/>
    </x:row>
    <x:row r="480">
      <x:c r="A480" s="22" t="str">
        <x:v>2020-00086</x:v>
      </x:c>
      <x:c r="B480" s="22" t="str">
        <x:v>L2023-00036-1</x:v>
      </x:c>
      <x:c r="C480" s="22" t="str">
        <x:v>공사</x:v>
      </x:c>
      <x:c r="D480" s="25" t="str">
        <x:v>우즈베키스탄 우르겐치 직업훈련원 건립 및 타슈켄트 교사연수센터 건립사업 시공업체선정 현지입찰</x:v>
      </x:c>
      <x:c r="E480" s="22" t="n">
        <x:v>1</x:v>
      </x:c>
      <x:c r="F480" s="22" t="str">
        <x:v>.xls</x:v>
      </x:c>
      <x:c r="G480" s="25" t="str">
        <x:v>L2023-00036-1/붙임3_입찰관련서류_검토완_0717/Section 4.  Bill of Quantities(Not-Priced)/공내역서/VTC견적서/Total Table(VTC o).xls</x:v>
      </x:c>
      <x:c r="H480" s="28" t="n">
        <x:v>53248</x:v>
      </x:c>
      <x:c r="I480" s="22" t="str">
        <x:v>95215ae6e2ec160e32c5a08207e13a9f849e9f0f7420e9315a16d201c6b36283</x:v>
      </x:c>
      <x:c r="J480" s="22" t="n">
        <x:v>0</x:v>
      </x:c>
      <x:c r="K480" s="22" t="n">
        <x:v>1</x:v>
      </x:c>
      <x:c r="L480" s="22" t="n">
        <x:v>1</x:v>
      </x:c>
      <x:c r="M480" s="28" t="n">
        <x:v>0</x:v>
      </x:c>
      <x:c r="N480" s="28" t="n">
        <x:v>0</x:v>
      </x:c>
      <x:c r="O480" s="28" t="n">
        <x:v>0</x:v>
      </x:c>
      <x:c r="P480" s="62" t="n">
        <x:v>0</x:v>
      </x:c>
      <x:c r="Q480" s="22" t="n">
        <x:v>0</x:v>
      </x:c>
      <x:c r="R480" s="22" t="str"/>
      <x:c r="S480" s="22" t="str"/>
      <x:c r="T480" s="22" t="str"/>
    </x:row>
    <x:row r="481">
      <x:c r="A481" s="22" t="str">
        <x:v>2020-00086</x:v>
      </x:c>
      <x:c r="B481" s="22" t="str">
        <x:v>L2023-00036-1</x:v>
      </x:c>
      <x:c r="C481" s="22" t="str">
        <x:v>공사</x:v>
      </x:c>
      <x:c r="D481" s="25" t="str">
        <x:v>우즈베키스탄 우르겐치 직업훈련원 건립 및 타슈켄트 교사연수센터 건립사업 시공업체선정 현지입찰</x:v>
      </x:c>
      <x:c r="E481" s="22" t="n">
        <x:v>1</x:v>
      </x:c>
      <x:c r="F481" s="22" t="str">
        <x:v>.xls</x:v>
      </x:c>
      <x:c r="G481" s="25" t="str">
        <x:v>L2023-00036-1/붙임3_입찰관련서류_검토완_0717/Section 4.  Bill of Quantities(Not-Priced)/공내역서/VTC견적서/9 ТП(Transformers)/СВОДКА ТП o.xls</x:v>
      </x:c>
      <x:c r="H481" s="28" t="n">
        <x:v>37376</x:v>
      </x:c>
      <x:c r="I481" s="22" t="str">
        <x:v>facd6690ec26530b590132959b7d4a075ba1994b5106b4bcde8fc118b849ef8c</x:v>
      </x:c>
      <x:c r="J481" s="22" t="n">
        <x:v>0</x:v>
      </x:c>
      <x:c r="K481" s="22" t="n">
        <x:v>1</x:v>
      </x:c>
      <x:c r="L481" s="22" t="n">
        <x:v>1</x:v>
      </x:c>
      <x:c r="M481" s="28" t="n">
        <x:v>0</x:v>
      </x:c>
      <x:c r="N481" s="28" t="n">
        <x:v>0</x:v>
      </x:c>
      <x:c r="O481" s="28" t="n">
        <x:v>0</x:v>
      </x:c>
      <x:c r="P481" s="62" t="n">
        <x:v>0</x:v>
      </x:c>
      <x:c r="Q481" s="22" t="n">
        <x:v>0</x:v>
      </x:c>
      <x:c r="R481" s="22" t="str"/>
      <x:c r="S481" s="22" t="str"/>
      <x:c r="T481" s="22" t="str"/>
    </x:row>
    <x:row r="482">
      <x:c r="A482" s="22" t="str">
        <x:v>2020-00086</x:v>
      </x:c>
      <x:c r="B482" s="22" t="str">
        <x:v>L2023-00036-1</x:v>
      </x:c>
      <x:c r="C482" s="22" t="str">
        <x:v>공사</x:v>
      </x:c>
      <x:c r="D482" s="25" t="str">
        <x:v>우즈베키스탄 우르겐치 직업훈련원 건립 및 타슈켄트 교사연수센터 건립사업 시공업체선정 현지입찰</x:v>
      </x:c>
      <x:c r="E482" s="22" t="n">
        <x:v>1</x:v>
      </x:c>
      <x:c r="F482" s="22" t="str">
        <x:v>.doc</x:v>
      </x:c>
      <x:c r="G482" s="25" t="str">
        <x:v>L2023-00036-1/붙임3_입찰관련서류_검토완_0717/Section 4.  Bill of Quantities(Not-Priced)/공내역서/VTC견적서/9 ТП(Transformers)/Титул  ТОМ XI.doc</x:v>
      </x:c>
      <x:c r="H482" s="28" t="n">
        <x:v>31232</x:v>
      </x:c>
      <x:c r="I482" s="22" t="str">
        <x:v>562b75d717c841e3583929c3dc728976da62eae357252f326b5e55a04f1d196c</x:v>
      </x:c>
      <x:c r="J482" s="22" t="n">
        <x:v>0</x:v>
      </x:c>
      <x:c r="K482" s="22" t="n">
        <x:v>1</x:v>
      </x:c>
      <x:c r="L482" s="22" t="n">
        <x:v>1</x:v>
      </x:c>
      <x:c r="M482" s="28" t="n">
        <x:v>0</x:v>
      </x:c>
      <x:c r="N482" s="28" t="n">
        <x:v>0</x:v>
      </x:c>
      <x:c r="O482" s="28" t="n">
        <x:v>0</x:v>
      </x:c>
      <x:c r="P482" s="62" t="n">
        <x:v>0</x:v>
      </x:c>
      <x:c r="Q482" s="22" t="n">
        <x:v>0</x:v>
      </x:c>
      <x:c r="R482" s="22" t="str"/>
      <x:c r="S482" s="22" t="str"/>
      <x:c r="T482" s="22" t="str"/>
    </x:row>
    <x:row r="483">
      <x:c r="A483" s="22" t="str">
        <x:v>2020-00086</x:v>
      </x:c>
      <x:c r="B483" s="22" t="str">
        <x:v>L2023-00036-1</x:v>
      </x:c>
      <x:c r="C483" s="22" t="str">
        <x:v>공사</x:v>
      </x:c>
      <x:c r="D483" s="25" t="str">
        <x:v>우즈베키스탄 우르겐치 직업훈련원 건립 및 타슈켄트 교사연수센터 건립사업 시공업체선정 현지입찰</x:v>
      </x:c>
      <x:c r="E483" s="22" t="n">
        <x:v>1</x:v>
      </x:c>
      <x:c r="F483" s="22" t="str">
        <x:v>.xls</x:v>
      </x:c>
      <x:c r="G483" s="25" t="str">
        <x:v>L2023-00036-1/붙임3_입찰관련서류_검토완_0717/Section 4.  Bill of Quantities(Not-Priced)/공내역서/VTC견적서/5 МИНИКУХНЯ(Mini Cafe)/СВОДКА МИНИ-КУХНЯ o.xls</x:v>
      </x:c>
      <x:c r="H483" s="28" t="n">
        <x:v>40448</x:v>
      </x:c>
      <x:c r="I483" s="22" t="str">
        <x:v>8f914360b8e4f1fc5d8468deaf2b61af743e6873fa2b694c0fb7dbcc7a4bed51</x:v>
      </x:c>
      <x:c r="J483" s="22" t="n">
        <x:v>0</x:v>
      </x:c>
      <x:c r="K483" s="22" t="n">
        <x:v>1</x:v>
      </x:c>
      <x:c r="L483" s="22" t="n">
        <x:v>1</x:v>
      </x:c>
      <x:c r="M483" s="28" t="n">
        <x:v>0</x:v>
      </x:c>
      <x:c r="N483" s="28" t="n">
        <x:v>0</x:v>
      </x:c>
      <x:c r="O483" s="28" t="n">
        <x:v>0</x:v>
      </x:c>
      <x:c r="P483" s="62" t="n">
        <x:v>0</x:v>
      </x:c>
      <x:c r="Q483" s="22" t="n">
        <x:v>0</x:v>
      </x:c>
      <x:c r="R483" s="22" t="str"/>
      <x:c r="S483" s="22" t="str"/>
      <x:c r="T483" s="22" t="str"/>
    </x:row>
    <x:row r="484">
      <x:c r="A484" s="22" t="str">
        <x:v>2020-00086</x:v>
      </x:c>
      <x:c r="B484" s="22" t="str">
        <x:v>L2023-00036-1</x:v>
      </x:c>
      <x:c r="C484" s="22" t="str">
        <x:v>공사</x:v>
      </x:c>
      <x:c r="D484" s="25" t="str">
        <x:v>우즈베키스탄 우르겐치 직업훈련원 건립 및 타슈켄트 교사연수센터 건립사업 시공업체선정 현지입찰</x:v>
      </x:c>
      <x:c r="E484" s="22" t="n">
        <x:v>1</x:v>
      </x:c>
      <x:c r="F484" s="22" t="str">
        <x:v>.doc</x:v>
      </x:c>
      <x:c r="G484" s="25" t="str">
        <x:v>L2023-00036-1/붙임3_입찰관련서류_검토완_0717/Section 4.  Bill of Quantities(Not-Priced)/공내역서/VTC견적서/5 МИНИКУХНЯ(Mini Cafe)/Титул  ТОМ VI.doc</x:v>
      </x:c>
      <x:c r="H484" s="28" t="n">
        <x:v>31232</x:v>
      </x:c>
      <x:c r="I484" s="22" t="str">
        <x:v>5d3df82f7fc981a9739b9b7c058a93fee78c22081ac1c704fbb85f9f85a42c87</x:v>
      </x:c>
      <x:c r="J484" s="22" t="n">
        <x:v>0</x:v>
      </x:c>
      <x:c r="K484" s="22" t="n">
        <x:v>1</x:v>
      </x:c>
      <x:c r="L484" s="22" t="n">
        <x:v>1</x:v>
      </x:c>
      <x:c r="M484" s="28" t="n">
        <x:v>0</x:v>
      </x:c>
      <x:c r="N484" s="28" t="n">
        <x:v>0</x:v>
      </x:c>
      <x:c r="O484" s="28" t="n">
        <x:v>0</x:v>
      </x:c>
      <x:c r="P484" s="62" t="n">
        <x:v>0</x:v>
      </x:c>
      <x:c r="Q484" s="22" t="n">
        <x:v>0</x:v>
      </x:c>
      <x:c r="R484" s="22" t="str"/>
      <x:c r="S484" s="22" t="str"/>
      <x:c r="T484" s="22" t="str"/>
    </x:row>
    <x:row r="485">
      <x:c r="A485" s="22" t="str">
        <x:v>2020-00086</x:v>
      </x:c>
      <x:c r="B485" s="22" t="str">
        <x:v>L2023-00036-1</x:v>
      </x:c>
      <x:c r="C485" s="22" t="str">
        <x:v>공사</x:v>
      </x:c>
      <x:c r="D485" s="25" t="str">
        <x:v>우즈베키스탄 우르겐치 직업훈련원 건립 및 타슈켄트 교사연수센터 건립사업 시공업체선정 현지입찰</x:v>
      </x:c>
      <x:c r="E485" s="22" t="n">
        <x:v>1</x:v>
      </x:c>
      <x:c r="F485" s="22" t="str">
        <x:v>.xls</x:v>
      </x:c>
      <x:c r="G485" s="25" t="str">
        <x:v>L2023-00036-1/붙임3_입찰관련서류_검토완_0717/Section 4.  Bill of Quantities(Not-Priced)/공내역서/VTC견적서/1 АДМИН ЗДАНИЕ(Admin. Build)/СВОДКА АДМИН ЗДАНИЕ o.xls</x:v>
      </x:c>
      <x:c r="H485" s="28" t="n">
        <x:v>43008</x:v>
      </x:c>
      <x:c r="I485" s="22" t="str">
        <x:v>239cf320377a69c6514a677d854e57982e433342b7a55f43a6b4565f1d6e2655</x:v>
      </x:c>
      <x:c r="J485" s="22" t="n">
        <x:v>0</x:v>
      </x:c>
      <x:c r="K485" s="22" t="n">
        <x:v>1</x:v>
      </x:c>
      <x:c r="L485" s="22" t="n">
        <x:v>1</x:v>
      </x:c>
      <x:c r="M485" s="28" t="n">
        <x:v>0</x:v>
      </x:c>
      <x:c r="N485" s="28" t="n">
        <x:v>0</x:v>
      </x:c>
      <x:c r="O485" s="28" t="n">
        <x:v>0</x:v>
      </x:c>
      <x:c r="P485" s="62" t="n">
        <x:v>0</x:v>
      </x:c>
      <x:c r="Q485" s="22" t="n">
        <x:v>0</x:v>
      </x:c>
      <x:c r="R485" s="22" t="str"/>
      <x:c r="S485" s="22" t="str"/>
      <x:c r="T485" s="22" t="str"/>
    </x:row>
    <x:row r="486">
      <x:c r="A486" s="22" t="str">
        <x:v>2020-00086</x:v>
      </x:c>
      <x:c r="B486" s="22" t="str">
        <x:v>L2023-00036-1</x:v>
      </x:c>
      <x:c r="C486" s="22" t="str">
        <x:v>공사</x:v>
      </x:c>
      <x:c r="D486" s="25" t="str">
        <x:v>우즈베키스탄 우르겐치 직업훈련원 건립 및 타슈켄트 교사연수센터 건립사업 시공업체선정 현지입찰</x:v>
      </x:c>
      <x:c r="E486" s="22" t="n">
        <x:v>1</x:v>
      </x:c>
      <x:c r="F486" s="22" t="str">
        <x:v>.doc</x:v>
      </x:c>
      <x:c r="G486" s="25" t="str">
        <x:v>L2023-00036-1/붙임3_입찰관련서류_검토완_0717/Section 4.  Bill of Quantities(Not-Priced)/공내역서/VTC견적서/1 АДМИН ЗДАНИЕ(Admin. Build)/Титул  ТОМ II.doc</x:v>
      </x:c>
      <x:c r="H486" s="28" t="n">
        <x:v>30720</x:v>
      </x:c>
      <x:c r="I486" s="22" t="str">
        <x:v>835c98ce909b2e964c2710e36061eb15d37eb1fc6a1e589b4eb01f7a428e6ab1</x:v>
      </x:c>
      <x:c r="J486" s="22" t="n">
        <x:v>0</x:v>
      </x:c>
      <x:c r="K486" s="22" t="n">
        <x:v>1</x:v>
      </x:c>
      <x:c r="L486" s="22" t="n">
        <x:v>1</x:v>
      </x:c>
      <x:c r="M486" s="28" t="n">
        <x:v>0</x:v>
      </x:c>
      <x:c r="N486" s="28" t="n">
        <x:v>0</x:v>
      </x:c>
      <x:c r="O486" s="28" t="n">
        <x:v>0</x:v>
      </x:c>
      <x:c r="P486" s="62" t="n">
        <x:v>0</x:v>
      </x:c>
      <x:c r="Q486" s="22" t="n">
        <x:v>0</x:v>
      </x:c>
      <x:c r="R486" s="22" t="str"/>
      <x:c r="S486" s="22" t="str"/>
      <x:c r="T486" s="22" t="str"/>
    </x:row>
    <x:row r="487">
      <x:c r="A487" s="22" t="str">
        <x:v>2020-00086</x:v>
      </x:c>
      <x:c r="B487" s="22" t="str">
        <x:v>L2023-00036-1</x:v>
      </x:c>
      <x:c r="C487" s="22" t="str">
        <x:v>공사</x:v>
      </x:c>
      <x:c r="D487" s="25" t="str">
        <x:v>우즈베키스탄 우르겐치 직업훈련원 건립 및 타슈켄트 교사연수센터 건립사업 시공업체선정 현지입찰</x:v>
      </x:c>
      <x:c r="E487" s="22" t="n">
        <x:v>1</x:v>
      </x:c>
      <x:c r="F487" s="22" t="str">
        <x:v>.xls</x:v>
      </x:c>
      <x:c r="G487" s="25" t="str">
        <x:v>L2023-00036-1/붙임3_입찰관련서류_검토완_0717/Section 4.  Bill of Quantities(Not-Priced)/공내역서/VTC견적서/2 УПК(Practice and Education Building)/СВОДКА УНП o.xls</x:v>
      </x:c>
      <x:c r="H487" s="28" t="n">
        <x:v>41984</x:v>
      </x:c>
      <x:c r="I487" s="22" t="str">
        <x:v>4e9e4173d9aaf338992fc1a73bdba899f9b1309cc10a476fa73a616edd0c77fa</x:v>
      </x:c>
      <x:c r="J487" s="22" t="n">
        <x:v>0</x:v>
      </x:c>
      <x:c r="K487" s="22" t="n">
        <x:v>1</x:v>
      </x:c>
      <x:c r="L487" s="22" t="n">
        <x:v>1</x:v>
      </x:c>
      <x:c r="M487" s="28" t="n">
        <x:v>0</x:v>
      </x:c>
      <x:c r="N487" s="28" t="n">
        <x:v>0</x:v>
      </x:c>
      <x:c r="O487" s="28" t="n">
        <x:v>0</x:v>
      </x:c>
      <x:c r="P487" s="62" t="n">
        <x:v>0</x:v>
      </x:c>
      <x:c r="Q487" s="22" t="n">
        <x:v>0</x:v>
      </x:c>
      <x:c r="R487" s="22" t="str"/>
      <x:c r="S487" s="22" t="str"/>
      <x:c r="T487" s="22" t="str"/>
    </x:row>
    <x:row r="488">
      <x:c r="A488" s="22" t="str">
        <x:v>2020-00086</x:v>
      </x:c>
      <x:c r="B488" s="22" t="str">
        <x:v>L2023-00036-1</x:v>
      </x:c>
      <x:c r="C488" s="22" t="str">
        <x:v>공사</x:v>
      </x:c>
      <x:c r="D488" s="25" t="str">
        <x:v>우즈베키스탄 우르겐치 직업훈련원 건립 및 타슈켄트 교사연수센터 건립사업 시공업체선정 현지입찰</x:v>
      </x:c>
      <x:c r="E488" s="22" t="n">
        <x:v>1</x:v>
      </x:c>
      <x:c r="F488" s="22" t="str">
        <x:v>.doc</x:v>
      </x:c>
      <x:c r="G488" s="25" t="str">
        <x:v>L2023-00036-1/붙임3_입찰관련서류_검토완_0717/Section 4.  Bill of Quantities(Not-Priced)/공내역서/VTC견적서/2 УПК(Practice and Education Building)/Титул  ТОМ III.doc</x:v>
      </x:c>
      <x:c r="H488" s="28" t="n">
        <x:v>31232</x:v>
      </x:c>
      <x:c r="I488" s="22" t="str">
        <x:v>f8ec15c11cbb553ae2762ca699a90e16cd13aa1ef2cbd491e594fed4da383a69</x:v>
      </x:c>
      <x:c r="J488" s="22" t="n">
        <x:v>0</x:v>
      </x:c>
      <x:c r="K488" s="22" t="n">
        <x:v>1</x:v>
      </x:c>
      <x:c r="L488" s="22" t="n">
        <x:v>1</x:v>
      </x:c>
      <x:c r="M488" s="28" t="n">
        <x:v>0</x:v>
      </x:c>
      <x:c r="N488" s="28" t="n">
        <x:v>0</x:v>
      </x:c>
      <x:c r="O488" s="28" t="n">
        <x:v>0</x:v>
      </x:c>
      <x:c r="P488" s="62" t="n">
        <x:v>0</x:v>
      </x:c>
      <x:c r="Q488" s="22" t="n">
        <x:v>0</x:v>
      </x:c>
      <x:c r="R488" s="22" t="str"/>
      <x:c r="S488" s="22" t="str"/>
      <x:c r="T488" s="22" t="str"/>
    </x:row>
    <x:row r="489">
      <x:c r="A489" s="22" t="str">
        <x:v>2020-00086</x:v>
      </x:c>
      <x:c r="B489" s="22" t="str">
        <x:v>L2023-00036-1</x:v>
      </x:c>
      <x:c r="C489" s="22" t="str">
        <x:v>공사</x:v>
      </x:c>
      <x:c r="D489" s="25" t="str">
        <x:v>우즈베키스탄 우르겐치 직업훈련원 건립 및 타슈켄트 교사연수센터 건립사업 시공업체선정 현지입찰</x:v>
      </x:c>
      <x:c r="E489" s="22" t="n">
        <x:v>1</x:v>
      </x:c>
      <x:c r="F489" s="22" t="str">
        <x:v>.xls</x:v>
      </x:c>
      <x:c r="G489" s="25" t="str">
        <x:v>L2023-00036-1/붙임3_입찰관련서류_검토완_0717/Section 4.  Bill of Quantities(Not-Priced)/공내역서/VTC견적서/6 КПП(Guard House+Fence &amp; Gate)/СВОДКА КПП o.xls</x:v>
      </x:c>
      <x:c r="H489" s="28" t="n">
        <x:v>39936</x:v>
      </x:c>
      <x:c r="I489" s="22" t="str">
        <x:v>d27c5152b98d05c4e041485209c2097fc8c59879eaa9b7191d41891200560736</x:v>
      </x:c>
      <x:c r="J489" s="22" t="n">
        <x:v>0</x:v>
      </x:c>
      <x:c r="K489" s="22" t="n">
        <x:v>1</x:v>
      </x:c>
      <x:c r="L489" s="22" t="n">
        <x:v>1</x:v>
      </x:c>
      <x:c r="M489" s="28" t="n">
        <x:v>0</x:v>
      </x:c>
      <x:c r="N489" s="28" t="n">
        <x:v>0</x:v>
      </x:c>
      <x:c r="O489" s="28" t="n">
        <x:v>0</x:v>
      </x:c>
      <x:c r="P489" s="62" t="n">
        <x:v>0</x:v>
      </x:c>
      <x:c r="Q489" s="22" t="n">
        <x:v>0</x:v>
      </x:c>
      <x:c r="R489" s="22" t="str"/>
      <x:c r="S489" s="22" t="str"/>
      <x:c r="T489" s="22" t="str"/>
    </x:row>
    <x:row r="490">
      <x:c r="A490" s="22" t="str">
        <x:v>2020-00086</x:v>
      </x:c>
      <x:c r="B490" s="22" t="str">
        <x:v>L2023-00036-1</x:v>
      </x:c>
      <x:c r="C490" s="22" t="str">
        <x:v>공사</x:v>
      </x:c>
      <x:c r="D490" s="25" t="str">
        <x:v>우즈베키스탄 우르겐치 직업훈련원 건립 및 타슈켄트 교사연수센터 건립사업 시공업체선정 현지입찰</x:v>
      </x:c>
      <x:c r="E490" s="22" t="n">
        <x:v>1</x:v>
      </x:c>
      <x:c r="F490" s="22" t="str">
        <x:v>.doc</x:v>
      </x:c>
      <x:c r="G490" s="25" t="str">
        <x:v>L2023-00036-1/붙임3_입찰관련서류_검토완_0717/Section 4.  Bill of Quantities(Not-Priced)/공내역서/VTC견적서/6 КПП(Guard House+Fence &amp; Gate)/Титул  ТОМ VII.doc</x:v>
      </x:c>
      <x:c r="H490" s="28" t="n">
        <x:v>31232</x:v>
      </x:c>
      <x:c r="I490" s="22" t="str">
        <x:v>d3a2878206d1a5ed18bf735bd8e0e29bcf39f0f7e7908670880919bce45c4d64</x:v>
      </x:c>
      <x:c r="J490" s="22" t="n">
        <x:v>0</x:v>
      </x:c>
      <x:c r="K490" s="22" t="n">
        <x:v>1</x:v>
      </x:c>
      <x:c r="L490" s="22" t="n">
        <x:v>1</x:v>
      </x:c>
      <x:c r="M490" s="28" t="n">
        <x:v>0</x:v>
      </x:c>
      <x:c r="N490" s="28" t="n">
        <x:v>0</x:v>
      </x:c>
      <x:c r="O490" s="28" t="n">
        <x:v>0</x:v>
      </x:c>
      <x:c r="P490" s="62" t="n">
        <x:v>0</x:v>
      </x:c>
      <x:c r="Q490" s="22" t="n">
        <x:v>0</x:v>
      </x:c>
      <x:c r="R490" s="22" t="str"/>
      <x:c r="S490" s="22" t="str"/>
      <x:c r="T490" s="22" t="str"/>
    </x:row>
    <x:row r="491">
      <x:c r="A491" s="22" t="str">
        <x:v>2020-00086</x:v>
      </x:c>
      <x:c r="B491" s="22" t="str">
        <x:v>L2023-00036-1</x:v>
      </x:c>
      <x:c r="C491" s="22" t="str">
        <x:v>공사</x:v>
      </x:c>
      <x:c r="D491" s="25" t="str">
        <x:v>우즈베키스탄 우르겐치 직업훈련원 건립 및 타슈켄트 교사연수센터 건립사업 시공업체선정 현지입찰</x:v>
      </x:c>
      <x:c r="E491" s="22" t="n">
        <x:v>1</x:v>
      </x:c>
      <x:c r="F491" s="22" t="str">
        <x:v>.doc</x:v>
      </x:c>
      <x:c r="G491" s="25" t="str">
        <x:v>L2023-00036-1/붙임3_입찰관련서류_검토완_0717/Section 4.  Bill of Quantities(Not-Priced)/공내역서/VTC견적서/0 ГП(Site Plan &amp; Landscape+Outdoor Infra)/Титул  ГП.doc</x:v>
      </x:c>
      <x:c r="H491" s="28" t="n">
        <x:v>31232</x:v>
      </x:c>
      <x:c r="I491" s="22" t="str">
        <x:v>668b31d75f72b7e552805f9881eb1194815e756808fbb34626fafe827afacac8</x:v>
      </x:c>
      <x:c r="J491" s="22" t="n">
        <x:v>0</x:v>
      </x:c>
      <x:c r="K491" s="22" t="n">
        <x:v>1</x:v>
      </x:c>
      <x:c r="L491" s="22" t="n">
        <x:v>1</x:v>
      </x:c>
      <x:c r="M491" s="28" t="n">
        <x:v>0</x:v>
      </x:c>
      <x:c r="N491" s="28" t="n">
        <x:v>0</x:v>
      </x:c>
      <x:c r="O491" s="28" t="n">
        <x:v>0</x:v>
      </x:c>
      <x:c r="P491" s="62" t="n">
        <x:v>0</x:v>
      </x:c>
      <x:c r="Q491" s="22" t="n">
        <x:v>0</x:v>
      </x:c>
      <x:c r="R491" s="22" t="str"/>
      <x:c r="S491" s="22" t="str"/>
      <x:c r="T491" s="22" t="str"/>
    </x:row>
    <x:row r="492">
      <x:c r="A492" s="22" t="str">
        <x:v>2020-00086</x:v>
      </x:c>
      <x:c r="B492" s="22" t="str">
        <x:v>L2023-00036-1</x:v>
      </x:c>
      <x:c r="C492" s="22" t="str">
        <x:v>공사</x:v>
      </x:c>
      <x:c r="D492" s="25" t="str">
        <x:v>우즈베키스탄 우르겐치 직업훈련원 건립 및 타슈켄트 교사연수센터 건립사업 시공업체선정 현지입찰</x:v>
      </x:c>
      <x:c r="E492" s="22" t="n">
        <x:v>1</x:v>
      </x:c>
      <x:c r="F492" s="22" t="str">
        <x:v>.xls</x:v>
      </x:c>
      <x:c r="G492" s="25" t="str">
        <x:v>L2023-00036-1/붙임3_입찰관련서류_검토완_0717/Section 4.  Bill of Quantities(Not-Priced)/공내역서/VTC견적서/0 ГП(Site Plan &amp; Landscape+Outdoor Infra)/СВОДКА ГП o.xls</x:v>
      </x:c>
      <x:c r="H492" s="28" t="n">
        <x:v>45568</x:v>
      </x:c>
      <x:c r="I492" s="22" t="str">
        <x:v>ea3f4e528b188609521baeecebb2d8c370f0b8bcb04912b0ecc7b6f576cead23</x:v>
      </x:c>
      <x:c r="J492" s="22" t="n">
        <x:v>0</x:v>
      </x:c>
      <x:c r="K492" s="22" t="n">
        <x:v>1</x:v>
      </x:c>
      <x:c r="L492" s="22" t="n">
        <x:v>1</x:v>
      </x:c>
      <x:c r="M492" s="28" t="n">
        <x:v>0</x:v>
      </x:c>
      <x:c r="N492" s="28" t="n">
        <x:v>0</x:v>
      </x:c>
      <x:c r="O492" s="28" t="n">
        <x:v>0</x:v>
      </x:c>
      <x:c r="P492" s="62" t="n">
        <x:v>0</x:v>
      </x:c>
      <x:c r="Q492" s="22" t="n">
        <x:v>0</x:v>
      </x:c>
      <x:c r="R492" s="22" t="str"/>
      <x:c r="S492" s="22" t="str"/>
      <x:c r="T492" s="22" t="str"/>
    </x:row>
    <x:row r="493">
      <x:c r="A493" s="22" t="str">
        <x:v>2020-00086</x:v>
      </x:c>
      <x:c r="B493" s="22" t="str">
        <x:v>L2023-00036-1</x:v>
      </x:c>
      <x:c r="C493" s="22" t="str">
        <x:v>공사</x:v>
      </x:c>
      <x:c r="D493" s="25" t="str">
        <x:v>우즈베키스탄 우르겐치 직업훈련원 건립 및 타슈켄트 교사연수센터 건립사업 시공업체선정 현지입찰</x:v>
      </x:c>
      <x:c r="E493" s="22" t="n">
        <x:v>1</x:v>
      </x:c>
      <x:c r="F493" s="22" t="str">
        <x:v>.doc</x:v>
      </x:c>
      <x:c r="G493" s="25" t="str">
        <x:v>L2023-00036-1/붙임3_입찰관련서류_검토완_0717/Section 4.  Bill of Quantities(Not-Priced)/공내역서/VTC견적서/7 КОМПРЕССОРАНЯ(Comp.+GAS storage)/Титул  ТОМ VIII.doc</x:v>
      </x:c>
      <x:c r="H493" s="28" t="n">
        <x:v>31232</x:v>
      </x:c>
      <x:c r="I493" s="22" t="str">
        <x:v>f5cd809cdb57d6a998fcf268c2026e9e6273e70367355d3819724a2f5393a610</x:v>
      </x:c>
      <x:c r="J493" s="22" t="n">
        <x:v>0</x:v>
      </x:c>
      <x:c r="K493" s="22" t="n">
        <x:v>1</x:v>
      </x:c>
      <x:c r="L493" s="22" t="n">
        <x:v>1</x:v>
      </x:c>
      <x:c r="M493" s="28" t="n">
        <x:v>0</x:v>
      </x:c>
      <x:c r="N493" s="28" t="n">
        <x:v>0</x:v>
      </x:c>
      <x:c r="O493" s="28" t="n">
        <x:v>0</x:v>
      </x:c>
      <x:c r="P493" s="62" t="n">
        <x:v>0</x:v>
      </x:c>
      <x:c r="Q493" s="22" t="n">
        <x:v>0</x:v>
      </x:c>
      <x:c r="R493" s="22" t="str"/>
      <x:c r="S493" s="22" t="str"/>
      <x:c r="T493" s="22" t="str"/>
    </x:row>
    <x:row r="494">
      <x:c r="A494" s="22" t="str">
        <x:v>2020-00086</x:v>
      </x:c>
      <x:c r="B494" s="22" t="str">
        <x:v>L2023-00036-1</x:v>
      </x:c>
      <x:c r="C494" s="22" t="str">
        <x:v>공사</x:v>
      </x:c>
      <x:c r="D494" s="25" t="str">
        <x:v>우즈베키스탄 우르겐치 직업훈련원 건립 및 타슈켄트 교사연수센터 건립사업 시공업체선정 현지입찰</x:v>
      </x:c>
      <x:c r="E494" s="22" t="n">
        <x:v>1</x:v>
      </x:c>
      <x:c r="F494" s="22" t="str">
        <x:v>.xls</x:v>
      </x:c>
      <x:c r="G494" s="25" t="str">
        <x:v>L2023-00036-1/붙임3_입찰관련서류_검토완_0717/Section 4.  Bill of Quantities(Not-Priced)/공내역서/VTC견적서/7 КОМПРЕССОРАНЯ(Comp.+GAS storage)/СВОДКА КОМПРЕССОРНАЯ o.xls</x:v>
      </x:c>
      <x:c r="H494" s="28" t="n">
        <x:v>38400</x:v>
      </x:c>
      <x:c r="I494" s="22" t="str">
        <x:v>0b2724d38273defda9a531465cca025007abde2b3afdd8f53e7888f815118475</x:v>
      </x:c>
      <x:c r="J494" s="22" t="n">
        <x:v>0</x:v>
      </x:c>
      <x:c r="K494" s="22" t="n">
        <x:v>1</x:v>
      </x:c>
      <x:c r="L494" s="22" t="n">
        <x:v>1</x:v>
      </x:c>
      <x:c r="M494" s="28" t="n">
        <x:v>0</x:v>
      </x:c>
      <x:c r="N494" s="28" t="n">
        <x:v>0</x:v>
      </x:c>
      <x:c r="O494" s="28" t="n">
        <x:v>0</x:v>
      </x:c>
      <x:c r="P494" s="62" t="n">
        <x:v>0</x:v>
      </x:c>
      <x:c r="Q494" s="22" t="n">
        <x:v>0</x:v>
      </x:c>
      <x:c r="R494" s="22" t="str"/>
      <x:c r="S494" s="22" t="str"/>
      <x:c r="T494" s="22" t="str"/>
    </x:row>
    <x:row r="495">
      <x:c r="A495" s="22" t="str">
        <x:v>2020-00086</x:v>
      </x:c>
      <x:c r="B495" s="22" t="str">
        <x:v>L2023-00036-1</x:v>
      </x:c>
      <x:c r="C495" s="22" t="str">
        <x:v>공사</x:v>
      </x:c>
      <x:c r="D495" s="25" t="str">
        <x:v>우즈베키스탄 우르겐치 직업훈련원 건립 및 타슈켄트 교사연수센터 건립사업 시공업체선정 현지입찰</x:v>
      </x:c>
      <x:c r="E495" s="22" t="n">
        <x:v>1</x:v>
      </x:c>
      <x:c r="F495" s="22" t="str">
        <x:v>.xls</x:v>
      </x:c>
      <x:c r="G495" s="25" t="str">
        <x:v>L2023-00036-1/붙임3_입찰관련서류_검토완_0717/Section 4.  Bill of Quantities(Not-Priced)/공내역서/VTC견적서/3 ОБЩЕЖИТИЕ(Dormitory)/СВОДКА ОБЩЕЖИТИЕ o.xls</x:v>
      </x:c>
      <x:c r="H495" s="28" t="n">
        <x:v>41984</x:v>
      </x:c>
      <x:c r="I495" s="22" t="str">
        <x:v>9e450ed4764d68cf1717aec94480771f8ac30c1c153541e64da47a920e09d403</x:v>
      </x:c>
      <x:c r="J495" s="22" t="n">
        <x:v>0</x:v>
      </x:c>
      <x:c r="K495" s="22" t="n">
        <x:v>1</x:v>
      </x:c>
      <x:c r="L495" s="22" t="n">
        <x:v>1</x:v>
      </x:c>
      <x:c r="M495" s="28" t="n">
        <x:v>0</x:v>
      </x:c>
      <x:c r="N495" s="28" t="n">
        <x:v>0</x:v>
      </x:c>
      <x:c r="O495" s="28" t="n">
        <x:v>0</x:v>
      </x:c>
      <x:c r="P495" s="62" t="n">
        <x:v>0</x:v>
      </x:c>
      <x:c r="Q495" s="22" t="n">
        <x:v>0</x:v>
      </x:c>
      <x:c r="R495" s="22" t="str"/>
      <x:c r="S495" s="22" t="str"/>
      <x:c r="T495" s="22" t="str"/>
    </x:row>
    <x:row r="496">
      <x:c r="A496" s="22" t="str">
        <x:v>2020-00086</x:v>
      </x:c>
      <x:c r="B496" s="22" t="str">
        <x:v>L2023-00036-1</x:v>
      </x:c>
      <x:c r="C496" s="22" t="str">
        <x:v>공사</x:v>
      </x:c>
      <x:c r="D496" s="25" t="str">
        <x:v>우즈베키스탄 우르겐치 직업훈련원 건립 및 타슈켄트 교사연수센터 건립사업 시공업체선정 현지입찰</x:v>
      </x:c>
      <x:c r="E496" s="22" t="n">
        <x:v>1</x:v>
      </x:c>
      <x:c r="F496" s="22" t="str">
        <x:v>.xls</x:v>
      </x:c>
      <x:c r="G496" s="25" t="str">
        <x:v>L2023-00036-1/붙임3_입찰관련서류_검토완_0717/Section 4.  Bill of Quantities(Not-Priced)/공내역서/VTC견적서/8 ПОЖАРНАЯ ЕМЪКОСТЬ(Fire Tank)/СВОДКА НАСОСНАЯ o.xls</x:v>
      </x:c>
      <x:c r="H496" s="28" t="n">
        <x:v>36864</x:v>
      </x:c>
      <x:c r="I496" s="22" t="str">
        <x:v>8ef74923d250818b9dc846d7e1e8cf5532a3e349c007a54e4475abbae35c2b29</x:v>
      </x:c>
      <x:c r="J496" s="22" t="n">
        <x:v>0</x:v>
      </x:c>
      <x:c r="K496" s="22" t="n">
        <x:v>1</x:v>
      </x:c>
      <x:c r="L496" s="22" t="n">
        <x:v>1</x:v>
      </x:c>
      <x:c r="M496" s="28" t="n">
        <x:v>0</x:v>
      </x:c>
      <x:c r="N496" s="28" t="n">
        <x:v>0</x:v>
      </x:c>
      <x:c r="O496" s="28" t="n">
        <x:v>0</x:v>
      </x:c>
      <x:c r="P496" s="62" t="n">
        <x:v>0</x:v>
      </x:c>
      <x:c r="Q496" s="22" t="n">
        <x:v>0</x:v>
      </x:c>
      <x:c r="R496" s="22" t="str"/>
      <x:c r="S496" s="22" t="str"/>
      <x:c r="T496" s="22" t="str"/>
    </x:row>
    <x:row r="497">
      <x:c r="A497" s="22" t="str">
        <x:v>2020-00086</x:v>
      </x:c>
      <x:c r="B497" s="22" t="str">
        <x:v>L2023-00036-1</x:v>
      </x:c>
      <x:c r="C497" s="22" t="str">
        <x:v>공사</x:v>
      </x:c>
      <x:c r="D497" s="25" t="str">
        <x:v>우즈베키스탄 우르겐치 직업훈련원 건립 및 타슈켄트 교사연수센터 건립사업 시공업체선정 현지입찰</x:v>
      </x:c>
      <x:c r="E497" s="22" t="n">
        <x:v>1</x:v>
      </x:c>
      <x:c r="F497" s="22" t="str">
        <x:v>.doc</x:v>
      </x:c>
      <x:c r="G497" s="25" t="str">
        <x:v>L2023-00036-1/붙임3_입찰관련서류_검토완_0717/Section 4.  Bill of Quantities(Not-Priced)/공내역서/VTC견적서/8 ПОЖАРНАЯ ЕМЪКОСТЬ(Fire Tank)/Титул  ТОМ VIII.doc</x:v>
      </x:c>
      <x:c r="H497" s="28" t="n">
        <x:v>31232</x:v>
      </x:c>
      <x:c r="I497" s="22" t="str">
        <x:v>5ddb37550ef46644b2b3d4e63ede77d94e36e452ec009253911c901adac38784</x:v>
      </x:c>
      <x:c r="J497" s="22" t="n">
        <x:v>0</x:v>
      </x:c>
      <x:c r="K497" s="22" t="n">
        <x:v>1</x:v>
      </x:c>
      <x:c r="L497" s="22" t="n">
        <x:v>1</x:v>
      </x:c>
      <x:c r="M497" s="28" t="n">
        <x:v>0</x:v>
      </x:c>
      <x:c r="N497" s="28" t="n">
        <x:v>0</x:v>
      </x:c>
      <x:c r="O497" s="28" t="n">
        <x:v>0</x:v>
      </x:c>
      <x:c r="P497" s="62" t="n">
        <x:v>0</x:v>
      </x:c>
      <x:c r="Q497" s="22" t="n">
        <x:v>0</x:v>
      </x:c>
      <x:c r="R497" s="22" t="str"/>
      <x:c r="S497" s="22" t="str"/>
      <x:c r="T497" s="22" t="str"/>
    </x:row>
    <x:row r="498">
      <x:c r="A498" s="22" t="str">
        <x:v>2020-00086</x:v>
      </x:c>
      <x:c r="B498" s="22" t="str">
        <x:v>L2023-00036-1</x:v>
      </x:c>
      <x:c r="C498" s="22" t="str">
        <x:v>공사</x:v>
      </x:c>
      <x:c r="D498" s="25" t="str">
        <x:v>우즈베키스탄 우르겐치 직업훈련원 건립 및 타슈켄트 교사연수센터 건립사업 시공업체선정 현지입찰</x:v>
      </x:c>
      <x:c r="E498" s="22" t="n">
        <x:v>1</x:v>
      </x:c>
      <x:c r="F498" s="22" t="str">
        <x:v>.doc</x:v>
      </x:c>
      <x:c r="G498" s="25" t="str">
        <x:v>L2023-00036-1/붙임3_입찰관련서류_검토완_0717/Section 4.  Bill of Quantities(Not-Priced)/공내역서/VTC견적서/4 БУФЕТ(Cafeteria)/Титул  ТОМ V.doc</x:v>
      </x:c>
      <x:c r="H498" s="28" t="n">
        <x:v>31232</x:v>
      </x:c>
      <x:c r="I498" s="22" t="str">
        <x:v>a0409474de93963ccc2edc98b174358d13a0f332a3278a64d7054f37b8652ce2</x:v>
      </x:c>
      <x:c r="J498" s="22" t="n">
        <x:v>0</x:v>
      </x:c>
      <x:c r="K498" s="22" t="n">
        <x:v>1</x:v>
      </x:c>
      <x:c r="L498" s="22" t="n">
        <x:v>1</x:v>
      </x:c>
      <x:c r="M498" s="28" t="n">
        <x:v>0</x:v>
      </x:c>
      <x:c r="N498" s="28" t="n">
        <x:v>0</x:v>
      </x:c>
      <x:c r="O498" s="28" t="n">
        <x:v>0</x:v>
      </x:c>
      <x:c r="P498" s="62" t="n">
        <x:v>0</x:v>
      </x:c>
      <x:c r="Q498" s="22" t="n">
        <x:v>0</x:v>
      </x:c>
      <x:c r="R498" s="22" t="str"/>
      <x:c r="S498" s="22" t="str"/>
      <x:c r="T498" s="22" t="str"/>
    </x:row>
    <x:row r="499">
      <x:c r="A499" s="22" t="str">
        <x:v>2020-00086</x:v>
      </x:c>
      <x:c r="B499" s="22" t="str">
        <x:v>L2023-00036-1</x:v>
      </x:c>
      <x:c r="C499" s="22" t="str">
        <x:v>공사</x:v>
      </x:c>
      <x:c r="D499" s="25" t="str">
        <x:v>우즈베키스탄 우르겐치 직업훈련원 건립 및 타슈켄트 교사연수센터 건립사업 시공업체선정 현지입찰</x:v>
      </x:c>
      <x:c r="E499" s="22" t="n">
        <x:v>1</x:v>
      </x:c>
      <x:c r="F499" s="22" t="str">
        <x:v>.xls</x:v>
      </x:c>
      <x:c r="G499" s="25" t="str">
        <x:v>L2023-00036-1/붙임3_입찰관련서류_검토완_0717/Section 4.  Bill of Quantities(Not-Priced)/공내역서/VTC견적서/4 БУФЕТ(Cafeteria)/СВОДКА БУФЕТ o.xls</x:v>
      </x:c>
      <x:c r="H499" s="28" t="n">
        <x:v>41984</x:v>
      </x:c>
      <x:c r="I499" s="22" t="str">
        <x:v>4ecacaffd035763b281b2ec0f37463659ed1670d177cc1b38809ca7cbec90628</x:v>
      </x:c>
      <x:c r="J499" s="22" t="n">
        <x:v>0</x:v>
      </x:c>
      <x:c r="K499" s="22" t="n">
        <x:v>1</x:v>
      </x:c>
      <x:c r="L499" s="22" t="n">
        <x:v>1</x:v>
      </x:c>
      <x:c r="M499" s="28" t="n">
        <x:v>0</x:v>
      </x:c>
      <x:c r="N499" s="28" t="n">
        <x:v>0</x:v>
      </x:c>
      <x:c r="O499" s="28" t="n">
        <x:v>0</x:v>
      </x:c>
      <x:c r="P499" s="62" t="n">
        <x:v>0</x:v>
      </x:c>
      <x:c r="Q499" s="22" t="n">
        <x:v>0</x:v>
      </x:c>
      <x:c r="R499" s="22" t="str"/>
      <x:c r="S499" s="22" t="str"/>
      <x:c r="T499" s="22" t="str"/>
    </x:row>
    <x:row r="500">
      <x:c r="A500" s="22" t="str">
        <x:v>2020-00086</x:v>
      </x:c>
      <x:c r="B500" s="22" t="str">
        <x:v>L2023-00036-1</x:v>
      </x:c>
      <x:c r="C500" s="22" t="str">
        <x:v>공사</x:v>
      </x:c>
      <x:c r="D500" s="25" t="str">
        <x:v>우즈베키스탄 우르겐치 직업훈련원 건립 및 타슈켄트 교사연수센터 건립사업 시공업체선정 현지입찰</x:v>
      </x:c>
      <x:c r="E500" s="22" t="n">
        <x:v>1</x:v>
      </x:c>
      <x:c r="F500" s="22" t="str">
        <x:v>.xls</x:v>
      </x:c>
      <x:c r="G500" s="25" t="str">
        <x:v>L2023-00036-1/붙임3_입찰관련서류_검토완_0717/Section 4.  Bill of Quantities(Not-Priced)/공내역서/VTC견적서/4 БУФЕТ(Cafeteria)/4-9 ТХ/13743_vfor.xls</x:v>
      </x:c>
      <x:c r="H500" s="28" t="n">
        <x:v>33280</x:v>
      </x:c>
      <x:c r="I500" s="22" t="str">
        <x:v>c8d68a7f99bd5aa730939196a85ab57f191b2ab524c3c5bac885dcbbdbecaa69</x:v>
      </x:c>
      <x:c r="J500" s="22" t="n">
        <x:v>0</x:v>
      </x:c>
      <x:c r="K500" s="22" t="n">
        <x:v>1</x:v>
      </x:c>
      <x:c r="L500" s="22" t="n">
        <x:v>1</x:v>
      </x:c>
      <x:c r="M500" s="28" t="n">
        <x:v>0</x:v>
      </x:c>
      <x:c r="N500" s="28" t="n">
        <x:v>0</x:v>
      </x:c>
      <x:c r="O500" s="28" t="n">
        <x:v>0</x:v>
      </x:c>
      <x:c r="P500" s="62" t="n">
        <x:v>0</x:v>
      </x:c>
      <x:c r="Q500" s="22" t="n">
        <x:v>0</x:v>
      </x:c>
      <x:c r="R500" s="22" t="str"/>
      <x:c r="S500" s="22" t="str"/>
      <x:c r="T500" s="22" t="str"/>
    </x:row>
    <x:row r="501">
      <x:c r="A501" s="22" t="str">
        <x:v>2020-00086</x:v>
      </x:c>
      <x:c r="B501" s="22" t="str">
        <x:v>L2023-00036-1</x:v>
      </x:c>
      <x:c r="C501" s="22" t="str">
        <x:v>공사</x:v>
      </x:c>
      <x:c r="D501" s="25" t="str">
        <x:v>우즈베키스탄 우르겐치 직업훈련원 건립 및 타슈켄트 교사연수센터 건립사업 시공업체선정 현지입찰</x:v>
      </x:c>
      <x:c r="E501" s="22" t="n">
        <x:v>1</x:v>
      </x:c>
      <x:c r="F501" s="22" t="str">
        <x:v>.xls</x:v>
      </x:c>
      <x:c r="G501" s="25" t="str">
        <x:v>L2023-00036-1/붙임3_입찰관련서류_검토완_0717/Section 4.  Bill of Quantities(Not-Priced)/공내역서/VTC견적서/4 БУФЕТ(Cafeteria)/4-9 ТХ/13743_vrmu.xls</x:v>
      </x:c>
      <x:c r="H501" s="28" t="n">
        <x:v>44032</x:v>
      </x:c>
      <x:c r="I501" s="22" t="str">
        <x:v>78405bf4dba631faab9d2df8eb3c9871b3b3e6bcb3d8da1b40aa473f959fda6a</x:v>
      </x:c>
      <x:c r="J501" s="22" t="n">
        <x:v>0</x:v>
      </x:c>
      <x:c r="K501" s="22" t="n">
        <x:v>1</x:v>
      </x:c>
      <x:c r="L501" s="22" t="n">
        <x:v>1</x:v>
      </x:c>
      <x:c r="M501" s="28" t="n">
        <x:v>0</x:v>
      </x:c>
      <x:c r="N501" s="28" t="n">
        <x:v>0</x:v>
      </x:c>
      <x:c r="O501" s="28" t="n">
        <x:v>0</x:v>
      </x:c>
      <x:c r="P501" s="62" t="n">
        <x:v>0</x:v>
      </x:c>
      <x:c r="Q501" s="22" t="n">
        <x:v>0</x:v>
      </x:c>
      <x:c r="R501" s="22" t="str"/>
      <x:c r="S501" s="22" t="str"/>
      <x:c r="T501" s="22" t="str"/>
    </x:row>
    <x:row r="502">
      <x:c r="A502" s="22" t="str">
        <x:v>2020-00086</x:v>
      </x:c>
      <x:c r="B502" s="22" t="str">
        <x:v>L2023-00036-1</x:v>
      </x:c>
      <x:c r="C502" s="22" t="str">
        <x:v>공사</x:v>
      </x:c>
      <x:c r="D502" s="25" t="str">
        <x:v>우즈베키스탄 우르겐치 직업훈련원 건립 및 타슈켄트 교사연수센터 건립사업 시공업체선정 현지입찰</x:v>
      </x:c>
      <x:c r="E502" s="22" t="n">
        <x:v>1</x:v>
      </x:c>
      <x:c r="F502" s="22" t="str">
        <x:v>.xls</x:v>
      </x:c>
      <x:c r="G502" s="25" t="str">
        <x:v>L2023-00036-1/붙임3_입찰관련서류_검토완_0717/Section 4.  Bill of Quantities(Not-Priced)/공내역서/VTC견적서/4 БУФЕТ(Cafeteria)/4-9 ТХ/bv13740.xls</x:v>
      </x:c>
      <x:c r="H502" s="28" t="n">
        <x:v>45056</x:v>
      </x:c>
      <x:c r="I502" s="22" t="str">
        <x:v>81b3b9a2bd4d7715fcfc6a79b81680314cf0ee94a009ceab7a13cc679ca3f9a0</x:v>
      </x:c>
      <x:c r="J502" s="22" t="n">
        <x:v>0</x:v>
      </x:c>
      <x:c r="K502" s="22" t="n">
        <x:v>1</x:v>
      </x:c>
      <x:c r="L502" s="22" t="n">
        <x:v>1</x:v>
      </x:c>
      <x:c r="M502" s="28" t="n">
        <x:v>0</x:v>
      </x:c>
      <x:c r="N502" s="28" t="n">
        <x:v>0</x:v>
      </x:c>
      <x:c r="O502" s="28" t="n">
        <x:v>0</x:v>
      </x:c>
      <x:c r="P502" s="62" t="n">
        <x:v>0</x:v>
      </x:c>
      <x:c r="Q502" s="22" t="n">
        <x:v>0</x:v>
      </x:c>
      <x:c r="R502" s="22" t="str"/>
      <x:c r="S502" s="22" t="str"/>
      <x:c r="T502" s="22" t="str"/>
    </x:row>
    <x:row r="503">
      <x:c r="A503" s="22" t="str">
        <x:v>2020-00086</x:v>
      </x:c>
      <x:c r="B503" s="22" t="str">
        <x:v>L2023-00036-1</x:v>
      </x:c>
      <x:c r="C503" s="22" t="str">
        <x:v>공사</x:v>
      </x:c>
      <x:c r="D503" s="25" t="str">
        <x:v>우즈베키스탄 우르겐치 직업훈련원 건립 및 타슈켄트 교사연수센터 건립사업 시공업체선정 현지입찰</x:v>
      </x:c>
      <x:c r="E503" s="22" t="n">
        <x:v>1</x:v>
      </x:c>
      <x:c r="F503" s="22" t="str">
        <x:v>.xls</x:v>
      </x:c>
      <x:c r="G503" s="25" t="str">
        <x:v>L2023-00036-1/붙임3_입찰관련서류_검토완_0717/Section 4.  Bill of Quantities(Not-Priced)/공내역서/VTC견적서/4 БУФЕТ(Cafeteria)/4-7 ВН, СКС(CCTV &amp; Network)/13323_vfor.xls</x:v>
      </x:c>
      <x:c r="H503" s="28" t="n">
        <x:v>47616</x:v>
      </x:c>
      <x:c r="I503" s="22" t="str">
        <x:v>bd337520c73d4d2e111bd320f563772ebf15d04cc070a3c51c25a2f9742c00de</x:v>
      </x:c>
      <x:c r="J503" s="22" t="n">
        <x:v>0</x:v>
      </x:c>
      <x:c r="K503" s="22" t="n">
        <x:v>1</x:v>
      </x:c>
      <x:c r="L503" s="22" t="n">
        <x:v>1</x:v>
      </x:c>
      <x:c r="M503" s="28" t="n">
        <x:v>0</x:v>
      </x:c>
      <x:c r="N503" s="28" t="n">
        <x:v>0</x:v>
      </x:c>
      <x:c r="O503" s="28" t="n">
        <x:v>0</x:v>
      </x:c>
      <x:c r="P503" s="62" t="n">
        <x:v>0</x:v>
      </x:c>
      <x:c r="Q503" s="22" t="n">
        <x:v>0</x:v>
      </x:c>
      <x:c r="R503" s="22" t="str"/>
      <x:c r="S503" s="22" t="str"/>
      <x:c r="T503" s="22" t="str"/>
    </x:row>
    <x:row r="504">
      <x:c r="A504" s="22" t="str">
        <x:v>2020-00086</x:v>
      </x:c>
      <x:c r="B504" s="22" t="str">
        <x:v>L2023-00036-1</x:v>
      </x:c>
      <x:c r="C504" s="22" t="str">
        <x:v>공사</x:v>
      </x:c>
      <x:c r="D504" s="25" t="str">
        <x:v>우즈베키스탄 우르겐치 직업훈련원 건립 및 타슈켄트 교사연수센터 건립사업 시공업체선정 현지입찰</x:v>
      </x:c>
      <x:c r="E504" s="22" t="n">
        <x:v>1</x:v>
      </x:c>
      <x:c r="F504" s="22" t="str">
        <x:v>.xls</x:v>
      </x:c>
      <x:c r="G504" s="25" t="str">
        <x:v>L2023-00036-1/붙임3_입찰관련서류_검토완_0717/Section 4.  Bill of Quantities(Not-Priced)/공내역서/VTC견적서/4 БУФЕТ(Cafeteria)/4-7 ВН, СКС(CCTV &amp; Network)/13323_vrmu.xls</x:v>
      </x:c>
      <x:c r="H504" s="28" t="n">
        <x:v>56832</x:v>
      </x:c>
      <x:c r="I504" s="22" t="str">
        <x:v>a965a9f3d225f89ea5505676fa4b27565617d1ccd45171df72e2d792f5246df8</x:v>
      </x:c>
      <x:c r="J504" s="22" t="n">
        <x:v>0</x:v>
      </x:c>
      <x:c r="K504" s="22" t="n">
        <x:v>1</x:v>
      </x:c>
      <x:c r="L504" s="22" t="n">
        <x:v>1</x:v>
      </x:c>
      <x:c r="M504" s="28" t="n">
        <x:v>1</x:v>
      </x:c>
      <x:c r="N504" s="28" t="n">
        <x:v>85</x:v>
      </x:c>
      <x:c r="O504" s="28" t="n">
        <x:v>1</x:v>
      </x:c>
      <x:c r="P504" s="62" t="n">
        <x:v>0.011764705882352941</x:v>
      </x:c>
      <x:c r="Q504" s="22" t="n">
        <x:v>0</x:v>
      </x:c>
      <x:c r="R504" s="22" t="str">
        <x:v>Лист1</x:v>
      </x:c>
      <x:c r="S504" s="22" t="str">
        <x:v>visible</x:v>
      </x:c>
      <x:c r="T504" s="22" t="str"/>
    </x:row>
    <x:row r="505">
      <x:c r="A505" s="22" t="str">
        <x:v>2020-00086</x:v>
      </x:c>
      <x:c r="B505" s="22" t="str">
        <x:v>L2023-00036-1</x:v>
      </x:c>
      <x:c r="C505" s="22" t="str">
        <x:v>공사</x:v>
      </x:c>
      <x:c r="D505" s="25" t="str">
        <x:v>우즈베키스탄 우르겐치 직업훈련원 건립 및 타슈켄트 교사연수센터 건립사업 시공업체선정 현지입찰</x:v>
      </x:c>
      <x:c r="E505" s="22" t="n">
        <x:v>1</x:v>
      </x:c>
      <x:c r="F505" s="22" t="str">
        <x:v>.xls</x:v>
      </x:c>
      <x:c r="G505" s="25" t="str">
        <x:v>L2023-00036-1/붙임3_입찰관련서류_검토완_0717/Section 4.  Bill of Quantities(Not-Priced)/공내역서/VTC견적서/4 БУФЕТ(Cafeteria)/4-7 ВН, СКС(CCTV &amp; Network)/bv13320.xls</x:v>
      </x:c>
      <x:c r="H505" s="28" t="n">
        <x:v>87040</x:v>
      </x:c>
      <x:c r="I505" s="22" t="str">
        <x:v>361a226fbda147a7d7ef7fb5d8d6d1c8872c0ed1662beb04e60fbd5668ac0762</x:v>
      </x:c>
      <x:c r="J505" s="22" t="n">
        <x:v>0</x:v>
      </x:c>
      <x:c r="K505" s="22" t="n">
        <x:v>1</x:v>
      </x:c>
      <x:c r="L505" s="22" t="n">
        <x:v>1</x:v>
      </x:c>
      <x:c r="M505" s="28" t="n">
        <x:v>0</x:v>
      </x:c>
      <x:c r="N505" s="28" t="n">
        <x:v>0</x:v>
      </x:c>
      <x:c r="O505" s="28" t="n">
        <x:v>0</x:v>
      </x:c>
      <x:c r="P505" s="62" t="n">
        <x:v>0</x:v>
      </x:c>
      <x:c r="Q505" s="22" t="n">
        <x:v>0</x:v>
      </x:c>
      <x:c r="R505" s="22" t="str"/>
      <x:c r="S505" s="22" t="str"/>
      <x:c r="T505" s="22" t="str"/>
    </x:row>
    <x:row r="506">
      <x:c r="A506" s="22" t="str">
        <x:v>2020-00086</x:v>
      </x:c>
      <x:c r="B506" s="22" t="str">
        <x:v>L2023-00036-1</x:v>
      </x:c>
      <x:c r="C506" s="22" t="str">
        <x:v>공사</x:v>
      </x:c>
      <x:c r="D506" s="25" t="str">
        <x:v>우즈베키스탄 우르겐치 직업훈련원 건립 및 타슈켄트 교사연수센터 건립사업 시공업체선정 현지입찰</x:v>
      </x:c>
      <x:c r="E506" s="22" t="n">
        <x:v>1</x:v>
      </x:c>
      <x:c r="F506" s="22" t="str">
        <x:v>.xls</x:v>
      </x:c>
      <x:c r="G506" s="25" t="str">
        <x:v>L2023-00036-1/붙임3_입찰관련서류_검토완_0717/Section 4.  Bill of Quantities(Not-Priced)/공내역서/VTC견적서/4 БУФЕТ(Cafeteria)/4-5 ЭО(Electric)/13383_vrmu.xls</x:v>
      </x:c>
      <x:c r="H506" s="28" t="n">
        <x:v>60416</x:v>
      </x:c>
      <x:c r="I506" s="22" t="str">
        <x:v>2277aa6b32da71292f8a69faae1241528367c8c6929e15a3ba1b26669f36572d</x:v>
      </x:c>
      <x:c r="J506" s="22" t="n">
        <x:v>0</x:v>
      </x:c>
      <x:c r="K506" s="22" t="n">
        <x:v>1</x:v>
      </x:c>
      <x:c r="L506" s="22" t="n">
        <x:v>1</x:v>
      </x:c>
      <x:c r="M506" s="28" t="n">
        <x:v>1</x:v>
      </x:c>
      <x:c r="N506" s="28" t="n">
        <x:v>83</x:v>
      </x:c>
      <x:c r="O506" s="28" t="n">
        <x:v>1</x:v>
      </x:c>
      <x:c r="P506" s="62" t="n">
        <x:v>0.012048192771084338</x:v>
      </x:c>
      <x:c r="Q506" s="22" t="n">
        <x:v>0</x:v>
      </x:c>
      <x:c r="R506" s="22" t="str">
        <x:v>Лист1</x:v>
      </x:c>
      <x:c r="S506" s="22" t="str">
        <x:v>visible</x:v>
      </x:c>
      <x:c r="T506" s="22" t="str"/>
    </x:row>
    <x:row r="507">
      <x:c r="A507" s="22" t="str">
        <x:v>2020-00086</x:v>
      </x:c>
      <x:c r="B507" s="22" t="str">
        <x:v>L2023-00036-1</x:v>
      </x:c>
      <x:c r="C507" s="22" t="str">
        <x:v>공사</x:v>
      </x:c>
      <x:c r="D507" s="25" t="str">
        <x:v>우즈베키스탄 우르겐치 직업훈련원 건립 및 타슈켄트 교사연수센터 건립사업 시공업체선정 현지입찰</x:v>
      </x:c>
      <x:c r="E507" s="22" t="n">
        <x:v>1</x:v>
      </x:c>
      <x:c r="F507" s="22" t="str">
        <x:v>.xls</x:v>
      </x:c>
      <x:c r="G507" s="25" t="str">
        <x:v>L2023-00036-1/붙임3_입찰관련서류_검토완_0717/Section 4.  Bill of Quantities(Not-Priced)/공내역서/VTC견적서/4 БУФЕТ(Cafeteria)/4-5 ЭО(Electric)/bv13380.xls</x:v>
      </x:c>
      <x:c r="H507" s="28" t="n">
        <x:v>105984</x:v>
      </x:c>
      <x:c r="I507" s="22" t="str">
        <x:v>ca022ac74868089349f7351ccbad69acd7123e242598613111ebc50d6fe072f5</x:v>
      </x:c>
      <x:c r="J507" s="22" t="n">
        <x:v>0</x:v>
      </x:c>
      <x:c r="K507" s="22" t="n">
        <x:v>1</x:v>
      </x:c>
      <x:c r="L507" s="22" t="n">
        <x:v>1</x:v>
      </x:c>
      <x:c r="M507" s="28" t="n">
        <x:v>0</x:v>
      </x:c>
      <x:c r="N507" s="28" t="n">
        <x:v>0</x:v>
      </x:c>
      <x:c r="O507" s="28" t="n">
        <x:v>0</x:v>
      </x:c>
      <x:c r="P507" s="62" t="n">
        <x:v>0</x:v>
      </x:c>
      <x:c r="Q507" s="22" t="n">
        <x:v>0</x:v>
      </x:c>
      <x:c r="R507" s="22" t="str"/>
      <x:c r="S507" s="22" t="str"/>
      <x:c r="T507" s="22" t="str"/>
    </x:row>
    <x:row r="508">
      <x:c r="A508" s="22" t="str">
        <x:v>2020-00086</x:v>
      </x:c>
      <x:c r="B508" s="22" t="str">
        <x:v>L2023-00036-1</x:v>
      </x:c>
      <x:c r="C508" s="22" t="str">
        <x:v>공사</x:v>
      </x:c>
      <x:c r="D508" s="25" t="str">
        <x:v>우즈베키스탄 우르겐치 직업훈련원 건립 및 타슈켄트 교사연수센터 건립사업 시공업체선정 현지입찰</x:v>
      </x:c>
      <x:c r="E508" s="22" t="n">
        <x:v>1</x:v>
      </x:c>
      <x:c r="F508" s="22" t="str">
        <x:v>.xls</x:v>
      </x:c>
      <x:c r="G508" s="25" t="str">
        <x:v>L2023-00036-1/붙임3_입찰관련서류_검토완_0717/Section 4.  Bill of Quantities(Not-Priced)/공내역서/VTC견적서/4 БУФЕТ(Cafeteria)/4-5 ЭО(Electric)/13383_vfor.xls</x:v>
      </x:c>
      <x:c r="H508" s="28" t="n">
        <x:v>52736</x:v>
      </x:c>
      <x:c r="I508" s="22" t="str">
        <x:v>aa89940fa2c1f84aa2274538c4d5e33fe9d0802c4f52e1d9d71978122c7ca737</x:v>
      </x:c>
      <x:c r="J508" s="22" t="n">
        <x:v>0</x:v>
      </x:c>
      <x:c r="K508" s="22" t="n">
        <x:v>1</x:v>
      </x:c>
      <x:c r="L508" s="22" t="n">
        <x:v>1</x:v>
      </x:c>
      <x:c r="M508" s="28" t="n">
        <x:v>0</x:v>
      </x:c>
      <x:c r="N508" s="28" t="n">
        <x:v>0</x:v>
      </x:c>
      <x:c r="O508" s="28" t="n">
        <x:v>0</x:v>
      </x:c>
      <x:c r="P508" s="62" t="n">
        <x:v>0</x:v>
      </x:c>
      <x:c r="Q508" s="22" t="n">
        <x:v>0</x:v>
      </x:c>
      <x:c r="R508" s="22" t="str"/>
      <x:c r="S508" s="22" t="str"/>
      <x:c r="T508" s="22" t="str"/>
    </x:row>
    <x:row r="509">
      <x:c r="A509" s="22" t="str">
        <x:v>2020-00086</x:v>
      </x:c>
      <x:c r="B509" s="22" t="str">
        <x:v>L2023-00036-1</x:v>
      </x:c>
      <x:c r="C509" s="22" t="str">
        <x:v>공사</x:v>
      </x:c>
      <x:c r="D509" s="25" t="str">
        <x:v>우즈베키스탄 우르겐치 직업훈련원 건립 및 타슈켄트 교사연수센터 건립사업 시공업체선정 현지입찰</x:v>
      </x:c>
      <x:c r="E509" s="22" t="n">
        <x:v>1</x:v>
      </x:c>
      <x:c r="F509" s="22" t="str">
        <x:v>.xls</x:v>
      </x:c>
      <x:c r="G509" s="25" t="str">
        <x:v>L2023-00036-1/붙임3_입찰관련서류_검토완_0717/Section 4.  Bill of Quantities(Not-Priced)/공내역서/VTC견적서/4 БУФЕТ(Cafeteria)/4-3 ОВ(Heating &amp; Ventilation)/bv13570.xls</x:v>
      </x:c>
      <x:c r="H509" s="28" t="n">
        <x:v>122368</x:v>
      </x:c>
      <x:c r="I509" s="22" t="str">
        <x:v>60e01915d1915446e6fbcf0c477ec5ae0ee632ec951cf92acae51a0c7039940e</x:v>
      </x:c>
      <x:c r="J509" s="22" t="n">
        <x:v>0</x:v>
      </x:c>
      <x:c r="K509" s="22" t="n">
        <x:v>1</x:v>
      </x:c>
      <x:c r="L509" s="22" t="n">
        <x:v>1</x:v>
      </x:c>
      <x:c r="M509" s="28" t="n">
        <x:v>0</x:v>
      </x:c>
      <x:c r="N509" s="28" t="n">
        <x:v>0</x:v>
      </x:c>
      <x:c r="O509" s="28" t="n">
        <x:v>0</x:v>
      </x:c>
      <x:c r="P509" s="62" t="n">
        <x:v>0</x:v>
      </x:c>
      <x:c r="Q509" s="22" t="n">
        <x:v>0</x:v>
      </x:c>
      <x:c r="R509" s="22" t="str"/>
      <x:c r="S509" s="22" t="str"/>
      <x:c r="T509" s="22" t="str"/>
    </x:row>
    <x:row r="510">
      <x:c r="A510" s="22" t="str">
        <x:v>2020-00086</x:v>
      </x:c>
      <x:c r="B510" s="22" t="str">
        <x:v>L2023-00036-1</x:v>
      </x:c>
      <x:c r="C510" s="22" t="str">
        <x:v>공사</x:v>
      </x:c>
      <x:c r="D510" s="25" t="str">
        <x:v>우즈베키스탄 우르겐치 직업훈련원 건립 및 타슈켄트 교사연수센터 건립사업 시공업체선정 현지입찰</x:v>
      </x:c>
      <x:c r="E510" s="22" t="n">
        <x:v>1</x:v>
      </x:c>
      <x:c r="F510" s="22" t="str">
        <x:v>.xls</x:v>
      </x:c>
      <x:c r="G510" s="25" t="str">
        <x:v>L2023-00036-1/붙임3_입찰관련서류_검토완_0717/Section 4.  Bill of Quantities(Not-Priced)/공내역서/VTC견적서/4 БУФЕТ(Cafeteria)/4-3 ОВ(Heating &amp; Ventilation)/13573_vfor.xls</x:v>
      </x:c>
      <x:c r="H510" s="28" t="n">
        <x:v>51200</x:v>
      </x:c>
      <x:c r="I510" s="22" t="str">
        <x:v>d5904d9daa78238ff69eaa06732493e5c87423d6e508d7e7e0b3f03109494c34</x:v>
      </x:c>
      <x:c r="J510" s="22" t="n">
        <x:v>0</x:v>
      </x:c>
      <x:c r="K510" s="22" t="n">
        <x:v>1</x:v>
      </x:c>
      <x:c r="L510" s="22" t="n">
        <x:v>1</x:v>
      </x:c>
      <x:c r="M510" s="28" t="n">
        <x:v>0</x:v>
      </x:c>
      <x:c r="N510" s="28" t="n">
        <x:v>0</x:v>
      </x:c>
      <x:c r="O510" s="28" t="n">
        <x:v>0</x:v>
      </x:c>
      <x:c r="P510" s="62" t="n">
        <x:v>0</x:v>
      </x:c>
      <x:c r="Q510" s="22" t="n">
        <x:v>0</x:v>
      </x:c>
      <x:c r="R510" s="22" t="str"/>
      <x:c r="S510" s="22" t="str"/>
      <x:c r="T510" s="22" t="str"/>
    </x:row>
    <x:row r="511">
      <x:c r="A511" s="22" t="str">
        <x:v>2020-00086</x:v>
      </x:c>
      <x:c r="B511" s="22" t="str">
        <x:v>L2023-00036-1</x:v>
      </x:c>
      <x:c r="C511" s="22" t="str">
        <x:v>공사</x:v>
      </x:c>
      <x:c r="D511" s="25" t="str">
        <x:v>우즈베키스탄 우르겐치 직업훈련원 건립 및 타슈켄트 교사연수센터 건립사업 시공업체선정 현지입찰</x:v>
      </x:c>
      <x:c r="E511" s="22" t="n">
        <x:v>1</x:v>
      </x:c>
      <x:c r="F511" s="22" t="str">
        <x:v>.xls</x:v>
      </x:c>
      <x:c r="G511" s="25" t="str">
        <x:v>L2023-00036-1/붙임3_입찰관련서류_검토완_0717/Section 4.  Bill of Quantities(Not-Priced)/공내역서/VTC견적서/4 БУФЕТ(Cafeteria)/4-3 ОВ(Heating &amp; Ventilation)/13573_vrmu.xls</x:v>
      </x:c>
      <x:c r="H511" s="28" t="n">
        <x:v>60928</x:v>
      </x:c>
      <x:c r="I511" s="22" t="str">
        <x:v>a5a7bba5cee708cae574407190c4325ce23010e6102a49546438bd114ab4ad90</x:v>
      </x:c>
      <x:c r="J511" s="22" t="n">
        <x:v>0</x:v>
      </x:c>
      <x:c r="K511" s="22" t="n">
        <x:v>1</x:v>
      </x:c>
      <x:c r="L511" s="22" t="n">
        <x:v>1</x:v>
      </x:c>
      <x:c r="M511" s="28" t="n">
        <x:v>1</x:v>
      </x:c>
      <x:c r="N511" s="28" t="n">
        <x:v>101</x:v>
      </x:c>
      <x:c r="O511" s="28" t="n">
        <x:v>1</x:v>
      </x:c>
      <x:c r="P511" s="62" t="n">
        <x:v>0.009900990099009901</x:v>
      </x:c>
      <x:c r="Q511" s="22" t="n">
        <x:v>0</x:v>
      </x:c>
      <x:c r="R511" s="22" t="str">
        <x:v>Лист1</x:v>
      </x:c>
      <x:c r="S511" s="22" t="str">
        <x:v>visible</x:v>
      </x:c>
      <x:c r="T511" s="22" t="str"/>
    </x:row>
    <x:row r="512">
      <x:c r="A512" s="22" t="str">
        <x:v>2020-00086</x:v>
      </x:c>
      <x:c r="B512" s="22" t="str">
        <x:v>L2023-00036-1</x:v>
      </x:c>
      <x:c r="C512" s="22" t="str">
        <x:v>공사</x:v>
      </x:c>
      <x:c r="D512" s="25" t="str">
        <x:v>우즈베키스탄 우르겐치 직업훈련원 건립 및 타슈켄트 교사연수센터 건립사업 시공업체선정 현지입찰</x:v>
      </x:c>
      <x:c r="E512" s="22" t="n">
        <x:v>1</x:v>
      </x:c>
      <x:c r="F512" s="22" t="str">
        <x:v>.xls</x:v>
      </x:c>
      <x:c r="G512" s="25" t="str">
        <x:v>L2023-00036-1/붙임3_입찰관련서류_검토완_0717/Section 4.  Bill of Quantities(Not-Priced)/공내역서/VTC견적서/4 БУФЕТ(Cafeteria)/4-2 АР(Architecture)/13173_vfor.xls</x:v>
      </x:c>
      <x:c r="H512" s="28" t="n">
        <x:v>46080</x:v>
      </x:c>
      <x:c r="I512" s="22" t="str">
        <x:v>c8b6f0c18efd3eccb7d44d4f282da38be8bd7c5687a2b12e1320ea9b2d445a18</x:v>
      </x:c>
      <x:c r="J512" s="22" t="n">
        <x:v>0</x:v>
      </x:c>
      <x:c r="K512" s="22" t="n">
        <x:v>1</x:v>
      </x:c>
      <x:c r="L512" s="22" t="n">
        <x:v>1</x:v>
      </x:c>
      <x:c r="M512" s="28" t="n">
        <x:v>0</x:v>
      </x:c>
      <x:c r="N512" s="28" t="n">
        <x:v>0</x:v>
      </x:c>
      <x:c r="O512" s="28" t="n">
        <x:v>0</x:v>
      </x:c>
      <x:c r="P512" s="62" t="n">
        <x:v>0</x:v>
      </x:c>
      <x:c r="Q512" s="22" t="n">
        <x:v>0</x:v>
      </x:c>
      <x:c r="R512" s="22" t="str"/>
      <x:c r="S512" s="22" t="str"/>
      <x:c r="T512" s="22" t="str"/>
    </x:row>
    <x:row r="513">
      <x:c r="A513" s="22" t="str">
        <x:v>2020-00086</x:v>
      </x:c>
      <x:c r="B513" s="22" t="str">
        <x:v>L2023-00036-1</x:v>
      </x:c>
      <x:c r="C513" s="22" t="str">
        <x:v>공사</x:v>
      </x:c>
      <x:c r="D513" s="25" t="str">
        <x:v>우즈베키스탄 우르겐치 직업훈련원 건립 및 타슈켄트 교사연수센터 건립사업 시공업체선정 현지입찰</x:v>
      </x:c>
      <x:c r="E513" s="22" t="n">
        <x:v>1</x:v>
      </x:c>
      <x:c r="F513" s="22" t="str">
        <x:v>.xls</x:v>
      </x:c>
      <x:c r="G513" s="25" t="str">
        <x:v>L2023-00036-1/붙임3_입찰관련서류_검토완_0717/Section 4.  Bill of Quantities(Not-Priced)/공내역서/VTC견적서/4 БУФЕТ(Cafeteria)/4-2 АР(Architecture)/bv13170.xls</x:v>
      </x:c>
      <x:c r="H513" s="28" t="n">
        <x:v>115200</x:v>
      </x:c>
      <x:c r="I513" s="22" t="str">
        <x:v>90d2bed5ebcd297c0fb0bd22fc2a056d950d9a2b3cc977b05f9c01dfd7e4410e</x:v>
      </x:c>
      <x:c r="J513" s="22" t="n">
        <x:v>0</x:v>
      </x:c>
      <x:c r="K513" s="22" t="n">
        <x:v>1</x:v>
      </x:c>
      <x:c r="L513" s="22" t="n">
        <x:v>1</x:v>
      </x:c>
      <x:c r="M513" s="28" t="n">
        <x:v>0</x:v>
      </x:c>
      <x:c r="N513" s="28" t="n">
        <x:v>0</x:v>
      </x:c>
      <x:c r="O513" s="28" t="n">
        <x:v>0</x:v>
      </x:c>
      <x:c r="P513" s="62" t="n">
        <x:v>0</x:v>
      </x:c>
      <x:c r="Q513" s="22" t="n">
        <x:v>0</x:v>
      </x:c>
      <x:c r="R513" s="22" t="str"/>
      <x:c r="S513" s="22" t="str"/>
      <x:c r="T513" s="22" t="str"/>
    </x:row>
    <x:row r="514">
      <x:c r="A514" s="22" t="str">
        <x:v>2020-00086</x:v>
      </x:c>
      <x:c r="B514" s="22" t="str">
        <x:v>L2023-00036-1</x:v>
      </x:c>
      <x:c r="C514" s="22" t="str">
        <x:v>공사</x:v>
      </x:c>
      <x:c r="D514" s="25" t="str">
        <x:v>우즈베키스탄 우르겐치 직업훈련원 건립 및 타슈켄트 교사연수센터 건립사업 시공업체선정 현지입찰</x:v>
      </x:c>
      <x:c r="E514" s="22" t="n">
        <x:v>1</x:v>
      </x:c>
      <x:c r="F514" s="22" t="str">
        <x:v>.xls</x:v>
      </x:c>
      <x:c r="G514" s="25" t="str">
        <x:v>L2023-00036-1/붙임3_입찰관련서류_검토완_0717/Section 4.  Bill of Quantities(Not-Priced)/공내역서/VTC견적서/4 БУФЕТ(Cafeteria)/4-2 АР(Architecture)/13173_vrmu.xls</x:v>
      </x:c>
      <x:c r="H514" s="28" t="n">
        <x:v>57344</x:v>
      </x:c>
      <x:c r="I514" s="22" t="str">
        <x:v>41f2d0b5bfa1724a0a6f25b395a07b6a4bbfa2179ab0651f1ac22066c407f406</x:v>
      </x:c>
      <x:c r="J514" s="22" t="n">
        <x:v>0</x:v>
      </x:c>
      <x:c r="K514" s="22" t="n">
        <x:v>1</x:v>
      </x:c>
      <x:c r="L514" s="22" t="n">
        <x:v>1</x:v>
      </x:c>
      <x:c r="M514" s="28" t="n">
        <x:v>1</x:v>
      </x:c>
      <x:c r="N514" s="28" t="n">
        <x:v>97</x:v>
      </x:c>
      <x:c r="O514" s="28" t="n">
        <x:v>1</x:v>
      </x:c>
      <x:c r="P514" s="62" t="n">
        <x:v>0.010309278350515464</x:v>
      </x:c>
      <x:c r="Q514" s="22" t="n">
        <x:v>0</x:v>
      </x:c>
      <x:c r="R514" s="22" t="str">
        <x:v>Лист1</x:v>
      </x:c>
      <x:c r="S514" s="22" t="str">
        <x:v>visible</x:v>
      </x:c>
      <x:c r="T514" s="22" t="str"/>
    </x:row>
    <x:row r="515">
      <x:c r="A515" s="22" t="str">
        <x:v>2020-00086</x:v>
      </x:c>
      <x:c r="B515" s="22" t="str">
        <x:v>L2023-00036-1</x:v>
      </x:c>
      <x:c r="C515" s="22" t="str">
        <x:v>공사</x:v>
      </x:c>
      <x:c r="D515" s="25" t="str">
        <x:v>우즈베키스탄 우르겐치 직업훈련원 건립 및 타슈켄트 교사연수센터 건립사업 시공업체선정 현지입찰</x:v>
      </x:c>
      <x:c r="E515" s="22" t="n">
        <x:v>1</x:v>
      </x:c>
      <x:c r="F515" s="22" t="str">
        <x:v>.xls</x:v>
      </x:c>
      <x:c r="G515" s="25" t="str">
        <x:v>L2023-00036-1/붙임3_입찰관련서류_검토완_0717/Section 4.  Bill of Quantities(Not-Priced)/공내역서/VTC견적서/4 БУФЕТ(Cafeteria)/4-4 ВК(Water &amp; Sewer &amp; Fireplug)/13143_vrmu.xls</x:v>
      </x:c>
      <x:c r="H515" s="28" t="n">
        <x:v>58880</x:v>
      </x:c>
      <x:c r="I515" s="22" t="str">
        <x:v>027d687c679bf6e9cdeb0a54bacb5e7bb8bbeb103807f88b0bfeb421b7cf4c55</x:v>
      </x:c>
      <x:c r="J515" s="22" t="n">
        <x:v>0</x:v>
      </x:c>
      <x:c r="K515" s="22" t="n">
        <x:v>1</x:v>
      </x:c>
      <x:c r="L515" s="22" t="n">
        <x:v>1</x:v>
      </x:c>
      <x:c r="M515" s="28" t="n">
        <x:v>1</x:v>
      </x:c>
      <x:c r="N515" s="28" t="n">
        <x:v>92</x:v>
      </x:c>
      <x:c r="O515" s="28" t="n">
        <x:v>1</x:v>
      </x:c>
      <x:c r="P515" s="62" t="n">
        <x:v>0.010869565217391304</x:v>
      </x:c>
      <x:c r="Q515" s="22" t="n">
        <x:v>0</x:v>
      </x:c>
      <x:c r="R515" s="22" t="str">
        <x:v>Лист1</x:v>
      </x:c>
      <x:c r="S515" s="22" t="str">
        <x:v>visible</x:v>
      </x:c>
      <x:c r="T515" s="22" t="str"/>
    </x:row>
    <x:row r="516">
      <x:c r="A516" s="22" t="str">
        <x:v>2020-00086</x:v>
      </x:c>
      <x:c r="B516" s="22" t="str">
        <x:v>L2023-00036-1</x:v>
      </x:c>
      <x:c r="C516" s="22" t="str">
        <x:v>공사</x:v>
      </x:c>
      <x:c r="D516" s="25" t="str">
        <x:v>우즈베키스탄 우르겐치 직업훈련원 건립 및 타슈켄트 교사연수센터 건립사업 시공업체선정 현지입찰</x:v>
      </x:c>
      <x:c r="E516" s="22" t="n">
        <x:v>1</x:v>
      </x:c>
      <x:c r="F516" s="22" t="str">
        <x:v>.xls</x:v>
      </x:c>
      <x:c r="G516" s="25" t="str">
        <x:v>L2023-00036-1/붙임3_입찰관련서류_검토완_0717/Section 4.  Bill of Quantities(Not-Priced)/공내역서/VTC견적서/4 БУФЕТ(Cafeteria)/4-4 ВК(Water &amp; Sewer &amp; Fireplug)/bv13140.xls</x:v>
      </x:c>
      <x:c r="H516" s="28" t="n">
        <x:v>101376</x:v>
      </x:c>
      <x:c r="I516" s="22" t="str">
        <x:v>30d7129e70a2f8c02e76abae0bdc44883ba9865a77d3abb89c0c70e00a6481d7</x:v>
      </x:c>
      <x:c r="J516" s="22" t="n">
        <x:v>0</x:v>
      </x:c>
      <x:c r="K516" s="22" t="n">
        <x:v>1</x:v>
      </x:c>
      <x:c r="L516" s="22" t="n">
        <x:v>1</x:v>
      </x:c>
      <x:c r="M516" s="28" t="n">
        <x:v>0</x:v>
      </x:c>
      <x:c r="N516" s="28" t="n">
        <x:v>0</x:v>
      </x:c>
      <x:c r="O516" s="28" t="n">
        <x:v>0</x:v>
      </x:c>
      <x:c r="P516" s="62" t="n">
        <x:v>0</x:v>
      </x:c>
      <x:c r="Q516" s="22" t="n">
        <x:v>0</x:v>
      </x:c>
      <x:c r="R516" s="22" t="str"/>
      <x:c r="S516" s="22" t="str"/>
      <x:c r="T516" s="22" t="str"/>
    </x:row>
    <x:row r="517">
      <x:c r="A517" s="22" t="str">
        <x:v>2020-00086</x:v>
      </x:c>
      <x:c r="B517" s="22" t="str">
        <x:v>L2023-00036-1</x:v>
      </x:c>
      <x:c r="C517" s="22" t="str">
        <x:v>공사</x:v>
      </x:c>
      <x:c r="D517" s="25" t="str">
        <x:v>우즈베키스탄 우르겐치 직업훈련원 건립 및 타슈켄트 교사연수센터 건립사업 시공업체선정 현지입찰</x:v>
      </x:c>
      <x:c r="E517" s="22" t="n">
        <x:v>1</x:v>
      </x:c>
      <x:c r="F517" s="22" t="str">
        <x:v>.xls</x:v>
      </x:c>
      <x:c r="G517" s="25" t="str">
        <x:v>L2023-00036-1/붙임3_입찰관련서류_검토완_0717/Section 4.  Bill of Quantities(Not-Priced)/공내역서/VTC견적서/4 БУФЕТ(Cafeteria)/4-4 ВК(Water &amp; Sewer &amp; Fireplug)/13143_vfor.xls</x:v>
      </x:c>
      <x:c r="H517" s="28" t="n">
        <x:v>44544</x:v>
      </x:c>
      <x:c r="I517" s="22" t="str">
        <x:v>98b13878ef8ab7c9d3cae5fa8b44fee5f5ee24bd74d0cf10dc4c1be4092da457</x:v>
      </x:c>
      <x:c r="J517" s="22" t="n">
        <x:v>0</x:v>
      </x:c>
      <x:c r="K517" s="22" t="n">
        <x:v>1</x:v>
      </x:c>
      <x:c r="L517" s="22" t="n">
        <x:v>1</x:v>
      </x:c>
      <x:c r="M517" s="28" t="n">
        <x:v>0</x:v>
      </x:c>
      <x:c r="N517" s="28" t="n">
        <x:v>0</x:v>
      </x:c>
      <x:c r="O517" s="28" t="n">
        <x:v>0</x:v>
      </x:c>
      <x:c r="P517" s="62" t="n">
        <x:v>0</x:v>
      </x:c>
      <x:c r="Q517" s="22" t="n">
        <x:v>0</x:v>
      </x:c>
      <x:c r="R517" s="22" t="str"/>
      <x:c r="S517" s="22" t="str"/>
      <x:c r="T517" s="22" t="str"/>
    </x:row>
    <x:row r="518">
      <x:c r="A518" s="22" t="str">
        <x:v>2020-00086</x:v>
      </x:c>
      <x:c r="B518" s="22" t="str">
        <x:v>L2023-00036-1</x:v>
      </x:c>
      <x:c r="C518" s="22" t="str">
        <x:v>공사</x:v>
      </x:c>
      <x:c r="D518" s="25" t="str">
        <x:v>우즈베키스탄 우르겐치 직업훈련원 건립 및 타슈켄트 교사연수센터 건립사업 시공업체선정 현지입찰</x:v>
      </x:c>
      <x:c r="E518" s="22" t="n">
        <x:v>1</x:v>
      </x:c>
      <x:c r="F518" s="22" t="str">
        <x:v>.xls</x:v>
      </x:c>
      <x:c r="G518" s="25" t="str">
        <x:v>L2023-00036-1/붙임3_입찰관련서류_검토완_0717/Section 4.  Bill of Quantities(Not-Priced)/공내역서/VTC견적서/4 БУФЕТ(Cafeteria)/4-1 КЖ(Structure)/bv13000.xls</x:v>
      </x:c>
      <x:c r="H518" s="28" t="n">
        <x:v>156672</x:v>
      </x:c>
      <x:c r="I518" s="22" t="str">
        <x:v>e49a76056dacf893c3d8796df531ea37b5095b5abc0a8b4162cbcaa36a253bf9</x:v>
      </x:c>
      <x:c r="J518" s="22" t="n">
        <x:v>0</x:v>
      </x:c>
      <x:c r="K518" s="22" t="n">
        <x:v>1</x:v>
      </x:c>
      <x:c r="L518" s="22" t="n">
        <x:v>1</x:v>
      </x:c>
      <x:c r="M518" s="28" t="n">
        <x:v>0</x:v>
      </x:c>
      <x:c r="N518" s="28" t="n">
        <x:v>0</x:v>
      </x:c>
      <x:c r="O518" s="28" t="n">
        <x:v>0</x:v>
      </x:c>
      <x:c r="P518" s="62" t="n">
        <x:v>0</x:v>
      </x:c>
      <x:c r="Q518" s="22" t="n">
        <x:v>0</x:v>
      </x:c>
      <x:c r="R518" s="22" t="str"/>
      <x:c r="S518" s="22" t="str"/>
      <x:c r="T518" s="22" t="str"/>
    </x:row>
    <x:row r="519">
      <x:c r="A519" s="22" t="str">
        <x:v>2020-00086</x:v>
      </x:c>
      <x:c r="B519" s="22" t="str">
        <x:v>L2023-00036-1</x:v>
      </x:c>
      <x:c r="C519" s="22" t="str">
        <x:v>공사</x:v>
      </x:c>
      <x:c r="D519" s="25" t="str">
        <x:v>우즈베키스탄 우르겐치 직업훈련원 건립 및 타슈켄트 교사연수센터 건립사업 시공업체선정 현지입찰</x:v>
      </x:c>
      <x:c r="E519" s="22" t="n">
        <x:v>1</x:v>
      </x:c>
      <x:c r="F519" s="22" t="str">
        <x:v>.xls</x:v>
      </x:c>
      <x:c r="G519" s="25" t="str">
        <x:v>L2023-00036-1/붙임3_입찰관련서류_검토완_0717/Section 4.  Bill of Quantities(Not-Priced)/공내역서/VTC견적서/4 БУФЕТ(Cafeteria)/4-1 КЖ(Structure)/13003_vrmu.xls</x:v>
      </x:c>
      <x:c r="H519" s="28" t="n">
        <x:v>62464</x:v>
      </x:c>
      <x:c r="I519" s="22" t="str">
        <x:v>d72b64907d7daa57e525829fef7b974213dd612efc93728136b1f9a32ba64193</x:v>
      </x:c>
      <x:c r="J519" s="22" t="n">
        <x:v>0</x:v>
      </x:c>
      <x:c r="K519" s="22" t="n">
        <x:v>1</x:v>
      </x:c>
      <x:c r="L519" s="22" t="n">
        <x:v>1</x:v>
      </x:c>
      <x:c r="M519" s="28" t="n">
        <x:v>1</x:v>
      </x:c>
      <x:c r="N519" s="28" t="n">
        <x:v>101</x:v>
      </x:c>
      <x:c r="O519" s="28" t="n">
        <x:v>1</x:v>
      </x:c>
      <x:c r="P519" s="62" t="n">
        <x:v>0.009900990099009901</x:v>
      </x:c>
      <x:c r="Q519" s="22" t="n">
        <x:v>0</x:v>
      </x:c>
      <x:c r="R519" s="22" t="str">
        <x:v>Лист1</x:v>
      </x:c>
      <x:c r="S519" s="22" t="str">
        <x:v>visible</x:v>
      </x:c>
      <x:c r="T519" s="22" t="str"/>
    </x:row>
    <x:row r="520">
      <x:c r="A520" s="22" t="str">
        <x:v>2020-00086</x:v>
      </x:c>
      <x:c r="B520" s="22" t="str">
        <x:v>L2023-00036-1</x:v>
      </x:c>
      <x:c r="C520" s="22" t="str">
        <x:v>공사</x:v>
      </x:c>
      <x:c r="D520" s="25" t="str">
        <x:v>우즈베키스탄 우르겐치 직업훈련원 건립 및 타슈켄트 교사연수센터 건립사업 시공업체선정 현지입찰</x:v>
      </x:c>
      <x:c r="E520" s="22" t="n">
        <x:v>1</x:v>
      </x:c>
      <x:c r="F520" s="22" t="str">
        <x:v>.xls</x:v>
      </x:c>
      <x:c r="G520" s="25" t="str">
        <x:v>L2023-00036-1/붙임3_입찰관련서류_검토완_0717/Section 4.  Bill of Quantities(Not-Priced)/공내역서/VTC견적서/4 БУФЕТ(Cafeteria)/4-1 КЖ(Structure)/13003_vfor.xls</x:v>
      </x:c>
      <x:c r="H520" s="28" t="n">
        <x:v>50688</x:v>
      </x:c>
      <x:c r="I520" s="22" t="str">
        <x:v>3b1e98bbc6de0c72870866ac1c0c8db81940cd52c11496ff73a104140e3b986b</x:v>
      </x:c>
      <x:c r="J520" s="22" t="n">
        <x:v>0</x:v>
      </x:c>
      <x:c r="K520" s="22" t="n">
        <x:v>1</x:v>
      </x:c>
      <x:c r="L520" s="22" t="n">
        <x:v>1</x:v>
      </x:c>
      <x:c r="M520" s="28" t="n">
        <x:v>0</x:v>
      </x:c>
      <x:c r="N520" s="28" t="n">
        <x:v>0</x:v>
      </x:c>
      <x:c r="O520" s="28" t="n">
        <x:v>0</x:v>
      </x:c>
      <x:c r="P520" s="62" t="n">
        <x:v>0</x:v>
      </x:c>
      <x:c r="Q520" s="22" t="n">
        <x:v>0</x:v>
      </x:c>
      <x:c r="R520" s="22" t="str"/>
      <x:c r="S520" s="22" t="str"/>
      <x:c r="T520" s="22" t="str"/>
    </x:row>
    <x:row r="521">
      <x:c r="A521" s="22" t="str">
        <x:v>2020-00086</x:v>
      </x:c>
      <x:c r="B521" s="22" t="str">
        <x:v>L2023-00036-1</x:v>
      </x:c>
      <x:c r="C521" s="22" t="str">
        <x:v>공사</x:v>
      </x:c>
      <x:c r="D521" s="25" t="str">
        <x:v>우즈베키스탄 우르겐치 직업훈련원 건립 및 타슈켄트 교사연수센터 건립사업 시공업체선정 현지입찰</x:v>
      </x:c>
      <x:c r="E521" s="22" t="n">
        <x:v>1</x:v>
      </x:c>
      <x:c r="F521" s="22" t="str">
        <x:v>.xls</x:v>
      </x:c>
      <x:c r="G521" s="25" t="str">
        <x:v>L2023-00036-1/붙임3_입찰관련서류_검토완_0717/Section 4.  Bill of Quantities(Not-Priced)/공내역서/VTC견적서/4 БУФЕТ(Cafeteria)/4-6 ПС(Fire Alarm)/bv13310.xls</x:v>
      </x:c>
      <x:c r="H521" s="28" t="n">
        <x:v>69120</x:v>
      </x:c>
      <x:c r="I521" s="22" t="str">
        <x:v>81809811b78a8dd144fece047c059af1fd7e7d922ba4e5f2d70343d6a2180b31</x:v>
      </x:c>
      <x:c r="J521" s="22" t="n">
        <x:v>0</x:v>
      </x:c>
      <x:c r="K521" s="22" t="n">
        <x:v>1</x:v>
      </x:c>
      <x:c r="L521" s="22" t="n">
        <x:v>1</x:v>
      </x:c>
      <x:c r="M521" s="28" t="n">
        <x:v>0</x:v>
      </x:c>
      <x:c r="N521" s="28" t="n">
        <x:v>0</x:v>
      </x:c>
      <x:c r="O521" s="28" t="n">
        <x:v>0</x:v>
      </x:c>
      <x:c r="P521" s="62" t="n">
        <x:v>0</x:v>
      </x:c>
      <x:c r="Q521" s="22" t="n">
        <x:v>0</x:v>
      </x:c>
      <x:c r="R521" s="22" t="str"/>
      <x:c r="S521" s="22" t="str"/>
      <x:c r="T521" s="22" t="str"/>
    </x:row>
    <x:row r="522">
      <x:c r="A522" s="22" t="str">
        <x:v>2020-00086</x:v>
      </x:c>
      <x:c r="B522" s="22" t="str">
        <x:v>L2023-00036-1</x:v>
      </x:c>
      <x:c r="C522" s="22" t="str">
        <x:v>공사</x:v>
      </x:c>
      <x:c r="D522" s="25" t="str">
        <x:v>우즈베키스탄 우르겐치 직업훈련원 건립 및 타슈켄트 교사연수센터 건립사업 시공업체선정 현지입찰</x:v>
      </x:c>
      <x:c r="E522" s="22" t="n">
        <x:v>1</x:v>
      </x:c>
      <x:c r="F522" s="22" t="str">
        <x:v>.xls</x:v>
      </x:c>
      <x:c r="G522" s="25" t="str">
        <x:v>L2023-00036-1/붙임3_입찰관련서류_검토완_0717/Section 4.  Bill of Quantities(Not-Priced)/공내역서/VTC견적서/4 БУФЕТ(Cafeteria)/4-6 ПС(Fire Alarm)/13313_vrmu.xls</x:v>
      </x:c>
      <x:c r="H522" s="28" t="n">
        <x:v>46080</x:v>
      </x:c>
      <x:c r="I522" s="22" t="str">
        <x:v>01d43896faa9af4d2e70ba503954aaa3dc7c7ca5760cd23fc5cb4b35df1973d8</x:v>
      </x:c>
      <x:c r="J522" s="22" t="n">
        <x:v>0</x:v>
      </x:c>
      <x:c r="K522" s="22" t="n">
        <x:v>1</x:v>
      </x:c>
      <x:c r="L522" s="22" t="n">
        <x:v>1</x:v>
      </x:c>
      <x:c r="M522" s="28" t="n">
        <x:v>1</x:v>
      </x:c>
      <x:c r="N522" s="28" t="n">
        <x:v>46</x:v>
      </x:c>
      <x:c r="O522" s="28" t="n">
        <x:v>1</x:v>
      </x:c>
      <x:c r="P522" s="62" t="n">
        <x:v>0.021739130434782608</x:v>
      </x:c>
      <x:c r="Q522" s="22" t="n">
        <x:v>0</x:v>
      </x:c>
      <x:c r="R522" s="22" t="str">
        <x:v>Лист1</x:v>
      </x:c>
      <x:c r="S522" s="22" t="str">
        <x:v>visible</x:v>
      </x:c>
      <x:c r="T522" s="22" t="str"/>
    </x:row>
    <x:row r="523">
      <x:c r="A523" s="22" t="str">
        <x:v>2020-00086</x:v>
      </x:c>
      <x:c r="B523" s="22" t="str">
        <x:v>L2023-00036-1</x:v>
      </x:c>
      <x:c r="C523" s="22" t="str">
        <x:v>공사</x:v>
      </x:c>
      <x:c r="D523" s="25" t="str">
        <x:v>우즈베키스탄 우르겐치 직업훈련원 건립 및 타슈켄트 교사연수센터 건립사업 시공업체선정 현지입찰</x:v>
      </x:c>
      <x:c r="E523" s="22" t="n">
        <x:v>1</x:v>
      </x:c>
      <x:c r="F523" s="22" t="str">
        <x:v>.xls</x:v>
      </x:c>
      <x:c r="G523" s="25" t="str">
        <x:v>L2023-00036-1/붙임3_입찰관련서류_검토완_0717/Section 4.  Bill of Quantities(Not-Priced)/공내역서/VTC견적서/4 БУФЕТ(Cafeteria)/4-6 ПС(Fire Alarm)/13313_vfor.xls</x:v>
      </x:c>
      <x:c r="H523" s="28" t="n">
        <x:v>40960</x:v>
      </x:c>
      <x:c r="I523" s="22" t="str">
        <x:v>3a4adfa8a2b2159255f5e5fc7479802f38be4f2cb149beebcf59d780125a0c16</x:v>
      </x:c>
      <x:c r="J523" s="22" t="n">
        <x:v>0</x:v>
      </x:c>
      <x:c r="K523" s="22" t="n">
        <x:v>1</x:v>
      </x:c>
      <x:c r="L523" s="22" t="n">
        <x:v>1</x:v>
      </x:c>
      <x:c r="M523" s="28" t="n">
        <x:v>0</x:v>
      </x:c>
      <x:c r="N523" s="28" t="n">
        <x:v>0</x:v>
      </x:c>
      <x:c r="O523" s="28" t="n">
        <x:v>0</x:v>
      </x:c>
      <x:c r="P523" s="62" t="n">
        <x:v>0</x:v>
      </x:c>
      <x:c r="Q523" s="22" t="n">
        <x:v>0</x:v>
      </x:c>
      <x:c r="R523" s="22" t="str"/>
      <x:c r="S523" s="22" t="str"/>
      <x:c r="T523" s="22" t="str"/>
    </x:row>
    <x:row r="524">
      <x:c r="A524" s="22" t="str">
        <x:v>2020-00086</x:v>
      </x:c>
      <x:c r="B524" s="22" t="str">
        <x:v>L2023-00036-1</x:v>
      </x:c>
      <x:c r="C524" s="22" t="str">
        <x:v>공사</x:v>
      </x:c>
      <x:c r="D524" s="25" t="str">
        <x:v>우즈베키스탄 우르겐치 직업훈련원 건립 및 타슈켄트 교사연수센터 건립사업 시공업체선정 현지입찰</x:v>
      </x:c>
      <x:c r="E524" s="22" t="n">
        <x:v>1</x:v>
      </x:c>
      <x:c r="F524" s="22" t="str">
        <x:v>.xls</x:v>
      </x:c>
      <x:c r="G524" s="25" t="str">
        <x:v>L2023-00036-1/붙임3_입찰관련서류_검토완_0717/Section 4.  Bill of Quantities(Not-Priced)/공내역서/VTC견적서/4 БУФЕТ(Cafeteria)/4-8 ГСВ(Gas)/13473_vfor.xls</x:v>
      </x:c>
      <x:c r="H524" s="28" t="n">
        <x:v>43008</x:v>
      </x:c>
      <x:c r="I524" s="22" t="str">
        <x:v>5d603195cdfc413bea2240ef38ba9f4d3adfd29a3e4a64767494df660b2149df</x:v>
      </x:c>
      <x:c r="J524" s="22" t="n">
        <x:v>0</x:v>
      </x:c>
      <x:c r="K524" s="22" t="n">
        <x:v>1</x:v>
      </x:c>
      <x:c r="L524" s="22" t="n">
        <x:v>1</x:v>
      </x:c>
      <x:c r="M524" s="28" t="n">
        <x:v>0</x:v>
      </x:c>
      <x:c r="N524" s="28" t="n">
        <x:v>0</x:v>
      </x:c>
      <x:c r="O524" s="28" t="n">
        <x:v>0</x:v>
      </x:c>
      <x:c r="P524" s="62" t="n">
        <x:v>0</x:v>
      </x:c>
      <x:c r="Q524" s="22" t="n">
        <x:v>0</x:v>
      </x:c>
      <x:c r="R524" s="22" t="str"/>
      <x:c r="S524" s="22" t="str"/>
      <x:c r="T524" s="22" t="str"/>
    </x:row>
    <x:row r="525">
      <x:c r="A525" s="22" t="str">
        <x:v>2020-00086</x:v>
      </x:c>
      <x:c r="B525" s="22" t="str">
        <x:v>L2023-00036-1</x:v>
      </x:c>
      <x:c r="C525" s="22" t="str">
        <x:v>공사</x:v>
      </x:c>
      <x:c r="D525" s="25" t="str">
        <x:v>우즈베키스탄 우르겐치 직업훈련원 건립 및 타슈켄트 교사연수센터 건립사업 시공업체선정 현지입찰</x:v>
      </x:c>
      <x:c r="E525" s="22" t="n">
        <x:v>1</x:v>
      </x:c>
      <x:c r="F525" s="22" t="str">
        <x:v>.xls</x:v>
      </x:c>
      <x:c r="G525" s="25" t="str">
        <x:v>L2023-00036-1/붙임3_입찰관련서류_검토완_0717/Section 4.  Bill of Quantities(Not-Priced)/공내역서/VTC견적서/4 БУФЕТ(Cafeteria)/4-8 ГСВ(Gas)/bv13470.xls</x:v>
      </x:c>
      <x:c r="H525" s="28" t="n">
        <x:v>86528</x:v>
      </x:c>
      <x:c r="I525" s="22" t="str">
        <x:v>9089df465dcf44624bcfa1339c6394342f5633ca53765547ae3967955305ecea</x:v>
      </x:c>
      <x:c r="J525" s="22" t="n">
        <x:v>0</x:v>
      </x:c>
      <x:c r="K525" s="22" t="n">
        <x:v>1</x:v>
      </x:c>
      <x:c r="L525" s="22" t="n">
        <x:v>1</x:v>
      </x:c>
      <x:c r="M525" s="28" t="n">
        <x:v>0</x:v>
      </x:c>
      <x:c r="N525" s="28" t="n">
        <x:v>0</x:v>
      </x:c>
      <x:c r="O525" s="28" t="n">
        <x:v>0</x:v>
      </x:c>
      <x:c r="P525" s="62" t="n">
        <x:v>0</x:v>
      </x:c>
      <x:c r="Q525" s="22" t="n">
        <x:v>0</x:v>
      </x:c>
      <x:c r="R525" s="22" t="str"/>
      <x:c r="S525" s="22" t="str"/>
      <x:c r="T525" s="22" t="str"/>
    </x:row>
    <x:row r="526">
      <x:c r="A526" s="22" t="str">
        <x:v>2020-00086</x:v>
      </x:c>
      <x:c r="B526" s="22" t="str">
        <x:v>L2023-00036-1</x:v>
      </x:c>
      <x:c r="C526" s="22" t="str">
        <x:v>공사</x:v>
      </x:c>
      <x:c r="D526" s="25" t="str">
        <x:v>우즈베키스탄 우르겐치 직업훈련원 건립 및 타슈켄트 교사연수센터 건립사업 시공업체선정 현지입찰</x:v>
      </x:c>
      <x:c r="E526" s="22" t="n">
        <x:v>1</x:v>
      </x:c>
      <x:c r="F526" s="22" t="str">
        <x:v>.xls</x:v>
      </x:c>
      <x:c r="G526" s="25" t="str">
        <x:v>L2023-00036-1/붙임3_입찰관련서류_검토완_0717/Section 4.  Bill of Quantities(Not-Priced)/공내역서/VTC견적서/4 БУФЕТ(Cafeteria)/4-8 ГСВ(Gas)/13473_vrmu.xls</x:v>
      </x:c>
      <x:c r="H526" s="28" t="n">
        <x:v>51712</x:v>
      </x:c>
      <x:c r="I526" s="22" t="str">
        <x:v>7895280f53f85a8490bd3a4cba8955f4e0267d7828d7adaca5eac514a87c8039</x:v>
      </x:c>
      <x:c r="J526" s="22" t="n">
        <x:v>0</x:v>
      </x:c>
      <x:c r="K526" s="22" t="n">
        <x:v>1</x:v>
      </x:c>
      <x:c r="L526" s="22" t="n">
        <x:v>1</x:v>
      </x:c>
      <x:c r="M526" s="28" t="n">
        <x:v>1</x:v>
      </x:c>
      <x:c r="N526" s="28" t="n">
        <x:v>58</x:v>
      </x:c>
      <x:c r="O526" s="28" t="n">
        <x:v>1</x:v>
      </x:c>
      <x:c r="P526" s="62" t="n">
        <x:v>0.017241379310344827</x:v>
      </x:c>
      <x:c r="Q526" s="22" t="n">
        <x:v>0</x:v>
      </x:c>
      <x:c r="R526" s="22" t="str">
        <x:v>Лист1</x:v>
      </x:c>
      <x:c r="S526" s="22" t="str">
        <x:v>visible</x:v>
      </x:c>
      <x:c r="T526" s="22" t="str"/>
    </x:row>
    <x:row r="527">
      <x:c r="A527" s="22" t="str">
        <x:v>2020-00086</x:v>
      </x:c>
      <x:c r="B527" s="22" t="str">
        <x:v>L2023-00036-1</x:v>
      </x:c>
      <x:c r="C527" s="22" t="str">
        <x:v>공사</x:v>
      </x:c>
      <x:c r="D527" s="25" t="str">
        <x:v>우즈베키스탄 우르겐치 직업훈련원 건립 및 타슈켄트 교사연수센터 건립사업 시공업체선정 현지입찰</x:v>
      </x:c>
      <x:c r="E527" s="22" t="n">
        <x:v>1</x:v>
      </x:c>
      <x:c r="F527" s="22" t="str">
        <x:v>.xls</x:v>
      </x:c>
      <x:c r="G527" s="25" t="str">
        <x:v>L2023-00036-1/붙임3_입찰관련서류_검토완_0717/Section 4.  Bill of Quantities(Not-Priced)/공내역서/VTC견적서/8 ПОЖАРНАЯ ЕМЪКОСТЬ(Fire Tank)/8-3 ЭО(Electric)/13733_vrmu.xls</x:v>
      </x:c>
      <x:c r="H527" s="28" t="n">
        <x:v>55296</x:v>
      </x:c>
      <x:c r="I527" s="22" t="str">
        <x:v>dd26635add3df12c3c1ffa6d858087ee72aad2c51664c8f5af2ad5b1a0b3cbf1</x:v>
      </x:c>
      <x:c r="J527" s="22" t="n">
        <x:v>0</x:v>
      </x:c>
      <x:c r="K527" s="22" t="n">
        <x:v>1</x:v>
      </x:c>
      <x:c r="L527" s="22" t="n">
        <x:v>1</x:v>
      </x:c>
      <x:c r="M527" s="28" t="n">
        <x:v>1</x:v>
      </x:c>
      <x:c r="N527" s="28" t="n">
        <x:v>76</x:v>
      </x:c>
      <x:c r="O527" s="28" t="n">
        <x:v>1</x:v>
      </x:c>
      <x:c r="P527" s="62" t="n">
        <x:v>0.013157894736842105</x:v>
      </x:c>
      <x:c r="Q527" s="22" t="n">
        <x:v>0</x:v>
      </x:c>
      <x:c r="R527" s="22" t="str">
        <x:v>Лист1</x:v>
      </x:c>
      <x:c r="S527" s="22" t="str">
        <x:v>visible</x:v>
      </x:c>
      <x:c r="T527" s="22" t="str"/>
    </x:row>
    <x:row r="528">
      <x:c r="A528" s="22" t="str">
        <x:v>2020-00086</x:v>
      </x:c>
      <x:c r="B528" s="22" t="str">
        <x:v>L2023-00036-1</x:v>
      </x:c>
      <x:c r="C528" s="22" t="str">
        <x:v>공사</x:v>
      </x:c>
      <x:c r="D528" s="25" t="str">
        <x:v>우즈베키스탄 우르겐치 직업훈련원 건립 및 타슈켄트 교사연수센터 건립사업 시공업체선정 현지입찰</x:v>
      </x:c>
      <x:c r="E528" s="22" t="n">
        <x:v>1</x:v>
      </x:c>
      <x:c r="F528" s="22" t="str">
        <x:v>.xls</x:v>
      </x:c>
      <x:c r="G528" s="25" t="str">
        <x:v>L2023-00036-1/붙임3_입찰관련서류_검토완_0717/Section 4.  Bill of Quantities(Not-Priced)/공내역서/VTC견적서/8 ПОЖАРНАЯ ЕМЪКОСТЬ(Fire Tank)/8-3 ЭО(Electric)/13733_vfor.xls</x:v>
      </x:c>
      <x:c r="H528" s="28" t="n">
        <x:v>40448</x:v>
      </x:c>
      <x:c r="I528" s="22" t="str">
        <x:v>4b7ecea42e8e01f81fbf69ffbe105611f8e47711cbfac29373ac28d50d40fd4b</x:v>
      </x:c>
      <x:c r="J528" s="22" t="n">
        <x:v>0</x:v>
      </x:c>
      <x:c r="K528" s="22" t="n">
        <x:v>1</x:v>
      </x:c>
      <x:c r="L528" s="22" t="n">
        <x:v>1</x:v>
      </x:c>
      <x:c r="M528" s="28" t="n">
        <x:v>0</x:v>
      </x:c>
      <x:c r="N528" s="28" t="n">
        <x:v>0</x:v>
      </x:c>
      <x:c r="O528" s="28" t="n">
        <x:v>0</x:v>
      </x:c>
      <x:c r="P528" s="62" t="n">
        <x:v>0</x:v>
      </x:c>
      <x:c r="Q528" s="22" t="n">
        <x:v>0</x:v>
      </x:c>
      <x:c r="R528" s="22" t="str"/>
      <x:c r="S528" s="22" t="str"/>
      <x:c r="T528" s="22" t="str"/>
    </x:row>
    <x:row r="529">
      <x:c r="A529" s="22" t="str">
        <x:v>2020-00086</x:v>
      </x:c>
      <x:c r="B529" s="22" t="str">
        <x:v>L2023-00036-1</x:v>
      </x:c>
      <x:c r="C529" s="22" t="str">
        <x:v>공사</x:v>
      </x:c>
      <x:c r="D529" s="25" t="str">
        <x:v>우즈베키스탄 우르겐치 직업훈련원 건립 및 타슈켄트 교사연수센터 건립사업 시공업체선정 현지입찰</x:v>
      </x:c>
      <x:c r="E529" s="22" t="n">
        <x:v>1</x:v>
      </x:c>
      <x:c r="F529" s="22" t="str">
        <x:v>.xls</x:v>
      </x:c>
      <x:c r="G529" s="25" t="str">
        <x:v>L2023-00036-1/붙임3_입찰관련서류_검토완_0717/Section 4.  Bill of Quantities(Not-Priced)/공내역서/VTC견적서/8 ПОЖАРНАЯ ЕМЪКОСТЬ(Fire Tank)/8-3 ЭО(Electric)/bv13730.xls</x:v>
      </x:c>
      <x:c r="H529" s="28" t="n">
        <x:v>90112</x:v>
      </x:c>
      <x:c r="I529" s="22" t="str">
        <x:v>a6ce3182f24e613f5aae906cca546b8467389ab8803175c900c5edc80050bdb9</x:v>
      </x:c>
      <x:c r="J529" s="22" t="n">
        <x:v>0</x:v>
      </x:c>
      <x:c r="K529" s="22" t="n">
        <x:v>1</x:v>
      </x:c>
      <x:c r="L529" s="22" t="n">
        <x:v>1</x:v>
      </x:c>
      <x:c r="M529" s="28" t="n">
        <x:v>0</x:v>
      </x:c>
      <x:c r="N529" s="28" t="n">
        <x:v>0</x:v>
      </x:c>
      <x:c r="O529" s="28" t="n">
        <x:v>0</x:v>
      </x:c>
      <x:c r="P529" s="62" t="n">
        <x:v>0</x:v>
      </x:c>
      <x:c r="Q529" s="22" t="n">
        <x:v>0</x:v>
      </x:c>
      <x:c r="R529" s="22" t="str"/>
      <x:c r="S529" s="22" t="str"/>
      <x:c r="T529" s="22" t="str"/>
    </x:row>
    <x:row r="530">
      <x:c r="A530" s="22" t="str">
        <x:v>2020-00086</x:v>
      </x:c>
      <x:c r="B530" s="22" t="str">
        <x:v>L2023-00036-1</x:v>
      </x:c>
      <x:c r="C530" s="22" t="str">
        <x:v>공사</x:v>
      </x:c>
      <x:c r="D530" s="25" t="str">
        <x:v>우즈베키스탄 우르겐치 직업훈련원 건립 및 타슈켄트 교사연수센터 건립사업 시공업체선정 현지입찰</x:v>
      </x:c>
      <x:c r="E530" s="22" t="n">
        <x:v>1</x:v>
      </x:c>
      <x:c r="F530" s="22" t="str">
        <x:v>.xls</x:v>
      </x:c>
      <x:c r="G530" s="25" t="str">
        <x:v>L2023-00036-1/붙임3_입찰관련서류_검토완_0717/Section 4.  Bill of Quantities(Not-Priced)/공내역서/VTC견적서/8 ПОЖАРНАЯ ЕМЪКОСТЬ(Fire Tank)/8-2 ТХ(Technology Plan)/13603_vfor.xls</x:v>
      </x:c>
      <x:c r="H530" s="28" t="n">
        <x:v>35840</x:v>
      </x:c>
      <x:c r="I530" s="22" t="str">
        <x:v>aef3e1723acd7e063007694bdea3257d0d9172d1dfd94eea0adef60ffec47c04</x:v>
      </x:c>
      <x:c r="J530" s="22" t="n">
        <x:v>0</x:v>
      </x:c>
      <x:c r="K530" s="22" t="n">
        <x:v>1</x:v>
      </x:c>
      <x:c r="L530" s="22" t="n">
        <x:v>1</x:v>
      </x:c>
      <x:c r="M530" s="28" t="n">
        <x:v>0</x:v>
      </x:c>
      <x:c r="N530" s="28" t="n">
        <x:v>0</x:v>
      </x:c>
      <x:c r="O530" s="28" t="n">
        <x:v>0</x:v>
      </x:c>
      <x:c r="P530" s="62" t="n">
        <x:v>0</x:v>
      </x:c>
      <x:c r="Q530" s="22" t="n">
        <x:v>0</x:v>
      </x:c>
      <x:c r="R530" s="22" t="str"/>
      <x:c r="S530" s="22" t="str"/>
      <x:c r="T530" s="22" t="str"/>
    </x:row>
    <x:row r="531">
      <x:c r="A531" s="22" t="str">
        <x:v>2020-00086</x:v>
      </x:c>
      <x:c r="B531" s="22" t="str">
        <x:v>L2023-00036-1</x:v>
      </x:c>
      <x:c r="C531" s="22" t="str">
        <x:v>공사</x:v>
      </x:c>
      <x:c r="D531" s="25" t="str">
        <x:v>우즈베키스탄 우르겐치 직업훈련원 건립 및 타슈켄트 교사연수센터 건립사업 시공업체선정 현지입찰</x:v>
      </x:c>
      <x:c r="E531" s="22" t="n">
        <x:v>1</x:v>
      </x:c>
      <x:c r="F531" s="22" t="str">
        <x:v>.xls</x:v>
      </x:c>
      <x:c r="G531" s="25" t="str">
        <x:v>L2023-00036-1/붙임3_입찰관련서류_검토완_0717/Section 4.  Bill of Quantities(Not-Priced)/공내역서/VTC견적서/8 ПОЖАРНАЯ ЕМЪКОСТЬ(Fire Tank)/8-2 ТХ(Technology Plan)/bv13600.xls</x:v>
      </x:c>
      <x:c r="H531" s="28" t="n">
        <x:v>80896</x:v>
      </x:c>
      <x:c r="I531" s="22" t="str">
        <x:v>c8b47be5d6000bcdfeef410c167b93e50c2f883be060652b37ff38542a97986f</x:v>
      </x:c>
      <x:c r="J531" s="22" t="n">
        <x:v>0</x:v>
      </x:c>
      <x:c r="K531" s="22" t="n">
        <x:v>1</x:v>
      </x:c>
      <x:c r="L531" s="22" t="n">
        <x:v>1</x:v>
      </x:c>
      <x:c r="M531" s="28" t="n">
        <x:v>0</x:v>
      </x:c>
      <x:c r="N531" s="28" t="n">
        <x:v>0</x:v>
      </x:c>
      <x:c r="O531" s="28" t="n">
        <x:v>0</x:v>
      </x:c>
      <x:c r="P531" s="62" t="n">
        <x:v>0</x:v>
      </x:c>
      <x:c r="Q531" s="22" t="n">
        <x:v>0</x:v>
      </x:c>
      <x:c r="R531" s="22" t="str"/>
      <x:c r="S531" s="22" t="str"/>
      <x:c r="T531" s="22" t="str"/>
    </x:row>
    <x:row r="532">
      <x:c r="A532" s="22" t="str">
        <x:v>2020-00086</x:v>
      </x:c>
      <x:c r="B532" s="22" t="str">
        <x:v>L2023-00036-1</x:v>
      </x:c>
      <x:c r="C532" s="22" t="str">
        <x:v>공사</x:v>
      </x:c>
      <x:c r="D532" s="25" t="str">
        <x:v>우즈베키스탄 우르겐치 직업훈련원 건립 및 타슈켄트 교사연수센터 건립사업 시공업체선정 현지입찰</x:v>
      </x:c>
      <x:c r="E532" s="22" t="n">
        <x:v>1</x:v>
      </x:c>
      <x:c r="F532" s="22" t="str">
        <x:v>.xls</x:v>
      </x:c>
      <x:c r="G532" s="25" t="str">
        <x:v>L2023-00036-1/붙임3_입찰관련서류_검토완_0717/Section 4.  Bill of Quantities(Not-Priced)/공내역서/VTC견적서/8 ПОЖАРНАЯ ЕМЪКОСТЬ(Fire Tank)/8-2 ТХ(Technology Plan)/13603_vrmu.xls</x:v>
      </x:c>
      <x:c r="H532" s="28" t="n">
        <x:v>53248</x:v>
      </x:c>
      <x:c r="I532" s="22" t="str">
        <x:v>59e7c73eb0916c52e8edb0dc9f78a1ba785db1d8b39138ad6aae1b088f8c61f6</x:v>
      </x:c>
      <x:c r="J532" s="22" t="n">
        <x:v>0</x:v>
      </x:c>
      <x:c r="K532" s="22" t="n">
        <x:v>1</x:v>
      </x:c>
      <x:c r="L532" s="22" t="n">
        <x:v>1</x:v>
      </x:c>
      <x:c r="M532" s="28" t="n">
        <x:v>1</x:v>
      </x:c>
      <x:c r="N532" s="28" t="n">
        <x:v>59</x:v>
      </x:c>
      <x:c r="O532" s="28" t="n">
        <x:v>1</x:v>
      </x:c>
      <x:c r="P532" s="62" t="n">
        <x:v>0.01694915254237288</x:v>
      </x:c>
      <x:c r="Q532" s="22" t="n">
        <x:v>0</x:v>
      </x:c>
      <x:c r="R532" s="22" t="str">
        <x:v>Лист1</x:v>
      </x:c>
      <x:c r="S532" s="22" t="str">
        <x:v>visible</x:v>
      </x:c>
      <x:c r="T532" s="22" t="str"/>
    </x:row>
    <x:row r="533">
      <x:c r="A533" s="22" t="str">
        <x:v>2020-00086</x:v>
      </x:c>
      <x:c r="B533" s="22" t="str">
        <x:v>L2023-00036-1</x:v>
      </x:c>
      <x:c r="C533" s="22" t="str">
        <x:v>공사</x:v>
      </x:c>
      <x:c r="D533" s="25" t="str">
        <x:v>우즈베키스탄 우르겐치 직업훈련원 건립 및 타슈켄트 교사연수센터 건립사업 시공업체선정 현지입찰</x:v>
      </x:c>
      <x:c r="E533" s="22" t="n">
        <x:v>1</x:v>
      </x:c>
      <x:c r="F533" s="22" t="str">
        <x:v>.xls</x:v>
      </x:c>
      <x:c r="G533" s="25" t="str">
        <x:v>L2023-00036-1/붙임3_입찰관련서류_검토완_0717/Section 4.  Bill of Quantities(Not-Priced)/공내역서/VTC견적서/8 ПОЖАРНАЯ ЕМЪКОСТЬ(Fire Tank)/8-1 АС(Architecture+Structure)/bv13560.xls</x:v>
      </x:c>
      <x:c r="H533" s="28" t="n">
        <x:v>143360</x:v>
      </x:c>
      <x:c r="I533" s="22" t="str">
        <x:v>c0c38b80f51c65331020314872a4530efa2890a349a0bbfbe7546f3d325f3c4c</x:v>
      </x:c>
      <x:c r="J533" s="22" t="n">
        <x:v>0</x:v>
      </x:c>
      <x:c r="K533" s="22" t="n">
        <x:v>1</x:v>
      </x:c>
      <x:c r="L533" s="22" t="n">
        <x:v>1</x:v>
      </x:c>
      <x:c r="M533" s="28" t="n">
        <x:v>0</x:v>
      </x:c>
      <x:c r="N533" s="28" t="n">
        <x:v>0</x:v>
      </x:c>
      <x:c r="O533" s="28" t="n">
        <x:v>0</x:v>
      </x:c>
      <x:c r="P533" s="62" t="n">
        <x:v>0</x:v>
      </x:c>
      <x:c r="Q533" s="22" t="n">
        <x:v>0</x:v>
      </x:c>
      <x:c r="R533" s="22" t="str"/>
      <x:c r="S533" s="22" t="str"/>
      <x:c r="T533" s="22" t="str"/>
    </x:row>
    <x:row r="534">
      <x:c r="A534" s="22" t="str">
        <x:v>2020-00086</x:v>
      </x:c>
      <x:c r="B534" s="22" t="str">
        <x:v>L2023-00036-1</x:v>
      </x:c>
      <x:c r="C534" s="22" t="str">
        <x:v>공사</x:v>
      </x:c>
      <x:c r="D534" s="25" t="str">
        <x:v>우즈베키스탄 우르겐치 직업훈련원 건립 및 타슈켄트 교사연수센터 건립사업 시공업체선정 현지입찰</x:v>
      </x:c>
      <x:c r="E534" s="22" t="n">
        <x:v>1</x:v>
      </x:c>
      <x:c r="F534" s="22" t="str">
        <x:v>.xls</x:v>
      </x:c>
      <x:c r="G534" s="25" t="str">
        <x:v>L2023-00036-1/붙임3_입찰관련서류_검토완_0717/Section 4.  Bill of Quantities(Not-Priced)/공내역서/VTC견적서/8 ПОЖАРНАЯ ЕМЪКОСТЬ(Fire Tank)/8-1 АС(Architecture+Structure)/13563_vrmu.xls</x:v>
      </x:c>
      <x:c r="H534" s="28" t="n">
        <x:v>56832</x:v>
      </x:c>
      <x:c r="I534" s="22" t="str">
        <x:v>79e14b24c7df19631df2b8c58f12863b08e7aa7d66983b2990f8ef0923fe886f</x:v>
      </x:c>
      <x:c r="J534" s="22" t="n">
        <x:v>0</x:v>
      </x:c>
      <x:c r="K534" s="22" t="n">
        <x:v>1</x:v>
      </x:c>
      <x:c r="L534" s="22" t="n">
        <x:v>1</x:v>
      </x:c>
      <x:c r="M534" s="28" t="n">
        <x:v>1</x:v>
      </x:c>
      <x:c r="N534" s="28" t="n">
        <x:v>80</x:v>
      </x:c>
      <x:c r="O534" s="28" t="n">
        <x:v>1</x:v>
      </x:c>
      <x:c r="P534" s="62" t="n">
        <x:v>0.0125</x:v>
      </x:c>
      <x:c r="Q534" s="22" t="n">
        <x:v>0</x:v>
      </x:c>
      <x:c r="R534" s="22" t="str">
        <x:v>Лист1</x:v>
      </x:c>
      <x:c r="S534" s="22" t="str">
        <x:v>visible</x:v>
      </x:c>
      <x:c r="T534" s="22" t="str"/>
    </x:row>
    <x:row r="535">
      <x:c r="A535" s="22" t="str">
        <x:v>2020-00086</x:v>
      </x:c>
      <x:c r="B535" s="22" t="str">
        <x:v>L2023-00036-1</x:v>
      </x:c>
      <x:c r="C535" s="22" t="str">
        <x:v>공사</x:v>
      </x:c>
      <x:c r="D535" s="25" t="str">
        <x:v>우즈베키스탄 우르겐치 직업훈련원 건립 및 타슈켄트 교사연수센터 건립사업 시공업체선정 현지입찰</x:v>
      </x:c>
      <x:c r="E535" s="22" t="n">
        <x:v>1</x:v>
      </x:c>
      <x:c r="F535" s="22" t="str">
        <x:v>.xls</x:v>
      </x:c>
      <x:c r="G535" s="25" t="str">
        <x:v>L2023-00036-1/붙임3_입찰관련서류_검토완_0717/Section 4.  Bill of Quantities(Not-Priced)/공내역서/VTC견적서/8 ПОЖАРНАЯ ЕМЪКОСТЬ(Fire Tank)/8-1 АС(Architecture+Structure)/13563_vfor.xls</x:v>
      </x:c>
      <x:c r="H535" s="28" t="n">
        <x:v>48128</x:v>
      </x:c>
      <x:c r="I535" s="22" t="str">
        <x:v>be5b745b940f05f1f41e44ed150503de2709f71b2406a43b2625fbeb73d92ced</x:v>
      </x:c>
      <x:c r="J535" s="22" t="n">
        <x:v>0</x:v>
      </x:c>
      <x:c r="K535" s="22" t="n">
        <x:v>1</x:v>
      </x:c>
      <x:c r="L535" s="22" t="n">
        <x:v>1</x:v>
      </x:c>
      <x:c r="M535" s="28" t="n">
        <x:v>0</x:v>
      </x:c>
      <x:c r="N535" s="28" t="n">
        <x:v>0</x:v>
      </x:c>
      <x:c r="O535" s="28" t="n">
        <x:v>0</x:v>
      </x:c>
      <x:c r="P535" s="62" t="n">
        <x:v>0</x:v>
      </x:c>
      <x:c r="Q535" s="22" t="n">
        <x:v>0</x:v>
      </x:c>
      <x:c r="R535" s="22" t="str"/>
      <x:c r="S535" s="22" t="str"/>
      <x:c r="T535" s="22" t="str"/>
    </x:row>
    <x:row r="536">
      <x:c r="A536" s="22" t="str">
        <x:v>2020-00086</x:v>
      </x:c>
      <x:c r="B536" s="22" t="str">
        <x:v>L2023-00036-1</x:v>
      </x:c>
      <x:c r="C536" s="22" t="str">
        <x:v>공사</x:v>
      </x:c>
      <x:c r="D536" s="25" t="str">
        <x:v>우즈베키스탄 우르겐치 직업훈련원 건립 및 타슈켄트 교사연수센터 건립사업 시공업체선정 현지입찰</x:v>
      </x:c>
      <x:c r="E536" s="22" t="n">
        <x:v>1</x:v>
      </x:c>
      <x:c r="F536" s="22" t="str">
        <x:v>.xls</x:v>
      </x:c>
      <x:c r="G536" s="25" t="str">
        <x:v>L2023-00036-1/붙임3_입찰관련서류_검토완_0717/Section 4.  Bill of Quantities(Not-Priced)/공내역서/VTC견적서/3 ОБЩЕЖИТИЕ(Dormitory)/3-7 ВН, СКС(CCTV &amp; Network)/13303_vfor.xls</x:v>
      </x:c>
      <x:c r="H536" s="28" t="n">
        <x:v>48640</x:v>
      </x:c>
      <x:c r="I536" s="22" t="str">
        <x:v>5a18635d72aa11084ea9ace6f157b8628ca9366276bd4b01f0389389eb69dd15</x:v>
      </x:c>
      <x:c r="J536" s="22" t="n">
        <x:v>0</x:v>
      </x:c>
      <x:c r="K536" s="22" t="n">
        <x:v>1</x:v>
      </x:c>
      <x:c r="L536" s="22" t="n">
        <x:v>1</x:v>
      </x:c>
      <x:c r="M536" s="28" t="n">
        <x:v>0</x:v>
      </x:c>
      <x:c r="N536" s="28" t="n">
        <x:v>0</x:v>
      </x:c>
      <x:c r="O536" s="28" t="n">
        <x:v>0</x:v>
      </x:c>
      <x:c r="P536" s="62" t="n">
        <x:v>0</x:v>
      </x:c>
      <x:c r="Q536" s="22" t="n">
        <x:v>0</x:v>
      </x:c>
      <x:c r="R536" s="22" t="str"/>
      <x:c r="S536" s="22" t="str"/>
      <x:c r="T536" s="22" t="str"/>
    </x:row>
    <x:row r="537">
      <x:c r="A537" s="22" t="str">
        <x:v>2020-00086</x:v>
      </x:c>
      <x:c r="B537" s="22" t="str">
        <x:v>L2023-00036-1</x:v>
      </x:c>
      <x:c r="C537" s="22" t="str">
        <x:v>공사</x:v>
      </x:c>
      <x:c r="D537" s="25" t="str">
        <x:v>우즈베키스탄 우르겐치 직업훈련원 건립 및 타슈켄트 교사연수센터 건립사업 시공업체선정 현지입찰</x:v>
      </x:c>
      <x:c r="E537" s="22" t="n">
        <x:v>1</x:v>
      </x:c>
      <x:c r="F537" s="22" t="str">
        <x:v>.xls</x:v>
      </x:c>
      <x:c r="G537" s="25" t="str">
        <x:v>L2023-00036-1/붙임3_입찰관련서류_검토완_0717/Section 4.  Bill of Quantities(Not-Priced)/공내역서/VTC견적서/3 ОБЩЕЖИТИЕ(Dormitory)/3-7 ВН, СКС(CCTV &amp; Network)/bv13300.xls</x:v>
      </x:c>
      <x:c r="H537" s="28" t="n">
        <x:v>91136</x:v>
      </x:c>
      <x:c r="I537" s="22" t="str">
        <x:v>eabe1189fd53fa553a7256019fdcd183629f090a5817c504e1c9f65e297f4127</x:v>
      </x:c>
      <x:c r="J537" s="22" t="n">
        <x:v>0</x:v>
      </x:c>
      <x:c r="K537" s="22" t="n">
        <x:v>1</x:v>
      </x:c>
      <x:c r="L537" s="22" t="n">
        <x:v>1</x:v>
      </x:c>
      <x:c r="M537" s="28" t="n">
        <x:v>0</x:v>
      </x:c>
      <x:c r="N537" s="28" t="n">
        <x:v>0</x:v>
      </x:c>
      <x:c r="O537" s="28" t="n">
        <x:v>0</x:v>
      </x:c>
      <x:c r="P537" s="62" t="n">
        <x:v>0</x:v>
      </x:c>
      <x:c r="Q537" s="22" t="n">
        <x:v>0</x:v>
      </x:c>
      <x:c r="R537" s="22" t="str"/>
      <x:c r="S537" s="22" t="str"/>
      <x:c r="T537" s="22" t="str"/>
    </x:row>
    <x:row r="538">
      <x:c r="A538" s="22" t="str">
        <x:v>2020-00086</x:v>
      </x:c>
      <x:c r="B538" s="22" t="str">
        <x:v>L2023-00036-1</x:v>
      </x:c>
      <x:c r="C538" s="22" t="str">
        <x:v>공사</x:v>
      </x:c>
      <x:c r="D538" s="25" t="str">
        <x:v>우즈베키스탄 우르겐치 직업훈련원 건립 및 타슈켄트 교사연수센터 건립사업 시공업체선정 현지입찰</x:v>
      </x:c>
      <x:c r="E538" s="22" t="n">
        <x:v>1</x:v>
      </x:c>
      <x:c r="F538" s="22" t="str">
        <x:v>.xls</x:v>
      </x:c>
      <x:c r="G538" s="25" t="str">
        <x:v>L2023-00036-1/붙임3_입찰관련서류_검토완_0717/Section 4.  Bill of Quantities(Not-Priced)/공내역서/VTC견적서/3 ОБЩЕЖИТИЕ(Dormitory)/3-7 ВН, СКС(CCTV &amp; Network)/13303_vrmu.xls</x:v>
      </x:c>
      <x:c r="H538" s="28" t="n">
        <x:v>55808</x:v>
      </x:c>
      <x:c r="I538" s="22" t="str">
        <x:v>1446b4e9d4ca55f00683876eb3b47e8dfe2d96fd5f8331a988ddeb69272efd21</x:v>
      </x:c>
      <x:c r="J538" s="22" t="n">
        <x:v>0</x:v>
      </x:c>
      <x:c r="K538" s="22" t="n">
        <x:v>1</x:v>
      </x:c>
      <x:c r="L538" s="22" t="n">
        <x:v>1</x:v>
      </x:c>
      <x:c r="M538" s="28" t="n">
        <x:v>1</x:v>
      </x:c>
      <x:c r="N538" s="28" t="n">
        <x:v>81</x:v>
      </x:c>
      <x:c r="O538" s="28" t="n">
        <x:v>1</x:v>
      </x:c>
      <x:c r="P538" s="62" t="n">
        <x:v>0.012345679012345678</x:v>
      </x:c>
      <x:c r="Q538" s="22" t="n">
        <x:v>0</x:v>
      </x:c>
      <x:c r="R538" s="22" t="str">
        <x:v>Лист1</x:v>
      </x:c>
      <x:c r="S538" s="22" t="str">
        <x:v>visible</x:v>
      </x:c>
      <x:c r="T538" s="22" t="str"/>
    </x:row>
    <x:row r="539">
      <x:c r="A539" s="22" t="str">
        <x:v>2020-00086</x:v>
      </x:c>
      <x:c r="B539" s="22" t="str">
        <x:v>L2023-00036-1</x:v>
      </x:c>
      <x:c r="C539" s="22" t="str">
        <x:v>공사</x:v>
      </x:c>
      <x:c r="D539" s="25" t="str">
        <x:v>우즈베키스탄 우르겐치 직업훈련원 건립 및 타슈켄트 교사연수센터 건립사업 시공업체선정 현지입찰</x:v>
      </x:c>
      <x:c r="E539" s="22" t="n">
        <x:v>1</x:v>
      </x:c>
      <x:c r="F539" s="22" t="str">
        <x:v>.xls</x:v>
      </x:c>
      <x:c r="G539" s="25" t="str">
        <x:v>L2023-00036-1/붙임3_입찰관련서류_검토완_0717/Section 4.  Bill of Quantities(Not-Priced)/공내역서/VTC견적서/3 ОБЩЕЖИТИЕ(Dormitory)/3-6 ПС(Fire Alarm)/13293_vfor.xls</x:v>
      </x:c>
      <x:c r="H539" s="28" t="n">
        <x:v>47616</x:v>
      </x:c>
      <x:c r="I539" s="22" t="str">
        <x:v>13504304f6bbd4c322400660e78166be924c5a8a3f7a3d2fa32ea8eaabd6d151</x:v>
      </x:c>
      <x:c r="J539" s="22" t="n">
        <x:v>0</x:v>
      </x:c>
      <x:c r="K539" s="22" t="n">
        <x:v>1</x:v>
      </x:c>
      <x:c r="L539" s="22" t="n">
        <x:v>1</x:v>
      </x:c>
      <x:c r="M539" s="28" t="n">
        <x:v>0</x:v>
      </x:c>
      <x:c r="N539" s="28" t="n">
        <x:v>0</x:v>
      </x:c>
      <x:c r="O539" s="28" t="n">
        <x:v>0</x:v>
      </x:c>
      <x:c r="P539" s="62" t="n">
        <x:v>0</x:v>
      </x:c>
      <x:c r="Q539" s="22" t="n">
        <x:v>0</x:v>
      </x:c>
      <x:c r="R539" s="22" t="str"/>
      <x:c r="S539" s="22" t="str"/>
      <x:c r="T539" s="22" t="str"/>
    </x:row>
    <x:row r="540">
      <x:c r="A540" s="22" t="str">
        <x:v>2020-00086</x:v>
      </x:c>
      <x:c r="B540" s="22" t="str">
        <x:v>L2023-00036-1</x:v>
      </x:c>
      <x:c r="C540" s="22" t="str">
        <x:v>공사</x:v>
      </x:c>
      <x:c r="D540" s="25" t="str">
        <x:v>우즈베키스탄 우르겐치 직업훈련원 건립 및 타슈켄트 교사연수센터 건립사업 시공업체선정 현지입찰</x:v>
      </x:c>
      <x:c r="E540" s="22" t="n">
        <x:v>1</x:v>
      </x:c>
      <x:c r="F540" s="22" t="str">
        <x:v>.xls</x:v>
      </x:c>
      <x:c r="G540" s="25" t="str">
        <x:v>L2023-00036-1/붙임3_입찰관련서류_검토완_0717/Section 4.  Bill of Quantities(Not-Priced)/공내역서/VTC견적서/3 ОБЩЕЖИТИЕ(Dormitory)/3-6 ПС(Fire Alarm)/13293_vrmu.xls</x:v>
      </x:c>
      <x:c r="H540" s="28" t="n">
        <x:v>52736</x:v>
      </x:c>
      <x:c r="I540" s="22" t="str">
        <x:v>d247ad0533474b0b1cedc26fffab2c9b866c1246de159a021e5b366aabc19286</x:v>
      </x:c>
      <x:c r="J540" s="22" t="n">
        <x:v>0</x:v>
      </x:c>
      <x:c r="K540" s="22" t="n">
        <x:v>1</x:v>
      </x:c>
      <x:c r="L540" s="22" t="n">
        <x:v>1</x:v>
      </x:c>
      <x:c r="M540" s="28" t="n">
        <x:v>1</x:v>
      </x:c>
      <x:c r="N540" s="28" t="n">
        <x:v>62</x:v>
      </x:c>
      <x:c r="O540" s="28" t="n">
        <x:v>1</x:v>
      </x:c>
      <x:c r="P540" s="62" t="n">
        <x:v>0.016129032258064516</x:v>
      </x:c>
      <x:c r="Q540" s="22" t="n">
        <x:v>0</x:v>
      </x:c>
      <x:c r="R540" s="22" t="str">
        <x:v>Лист1</x:v>
      </x:c>
      <x:c r="S540" s="22" t="str">
        <x:v>visible</x:v>
      </x:c>
      <x:c r="T540" s="22" t="str"/>
    </x:row>
    <x:row r="541">
      <x:c r="A541" s="22" t="str">
        <x:v>2020-00086</x:v>
      </x:c>
      <x:c r="B541" s="22" t="str">
        <x:v>L2023-00036-1</x:v>
      </x:c>
      <x:c r="C541" s="22" t="str">
        <x:v>공사</x:v>
      </x:c>
      <x:c r="D541" s="25" t="str">
        <x:v>우즈베키스탄 우르겐치 직업훈련원 건립 및 타슈켄트 교사연수센터 건립사업 시공업체선정 현지입찰</x:v>
      </x:c>
      <x:c r="E541" s="22" t="n">
        <x:v>1</x:v>
      </x:c>
      <x:c r="F541" s="22" t="str">
        <x:v>.xls</x:v>
      </x:c>
      <x:c r="G541" s="25" t="str">
        <x:v>L2023-00036-1/붙임3_입찰관련서류_검토완_0717/Section 4.  Bill of Quantities(Not-Priced)/공내역서/VTC견적서/3 ОБЩЕЖИТИЕ(Dormitory)/3-6 ПС(Fire Alarm)/bv13290.xls</x:v>
      </x:c>
      <x:c r="H541" s="28" t="n">
        <x:v>86016</x:v>
      </x:c>
      <x:c r="I541" s="22" t="str">
        <x:v>e18ef7fec05891daaad5066075ed8900b09d1ea1449184f0063fbb372759596e</x:v>
      </x:c>
      <x:c r="J541" s="22" t="n">
        <x:v>0</x:v>
      </x:c>
      <x:c r="K541" s="22" t="n">
        <x:v>1</x:v>
      </x:c>
      <x:c r="L541" s="22" t="n">
        <x:v>1</x:v>
      </x:c>
      <x:c r="M541" s="28" t="n">
        <x:v>0</x:v>
      </x:c>
      <x:c r="N541" s="28" t="n">
        <x:v>0</x:v>
      </x:c>
      <x:c r="O541" s="28" t="n">
        <x:v>0</x:v>
      </x:c>
      <x:c r="P541" s="62" t="n">
        <x:v>0</x:v>
      </x:c>
      <x:c r="Q541" s="22" t="n">
        <x:v>0</x:v>
      </x:c>
      <x:c r="R541" s="22" t="str"/>
      <x:c r="S541" s="22" t="str"/>
      <x:c r="T541" s="22" t="str"/>
    </x:row>
    <x:row r="542">
      <x:c r="A542" s="22" t="str">
        <x:v>2020-00086</x:v>
      </x:c>
      <x:c r="B542" s="22" t="str">
        <x:v>L2023-00036-1</x:v>
      </x:c>
      <x:c r="C542" s="22" t="str">
        <x:v>공사</x:v>
      </x:c>
      <x:c r="D542" s="25" t="str">
        <x:v>우즈베키스탄 우르겐치 직업훈련원 건립 및 타슈켄트 교사연수센터 건립사업 시공업체선정 현지입찰</x:v>
      </x:c>
      <x:c r="E542" s="22" t="n">
        <x:v>1</x:v>
      </x:c>
      <x:c r="F542" s="22" t="str">
        <x:v>.xls</x:v>
      </x:c>
      <x:c r="G542" s="25" t="str">
        <x:v>L2023-00036-1/붙임3_입찰관련서류_검토완_0717/Section 4.  Bill of Quantities(Not-Priced)/공내역서/VTC견적서/3 ОБЩЕЖИТИЕ(Dormitory)/3-2 АР(Architecture)/13093_vrmu.xls</x:v>
      </x:c>
      <x:c r="H542" s="28" t="n">
        <x:v>71168</x:v>
      </x:c>
      <x:c r="I542" s="22" t="str">
        <x:v>e74ff7123038365d8a0bdcd1c7b2209df8480aa897b3fc0679910a92028a4f3e</x:v>
      </x:c>
      <x:c r="J542" s="22" t="n">
        <x:v>0</x:v>
      </x:c>
      <x:c r="K542" s="22" t="n">
        <x:v>1</x:v>
      </x:c>
      <x:c r="L542" s="22" t="n">
        <x:v>1</x:v>
      </x:c>
      <x:c r="M542" s="28" t="n">
        <x:v>1</x:v>
      </x:c>
      <x:c r="N542" s="28" t="n">
        <x:v>145</x:v>
      </x:c>
      <x:c r="O542" s="28" t="n">
        <x:v>1</x:v>
      </x:c>
      <x:c r="P542" s="62" t="n">
        <x:v>0.006896551724137931</x:v>
      </x:c>
      <x:c r="Q542" s="22" t="n">
        <x:v>0</x:v>
      </x:c>
      <x:c r="R542" s="22" t="str">
        <x:v>Лист1</x:v>
      </x:c>
      <x:c r="S542" s="22" t="str">
        <x:v>visible</x:v>
      </x:c>
      <x:c r="T542" s="22" t="str"/>
    </x:row>
    <x:row r="543">
      <x:c r="A543" s="22" t="str">
        <x:v>2020-00086</x:v>
      </x:c>
      <x:c r="B543" s="22" t="str">
        <x:v>L2023-00036-1</x:v>
      </x:c>
      <x:c r="C543" s="22" t="str">
        <x:v>공사</x:v>
      </x:c>
      <x:c r="D543" s="25" t="str">
        <x:v>우즈베키스탄 우르겐치 직업훈련원 건립 및 타슈켄트 교사연수센터 건립사업 시공업체선정 현지입찰</x:v>
      </x:c>
      <x:c r="E543" s="22" t="n">
        <x:v>1</x:v>
      </x:c>
      <x:c r="F543" s="22" t="str">
        <x:v>.xls</x:v>
      </x:c>
      <x:c r="G543" s="25" t="str">
        <x:v>L2023-00036-1/붙임3_입찰관련서류_검토완_0717/Section 4.  Bill of Quantities(Not-Priced)/공내역서/VTC견적서/3 ОБЩЕЖИТИЕ(Dormitory)/3-2 АР(Architecture)/13093_vfor.xls</x:v>
      </x:c>
      <x:c r="H543" s="28" t="n">
        <x:v>60928</x:v>
      </x:c>
      <x:c r="I543" s="22" t="str">
        <x:v>4d47568603d5e187d1e4c7fb6f4d61f9bbfd00c2e5ce279aa4cbc3e286009fda</x:v>
      </x:c>
      <x:c r="J543" s="22" t="n">
        <x:v>0</x:v>
      </x:c>
      <x:c r="K543" s="22" t="n">
        <x:v>1</x:v>
      </x:c>
      <x:c r="L543" s="22" t="n">
        <x:v>1</x:v>
      </x:c>
      <x:c r="M543" s="28" t="n">
        <x:v>0</x:v>
      </x:c>
      <x:c r="N543" s="28" t="n">
        <x:v>0</x:v>
      </x:c>
      <x:c r="O543" s="28" t="n">
        <x:v>0</x:v>
      </x:c>
      <x:c r="P543" s="62" t="n">
        <x:v>0</x:v>
      </x:c>
      <x:c r="Q543" s="22" t="n">
        <x:v>0</x:v>
      </x:c>
      <x:c r="R543" s="22" t="str"/>
      <x:c r="S543" s="22" t="str"/>
      <x:c r="T543" s="22" t="str"/>
    </x:row>
    <x:row r="544">
      <x:c r="A544" s="22" t="str">
        <x:v>2020-00086</x:v>
      </x:c>
      <x:c r="B544" s="22" t="str">
        <x:v>L2023-00036-1</x:v>
      </x:c>
      <x:c r="C544" s="22" t="str">
        <x:v>공사</x:v>
      </x:c>
      <x:c r="D544" s="25" t="str">
        <x:v>우즈베키스탄 우르겐치 직업훈련원 건립 및 타슈켄트 교사연수센터 건립사업 시공업체선정 현지입찰</x:v>
      </x:c>
      <x:c r="E544" s="22" t="n">
        <x:v>1</x:v>
      </x:c>
      <x:c r="F544" s="22" t="str">
        <x:v>.xls</x:v>
      </x:c>
      <x:c r="G544" s="25" t="str">
        <x:v>L2023-00036-1/붙임3_입찰관련서류_검토완_0717/Section 4.  Bill of Quantities(Not-Priced)/공내역서/VTC견적서/3 ОБЩЕЖИТИЕ(Dormitory)/3-2 АР(Architecture)/bv13090.xls</x:v>
      </x:c>
      <x:c r="H544" s="28" t="n">
        <x:v>209920</x:v>
      </x:c>
      <x:c r="I544" s="22" t="str">
        <x:v>1685986296491a91628263cbf83b83623c64d74dd57af717e61f8666ff120e05</x:v>
      </x:c>
      <x:c r="J544" s="22" t="n">
        <x:v>0</x:v>
      </x:c>
      <x:c r="K544" s="22" t="n">
        <x:v>1</x:v>
      </x:c>
      <x:c r="L544" s="22" t="n">
        <x:v>1</x:v>
      </x:c>
      <x:c r="M544" s="28" t="n">
        <x:v>0</x:v>
      </x:c>
      <x:c r="N544" s="28" t="n">
        <x:v>0</x:v>
      </x:c>
      <x:c r="O544" s="28" t="n">
        <x:v>0</x:v>
      </x:c>
      <x:c r="P544" s="62" t="n">
        <x:v>0</x:v>
      </x:c>
      <x:c r="Q544" s="22" t="n">
        <x:v>0</x:v>
      </x:c>
      <x:c r="R544" s="22" t="str"/>
      <x:c r="S544" s="22" t="str"/>
      <x:c r="T544" s="22" t="str"/>
    </x:row>
    <x:row r="545">
      <x:c r="A545" s="22" t="str">
        <x:v>2020-00086</x:v>
      </x:c>
      <x:c r="B545" s="22" t="str">
        <x:v>L2023-00036-1</x:v>
      </x:c>
      <x:c r="C545" s="22" t="str">
        <x:v>공사</x:v>
      </x:c>
      <x:c r="D545" s="25" t="str">
        <x:v>우즈베키스탄 우르겐치 직업훈련원 건립 및 타슈켄트 교사연수센터 건립사업 시공업체선정 현지입찰</x:v>
      </x:c>
      <x:c r="E545" s="22" t="n">
        <x:v>1</x:v>
      </x:c>
      <x:c r="F545" s="22" t="str">
        <x:v>.xls</x:v>
      </x:c>
      <x:c r="G545" s="25" t="str">
        <x:v>L2023-00036-1/붙임3_입찰관련서류_검토완_0717/Section 4.  Bill of Quantities(Not-Priced)/공내역서/VTC견적서/3 ОБЩЕЖИТИЕ(Dormitory)/3-5 ЭО(Electric)/bv13390.xls</x:v>
      </x:c>
      <x:c r="H545" s="28" t="n">
        <x:v>160768</x:v>
      </x:c>
      <x:c r="I545" s="22" t="str">
        <x:v>f253090ffac6492dc866ebd21e5932b06eb5866828914246cdec489ba998f2e4</x:v>
      </x:c>
      <x:c r="J545" s="22" t="n">
        <x:v>0</x:v>
      </x:c>
      <x:c r="K545" s="22" t="n">
        <x:v>1</x:v>
      </x:c>
      <x:c r="L545" s="22" t="n">
        <x:v>1</x:v>
      </x:c>
      <x:c r="M545" s="28" t="n">
        <x:v>0</x:v>
      </x:c>
      <x:c r="N545" s="28" t="n">
        <x:v>0</x:v>
      </x:c>
      <x:c r="O545" s="28" t="n">
        <x:v>0</x:v>
      </x:c>
      <x:c r="P545" s="62" t="n">
        <x:v>0</x:v>
      </x:c>
      <x:c r="Q545" s="22" t="n">
        <x:v>0</x:v>
      </x:c>
      <x:c r="R545" s="22" t="str"/>
      <x:c r="S545" s="22" t="str"/>
      <x:c r="T545" s="22" t="str"/>
    </x:row>
    <x:row r="546">
      <x:c r="A546" s="22" t="str">
        <x:v>2020-00086</x:v>
      </x:c>
      <x:c r="B546" s="22" t="str">
        <x:v>L2023-00036-1</x:v>
      </x:c>
      <x:c r="C546" s="22" t="str">
        <x:v>공사</x:v>
      </x:c>
      <x:c r="D546" s="25" t="str">
        <x:v>우즈베키스탄 우르겐치 직업훈련원 건립 및 타슈켄트 교사연수센터 건립사업 시공업체선정 현지입찰</x:v>
      </x:c>
      <x:c r="E546" s="22" t="n">
        <x:v>1</x:v>
      </x:c>
      <x:c r="F546" s="22" t="str">
        <x:v>.xls</x:v>
      </x:c>
      <x:c r="G546" s="25" t="str">
        <x:v>L2023-00036-1/붙임3_입찰관련서류_검토완_0717/Section 4.  Bill of Quantities(Not-Priced)/공내역서/VTC견적서/3 ОБЩЕЖИТИЕ(Dormitory)/3-5 ЭО(Electric)/13393_vfor.xls</x:v>
      </x:c>
      <x:c r="H546" s="28" t="n">
        <x:v>74752</x:v>
      </x:c>
      <x:c r="I546" s="22" t="str">
        <x:v>c57faedafd23f56233bfb4c2b31f065e2adce41022cc4128bd3c30ee9cca34fb</x:v>
      </x:c>
      <x:c r="J546" s="22" t="n">
        <x:v>0</x:v>
      </x:c>
      <x:c r="K546" s="22" t="n">
        <x:v>1</x:v>
      </x:c>
      <x:c r="L546" s="22" t="n">
        <x:v>1</x:v>
      </x:c>
      <x:c r="M546" s="28" t="n">
        <x:v>0</x:v>
      </x:c>
      <x:c r="N546" s="28" t="n">
        <x:v>0</x:v>
      </x:c>
      <x:c r="O546" s="28" t="n">
        <x:v>0</x:v>
      </x:c>
      <x:c r="P546" s="62" t="n">
        <x:v>0</x:v>
      </x:c>
      <x:c r="Q546" s="22" t="n">
        <x:v>0</x:v>
      </x:c>
      <x:c r="R546" s="22" t="str"/>
      <x:c r="S546" s="22" t="str"/>
      <x:c r="T546" s="22" t="str"/>
    </x:row>
    <x:row r="547">
      <x:c r="A547" s="22" t="str">
        <x:v>2020-00086</x:v>
      </x:c>
      <x:c r="B547" s="22" t="str">
        <x:v>L2023-00036-1</x:v>
      </x:c>
      <x:c r="C547" s="22" t="str">
        <x:v>공사</x:v>
      </x:c>
      <x:c r="D547" s="25" t="str">
        <x:v>우즈베키스탄 우르겐치 직업훈련원 건립 및 타슈켄트 교사연수센터 건립사업 시공업체선정 현지입찰</x:v>
      </x:c>
      <x:c r="E547" s="22" t="n">
        <x:v>1</x:v>
      </x:c>
      <x:c r="F547" s="22" t="str">
        <x:v>.xls</x:v>
      </x:c>
      <x:c r="G547" s="25" t="str">
        <x:v>L2023-00036-1/붙임3_입찰관련서류_검토완_0717/Section 4.  Bill of Quantities(Not-Priced)/공내역서/VTC견적서/3 ОБЩЕЖИТИЕ(Dormitory)/3-5 ЭО(Electric)/13393_vrmu.xls</x:v>
      </x:c>
      <x:c r="H547" s="28" t="n">
        <x:v>78336</x:v>
      </x:c>
      <x:c r="I547" s="22" t="str">
        <x:v>7add88d19ffe23920e0d357509a9de1536402bfcbd3a0ea5b119baa189db15ee</x:v>
      </x:c>
      <x:c r="J547" s="22" t="n">
        <x:v>0</x:v>
      </x:c>
      <x:c r="K547" s="22" t="n">
        <x:v>1</x:v>
      </x:c>
      <x:c r="L547" s="22" t="n">
        <x:v>1</x:v>
      </x:c>
      <x:c r="M547" s="28" t="n">
        <x:v>0</x:v>
      </x:c>
      <x:c r="N547" s="28" t="n">
        <x:v>0</x:v>
      </x:c>
      <x:c r="O547" s="28" t="n">
        <x:v>0</x:v>
      </x:c>
      <x:c r="P547" s="62" t="n">
        <x:v>0</x:v>
      </x:c>
      <x:c r="Q547" s="22" t="n">
        <x:v>0</x:v>
      </x:c>
      <x:c r="R547" s="22" t="str"/>
      <x:c r="S547" s="22" t="str"/>
      <x:c r="T547" s="22" t="str"/>
    </x:row>
    <x:row r="548">
      <x:c r="A548" s="22" t="str">
        <x:v>2020-00086</x:v>
      </x:c>
      <x:c r="B548" s="22" t="str">
        <x:v>L2023-00036-1</x:v>
      </x:c>
      <x:c r="C548" s="22" t="str">
        <x:v>공사</x:v>
      </x:c>
      <x:c r="D548" s="25" t="str">
        <x:v>우즈베키스탄 우르겐치 직업훈련원 건립 및 타슈켄트 교사연수센터 건립사업 시공업체선정 현지입찰</x:v>
      </x:c>
      <x:c r="E548" s="22" t="n">
        <x:v>1</x:v>
      </x:c>
      <x:c r="F548" s="22" t="str">
        <x:v>.xls</x:v>
      </x:c>
      <x:c r="G548" s="25" t="str">
        <x:v>L2023-00036-1/붙임3_입찰관련서류_검토완_0717/Section 4.  Bill of Quantities(Not-Priced)/공내역서/VTC견적서/3 ОБЩЕЖИТИЕ(Dormitory)/3-9 ГСВ(Gas)/13453_vfor.xls</x:v>
      </x:c>
      <x:c r="H548" s="28" t="n">
        <x:v>44544</x:v>
      </x:c>
      <x:c r="I548" s="22" t="str">
        <x:v>b2b073542fbb835fe4e72757b8f29fa046145334ce54790769524e09e869dc87</x:v>
      </x:c>
      <x:c r="J548" s="22" t="n">
        <x:v>0</x:v>
      </x:c>
      <x:c r="K548" s="22" t="n">
        <x:v>1</x:v>
      </x:c>
      <x:c r="L548" s="22" t="n">
        <x:v>1</x:v>
      </x:c>
      <x:c r="M548" s="28" t="n">
        <x:v>0</x:v>
      </x:c>
      <x:c r="N548" s="28" t="n">
        <x:v>0</x:v>
      </x:c>
      <x:c r="O548" s="28" t="n">
        <x:v>0</x:v>
      </x:c>
      <x:c r="P548" s="62" t="n">
        <x:v>0</x:v>
      </x:c>
      <x:c r="Q548" s="22" t="n">
        <x:v>0</x:v>
      </x:c>
      <x:c r="R548" s="22" t="str"/>
      <x:c r="S548" s="22" t="str"/>
      <x:c r="T548" s="22" t="str"/>
    </x:row>
    <x:row r="549">
      <x:c r="A549" s="22" t="str">
        <x:v>2020-00086</x:v>
      </x:c>
      <x:c r="B549" s="22" t="str">
        <x:v>L2023-00036-1</x:v>
      </x:c>
      <x:c r="C549" s="22" t="str">
        <x:v>공사</x:v>
      </x:c>
      <x:c r="D549" s="25" t="str">
        <x:v>우즈베키스탄 우르겐치 직업훈련원 건립 및 타슈켄트 교사연수센터 건립사업 시공업체선정 현지입찰</x:v>
      </x:c>
      <x:c r="E549" s="22" t="n">
        <x:v>1</x:v>
      </x:c>
      <x:c r="F549" s="22" t="str">
        <x:v>.xls</x:v>
      </x:c>
      <x:c r="G549" s="25" t="str">
        <x:v>L2023-00036-1/붙임3_입찰관련서류_검토완_0717/Section 4.  Bill of Quantities(Not-Priced)/공내역서/VTC견적서/3 ОБЩЕЖИТИЕ(Dormitory)/3-9 ГСВ(Gas)/13453_vrmu.xls</x:v>
      </x:c>
      <x:c r="H549" s="28" t="n">
        <x:v>54272</x:v>
      </x:c>
      <x:c r="I549" s="22" t="str">
        <x:v>3d2cb67c9a0dde2603871acfa78f9950ff40dd7781efbc8177d683b0c6dcf091</x:v>
      </x:c>
      <x:c r="J549" s="22" t="n">
        <x:v>0</x:v>
      </x:c>
      <x:c r="K549" s="22" t="n">
        <x:v>1</x:v>
      </x:c>
      <x:c r="L549" s="22" t="n">
        <x:v>1</x:v>
      </x:c>
      <x:c r="M549" s="28" t="n">
        <x:v>1</x:v>
      </x:c>
      <x:c r="N549" s="28" t="n">
        <x:v>71</x:v>
      </x:c>
      <x:c r="O549" s="28" t="n">
        <x:v>1</x:v>
      </x:c>
      <x:c r="P549" s="62" t="n">
        <x:v>0.014084507042253521</x:v>
      </x:c>
      <x:c r="Q549" s="22" t="n">
        <x:v>0</x:v>
      </x:c>
      <x:c r="R549" s="22" t="str">
        <x:v>Лист1</x:v>
      </x:c>
      <x:c r="S549" s="22" t="str">
        <x:v>visible</x:v>
      </x:c>
      <x:c r="T549" s="22" t="str"/>
    </x:row>
    <x:row r="550">
      <x:c r="A550" s="22" t="str">
        <x:v>2020-00086</x:v>
      </x:c>
      <x:c r="B550" s="22" t="str">
        <x:v>L2023-00036-1</x:v>
      </x:c>
      <x:c r="C550" s="22" t="str">
        <x:v>공사</x:v>
      </x:c>
      <x:c r="D550" s="25" t="str">
        <x:v>우즈베키스탄 우르겐치 직업훈련원 건립 및 타슈켄트 교사연수센터 건립사업 시공업체선정 현지입찰</x:v>
      </x:c>
      <x:c r="E550" s="22" t="n">
        <x:v>1</x:v>
      </x:c>
      <x:c r="F550" s="22" t="str">
        <x:v>.xls</x:v>
      </x:c>
      <x:c r="G550" s="25" t="str">
        <x:v>L2023-00036-1/붙임3_입찰관련서류_검토완_0717/Section 4.  Bill of Quantities(Not-Priced)/공내역서/VTC견적서/3 ОБЩЕЖИТИЕ(Dormitory)/3-9 ГСВ(Gas)/bv13450.xls</x:v>
      </x:c>
      <x:c r="H550" s="28" t="n">
        <x:v>101888</x:v>
      </x:c>
      <x:c r="I550" s="22" t="str">
        <x:v>5f4deb4ba0c0096f69c68e61171f182e5ed846594ec98a23e310f3970c06fa71</x:v>
      </x:c>
      <x:c r="J550" s="22" t="n">
        <x:v>0</x:v>
      </x:c>
      <x:c r="K550" s="22" t="n">
        <x:v>1</x:v>
      </x:c>
      <x:c r="L550" s="22" t="n">
        <x:v>1</x:v>
      </x:c>
      <x:c r="M550" s="28" t="n">
        <x:v>0</x:v>
      </x:c>
      <x:c r="N550" s="28" t="n">
        <x:v>0</x:v>
      </x:c>
      <x:c r="O550" s="28" t="n">
        <x:v>0</x:v>
      </x:c>
      <x:c r="P550" s="62" t="n">
        <x:v>0</x:v>
      </x:c>
      <x:c r="Q550" s="22" t="n">
        <x:v>0</x:v>
      </x:c>
      <x:c r="R550" s="22" t="str"/>
      <x:c r="S550" s="22" t="str"/>
      <x:c r="T550" s="22" t="str"/>
    </x:row>
    <x:row r="551">
      <x:c r="A551" s="22" t="str">
        <x:v>2020-00086</x:v>
      </x:c>
      <x:c r="B551" s="22" t="str">
        <x:v>L2023-00036-1</x:v>
      </x:c>
      <x:c r="C551" s="22" t="str">
        <x:v>공사</x:v>
      </x:c>
      <x:c r="D551" s="25" t="str">
        <x:v>우즈베키스탄 우르겐치 직업훈련원 건립 및 타슈켄트 교사연수센터 건립사업 시공업체선정 현지입찰</x:v>
      </x:c>
      <x:c r="E551" s="22" t="n">
        <x:v>1</x:v>
      </x:c>
      <x:c r="F551" s="22" t="str">
        <x:v>.xls</x:v>
      </x:c>
      <x:c r="G551" s="25" t="str">
        <x:v>L2023-00036-1/붙임3_입찰관련서류_검토완_0717/Section 4.  Bill of Quantities(Not-Priced)/공내역서/VTC견적서/3 ОБЩЕЖИТИЕ(Dormitory)/3-8 ТМ(Boiler &amp; Solar heating)/13443_vrmu.xls</x:v>
      </x:c>
      <x:c r="H551" s="28" t="n">
        <x:v>86528</x:v>
      </x:c>
      <x:c r="I551" s="22" t="str">
        <x:v>d3c0a88886331817cb71e9575b7bdf7dcfbffd63454a29c052460c96407dc642</x:v>
      </x:c>
      <x:c r="J551" s="22" t="n">
        <x:v>0</x:v>
      </x:c>
      <x:c r="K551" s="22" t="n">
        <x:v>1</x:v>
      </x:c>
      <x:c r="L551" s="22" t="n">
        <x:v>1</x:v>
      </x:c>
      <x:c r="M551" s="28" t="n">
        <x:v>1</x:v>
      </x:c>
      <x:c r="N551" s="28" t="n">
        <x:v>174</x:v>
      </x:c>
      <x:c r="O551" s="28" t="n">
        <x:v>1</x:v>
      </x:c>
      <x:c r="P551" s="62" t="n">
        <x:v>0.005747126436781609</x:v>
      </x:c>
      <x:c r="Q551" s="22" t="n">
        <x:v>0</x:v>
      </x:c>
      <x:c r="R551" s="22" t="str">
        <x:v>Лист1</x:v>
      </x:c>
      <x:c r="S551" s="22" t="str">
        <x:v>visible</x:v>
      </x:c>
      <x:c r="T551" s="22" t="str"/>
    </x:row>
    <x:row r="552">
      <x:c r="A552" s="22" t="str">
        <x:v>2020-00086</x:v>
      </x:c>
      <x:c r="B552" s="22" t="str">
        <x:v>L2023-00036-1</x:v>
      </x:c>
      <x:c r="C552" s="22" t="str">
        <x:v>공사</x:v>
      </x:c>
      <x:c r="D552" s="25" t="str">
        <x:v>우즈베키스탄 우르겐치 직업훈련원 건립 및 타슈켄트 교사연수센터 건립사업 시공업체선정 현지입찰</x:v>
      </x:c>
      <x:c r="E552" s="22" t="n">
        <x:v>1</x:v>
      </x:c>
      <x:c r="F552" s="22" t="str">
        <x:v>.xls</x:v>
      </x:c>
      <x:c r="G552" s="25" t="str">
        <x:v>L2023-00036-1/붙임3_입찰관련서류_검토완_0717/Section 4.  Bill of Quantities(Not-Priced)/공내역서/VTC견적서/3 ОБЩЕЖИТИЕ(Dormitory)/3-8 ТМ(Boiler &amp; Solar heating)/bv13440.xls</x:v>
      </x:c>
      <x:c r="H552" s="28" t="n">
        <x:v>176128</x:v>
      </x:c>
      <x:c r="I552" s="22" t="str">
        <x:v>8f851a4587465612841b0497ea7ac0167998ac563b5dd9f8fd3cf937c6d20e25</x:v>
      </x:c>
      <x:c r="J552" s="22" t="n">
        <x:v>0</x:v>
      </x:c>
      <x:c r="K552" s="22" t="n">
        <x:v>1</x:v>
      </x:c>
      <x:c r="L552" s="22" t="n">
        <x:v>1</x:v>
      </x:c>
      <x:c r="M552" s="28" t="n">
        <x:v>0</x:v>
      </x:c>
      <x:c r="N552" s="28" t="n">
        <x:v>0</x:v>
      </x:c>
      <x:c r="O552" s="28" t="n">
        <x:v>0</x:v>
      </x:c>
      <x:c r="P552" s="62" t="n">
        <x:v>0</x:v>
      </x:c>
      <x:c r="Q552" s="22" t="n">
        <x:v>0</x:v>
      </x:c>
      <x:c r="R552" s="22" t="str"/>
      <x:c r="S552" s="22" t="str"/>
      <x:c r="T552" s="22" t="str"/>
    </x:row>
    <x:row r="553">
      <x:c r="A553" s="22" t="str">
        <x:v>2020-00086</x:v>
      </x:c>
      <x:c r="B553" s="22" t="str">
        <x:v>L2023-00036-1</x:v>
      </x:c>
      <x:c r="C553" s="22" t="str">
        <x:v>공사</x:v>
      </x:c>
      <x:c r="D553" s="25" t="str">
        <x:v>우즈베키스탄 우르겐치 직업훈련원 건립 및 타슈켄트 교사연수센터 건립사업 시공업체선정 현지입찰</x:v>
      </x:c>
      <x:c r="E553" s="22" t="n">
        <x:v>1</x:v>
      </x:c>
      <x:c r="F553" s="22" t="str">
        <x:v>.xls</x:v>
      </x:c>
      <x:c r="G553" s="25" t="str">
        <x:v>L2023-00036-1/붙임3_입찰관련서류_검토완_0717/Section 4.  Bill of Quantities(Not-Priced)/공내역서/VTC견적서/3 ОБЩЕЖИТИЕ(Dormitory)/3-8 ТМ(Boiler &amp; Solar heating)/13443_vfor.xls</x:v>
      </x:c>
      <x:c r="H553" s="28" t="n">
        <x:v>70144</x:v>
      </x:c>
      <x:c r="I553" s="22" t="str">
        <x:v>95536513d6bf3158fb4d65daa1a681e30df8970af4be141270aaa7b89bb0d95a</x:v>
      </x:c>
      <x:c r="J553" s="22" t="n">
        <x:v>0</x:v>
      </x:c>
      <x:c r="K553" s="22" t="n">
        <x:v>1</x:v>
      </x:c>
      <x:c r="L553" s="22" t="n">
        <x:v>1</x:v>
      </x:c>
      <x:c r="M553" s="28" t="n">
        <x:v>0</x:v>
      </x:c>
      <x:c r="N553" s="28" t="n">
        <x:v>0</x:v>
      </x:c>
      <x:c r="O553" s="28" t="n">
        <x:v>0</x:v>
      </x:c>
      <x:c r="P553" s="62" t="n">
        <x:v>0</x:v>
      </x:c>
      <x:c r="Q553" s="22" t="n">
        <x:v>0</x:v>
      </x:c>
      <x:c r="R553" s="22" t="str"/>
      <x:c r="S553" s="22" t="str"/>
      <x:c r="T553" s="22" t="str"/>
    </x:row>
    <x:row r="554">
      <x:c r="A554" s="22" t="str">
        <x:v>2020-00086</x:v>
      </x:c>
      <x:c r="B554" s="22" t="str">
        <x:v>L2023-00036-1</x:v>
      </x:c>
      <x:c r="C554" s="22" t="str">
        <x:v>공사</x:v>
      </x:c>
      <x:c r="D554" s="25" t="str">
        <x:v>우즈베키스탄 우르겐치 직업훈련원 건립 및 타슈켄트 교사연수센터 건립사업 시공업체선정 현지입찰</x:v>
      </x:c>
      <x:c r="E554" s="22" t="n">
        <x:v>1</x:v>
      </x:c>
      <x:c r="F554" s="22" t="str">
        <x:v>.xls</x:v>
      </x:c>
      <x:c r="G554" s="25" t="str">
        <x:v>L2023-00036-1/붙임3_입찰관련서류_검토완_0717/Section 4.  Bill of Quantities(Not-Priced)/공내역서/VTC견적서/3 ОБЩЕЖИТИЕ(Dormitory)/3-3 ОВ(Heating &amp; Ventilation)/13103_vrmu.xls</x:v>
      </x:c>
      <x:c r="H554" s="28" t="n">
        <x:v>61440</x:v>
      </x:c>
      <x:c r="I554" s="22" t="str">
        <x:v>1e94bb5552421589790c2b57554f506b5f1f0d69289ff4eee0eadf0c4411484b</x:v>
      </x:c>
      <x:c r="J554" s="22" t="n">
        <x:v>0</x:v>
      </x:c>
      <x:c r="K554" s="22" t="n">
        <x:v>1</x:v>
      </x:c>
      <x:c r="L554" s="22" t="n">
        <x:v>1</x:v>
      </x:c>
      <x:c r="M554" s="28" t="n">
        <x:v>1</x:v>
      </x:c>
      <x:c r="N554" s="28" t="n">
        <x:v>87</x:v>
      </x:c>
      <x:c r="O554" s="28" t="n">
        <x:v>1</x:v>
      </x:c>
      <x:c r="P554" s="62" t="n">
        <x:v>0.011494252873563218</x:v>
      </x:c>
      <x:c r="Q554" s="22" t="n">
        <x:v>0</x:v>
      </x:c>
      <x:c r="R554" s="22" t="str">
        <x:v>Лист1</x:v>
      </x:c>
      <x:c r="S554" s="22" t="str">
        <x:v>visible</x:v>
      </x:c>
      <x:c r="T554" s="22" t="str"/>
    </x:row>
    <x:row r="555">
      <x:c r="A555" s="22" t="str">
        <x:v>2020-00086</x:v>
      </x:c>
      <x:c r="B555" s="22" t="str">
        <x:v>L2023-00036-1</x:v>
      </x:c>
      <x:c r="C555" s="22" t="str">
        <x:v>공사</x:v>
      </x:c>
      <x:c r="D555" s="25" t="str">
        <x:v>우즈베키스탄 우르겐치 직업훈련원 건립 및 타슈켄트 교사연수센터 건립사업 시공업체선정 현지입찰</x:v>
      </x:c>
      <x:c r="E555" s="22" t="n">
        <x:v>1</x:v>
      </x:c>
      <x:c r="F555" s="22" t="str">
        <x:v>.xls</x:v>
      </x:c>
      <x:c r="G555" s="25" t="str">
        <x:v>L2023-00036-1/붙임3_입찰관련서류_검토완_0717/Section 4.  Bill of Quantities(Not-Priced)/공내역서/VTC견적서/3 ОБЩЕЖИТИЕ(Dormitory)/3-3 ОВ(Heating &amp; Ventilation)/bv13100.xls</x:v>
      </x:c>
      <x:c r="H555" s="28" t="n">
        <x:v>118784</x:v>
      </x:c>
      <x:c r="I555" s="22" t="str">
        <x:v>7a6af10e951e5b9fb0bc177d931c4ff15c4ecb1ebe83088b80ad66656bcd9ec6</x:v>
      </x:c>
      <x:c r="J555" s="22" t="n">
        <x:v>0</x:v>
      </x:c>
      <x:c r="K555" s="22" t="n">
        <x:v>1</x:v>
      </x:c>
      <x:c r="L555" s="22" t="n">
        <x:v>1</x:v>
      </x:c>
      <x:c r="M555" s="28" t="n">
        <x:v>0</x:v>
      </x:c>
      <x:c r="N555" s="28" t="n">
        <x:v>0</x:v>
      </x:c>
      <x:c r="O555" s="28" t="n">
        <x:v>0</x:v>
      </x:c>
      <x:c r="P555" s="62" t="n">
        <x:v>0</x:v>
      </x:c>
      <x:c r="Q555" s="22" t="n">
        <x:v>0</x:v>
      </x:c>
      <x:c r="R555" s="22" t="str"/>
      <x:c r="S555" s="22" t="str"/>
      <x:c r="T555" s="22" t="str"/>
    </x:row>
    <x:row r="556">
      <x:c r="A556" s="22" t="str">
        <x:v>2020-00086</x:v>
      </x:c>
      <x:c r="B556" s="22" t="str">
        <x:v>L2023-00036-1</x:v>
      </x:c>
      <x:c r="C556" s="22" t="str">
        <x:v>공사</x:v>
      </x:c>
      <x:c r="D556" s="25" t="str">
        <x:v>우즈베키스탄 우르겐치 직업훈련원 건립 및 타슈켄트 교사연수센터 건립사업 시공업체선정 현지입찰</x:v>
      </x:c>
      <x:c r="E556" s="22" t="n">
        <x:v>1</x:v>
      </x:c>
      <x:c r="F556" s="22" t="str">
        <x:v>.xls</x:v>
      </x:c>
      <x:c r="G556" s="25" t="str">
        <x:v>L2023-00036-1/붙임3_입찰관련서류_검토완_0717/Section 4.  Bill of Quantities(Not-Priced)/공내역서/VTC견적서/3 ОБЩЕЖИТИЕ(Dormitory)/3-3 ОВ(Heating &amp; Ventilation)/13103_vfor.xls</x:v>
      </x:c>
      <x:c r="H556" s="28" t="n">
        <x:v>51712</x:v>
      </x:c>
      <x:c r="I556" s="22" t="str">
        <x:v>fc72408b079aa86e3fe987541b5e7735bf43a368e9fe333d8ae13603fde2a81f</x:v>
      </x:c>
      <x:c r="J556" s="22" t="n">
        <x:v>0</x:v>
      </x:c>
      <x:c r="K556" s="22" t="n">
        <x:v>1</x:v>
      </x:c>
      <x:c r="L556" s="22" t="n">
        <x:v>1</x:v>
      </x:c>
      <x:c r="M556" s="28" t="n">
        <x:v>0</x:v>
      </x:c>
      <x:c r="N556" s="28" t="n">
        <x:v>0</x:v>
      </x:c>
      <x:c r="O556" s="28" t="n">
        <x:v>0</x:v>
      </x:c>
      <x:c r="P556" s="62" t="n">
        <x:v>0</x:v>
      </x:c>
      <x:c r="Q556" s="22" t="n">
        <x:v>0</x:v>
      </x:c>
      <x:c r="R556" s="22" t="str"/>
      <x:c r="S556" s="22" t="str"/>
      <x:c r="T556" s="22" t="str"/>
    </x:row>
    <x:row r="557">
      <x:c r="A557" s="22" t="str">
        <x:v>2020-00086</x:v>
      </x:c>
      <x:c r="B557" s="22" t="str">
        <x:v>L2023-00036-1</x:v>
      </x:c>
      <x:c r="C557" s="22" t="str">
        <x:v>공사</x:v>
      </x:c>
      <x:c r="D557" s="25" t="str">
        <x:v>우즈베키스탄 우르겐치 직업훈련원 건립 및 타슈켄트 교사연수센터 건립사업 시공업체선정 현지입찰</x:v>
      </x:c>
      <x:c r="E557" s="22" t="n">
        <x:v>1</x:v>
      </x:c>
      <x:c r="F557" s="22" t="str">
        <x:v>.xls</x:v>
      </x:c>
      <x:c r="G557" s="25" t="str">
        <x:v>L2023-00036-1/붙임3_입찰관련서류_검토완_0717/Section 4.  Bill of Quantities(Not-Priced)/공내역서/VTC견적서/3 ОБЩЕЖИТИЕ(Dormitory)/3-4 ВК(Water &amp; Sewer &amp; Fireplug)/13113_vfor.xls</x:v>
      </x:c>
      <x:c r="H557" s="28" t="n">
        <x:v>62464</x:v>
      </x:c>
      <x:c r="I557" s="22" t="str">
        <x:v>73e6dd7aa52e8cf03b392cc81de31620bc3e272e464fc12dbcafaed5d7906cd7</x:v>
      </x:c>
      <x:c r="J557" s="22" t="n">
        <x:v>0</x:v>
      </x:c>
      <x:c r="K557" s="22" t="n">
        <x:v>1</x:v>
      </x:c>
      <x:c r="L557" s="22" t="n">
        <x:v>1</x:v>
      </x:c>
      <x:c r="M557" s="28" t="n">
        <x:v>0</x:v>
      </x:c>
      <x:c r="N557" s="28" t="n">
        <x:v>0</x:v>
      </x:c>
      <x:c r="O557" s="28" t="n">
        <x:v>0</x:v>
      </x:c>
      <x:c r="P557" s="62" t="n">
        <x:v>0</x:v>
      </x:c>
      <x:c r="Q557" s="22" t="n">
        <x:v>0</x:v>
      </x:c>
      <x:c r="R557" s="22" t="str"/>
      <x:c r="S557" s="22" t="str"/>
      <x:c r="T557" s="22" t="str"/>
    </x:row>
    <x:row r="558">
      <x:c r="A558" s="22" t="str">
        <x:v>2020-00086</x:v>
      </x:c>
      <x:c r="B558" s="22" t="str">
        <x:v>L2023-00036-1</x:v>
      </x:c>
      <x:c r="C558" s="22" t="str">
        <x:v>공사</x:v>
      </x:c>
      <x:c r="D558" s="25" t="str">
        <x:v>우즈베키스탄 우르겐치 직업훈련원 건립 및 타슈켄트 교사연수센터 건립사업 시공업체선정 현지입찰</x:v>
      </x:c>
      <x:c r="E558" s="22" t="n">
        <x:v>1</x:v>
      </x:c>
      <x:c r="F558" s="22" t="str">
        <x:v>.xls</x:v>
      </x:c>
      <x:c r="G558" s="25" t="str">
        <x:v>L2023-00036-1/붙임3_입찰관련서류_검토완_0717/Section 4.  Bill of Quantities(Not-Priced)/공내역서/VTC견적서/3 ОБЩЕЖИТИЕ(Dormitory)/3-4 ВК(Water &amp; Sewer &amp; Fireplug)/bv13110.xls</x:v>
      </x:c>
      <x:c r="H558" s="28" t="n">
        <x:v>162816</x:v>
      </x:c>
      <x:c r="I558" s="22" t="str">
        <x:v>88307ab28fb3650d960a3f58562bd7c34d3a46f3916c3f9c302c8d91b33946f4</x:v>
      </x:c>
      <x:c r="J558" s="22" t="n">
        <x:v>0</x:v>
      </x:c>
      <x:c r="K558" s="22" t="n">
        <x:v>1</x:v>
      </x:c>
      <x:c r="L558" s="22" t="n">
        <x:v>1</x:v>
      </x:c>
      <x:c r="M558" s="28" t="n">
        <x:v>0</x:v>
      </x:c>
      <x:c r="N558" s="28" t="n">
        <x:v>0</x:v>
      </x:c>
      <x:c r="O558" s="28" t="n">
        <x:v>0</x:v>
      </x:c>
      <x:c r="P558" s="62" t="n">
        <x:v>0</x:v>
      </x:c>
      <x:c r="Q558" s="22" t="n">
        <x:v>0</x:v>
      </x:c>
      <x:c r="R558" s="22" t="str"/>
      <x:c r="S558" s="22" t="str"/>
      <x:c r="T558" s="22" t="str"/>
    </x:row>
    <x:row r="559">
      <x:c r="A559" s="22" t="str">
        <x:v>2020-00086</x:v>
      </x:c>
      <x:c r="B559" s="22" t="str">
        <x:v>L2023-00036-1</x:v>
      </x:c>
      <x:c r="C559" s="22" t="str">
        <x:v>공사</x:v>
      </x:c>
      <x:c r="D559" s="25" t="str">
        <x:v>우즈베키스탄 우르겐치 직업훈련원 건립 및 타슈켄트 교사연수센터 건립사업 시공업체선정 현지입찰</x:v>
      </x:c>
      <x:c r="E559" s="22" t="n">
        <x:v>1</x:v>
      </x:c>
      <x:c r="F559" s="22" t="str">
        <x:v>.xls</x:v>
      </x:c>
      <x:c r="G559" s="25" t="str">
        <x:v>L2023-00036-1/붙임3_입찰관련서류_검토완_0717/Section 4.  Bill of Quantities(Not-Priced)/공내역서/VTC견적서/3 ОБЩЕЖИТИЕ(Dormitory)/3-4 ВК(Water &amp; Sewer &amp; Fireplug)/13113_vrmu.xls</x:v>
      </x:c>
      <x:c r="H559" s="28" t="n">
        <x:v>78336</x:v>
      </x:c>
      <x:c r="I559" s="22" t="str">
        <x:v>23bb6dcb0e3ca3d9e11440aeecc7927f87168d16d5a2fb32594cc8f7c510f911</x:v>
      </x:c>
      <x:c r="J559" s="22" t="n">
        <x:v>0</x:v>
      </x:c>
      <x:c r="K559" s="22" t="n">
        <x:v>1</x:v>
      </x:c>
      <x:c r="L559" s="22" t="n">
        <x:v>1</x:v>
      </x:c>
      <x:c r="M559" s="28" t="n">
        <x:v>0</x:v>
      </x:c>
      <x:c r="N559" s="28" t="n">
        <x:v>0</x:v>
      </x:c>
      <x:c r="O559" s="28" t="n">
        <x:v>0</x:v>
      </x:c>
      <x:c r="P559" s="62" t="n">
        <x:v>0</x:v>
      </x:c>
      <x:c r="Q559" s="22" t="n">
        <x:v>0</x:v>
      </x:c>
      <x:c r="R559" s="22" t="str"/>
      <x:c r="S559" s="22" t="str"/>
      <x:c r="T559" s="22" t="str"/>
    </x:row>
    <x:row r="560">
      <x:c r="A560" s="22" t="str">
        <x:v>2020-00086</x:v>
      </x:c>
      <x:c r="B560" s="22" t="str">
        <x:v>L2023-00036-1</x:v>
      </x:c>
      <x:c r="C560" s="22" t="str">
        <x:v>공사</x:v>
      </x:c>
      <x:c r="D560" s="25" t="str">
        <x:v>우즈베키스탄 우르겐치 직업훈련원 건립 및 타슈켄트 교사연수센터 건립사업 시공업체선정 현지입찰</x:v>
      </x:c>
      <x:c r="E560" s="22" t="n">
        <x:v>1</x:v>
      </x:c>
      <x:c r="F560" s="22" t="str">
        <x:v>.xls</x:v>
      </x:c>
      <x:c r="G560" s="25" t="str">
        <x:v>L2023-00036-1/붙임3_입찰관련서류_검토완_0717/Section 4.  Bill of Quantities(Not-Priced)/공내역서/VTC견적서/3 ОБЩЕЖИТИЕ(Dormitory)/3-1 КЖ(Structure)/13023_vrmu.xls</x:v>
      </x:c>
      <x:c r="H560" s="28" t="n">
        <x:v>71168</x:v>
      </x:c>
      <x:c r="I560" s="22" t="str">
        <x:v>1cd9211b72104c9dc7f6eee96daa2851e9bdb7ba1e1883dd402b4f613cca8d8f</x:v>
      </x:c>
      <x:c r="J560" s="22" t="n">
        <x:v>0</x:v>
      </x:c>
      <x:c r="K560" s="22" t="n">
        <x:v>1</x:v>
      </x:c>
      <x:c r="L560" s="22" t="n">
        <x:v>1</x:v>
      </x:c>
      <x:c r="M560" s="28" t="n">
        <x:v>1</x:v>
      </x:c>
      <x:c r="N560" s="28" t="n">
        <x:v>130</x:v>
      </x:c>
      <x:c r="O560" s="28" t="n">
        <x:v>1</x:v>
      </x:c>
      <x:c r="P560" s="62" t="n">
        <x:v>0.007692307692307693</x:v>
      </x:c>
      <x:c r="Q560" s="22" t="n">
        <x:v>0</x:v>
      </x:c>
      <x:c r="R560" s="22" t="str">
        <x:v>Лист1</x:v>
      </x:c>
      <x:c r="S560" s="22" t="str">
        <x:v>visible</x:v>
      </x:c>
      <x:c r="T560" s="22" t="str"/>
    </x:row>
    <x:row r="561">
      <x:c r="A561" s="22" t="str">
        <x:v>2020-00086</x:v>
      </x:c>
      <x:c r="B561" s="22" t="str">
        <x:v>L2023-00036-1</x:v>
      </x:c>
      <x:c r="C561" s="22" t="str">
        <x:v>공사</x:v>
      </x:c>
      <x:c r="D561" s="25" t="str">
        <x:v>우즈베키스탄 우르겐치 직업훈련원 건립 및 타슈켄트 교사연수센터 건립사업 시공업체선정 현지입찰</x:v>
      </x:c>
      <x:c r="E561" s="22" t="n">
        <x:v>1</x:v>
      </x:c>
      <x:c r="F561" s="22" t="str">
        <x:v>.xls</x:v>
      </x:c>
      <x:c r="G561" s="25" t="str">
        <x:v>L2023-00036-1/붙임3_입찰관련서류_검토완_0717/Section 4.  Bill of Quantities(Not-Priced)/공내역서/VTC견적서/3 ОБЩЕЖИТИЕ(Dormitory)/3-1 КЖ(Structure)/13023_vfor.xls</x:v>
      </x:c>
      <x:c r="H561" s="28" t="n">
        <x:v>71168</x:v>
      </x:c>
      <x:c r="I561" s="22" t="str">
        <x:v>673a85f5a1e9b6b7350bf66f3c67c715335e2cd418a95188f312dcbd098d438a</x:v>
      </x:c>
      <x:c r="J561" s="22" t="n">
        <x:v>0</x:v>
      </x:c>
      <x:c r="K561" s="22" t="n">
        <x:v>1</x:v>
      </x:c>
      <x:c r="L561" s="22" t="n">
        <x:v>1</x:v>
      </x:c>
      <x:c r="M561" s="28" t="n">
        <x:v>1</x:v>
      </x:c>
      <x:c r="N561" s="28" t="n">
        <x:v>219</x:v>
      </x:c>
      <x:c r="O561" s="28" t="n">
        <x:v>0</x:v>
      </x:c>
      <x:c r="P561" s="62" t="n">
        <x:v>0</x:v>
      </x:c>
      <x:c r="Q561" s="22" t="n">
        <x:v>0</x:v>
      </x:c>
      <x:c r="R561" s="22" t="str">
        <x:v>Лист1</x:v>
      </x:c>
      <x:c r="S561" s="22" t="str">
        <x:v>visible</x:v>
      </x:c>
      <x:c r="T561" s="22" t="str"/>
    </x:row>
    <x:row r="562">
      <x:c r="A562" s="22" t="str">
        <x:v>2020-00086</x:v>
      </x:c>
      <x:c r="B562" s="22" t="str">
        <x:v>L2023-00036-1</x:v>
      </x:c>
      <x:c r="C562" s="22" t="str">
        <x:v>공사</x:v>
      </x:c>
      <x:c r="D562" s="25" t="str">
        <x:v>우즈베키스탄 우르겐치 직업훈련원 건립 및 타슈켄트 교사연수센터 건립사업 시공업체선정 현지입찰</x:v>
      </x:c>
      <x:c r="E562" s="22" t="n">
        <x:v>1</x:v>
      </x:c>
      <x:c r="F562" s="22" t="str">
        <x:v>.xls</x:v>
      </x:c>
      <x:c r="G562" s="25" t="str">
        <x:v>L2023-00036-1/붙임3_입찰관련서류_검토완_0717/Section 4.  Bill of Quantities(Not-Priced)/공내역서/VTC견적서/3 ОБЩЕЖИТИЕ(Dormitory)/3-1 КЖ(Structure)/bv13020.xls</x:v>
      </x:c>
      <x:c r="H562" s="28" t="n">
        <x:v>286208</x:v>
      </x:c>
      <x:c r="I562" s="22" t="str">
        <x:v>aee487d6db0fed682c28fabba84e56d3b2d993351976b6197fbf6df4e3bc0506</x:v>
      </x:c>
      <x:c r="J562" s="22" t="n">
        <x:v>0</x:v>
      </x:c>
      <x:c r="K562" s="22" t="n">
        <x:v>1</x:v>
      </x:c>
      <x:c r="L562" s="22" t="n">
        <x:v>1</x:v>
      </x:c>
      <x:c r="M562" s="28" t="n">
        <x:v>1</x:v>
      </x:c>
      <x:c r="N562" s="28" t="n">
        <x:v>1374</x:v>
      </x:c>
      <x:c r="O562" s="28" t="n">
        <x:v>0</x:v>
      </x:c>
      <x:c r="P562" s="62" t="n">
        <x:v>0</x:v>
      </x:c>
      <x:c r="Q562" s="22" t="n">
        <x:v>0</x:v>
      </x:c>
      <x:c r="R562" s="22" t="str">
        <x:v>3-1_ЛРВ</x:v>
      </x:c>
      <x:c r="S562" s="22" t="str">
        <x:v>visible</x:v>
      </x:c>
      <x:c r="T562" s="22" t="str"/>
    </x:row>
    <x:row r="563">
      <x:c r="A563" s="22" t="str">
        <x:v>2020-00086</x:v>
      </x:c>
      <x:c r="B563" s="22" t="str">
        <x:v>L2023-00036-1</x:v>
      </x:c>
      <x:c r="C563" s="22" t="str">
        <x:v>공사</x:v>
      </x:c>
      <x:c r="D563" s="25" t="str">
        <x:v>우즈베키스탄 우르겐치 직업훈련원 건립 및 타슈켄트 교사연수센터 건립사업 시공업체선정 현지입찰</x:v>
      </x:c>
      <x:c r="E563" s="22" t="n">
        <x:v>1</x:v>
      </x:c>
      <x:c r="F563" s="22" t="str">
        <x:v>.xls</x:v>
      </x:c>
      <x:c r="G563" s="25" t="str">
        <x:v>L2023-00036-1/붙임3_입찰관련서류_검토완_0717/Section 4.  Bill of Quantities(Not-Priced)/공내역서/VTC견적서/7 КОМПРЕССОРАНЯ(Comp.+GAS storage)/7-3 ЭО(Electric)/bv13500.xls</x:v>
      </x:c>
      <x:c r="H563" s="28" t="n">
        <x:v>76800</x:v>
      </x:c>
      <x:c r="I563" s="22" t="str">
        <x:v>774c07e5846d462fcc00eda8f335b28050758f61dee53d10a4a56e44d829b2bb</x:v>
      </x:c>
      <x:c r="J563" s="22" t="n">
        <x:v>0</x:v>
      </x:c>
      <x:c r="K563" s="22" t="n">
        <x:v>1</x:v>
      </x:c>
      <x:c r="L563" s="22" t="n">
        <x:v>1</x:v>
      </x:c>
      <x:c r="M563" s="28" t="n">
        <x:v>0</x:v>
      </x:c>
      <x:c r="N563" s="28" t="n">
        <x:v>0</x:v>
      </x:c>
      <x:c r="O563" s="28" t="n">
        <x:v>0</x:v>
      </x:c>
      <x:c r="P563" s="62" t="n">
        <x:v>0</x:v>
      </x:c>
      <x:c r="Q563" s="22" t="n">
        <x:v>0</x:v>
      </x:c>
      <x:c r="R563" s="22" t="str"/>
      <x:c r="S563" s="22" t="str"/>
      <x:c r="T563" s="22" t="str"/>
    </x:row>
    <x:row r="564">
      <x:c r="A564" s="22" t="str">
        <x:v>2020-00086</x:v>
      </x:c>
      <x:c r="B564" s="22" t="str">
        <x:v>L2023-00036-1</x:v>
      </x:c>
      <x:c r="C564" s="22" t="str">
        <x:v>공사</x:v>
      </x:c>
      <x:c r="D564" s="25" t="str">
        <x:v>우즈베키스탄 우르겐치 직업훈련원 건립 및 타슈켄트 교사연수센터 건립사업 시공업체선정 현지입찰</x:v>
      </x:c>
      <x:c r="E564" s="22" t="n">
        <x:v>1</x:v>
      </x:c>
      <x:c r="F564" s="22" t="str">
        <x:v>.xls</x:v>
      </x:c>
      <x:c r="G564" s="25" t="str">
        <x:v>L2023-00036-1/붙임3_입찰관련서류_검토완_0717/Section 4.  Bill of Quantities(Not-Priced)/공내역서/VTC견적서/7 КОМПРЕССОРАНЯ(Comp.+GAS storage)/7-3 ЭО(Electric)/13503_vrmu.xls</x:v>
      </x:c>
      <x:c r="H564" s="28" t="n">
        <x:v>51200</x:v>
      </x:c>
      <x:c r="I564" s="22" t="str">
        <x:v>557a980a68981d94391b523dccdccf4e876c9d6dcae8e97a692aa94929ddbec5</x:v>
      </x:c>
      <x:c r="J564" s="22" t="n">
        <x:v>0</x:v>
      </x:c>
      <x:c r="K564" s="22" t="n">
        <x:v>1</x:v>
      </x:c>
      <x:c r="L564" s="22" t="n">
        <x:v>1</x:v>
      </x:c>
      <x:c r="M564" s="28" t="n">
        <x:v>1</x:v>
      </x:c>
      <x:c r="N564" s="28" t="n">
        <x:v>51</x:v>
      </x:c>
      <x:c r="O564" s="28" t="n">
        <x:v>1</x:v>
      </x:c>
      <x:c r="P564" s="62" t="n">
        <x:v>0.0196078431372549</x:v>
      </x:c>
      <x:c r="Q564" s="22" t="n">
        <x:v>0</x:v>
      </x:c>
      <x:c r="R564" s="22" t="str">
        <x:v>Лист1</x:v>
      </x:c>
      <x:c r="S564" s="22" t="str">
        <x:v>visible</x:v>
      </x:c>
      <x:c r="T564" s="22" t="str"/>
    </x:row>
    <x:row r="565">
      <x:c r="A565" s="22" t="str">
        <x:v>2020-00086</x:v>
      </x:c>
      <x:c r="B565" s="22" t="str">
        <x:v>L2023-00036-1</x:v>
      </x:c>
      <x:c r="C565" s="22" t="str">
        <x:v>공사</x:v>
      </x:c>
      <x:c r="D565" s="25" t="str">
        <x:v>우즈베키스탄 우르겐치 직업훈련원 건립 및 타슈켄트 교사연수센터 건립사업 시공업체선정 현지입찰</x:v>
      </x:c>
      <x:c r="E565" s="22" t="n">
        <x:v>1</x:v>
      </x:c>
      <x:c r="F565" s="22" t="str">
        <x:v>.xls</x:v>
      </x:c>
      <x:c r="G565" s="25" t="str">
        <x:v>L2023-00036-1/붙임3_입찰관련서류_검토완_0717/Section 4.  Bill of Quantities(Not-Priced)/공내역서/VTC견적서/7 КОМПРЕССОРАНЯ(Comp.+GAS storage)/7-3 ЭО(Electric)/13503_vfor.xls</x:v>
      </x:c>
      <x:c r="H565" s="28" t="n">
        <x:v>44544</x:v>
      </x:c>
      <x:c r="I565" s="22" t="str">
        <x:v>fba80ba25d76993629553bd43cccae9188ce442e97030bea9bec4d66366073e1</x:v>
      </x:c>
      <x:c r="J565" s="22" t="n">
        <x:v>0</x:v>
      </x:c>
      <x:c r="K565" s="22" t="n">
        <x:v>1</x:v>
      </x:c>
      <x:c r="L565" s="22" t="n">
        <x:v>1</x:v>
      </x:c>
      <x:c r="M565" s="28" t="n">
        <x:v>0</x:v>
      </x:c>
      <x:c r="N565" s="28" t="n">
        <x:v>0</x:v>
      </x:c>
      <x:c r="O565" s="28" t="n">
        <x:v>0</x:v>
      </x:c>
      <x:c r="P565" s="62" t="n">
        <x:v>0</x:v>
      </x:c>
      <x:c r="Q565" s="22" t="n">
        <x:v>0</x:v>
      </x:c>
      <x:c r="R565" s="22" t="str"/>
      <x:c r="S565" s="22" t="str"/>
      <x:c r="T565" s="22" t="str"/>
    </x:row>
    <x:row r="566">
      <x:c r="A566" s="22" t="str">
        <x:v>2020-00086</x:v>
      </x:c>
      <x:c r="B566" s="22" t="str">
        <x:v>L2023-00036-1</x:v>
      </x:c>
      <x:c r="C566" s="22" t="str">
        <x:v>공사</x:v>
      </x:c>
      <x:c r="D566" s="25" t="str">
        <x:v>우즈베키스탄 우르겐치 직업훈련원 건립 및 타슈켄트 교사연수센터 건립사업 시공업체선정 현지입찰</x:v>
      </x:c>
      <x:c r="E566" s="22" t="n">
        <x:v>1</x:v>
      </x:c>
      <x:c r="F566" s="22" t="str">
        <x:v>.xls</x:v>
      </x:c>
      <x:c r="G566" s="25" t="str">
        <x:v>L2023-00036-1/붙임3_입찰관련서류_검토완_0717/Section 4.  Bill of Quantities(Not-Priced)/공내역서/VTC견적서/7 КОМПРЕССОРАНЯ(Comp.+GAS storage)/7-1 КЖ(Structure)/bv13070.xls</x:v>
      </x:c>
      <x:c r="H566" s="28" t="n">
        <x:v>126464</x:v>
      </x:c>
      <x:c r="I566" s="22" t="str">
        <x:v>9d15fc0b7e8c4ef335b01731a25fd915a06431f5b409d64ed8e75bdf471e8c99</x:v>
      </x:c>
      <x:c r="J566" s="22" t="n">
        <x:v>0</x:v>
      </x:c>
      <x:c r="K566" s="22" t="n">
        <x:v>1</x:v>
      </x:c>
      <x:c r="L566" s="22" t="n">
        <x:v>1</x:v>
      </x:c>
      <x:c r="M566" s="28" t="n">
        <x:v>0</x:v>
      </x:c>
      <x:c r="N566" s="28" t="n">
        <x:v>0</x:v>
      </x:c>
      <x:c r="O566" s="28" t="n">
        <x:v>0</x:v>
      </x:c>
      <x:c r="P566" s="62" t="n">
        <x:v>0</x:v>
      </x:c>
      <x:c r="Q566" s="22" t="n">
        <x:v>0</x:v>
      </x:c>
      <x:c r="R566" s="22" t="str"/>
      <x:c r="S566" s="22" t="str"/>
      <x:c r="T566" s="22" t="str"/>
    </x:row>
    <x:row r="567">
      <x:c r="A567" s="22" t="str">
        <x:v>2020-00086</x:v>
      </x:c>
      <x:c r="B567" s="22" t="str">
        <x:v>L2023-00036-1</x:v>
      </x:c>
      <x:c r="C567" s="22" t="str">
        <x:v>공사</x:v>
      </x:c>
      <x:c r="D567" s="25" t="str">
        <x:v>우즈베키스탄 우르겐치 직업훈련원 건립 및 타슈켄트 교사연수센터 건립사업 시공업체선정 현지입찰</x:v>
      </x:c>
      <x:c r="E567" s="22" t="n">
        <x:v>1</x:v>
      </x:c>
      <x:c r="F567" s="22" t="str">
        <x:v>.xls</x:v>
      </x:c>
      <x:c r="G567" s="25" t="str">
        <x:v>L2023-00036-1/붙임3_입찰관련서류_검토완_0717/Section 4.  Bill of Quantities(Not-Priced)/공내역서/VTC견적서/7 КОМПРЕССОРАНЯ(Comp.+GAS storage)/7-1 КЖ(Structure)/13073_vfor.xls</x:v>
      </x:c>
      <x:c r="H567" s="28" t="n">
        <x:v>45056</x:v>
      </x:c>
      <x:c r="I567" s="22" t="str">
        <x:v>d4075fede6ca06f6e076cc3a33d9c66485d394bc84c4f6204421ee0751c41c29</x:v>
      </x:c>
      <x:c r="J567" s="22" t="n">
        <x:v>0</x:v>
      </x:c>
      <x:c r="K567" s="22" t="n">
        <x:v>1</x:v>
      </x:c>
      <x:c r="L567" s="22" t="n">
        <x:v>1</x:v>
      </x:c>
      <x:c r="M567" s="28" t="n">
        <x:v>0</x:v>
      </x:c>
      <x:c r="N567" s="28" t="n">
        <x:v>0</x:v>
      </x:c>
      <x:c r="O567" s="28" t="n">
        <x:v>0</x:v>
      </x:c>
      <x:c r="P567" s="62" t="n">
        <x:v>0</x:v>
      </x:c>
      <x:c r="Q567" s="22" t="n">
        <x:v>0</x:v>
      </x:c>
      <x:c r="R567" s="22" t="str"/>
      <x:c r="S567" s="22" t="str"/>
      <x:c r="T567" s="22" t="str"/>
    </x:row>
    <x:row r="568">
      <x:c r="A568" s="22" t="str">
        <x:v>2020-00086</x:v>
      </x:c>
      <x:c r="B568" s="22" t="str">
        <x:v>L2023-00036-1</x:v>
      </x:c>
      <x:c r="C568" s="22" t="str">
        <x:v>공사</x:v>
      </x:c>
      <x:c r="D568" s="25" t="str">
        <x:v>우즈베키스탄 우르겐치 직업훈련원 건립 및 타슈켄트 교사연수센터 건립사업 시공업체선정 현지입찰</x:v>
      </x:c>
      <x:c r="E568" s="22" t="n">
        <x:v>1</x:v>
      </x:c>
      <x:c r="F568" s="22" t="str">
        <x:v>.xls</x:v>
      </x:c>
      <x:c r="G568" s="25" t="str">
        <x:v>L2023-00036-1/붙임3_입찰관련서류_검토완_0717/Section 4.  Bill of Quantities(Not-Priced)/공내역서/VTC견적서/7 КОМПРЕССОРАНЯ(Comp.+GAS storage)/7-1 КЖ(Structure)/13073_vrmu.xls</x:v>
      </x:c>
      <x:c r="H568" s="28" t="n">
        <x:v>57344</x:v>
      </x:c>
      <x:c r="I568" s="22" t="str">
        <x:v>b2b87877d1df201ff70c4fded29e0c808c0cf38b05ea0ef976abf05e5e3bb3f1</x:v>
      </x:c>
      <x:c r="J568" s="22" t="n">
        <x:v>0</x:v>
      </x:c>
      <x:c r="K568" s="22" t="n">
        <x:v>1</x:v>
      </x:c>
      <x:c r="L568" s="22" t="n">
        <x:v>1</x:v>
      </x:c>
      <x:c r="M568" s="28" t="n">
        <x:v>1</x:v>
      </x:c>
      <x:c r="N568" s="28" t="n">
        <x:v>85</x:v>
      </x:c>
      <x:c r="O568" s="28" t="n">
        <x:v>1</x:v>
      </x:c>
      <x:c r="P568" s="62" t="n">
        <x:v>0.011764705882352941</x:v>
      </x:c>
      <x:c r="Q568" s="22" t="n">
        <x:v>0</x:v>
      </x:c>
      <x:c r="R568" s="22" t="str">
        <x:v>Лист1</x:v>
      </x:c>
      <x:c r="S568" s="22" t="str">
        <x:v>visible</x:v>
      </x:c>
      <x:c r="T568" s="22" t="str"/>
    </x:row>
    <x:row r="569">
      <x:c r="A569" s="22" t="str">
        <x:v>2020-00086</x:v>
      </x:c>
      <x:c r="B569" s="22" t="str">
        <x:v>L2023-00036-1</x:v>
      </x:c>
      <x:c r="C569" s="22" t="str">
        <x:v>공사</x:v>
      </x:c>
      <x:c r="D569" s="25" t="str">
        <x:v>우즈베키스탄 우르겐치 직업훈련원 건립 및 타슈켄트 교사연수센터 건립사업 시공업체선정 현지입찰</x:v>
      </x:c>
      <x:c r="E569" s="22" t="n">
        <x:v>1</x:v>
      </x:c>
      <x:c r="F569" s="22" t="str">
        <x:v>.xls</x:v>
      </x:c>
      <x:c r="G569" s="25" t="str">
        <x:v>L2023-00036-1/붙임3_입찰관련서류_검토완_0717/Section 4.  Bill of Quantities(Not-Priced)/공내역서/VTC견적서/7 КОМПРЕССОРАНЯ(Comp.+GAS storage)/7-2 АР(Architecture)/13083_vfor.xls</x:v>
      </x:c>
      <x:c r="H569" s="28" t="n">
        <x:v>37888</x:v>
      </x:c>
      <x:c r="I569" s="22" t="str">
        <x:v>0d0641098aaf99e56a206db663b79287befbb026eb9ae10d31713fe26751af88</x:v>
      </x:c>
      <x:c r="J569" s="22" t="n">
        <x:v>0</x:v>
      </x:c>
      <x:c r="K569" s="22" t="n">
        <x:v>1</x:v>
      </x:c>
      <x:c r="L569" s="22" t="n">
        <x:v>1</x:v>
      </x:c>
      <x:c r="M569" s="28" t="n">
        <x:v>0</x:v>
      </x:c>
      <x:c r="N569" s="28" t="n">
        <x:v>0</x:v>
      </x:c>
      <x:c r="O569" s="28" t="n">
        <x:v>0</x:v>
      </x:c>
      <x:c r="P569" s="62" t="n">
        <x:v>0</x:v>
      </x:c>
      <x:c r="Q569" s="22" t="n">
        <x:v>0</x:v>
      </x:c>
      <x:c r="R569" s="22" t="str"/>
      <x:c r="S569" s="22" t="str"/>
      <x:c r="T569" s="22" t="str"/>
    </x:row>
    <x:row r="570">
      <x:c r="A570" s="22" t="str">
        <x:v>2020-00086</x:v>
      </x:c>
      <x:c r="B570" s="22" t="str">
        <x:v>L2023-00036-1</x:v>
      </x:c>
      <x:c r="C570" s="22" t="str">
        <x:v>공사</x:v>
      </x:c>
      <x:c r="D570" s="25" t="str">
        <x:v>우즈베키스탄 우르겐치 직업훈련원 건립 및 타슈켄트 교사연수센터 건립사업 시공업체선정 현지입찰</x:v>
      </x:c>
      <x:c r="E570" s="22" t="n">
        <x:v>1</x:v>
      </x:c>
      <x:c r="F570" s="22" t="str">
        <x:v>.xls</x:v>
      </x:c>
      <x:c r="G570" s="25" t="str">
        <x:v>L2023-00036-1/붙임3_입찰관련서류_검토완_0717/Section 4.  Bill of Quantities(Not-Priced)/공내역서/VTC견적서/7 КОМПРЕССОРАНЯ(Comp.+GAS storage)/7-2 АР(Architecture)/13083_vrmu.xls</x:v>
      </x:c>
      <x:c r="H570" s="28" t="n">
        <x:v>48128</x:v>
      </x:c>
      <x:c r="I570" s="22" t="str">
        <x:v>69688f446686a4d38925437ff702119b6f61b5ee8d3b5ed975f2c10dfc6291a5</x:v>
      </x:c>
      <x:c r="J570" s="22" t="n">
        <x:v>0</x:v>
      </x:c>
      <x:c r="K570" s="22" t="n">
        <x:v>1</x:v>
      </x:c>
      <x:c r="L570" s="22" t="n">
        <x:v>1</x:v>
      </x:c>
      <x:c r="M570" s="28" t="n">
        <x:v>1</x:v>
      </x:c>
      <x:c r="N570" s="28" t="n">
        <x:v>48</x:v>
      </x:c>
      <x:c r="O570" s="28" t="n">
        <x:v>1</x:v>
      </x:c>
      <x:c r="P570" s="62" t="n">
        <x:v>0.020833333333333332</x:v>
      </x:c>
      <x:c r="Q570" s="22" t="n">
        <x:v>0</x:v>
      </x:c>
      <x:c r="R570" s="22" t="str">
        <x:v>Лист1</x:v>
      </x:c>
      <x:c r="S570" s="22" t="str">
        <x:v>visible</x:v>
      </x:c>
      <x:c r="T570" s="22" t="str"/>
    </x:row>
    <x:row r="571">
      <x:c r="A571" s="22" t="str">
        <x:v>2020-00086</x:v>
      </x:c>
      <x:c r="B571" s="22" t="str">
        <x:v>L2023-00036-1</x:v>
      </x:c>
      <x:c r="C571" s="22" t="str">
        <x:v>공사</x:v>
      </x:c>
      <x:c r="D571" s="25" t="str">
        <x:v>우즈베키스탄 우르겐치 직업훈련원 건립 및 타슈켄트 교사연수센터 건립사업 시공업체선정 현지입찰</x:v>
      </x:c>
      <x:c r="E571" s="22" t="n">
        <x:v>1</x:v>
      </x:c>
      <x:c r="F571" s="22" t="str">
        <x:v>.xls</x:v>
      </x:c>
      <x:c r="G571" s="25" t="str">
        <x:v>L2023-00036-1/붙임3_입찰관련서류_검토완_0717/Section 4.  Bill of Quantities(Not-Priced)/공내역서/VTC견적서/7 КОМПРЕССОРАНЯ(Comp.+GAS storage)/7-2 АР(Architecture)/bv13080.xls</x:v>
      </x:c>
      <x:c r="H571" s="28" t="n">
        <x:v>76800</x:v>
      </x:c>
      <x:c r="I571" s="22" t="str">
        <x:v>49259d752c40853e7e634831a6035f4fc055b29c0dc905b007f082fffb42211e</x:v>
      </x:c>
      <x:c r="J571" s="22" t="n">
        <x:v>0</x:v>
      </x:c>
      <x:c r="K571" s="22" t="n">
        <x:v>1</x:v>
      </x:c>
      <x:c r="L571" s="22" t="n">
        <x:v>1</x:v>
      </x:c>
      <x:c r="M571" s="28" t="n">
        <x:v>0</x:v>
      </x:c>
      <x:c r="N571" s="28" t="n">
        <x:v>0</x:v>
      </x:c>
      <x:c r="O571" s="28" t="n">
        <x:v>0</x:v>
      </x:c>
      <x:c r="P571" s="62" t="n">
        <x:v>0</x:v>
      </x:c>
      <x:c r="Q571" s="22" t="n">
        <x:v>0</x:v>
      </x:c>
      <x:c r="R571" s="22" t="str"/>
      <x:c r="S571" s="22" t="str"/>
      <x:c r="T571" s="22" t="str"/>
    </x:row>
    <x:row r="572">
      <x:c r="A572" s="22" t="str">
        <x:v>2020-00086</x:v>
      </x:c>
      <x:c r="B572" s="22" t="str">
        <x:v>L2023-00036-1</x:v>
      </x:c>
      <x:c r="C572" s="22" t="str">
        <x:v>공사</x:v>
      </x:c>
      <x:c r="D572" s="25" t="str">
        <x:v>우즈베키스탄 우르겐치 직업훈련원 건립 및 타슈켄트 교사연수센터 건립사업 시공업체선정 현지입찰</x:v>
      </x:c>
      <x:c r="E572" s="22" t="n">
        <x:v>1</x:v>
      </x:c>
      <x:c r="F572" s="22" t="str">
        <x:v>.xls</x:v>
      </x:c>
      <x:c r="G572" s="25" t="str">
        <x:v>L2023-00036-1/붙임3_입찰관련서류_검토완_0717/Section 4.  Bill of Quantities(Not-Priced)/공내역서/VTC견적서/0 ГП(Site Plan &amp; Landscape+Outdoor Infra)/0-4 ФЛАГШТОК(Flog pole)/13643_vfor.xls</x:v>
      </x:c>
      <x:c r="H572" s="28" t="n">
        <x:v>36352</x:v>
      </x:c>
      <x:c r="I572" s="22" t="str">
        <x:v>67966ce0d47aa65517abf1ac5bf4144c07e48cd2eaba531279ab70cb9dfbf6a2</x:v>
      </x:c>
      <x:c r="J572" s="22" t="n">
        <x:v>0</x:v>
      </x:c>
      <x:c r="K572" s="22" t="n">
        <x:v>1</x:v>
      </x:c>
      <x:c r="L572" s="22" t="n">
        <x:v>1</x:v>
      </x:c>
      <x:c r="M572" s="28" t="n">
        <x:v>0</x:v>
      </x:c>
      <x:c r="N572" s="28" t="n">
        <x:v>0</x:v>
      </x:c>
      <x:c r="O572" s="28" t="n">
        <x:v>0</x:v>
      </x:c>
      <x:c r="P572" s="62" t="n">
        <x:v>0</x:v>
      </x:c>
      <x:c r="Q572" s="22" t="n">
        <x:v>0</x:v>
      </x:c>
      <x:c r="R572" s="22" t="str"/>
      <x:c r="S572" s="22" t="str"/>
      <x:c r="T572" s="22" t="str"/>
    </x:row>
    <x:row r="573">
      <x:c r="A573" s="22" t="str">
        <x:v>2020-00086</x:v>
      </x:c>
      <x:c r="B573" s="22" t="str">
        <x:v>L2023-00036-1</x:v>
      </x:c>
      <x:c r="C573" s="22" t="str">
        <x:v>공사</x:v>
      </x:c>
      <x:c r="D573" s="25" t="str">
        <x:v>우즈베키스탄 우르겐치 직업훈련원 건립 및 타슈켄트 교사연수센터 건립사업 시공업체선정 현지입찰</x:v>
      </x:c>
      <x:c r="E573" s="22" t="n">
        <x:v>1</x:v>
      </x:c>
      <x:c r="F573" s="22" t="str">
        <x:v>.xls</x:v>
      </x:c>
      <x:c r="G573" s="25" t="str">
        <x:v>L2023-00036-1/붙임3_입찰관련서류_검토완_0717/Section 4.  Bill of Quantities(Not-Priced)/공내역서/VTC견적서/0 ГП(Site Plan &amp; Landscape+Outdoor Infra)/0-4 ФЛАГШТОК(Flog pole)/bv13640.xls</x:v>
      </x:c>
      <x:c r="H573" s="28" t="n">
        <x:v>79872</x:v>
      </x:c>
      <x:c r="I573" s="22" t="str">
        <x:v>c2bccc679e99fec40afa6d24486761ae70a294b045dc7ac6cac4d9f7e61c164e</x:v>
      </x:c>
      <x:c r="J573" s="22" t="n">
        <x:v>0</x:v>
      </x:c>
      <x:c r="K573" s="22" t="n">
        <x:v>1</x:v>
      </x:c>
      <x:c r="L573" s="22" t="n">
        <x:v>1</x:v>
      </x:c>
      <x:c r="M573" s="28" t="n">
        <x:v>0</x:v>
      </x:c>
      <x:c r="N573" s="28" t="n">
        <x:v>0</x:v>
      </x:c>
      <x:c r="O573" s="28" t="n">
        <x:v>0</x:v>
      </x:c>
      <x:c r="P573" s="62" t="n">
        <x:v>0</x:v>
      </x:c>
      <x:c r="Q573" s="22" t="n">
        <x:v>0</x:v>
      </x:c>
      <x:c r="R573" s="22" t="str"/>
      <x:c r="S573" s="22" t="str"/>
      <x:c r="T573" s="22" t="str"/>
    </x:row>
    <x:row r="574">
      <x:c r="A574" s="22" t="str">
        <x:v>2020-00086</x:v>
      </x:c>
      <x:c r="B574" s="22" t="str">
        <x:v>L2023-00036-1</x:v>
      </x:c>
      <x:c r="C574" s="22" t="str">
        <x:v>공사</x:v>
      </x:c>
      <x:c r="D574" s="25" t="str">
        <x:v>우즈베키스탄 우르겐치 직업훈련원 건립 및 타슈켄트 교사연수센터 건립사업 시공업체선정 현지입찰</x:v>
      </x:c>
      <x:c r="E574" s="22" t="n">
        <x:v>1</x:v>
      </x:c>
      <x:c r="F574" s="22" t="str">
        <x:v>.xls</x:v>
      </x:c>
      <x:c r="G574" s="25" t="str">
        <x:v>L2023-00036-1/붙임3_입찰관련서류_검토완_0717/Section 4.  Bill of Quantities(Not-Priced)/공내역서/VTC견적서/0 ГП(Site Plan &amp; Landscape+Outdoor Infra)/0-4 ФЛАГШТОК(Flog pole)/13643_vrmu.xls</x:v>
      </x:c>
      <x:c r="H574" s="28" t="n">
        <x:v>55808</x:v>
      </x:c>
      <x:c r="I574" s="22" t="str">
        <x:v>0f5b9d6f0d88cc8062fa6c5a0843bc51ec0ce77b9910f927cd9e6825241e7974</x:v>
      </x:c>
      <x:c r="J574" s="22" t="n">
        <x:v>0</x:v>
      </x:c>
      <x:c r="K574" s="22" t="n">
        <x:v>1</x:v>
      </x:c>
      <x:c r="L574" s="22" t="n">
        <x:v>1</x:v>
      </x:c>
      <x:c r="M574" s="28" t="n">
        <x:v>1</x:v>
      </x:c>
      <x:c r="N574" s="28" t="n">
        <x:v>79</x:v>
      </x:c>
      <x:c r="O574" s="28" t="n">
        <x:v>1</x:v>
      </x:c>
      <x:c r="P574" s="62" t="n">
        <x:v>0.012658227848101266</x:v>
      </x:c>
      <x:c r="Q574" s="22" t="n">
        <x:v>0</x:v>
      </x:c>
      <x:c r="R574" s="22" t="str">
        <x:v>Лист1</x:v>
      </x:c>
      <x:c r="S574" s="22" t="str">
        <x:v>visible</x:v>
      </x:c>
      <x:c r="T574" s="22" t="str"/>
    </x:row>
    <x:row r="575">
      <x:c r="A575" s="22" t="str">
        <x:v>2020-00086</x:v>
      </x:c>
      <x:c r="B575" s="22" t="str">
        <x:v>L2023-00036-1</x:v>
      </x:c>
      <x:c r="C575" s="22" t="str">
        <x:v>공사</x:v>
      </x:c>
      <x:c r="D575" s="25" t="str">
        <x:v>우즈베키스탄 우르겐치 직업훈련원 건립 및 타슈켄트 교사연수센터 건립사업 시공업체선정 현지입찰</x:v>
      </x:c>
      <x:c r="E575" s="22" t="n">
        <x:v>1</x:v>
      </x:c>
      <x:c r="F575" s="22" t="str">
        <x:v>.xls</x:v>
      </x:c>
      <x:c r="G575" s="25" t="str">
        <x:v>L2023-00036-1/붙임3_입찰관련서류_검토완_0717/Section 4.  Bill of Quantities(Not-Priced)/공내역서/VTC견적서/0 ГП(Site Plan &amp; Landscape+Outdoor Infra)/0-10 ПВ(Landscape Water Piping)/bv13700.xls</x:v>
      </x:c>
      <x:c r="H575" s="28" t="n">
        <x:v>108032</x:v>
      </x:c>
      <x:c r="I575" s="22" t="str">
        <x:v>7fce9c3406ee12ced99948fe837cc6e8d07c7892479efffdac7037793b89f75d</x:v>
      </x:c>
      <x:c r="J575" s="22" t="n">
        <x:v>0</x:v>
      </x:c>
      <x:c r="K575" s="22" t="n">
        <x:v>1</x:v>
      </x:c>
      <x:c r="L575" s="22" t="n">
        <x:v>1</x:v>
      </x:c>
      <x:c r="M575" s="28" t="n">
        <x:v>0</x:v>
      </x:c>
      <x:c r="N575" s="28" t="n">
        <x:v>0</x:v>
      </x:c>
      <x:c r="O575" s="28" t="n">
        <x:v>0</x:v>
      </x:c>
      <x:c r="P575" s="62" t="n">
        <x:v>0</x:v>
      </x:c>
      <x:c r="Q575" s="22" t="n">
        <x:v>0</x:v>
      </x:c>
      <x:c r="R575" s="22" t="str"/>
      <x:c r="S575" s="22" t="str"/>
      <x:c r="T575" s="22" t="str"/>
    </x:row>
    <x:row r="576">
      <x:c r="A576" s="22" t="str">
        <x:v>2020-00086</x:v>
      </x:c>
      <x:c r="B576" s="22" t="str">
        <x:v>L2023-00036-1</x:v>
      </x:c>
      <x:c r="C576" s="22" t="str">
        <x:v>공사</x:v>
      </x:c>
      <x:c r="D576" s="25" t="str">
        <x:v>우즈베키스탄 우르겐치 직업훈련원 건립 및 타슈켄트 교사연수센터 건립사업 시공업체선정 현지입찰</x:v>
      </x:c>
      <x:c r="E576" s="22" t="n">
        <x:v>1</x:v>
      </x:c>
      <x:c r="F576" s="22" t="str">
        <x:v>.xls</x:v>
      </x:c>
      <x:c r="G576" s="25" t="str">
        <x:v>L2023-00036-1/붙임3_입찰관련서류_검토완_0717/Section 4.  Bill of Quantities(Not-Priced)/공내역서/VTC견적서/0 ГП(Site Plan &amp; Landscape+Outdoor Infra)/0-10 ПВ(Landscape Water Piping)/13703_vfor.xls</x:v>
      </x:c>
      <x:c r="H576" s="28" t="n">
        <x:v>44544</x:v>
      </x:c>
      <x:c r="I576" s="22" t="str">
        <x:v>223b6a365f4c188df7b71ab432b3cf0fb70ab37141f6befdb4176e797d1219a7</x:v>
      </x:c>
      <x:c r="J576" s="22" t="n">
        <x:v>0</x:v>
      </x:c>
      <x:c r="K576" s="22" t="n">
        <x:v>1</x:v>
      </x:c>
      <x:c r="L576" s="22" t="n">
        <x:v>1</x:v>
      </x:c>
      <x:c r="M576" s="28" t="n">
        <x:v>0</x:v>
      </x:c>
      <x:c r="N576" s="28" t="n">
        <x:v>0</x:v>
      </x:c>
      <x:c r="O576" s="28" t="n">
        <x:v>0</x:v>
      </x:c>
      <x:c r="P576" s="62" t="n">
        <x:v>0</x:v>
      </x:c>
      <x:c r="Q576" s="22" t="n">
        <x:v>0</x:v>
      </x:c>
      <x:c r="R576" s="22" t="str"/>
      <x:c r="S576" s="22" t="str"/>
      <x:c r="T576" s="22" t="str"/>
    </x:row>
    <x:row r="577">
      <x:c r="A577" s="22" t="str">
        <x:v>2020-00086</x:v>
      </x:c>
      <x:c r="B577" s="22" t="str">
        <x:v>L2023-00036-1</x:v>
      </x:c>
      <x:c r="C577" s="22" t="str">
        <x:v>공사</x:v>
      </x:c>
      <x:c r="D577" s="25" t="str">
        <x:v>우즈베키스탄 우르겐치 직업훈련원 건립 및 타슈켄트 교사연수센터 건립사업 시공업체선정 현지입찰</x:v>
      </x:c>
      <x:c r="E577" s="22" t="n">
        <x:v>1</x:v>
      </x:c>
      <x:c r="F577" s="22" t="str">
        <x:v>.xls</x:v>
      </x:c>
      <x:c r="G577" s="25" t="str">
        <x:v>L2023-00036-1/붙임3_입찰관련서류_검토완_0717/Section 4.  Bill of Quantities(Not-Priced)/공내역서/VTC견적서/0 ГП(Site Plan &amp; Landscape+Outdoor Infra)/0-10 ПВ(Landscape Water Piping)/13703_vrmu.xls</x:v>
      </x:c>
      <x:c r="H577" s="28" t="n">
        <x:v>67584</x:v>
      </x:c>
      <x:c r="I577" s="22" t="str">
        <x:v>340757e0a5f7ca107ff9763eb6e78032fa52480ae47709f5c93d4b4d8acb1301</x:v>
      </x:c>
      <x:c r="J577" s="22" t="n">
        <x:v>0</x:v>
      </x:c>
      <x:c r="K577" s="22" t="n">
        <x:v>1</x:v>
      </x:c>
      <x:c r="L577" s="22" t="n">
        <x:v>1</x:v>
      </x:c>
      <x:c r="M577" s="28" t="n">
        <x:v>1</x:v>
      </x:c>
      <x:c r="N577" s="28" t="n">
        <x:v>112</x:v>
      </x:c>
      <x:c r="O577" s="28" t="n">
        <x:v>1</x:v>
      </x:c>
      <x:c r="P577" s="62" t="n">
        <x:v>0.008928571428571428</x:v>
      </x:c>
      <x:c r="Q577" s="22" t="n">
        <x:v>0</x:v>
      </x:c>
      <x:c r="R577" s="22" t="str">
        <x:v>Лист1</x:v>
      </x:c>
      <x:c r="S577" s="22" t="str">
        <x:v>visible</x:v>
      </x:c>
      <x:c r="T577" s="22" t="str"/>
    </x:row>
    <x:row r="578">
      <x:c r="A578" s="22" t="str">
        <x:v>2020-00086</x:v>
      </x:c>
      <x:c r="B578" s="22" t="str">
        <x:v>L2023-00036-1</x:v>
      </x:c>
      <x:c r="C578" s="22" t="str">
        <x:v>공사</x:v>
      </x:c>
      <x:c r="D578" s="25" t="str">
        <x:v>우즈베키스탄 우르겐치 직업훈련원 건립 및 타슈켄트 교사연수센터 건립사업 시공업체선정 현지입찰</x:v>
      </x:c>
      <x:c r="E578" s="22" t="n">
        <x:v>1</x:v>
      </x:c>
      <x:c r="F578" s="22" t="str">
        <x:v>.xls</x:v>
      </x:c>
      <x:c r="G578" s="25" t="str">
        <x:v>L2023-00036-1/붙임3_입찰관련서류_검토완_0717/Section 4.  Bill of Quantities(Not-Priced)/공내역서/VTC견적서/0 ГП(Site Plan &amp; Landscape+Outdoor Infra)/0-6 ЭС(Outdoor Electric Infra)/bv13660.xls</x:v>
      </x:c>
      <x:c r="H578" s="28" t="n">
        <x:v>85504</x:v>
      </x:c>
      <x:c r="I578" s="22" t="str">
        <x:v>00539b077799596b299656474c20d1f2bce4a015e4e5986c8ec3ef060d1c92be</x:v>
      </x:c>
      <x:c r="J578" s="22" t="n">
        <x:v>0</x:v>
      </x:c>
      <x:c r="K578" s="22" t="n">
        <x:v>1</x:v>
      </x:c>
      <x:c r="L578" s="22" t="n">
        <x:v>1</x:v>
      </x:c>
      <x:c r="M578" s="28" t="n">
        <x:v>0</x:v>
      </x:c>
      <x:c r="N578" s="28" t="n">
        <x:v>0</x:v>
      </x:c>
      <x:c r="O578" s="28" t="n">
        <x:v>0</x:v>
      </x:c>
      <x:c r="P578" s="62" t="n">
        <x:v>0</x:v>
      </x:c>
      <x:c r="Q578" s="22" t="n">
        <x:v>0</x:v>
      </x:c>
      <x:c r="R578" s="22" t="str"/>
      <x:c r="S578" s="22" t="str"/>
      <x:c r="T578" s="22" t="str"/>
    </x:row>
    <x:row r="579">
      <x:c r="A579" s="22" t="str">
        <x:v>2020-00086</x:v>
      </x:c>
      <x:c r="B579" s="22" t="str">
        <x:v>L2023-00036-1</x:v>
      </x:c>
      <x:c r="C579" s="22" t="str">
        <x:v>공사</x:v>
      </x:c>
      <x:c r="D579" s="25" t="str">
        <x:v>우즈베키스탄 우르겐치 직업훈련원 건립 및 타슈켄트 교사연수센터 건립사업 시공업체선정 현지입찰</x:v>
      </x:c>
      <x:c r="E579" s="22" t="n">
        <x:v>1</x:v>
      </x:c>
      <x:c r="F579" s="22" t="str">
        <x:v>.xls</x:v>
      </x:c>
      <x:c r="G579" s="25" t="str">
        <x:v>L2023-00036-1/붙임3_입찰관련서류_검토완_0717/Section 4.  Bill of Quantities(Not-Priced)/공내역서/VTC견적서/0 ГП(Site Plan &amp; Landscape+Outdoor Infra)/0-6 ЭС(Outdoor Electric Infra)/13663_vfor.xls</x:v>
      </x:c>
      <x:c r="H579" s="28" t="n">
        <x:v>37888</x:v>
      </x:c>
      <x:c r="I579" s="22" t="str">
        <x:v>d6e264bc982e8ff16cc0d3f02f24b4bad1d12dac0c5106696da5050f02d894e3</x:v>
      </x:c>
      <x:c r="J579" s="22" t="n">
        <x:v>0</x:v>
      </x:c>
      <x:c r="K579" s="22" t="n">
        <x:v>1</x:v>
      </x:c>
      <x:c r="L579" s="22" t="n">
        <x:v>1</x:v>
      </x:c>
      <x:c r="M579" s="28" t="n">
        <x:v>0</x:v>
      </x:c>
      <x:c r="N579" s="28" t="n">
        <x:v>0</x:v>
      </x:c>
      <x:c r="O579" s="28" t="n">
        <x:v>0</x:v>
      </x:c>
      <x:c r="P579" s="62" t="n">
        <x:v>0</x:v>
      </x:c>
      <x:c r="Q579" s="22" t="n">
        <x:v>0</x:v>
      </x:c>
      <x:c r="R579" s="22" t="str"/>
      <x:c r="S579" s="22" t="str"/>
      <x:c r="T579" s="22" t="str"/>
    </x:row>
    <x:row r="580">
      <x:c r="A580" s="22" t="str">
        <x:v>2020-00086</x:v>
      </x:c>
      <x:c r="B580" s="22" t="str">
        <x:v>L2023-00036-1</x:v>
      </x:c>
      <x:c r="C580" s="22" t="str">
        <x:v>공사</x:v>
      </x:c>
      <x:c r="D580" s="25" t="str">
        <x:v>우즈베키스탄 우르겐치 직업훈련원 건립 및 타슈켄트 교사연수센터 건립사업 시공업체선정 현지입찰</x:v>
      </x:c>
      <x:c r="E580" s="22" t="n">
        <x:v>1</x:v>
      </x:c>
      <x:c r="F580" s="22" t="str">
        <x:v>.xls</x:v>
      </x:c>
      <x:c r="G580" s="25" t="str">
        <x:v>L2023-00036-1/붙임3_입찰관련서류_검토완_0717/Section 4.  Bill of Quantities(Not-Priced)/공내역서/VTC견적서/0 ГП(Site Plan &amp; Landscape+Outdoor Infra)/0-6 ЭС(Outdoor Electric Infra)/13663_vrmu.xls</x:v>
      </x:c>
      <x:c r="H580" s="28" t="n">
        <x:v>55296</x:v>
      </x:c>
      <x:c r="I580" s="22" t="str">
        <x:v>5211f233ecc117ba1086040ece1ad8ce7323d32f4a4e8d1cdd6e35537116f52f</x:v>
      </x:c>
      <x:c r="J580" s="22" t="n">
        <x:v>0</x:v>
      </x:c>
      <x:c r="K580" s="22" t="n">
        <x:v>1</x:v>
      </x:c>
      <x:c r="L580" s="22" t="n">
        <x:v>1</x:v>
      </x:c>
      <x:c r="M580" s="28" t="n">
        <x:v>1</x:v>
      </x:c>
      <x:c r="N580" s="28" t="n">
        <x:v>69</x:v>
      </x:c>
      <x:c r="O580" s="28" t="n">
        <x:v>1</x:v>
      </x:c>
      <x:c r="P580" s="62" t="n">
        <x:v>0.014492753623188406</x:v>
      </x:c>
      <x:c r="Q580" s="22" t="n">
        <x:v>0</x:v>
      </x:c>
      <x:c r="R580" s="22" t="str">
        <x:v>Лист1</x:v>
      </x:c>
      <x:c r="S580" s="22" t="str">
        <x:v>visible</x:v>
      </x:c>
      <x:c r="T580" s="22" t="str"/>
    </x:row>
    <x:row r="581">
      <x:c r="A581" s="22" t="str">
        <x:v>2020-00086</x:v>
      </x:c>
      <x:c r="B581" s="22" t="str">
        <x:v>L2023-00036-1</x:v>
      </x:c>
      <x:c r="C581" s="22" t="str">
        <x:v>공사</x:v>
      </x:c>
      <x:c r="D581" s="25" t="str">
        <x:v>우즈베키스탄 우르겐치 직업훈련원 건립 및 타슈켄트 교사연수센터 건립사업 시공업체선정 현지입찰</x:v>
      </x:c>
      <x:c r="E581" s="22" t="n">
        <x:v>1</x:v>
      </x:c>
      <x:c r="F581" s="22" t="str">
        <x:v>.xls</x:v>
      </x:c>
      <x:c r="G581" s="25" t="str">
        <x:v>L2023-00036-1/붙임3_입찰관련서류_검토완_0717/Section 4.  Bill of Quantities(Not-Priced)/공내역서/VTC견적서/0 ГП(Site Plan &amp; Landscape+Outdoor Infra)/0-3 БЕСЕДКА 5 ШТ(Pargola)/bv13630.xls</x:v>
      </x:c>
      <x:c r="H581" s="28" t="n">
        <x:v>86016</x:v>
      </x:c>
      <x:c r="I581" s="22" t="str">
        <x:v>89900deeb95cc6c3d44955a4322c7d0b36aa7b7469220c2d8969211de3a71e9f</x:v>
      </x:c>
      <x:c r="J581" s="22" t="n">
        <x:v>0</x:v>
      </x:c>
      <x:c r="K581" s="22" t="n">
        <x:v>1</x:v>
      </x:c>
      <x:c r="L581" s="22" t="n">
        <x:v>1</x:v>
      </x:c>
      <x:c r="M581" s="28" t="n">
        <x:v>0</x:v>
      </x:c>
      <x:c r="N581" s="28" t="n">
        <x:v>0</x:v>
      </x:c>
      <x:c r="O581" s="28" t="n">
        <x:v>0</x:v>
      </x:c>
      <x:c r="P581" s="62" t="n">
        <x:v>0</x:v>
      </x:c>
      <x:c r="Q581" s="22" t="n">
        <x:v>0</x:v>
      </x:c>
      <x:c r="R581" s="22" t="str"/>
      <x:c r="S581" s="22" t="str"/>
      <x:c r="T581" s="22" t="str"/>
    </x:row>
    <x:row r="582">
      <x:c r="A582" s="22" t="str">
        <x:v>2020-00086</x:v>
      </x:c>
      <x:c r="B582" s="22" t="str">
        <x:v>L2023-00036-1</x:v>
      </x:c>
      <x:c r="C582" s="22" t="str">
        <x:v>공사</x:v>
      </x:c>
      <x:c r="D582" s="25" t="str">
        <x:v>우즈베키스탄 우르겐치 직업훈련원 건립 및 타슈켄트 교사연수센터 건립사업 시공업체선정 현지입찰</x:v>
      </x:c>
      <x:c r="E582" s="22" t="n">
        <x:v>1</x:v>
      </x:c>
      <x:c r="F582" s="22" t="str">
        <x:v>.xls</x:v>
      </x:c>
      <x:c r="G582" s="25" t="str">
        <x:v>L2023-00036-1/붙임3_입찰관련서류_검토완_0717/Section 4.  Bill of Quantities(Not-Priced)/공내역서/VTC견적서/0 ГП(Site Plan &amp; Landscape+Outdoor Infra)/0-3 БЕСЕДКА 5 ШТ(Pargola)/13633_vrmu.xls</x:v>
      </x:c>
      <x:c r="H582" s="28" t="n">
        <x:v>54784</x:v>
      </x:c>
      <x:c r="I582" s="22" t="str">
        <x:v>91cd41b13250e518545986d37e21277c42f67ff63baa4fc5aa5bd8526a10da10</x:v>
      </x:c>
      <x:c r="J582" s="22" t="n">
        <x:v>0</x:v>
      </x:c>
      <x:c r="K582" s="22" t="n">
        <x:v>1</x:v>
      </x:c>
      <x:c r="L582" s="22" t="n">
        <x:v>1</x:v>
      </x:c>
      <x:c r="M582" s="28" t="n">
        <x:v>1</x:v>
      </x:c>
      <x:c r="N582" s="28" t="n">
        <x:v>71</x:v>
      </x:c>
      <x:c r="O582" s="28" t="n">
        <x:v>1</x:v>
      </x:c>
      <x:c r="P582" s="62" t="n">
        <x:v>0.014084507042253521</x:v>
      </x:c>
      <x:c r="Q582" s="22" t="n">
        <x:v>0</x:v>
      </x:c>
      <x:c r="R582" s="22" t="str">
        <x:v>Лист1</x:v>
      </x:c>
      <x:c r="S582" s="22" t="str">
        <x:v>visible</x:v>
      </x:c>
      <x:c r="T582" s="22" t="str"/>
    </x:row>
    <x:row r="583">
      <x:c r="A583" s="22" t="str">
        <x:v>2020-00086</x:v>
      </x:c>
      <x:c r="B583" s="22" t="str">
        <x:v>L2023-00036-1</x:v>
      </x:c>
      <x:c r="C583" s="22" t="str">
        <x:v>공사</x:v>
      </x:c>
      <x:c r="D583" s="25" t="str">
        <x:v>우즈베키스탄 우르겐치 직업훈련원 건립 및 타슈켄트 교사연수센터 건립사업 시공업체선정 현지입찰</x:v>
      </x:c>
      <x:c r="E583" s="22" t="n">
        <x:v>1</x:v>
      </x:c>
      <x:c r="F583" s="22" t="str">
        <x:v>.xls</x:v>
      </x:c>
      <x:c r="G583" s="25" t="str">
        <x:v>L2023-00036-1/붙임3_입찰관련서류_검토완_0717/Section 4.  Bill of Quantities(Not-Priced)/공내역서/VTC견적서/0 ГП(Site Plan &amp; Landscape+Outdoor Infra)/0-3 БЕСЕДКА 5 ШТ(Pargola)/13633_vfor.xls</x:v>
      </x:c>
      <x:c r="H583" s="28" t="n">
        <x:v>34304</x:v>
      </x:c>
      <x:c r="I583" s="22" t="str">
        <x:v>a4de5c64037addc65a3a0ea858a58150461f31b07ec98eb3374f87a100be5518</x:v>
      </x:c>
      <x:c r="J583" s="22" t="n">
        <x:v>0</x:v>
      </x:c>
      <x:c r="K583" s="22" t="n">
        <x:v>1</x:v>
      </x:c>
      <x:c r="L583" s="22" t="n">
        <x:v>1</x:v>
      </x:c>
      <x:c r="M583" s="28" t="n">
        <x:v>0</x:v>
      </x:c>
      <x:c r="N583" s="28" t="n">
        <x:v>0</x:v>
      </x:c>
      <x:c r="O583" s="28" t="n">
        <x:v>0</x:v>
      </x:c>
      <x:c r="P583" s="62" t="n">
        <x:v>0</x:v>
      </x:c>
      <x:c r="Q583" s="22" t="n">
        <x:v>0</x:v>
      </x:c>
      <x:c r="R583" s="22" t="str"/>
      <x:c r="S583" s="22" t="str"/>
      <x:c r="T583" s="22" t="str"/>
    </x:row>
    <x:row r="584">
      <x:c r="A584" s="22" t="str">
        <x:v>2020-00086</x:v>
      </x:c>
      <x:c r="B584" s="22" t="str">
        <x:v>L2023-00036-1</x:v>
      </x:c>
      <x:c r="C584" s="22" t="str">
        <x:v>공사</x:v>
      </x:c>
      <x:c r="D584" s="25" t="str">
        <x:v>우즈베키스탄 우르겐치 직업훈련원 건립 및 타슈켄트 교사연수센터 건립사업 시공업체선정 현지입찰</x:v>
      </x:c>
      <x:c r="E584" s="22" t="n">
        <x:v>1</x:v>
      </x:c>
      <x:c r="F584" s="22" t="str">
        <x:v>.xls</x:v>
      </x:c>
      <x:c r="G584" s="25" t="str">
        <x:v>L2023-00036-1/붙임3_입찰관련서류_검토완_0717/Section 4.  Bill of Quantities(Not-Priced)/공내역서/VTC견적서/0 ГП(Site Plan &amp; Landscape+Outdoor Infra)/0-12 АСКУЭ((Automatic Pump system)/13723_vfor.xls</x:v>
      </x:c>
      <x:c r="H584" s="28" t="n">
        <x:v>33792</x:v>
      </x:c>
      <x:c r="I584" s="22" t="str">
        <x:v>eb99c1117217bd159b2705fd3fdba4dca427dbfee616518108fed741a867e4a9</x:v>
      </x:c>
      <x:c r="J584" s="22" t="n">
        <x:v>0</x:v>
      </x:c>
      <x:c r="K584" s="22" t="n">
        <x:v>1</x:v>
      </x:c>
      <x:c r="L584" s="22" t="n">
        <x:v>1</x:v>
      </x:c>
      <x:c r="M584" s="28" t="n">
        <x:v>0</x:v>
      </x:c>
      <x:c r="N584" s="28" t="n">
        <x:v>0</x:v>
      </x:c>
      <x:c r="O584" s="28" t="n">
        <x:v>0</x:v>
      </x:c>
      <x:c r="P584" s="62" t="n">
        <x:v>0</x:v>
      </x:c>
      <x:c r="Q584" s="22" t="n">
        <x:v>0</x:v>
      </x:c>
      <x:c r="R584" s="22" t="str"/>
      <x:c r="S584" s="22" t="str"/>
      <x:c r="T584" s="22" t="str"/>
    </x:row>
    <x:row r="585">
      <x:c r="A585" s="22" t="str">
        <x:v>2020-00086</x:v>
      </x:c>
      <x:c r="B585" s="22" t="str">
        <x:v>L2023-00036-1</x:v>
      </x:c>
      <x:c r="C585" s="22" t="str">
        <x:v>공사</x:v>
      </x:c>
      <x:c r="D585" s="25" t="str">
        <x:v>우즈베키스탄 우르겐치 직업훈련원 건립 및 타슈켄트 교사연수센터 건립사업 시공업체선정 현지입찰</x:v>
      </x:c>
      <x:c r="E585" s="22" t="n">
        <x:v>1</x:v>
      </x:c>
      <x:c r="F585" s="22" t="str">
        <x:v>.xls</x:v>
      </x:c>
      <x:c r="G585" s="25" t="str">
        <x:v>L2023-00036-1/붙임3_입찰관련서류_검토완_0717/Section 4.  Bill of Quantities(Not-Priced)/공내역서/VTC견적서/0 ГП(Site Plan &amp; Landscape+Outdoor Infra)/0-12 АСКУЭ((Automatic Pump system)/13723_vrmu.xls</x:v>
      </x:c>
      <x:c r="H585" s="28" t="n">
        <x:v>49152</x:v>
      </x:c>
      <x:c r="I585" s="22" t="str">
        <x:v>748258beac5d82e7c3a847666f17f9ad1601ab24563b52999aa8e5d1b3e7ff6a</x:v>
      </x:c>
      <x:c r="J585" s="22" t="n">
        <x:v>0</x:v>
      </x:c>
      <x:c r="K585" s="22" t="n">
        <x:v>1</x:v>
      </x:c>
      <x:c r="L585" s="22" t="n">
        <x:v>1</x:v>
      </x:c>
      <x:c r="M585" s="28" t="n">
        <x:v>1</x:v>
      </x:c>
      <x:c r="N585" s="28" t="n">
        <x:v>48</x:v>
      </x:c>
      <x:c r="O585" s="28" t="n">
        <x:v>1</x:v>
      </x:c>
      <x:c r="P585" s="62" t="n">
        <x:v>0.020833333333333332</x:v>
      </x:c>
      <x:c r="Q585" s="22" t="n">
        <x:v>0</x:v>
      </x:c>
      <x:c r="R585" s="22" t="str">
        <x:v>Лист1</x:v>
      </x:c>
      <x:c r="S585" s="22" t="str">
        <x:v>visible</x:v>
      </x:c>
      <x:c r="T585" s="22" t="str"/>
    </x:row>
    <x:row r="586">
      <x:c r="A586" s="22" t="str">
        <x:v>2020-00086</x:v>
      </x:c>
      <x:c r="B586" s="22" t="str">
        <x:v>L2023-00036-1</x:v>
      </x:c>
      <x:c r="C586" s="22" t="str">
        <x:v>공사</x:v>
      </x:c>
      <x:c r="D586" s="25" t="str">
        <x:v>우즈베키스탄 우르겐치 직업훈련원 건립 및 타슈켄트 교사연수센터 건립사업 시공업체선정 현지입찰</x:v>
      </x:c>
      <x:c r="E586" s="22" t="n">
        <x:v>1</x:v>
      </x:c>
      <x:c r="F586" s="22" t="str">
        <x:v>.xls</x:v>
      </x:c>
      <x:c r="G586" s="25" t="str">
        <x:v>L2023-00036-1/붙임3_입찰관련서류_검토완_0717/Section 4.  Bill of Quantities(Not-Priced)/공내역서/VTC견적서/0 ГП(Site Plan &amp; Landscape+Outdoor Infra)/0-12 АСКУЭ((Automatic Pump system)/bv13720.xls</x:v>
      </x:c>
      <x:c r="H586" s="28" t="n">
        <x:v>54784</x:v>
      </x:c>
      <x:c r="I586" s="22" t="str">
        <x:v>73d4b495f41c4c5e62abe918e52313703f29267f7bda2774066dc0e5ffd96095</x:v>
      </x:c>
      <x:c r="J586" s="22" t="n">
        <x:v>0</x:v>
      </x:c>
      <x:c r="K586" s="22" t="n">
        <x:v>1</x:v>
      </x:c>
      <x:c r="L586" s="22" t="n">
        <x:v>1</x:v>
      </x:c>
      <x:c r="M586" s="28" t="n">
        <x:v>0</x:v>
      </x:c>
      <x:c r="N586" s="28" t="n">
        <x:v>0</x:v>
      </x:c>
      <x:c r="O586" s="28" t="n">
        <x:v>0</x:v>
      </x:c>
      <x:c r="P586" s="62" t="n">
        <x:v>0</x:v>
      </x:c>
      <x:c r="Q586" s="22" t="n">
        <x:v>0</x:v>
      </x:c>
      <x:c r="R586" s="22" t="str"/>
      <x:c r="S586" s="22" t="str"/>
      <x:c r="T586" s="22" t="str"/>
    </x:row>
    <x:row r="587">
      <x:c r="A587" s="22" t="str">
        <x:v>2020-00086</x:v>
      </x:c>
      <x:c r="B587" s="22" t="str">
        <x:v>L2023-00036-1</x:v>
      </x:c>
      <x:c r="C587" s="22" t="str">
        <x:v>공사</x:v>
      </x:c>
      <x:c r="D587" s="25" t="str">
        <x:v>우즈베키스탄 우르겐치 직업훈련원 건립 및 타슈켄트 교사연수센터 건립사업 시공업체선정 현지입찰</x:v>
      </x:c>
      <x:c r="E587" s="22" t="n">
        <x:v>1</x:v>
      </x:c>
      <x:c r="F587" s="22" t="str">
        <x:v>.xls</x:v>
      </x:c>
      <x:c r="G587" s="25" t="str">
        <x:v>L2023-00036-1/붙임3_입찰관련서류_검토완_0717/Section 4.  Bill of Quantities(Not-Priced)/공내역서/VTC견적서/0 ГП(Site Plan &amp; Landscape+Outdoor Infra)/0-2 ФУТБОЛНОЕ ПОЛЕ(Football)/13413_vfor.xls</x:v>
      </x:c>
      <x:c r="H587" s="28" t="n">
        <x:v>35840</x:v>
      </x:c>
      <x:c r="I587" s="22" t="str">
        <x:v>b524a9fc3353cae7e72ebf771994c561b251158e684f12846f7be3e853e9b094</x:v>
      </x:c>
      <x:c r="J587" s="22" t="n">
        <x:v>0</x:v>
      </x:c>
      <x:c r="K587" s="22" t="n">
        <x:v>1</x:v>
      </x:c>
      <x:c r="L587" s="22" t="n">
        <x:v>1</x:v>
      </x:c>
      <x:c r="M587" s="28" t="n">
        <x:v>0</x:v>
      </x:c>
      <x:c r="N587" s="28" t="n">
        <x:v>0</x:v>
      </x:c>
      <x:c r="O587" s="28" t="n">
        <x:v>0</x:v>
      </x:c>
      <x:c r="P587" s="62" t="n">
        <x:v>0</x:v>
      </x:c>
      <x:c r="Q587" s="22" t="n">
        <x:v>0</x:v>
      </x:c>
      <x:c r="R587" s="22" t="str"/>
      <x:c r="S587" s="22" t="str"/>
      <x:c r="T587" s="22" t="str"/>
    </x:row>
    <x:row r="588">
      <x:c r="A588" s="22" t="str">
        <x:v>2020-00086</x:v>
      </x:c>
      <x:c r="B588" s="22" t="str">
        <x:v>L2023-00036-1</x:v>
      </x:c>
      <x:c r="C588" s="22" t="str">
        <x:v>공사</x:v>
      </x:c>
      <x:c r="D588" s="25" t="str">
        <x:v>우즈베키스탄 우르겐치 직업훈련원 건립 및 타슈켄트 교사연수센터 건립사업 시공업체선정 현지입찰</x:v>
      </x:c>
      <x:c r="E588" s="22" t="n">
        <x:v>1</x:v>
      </x:c>
      <x:c r="F588" s="22" t="str">
        <x:v>.xls</x:v>
      </x:c>
      <x:c r="G588" s="25" t="str">
        <x:v>L2023-00036-1/붙임3_입찰관련서류_검토완_0717/Section 4.  Bill of Quantities(Not-Priced)/공내역서/VTC견적서/0 ГП(Site Plan &amp; Landscape+Outdoor Infra)/0-2 ФУТБОЛНОЕ ПОЛЕ(Football)/13413_vrmu.xls</x:v>
      </x:c>
      <x:c r="H588" s="28" t="n">
        <x:v>54784</x:v>
      </x:c>
      <x:c r="I588" s="22" t="str">
        <x:v>656fd24a77c94039bb6a228c6d395e89e1304637aa470a5b06fd4b70f791c7d3</x:v>
      </x:c>
      <x:c r="J588" s="22" t="n">
        <x:v>0</x:v>
      </x:c>
      <x:c r="K588" s="22" t="n">
        <x:v>1</x:v>
      </x:c>
      <x:c r="L588" s="22" t="n">
        <x:v>1</x:v>
      </x:c>
      <x:c r="M588" s="28" t="n">
        <x:v>1</x:v>
      </x:c>
      <x:c r="N588" s="28" t="n">
        <x:v>69</x:v>
      </x:c>
      <x:c r="O588" s="28" t="n">
        <x:v>1</x:v>
      </x:c>
      <x:c r="P588" s="62" t="n">
        <x:v>0.014492753623188406</x:v>
      </x:c>
      <x:c r="Q588" s="22" t="n">
        <x:v>0</x:v>
      </x:c>
      <x:c r="R588" s="22" t="str">
        <x:v>Лист1</x:v>
      </x:c>
      <x:c r="S588" s="22" t="str">
        <x:v>visible</x:v>
      </x:c>
      <x:c r="T588" s="22" t="str"/>
    </x:row>
    <x:row r="589">
      <x:c r="A589" s="22" t="str">
        <x:v>2020-00086</x:v>
      </x:c>
      <x:c r="B589" s="22" t="str">
        <x:v>L2023-00036-1</x:v>
      </x:c>
      <x:c r="C589" s="22" t="str">
        <x:v>공사</x:v>
      </x:c>
      <x:c r="D589" s="25" t="str">
        <x:v>우즈베키스탄 우르겐치 직업훈련원 건립 및 타슈켄트 교사연수센터 건립사업 시공업체선정 현지입찰</x:v>
      </x:c>
      <x:c r="E589" s="22" t="n">
        <x:v>1</x:v>
      </x:c>
      <x:c r="F589" s="22" t="str">
        <x:v>.xls</x:v>
      </x:c>
      <x:c r="G589" s="25" t="str">
        <x:v>L2023-00036-1/붙임3_입찰관련서류_검토완_0717/Section 4.  Bill of Quantities(Not-Priced)/공내역서/VTC견적서/0 ГП(Site Plan &amp; Landscape+Outdoor Infra)/0-2 ФУТБОЛНОЕ ПОЛЕ(Football)/bv13410.xls</x:v>
      </x:c>
      <x:c r="H589" s="28" t="n">
        <x:v>82432</x:v>
      </x:c>
      <x:c r="I589" s="22" t="str">
        <x:v>2749f4b67fbce5b996b82719eb992ca5140d514c5c3e0b6a254cbe8991a461ba</x:v>
      </x:c>
      <x:c r="J589" s="22" t="n">
        <x:v>0</x:v>
      </x:c>
      <x:c r="K589" s="22" t="n">
        <x:v>1</x:v>
      </x:c>
      <x:c r="L589" s="22" t="n">
        <x:v>1</x:v>
      </x:c>
      <x:c r="M589" s="28" t="n">
        <x:v>0</x:v>
      </x:c>
      <x:c r="N589" s="28" t="n">
        <x:v>0</x:v>
      </x:c>
      <x:c r="O589" s="28" t="n">
        <x:v>0</x:v>
      </x:c>
      <x:c r="P589" s="62" t="n">
        <x:v>0</x:v>
      </x:c>
      <x:c r="Q589" s="22" t="n">
        <x:v>0</x:v>
      </x:c>
      <x:c r="R589" s="22" t="str"/>
      <x:c r="S589" s="22" t="str"/>
      <x:c r="T589" s="22" t="str"/>
    </x:row>
    <x:row r="590">
      <x:c r="A590" s="22" t="str">
        <x:v>2020-00086</x:v>
      </x:c>
      <x:c r="B590" s="22" t="str">
        <x:v>L2023-00036-1</x:v>
      </x:c>
      <x:c r="C590" s="22" t="str">
        <x:v>공사</x:v>
      </x:c>
      <x:c r="D590" s="25" t="str">
        <x:v>우즈베키스탄 우르겐치 직업훈련원 건립 및 타슈켄트 교사연수센터 건립사업 시공업체선정 현지입찰</x:v>
      </x:c>
      <x:c r="E590" s="22" t="n">
        <x:v>1</x:v>
      </x:c>
      <x:c r="F590" s="22" t="str">
        <x:v>.xls</x:v>
      </x:c>
      <x:c r="G590" s="25" t="str">
        <x:v>L2023-00036-1/붙임3_입찰관련서류_검토완_0717/Section 4.  Bill of Quantities(Not-Priced)/공내역서/VTC견적서/0 ГП(Site Plan &amp; Landscape+Outdoor Infra)/0-7 НЭО(Outdoor Lighting)/13673_vrmu.xls</x:v>
      </x:c>
      <x:c r="H590" s="28" t="n">
        <x:v>59904</x:v>
      </x:c>
      <x:c r="I590" s="22" t="str">
        <x:v>ff62cd8285dbfe8a4cd93911394279299b8c03d2069749850cffc7a2107aef50</x:v>
      </x:c>
      <x:c r="J590" s="22" t="n">
        <x:v>0</x:v>
      </x:c>
      <x:c r="K590" s="22" t="n">
        <x:v>1</x:v>
      </x:c>
      <x:c r="L590" s="22" t="n">
        <x:v>1</x:v>
      </x:c>
      <x:c r="M590" s="28" t="n">
        <x:v>1</x:v>
      </x:c>
      <x:c r="N590" s="28" t="n">
        <x:v>88</x:v>
      </x:c>
      <x:c r="O590" s="28" t="n">
        <x:v>1</x:v>
      </x:c>
      <x:c r="P590" s="62" t="n">
        <x:v>0.011363636363636364</x:v>
      </x:c>
      <x:c r="Q590" s="22" t="n">
        <x:v>0</x:v>
      </x:c>
      <x:c r="R590" s="22" t="str">
        <x:v>Лист1</x:v>
      </x:c>
      <x:c r="S590" s="22" t="str">
        <x:v>visible</x:v>
      </x:c>
      <x:c r="T590" s="22" t="str"/>
    </x:row>
    <x:row r="591">
      <x:c r="A591" s="22" t="str">
        <x:v>2020-00086</x:v>
      </x:c>
      <x:c r="B591" s="22" t="str">
        <x:v>L2023-00036-1</x:v>
      </x:c>
      <x:c r="C591" s="22" t="str">
        <x:v>공사</x:v>
      </x:c>
      <x:c r="D591" s="25" t="str">
        <x:v>우즈베키스탄 우르겐치 직업훈련원 건립 및 타슈켄트 교사연수센터 건립사업 시공업체선정 현지입찰</x:v>
      </x:c>
      <x:c r="E591" s="22" t="n">
        <x:v>1</x:v>
      </x:c>
      <x:c r="F591" s="22" t="str">
        <x:v>.xls</x:v>
      </x:c>
      <x:c r="G591" s="25" t="str">
        <x:v>L2023-00036-1/붙임3_입찰관련서류_검토완_0717/Section 4.  Bill of Quantities(Not-Priced)/공내역서/VTC견적서/0 ГП(Site Plan &amp; Landscape+Outdoor Infra)/0-7 НЭО(Outdoor Lighting)/bv13670.xls</x:v>
      </x:c>
      <x:c r="H591" s="28" t="n">
        <x:v>88576</x:v>
      </x:c>
      <x:c r="I591" s="22" t="str">
        <x:v>9ceeee982353f80a2bdb6f54623ab653597f61763c8bf5d6ff51e5212e6720af</x:v>
      </x:c>
      <x:c r="J591" s="22" t="n">
        <x:v>0</x:v>
      </x:c>
      <x:c r="K591" s="22" t="n">
        <x:v>1</x:v>
      </x:c>
      <x:c r="L591" s="22" t="n">
        <x:v>1</x:v>
      </x:c>
      <x:c r="M591" s="28" t="n">
        <x:v>0</x:v>
      </x:c>
      <x:c r="N591" s="28" t="n">
        <x:v>0</x:v>
      </x:c>
      <x:c r="O591" s="28" t="n">
        <x:v>0</x:v>
      </x:c>
      <x:c r="P591" s="62" t="n">
        <x:v>0</x:v>
      </x:c>
      <x:c r="Q591" s="22" t="n">
        <x:v>0</x:v>
      </x:c>
      <x:c r="R591" s="22" t="str"/>
      <x:c r="S591" s="22" t="str"/>
      <x:c r="T591" s="22" t="str"/>
    </x:row>
    <x:row r="592">
      <x:c r="A592" s="22" t="str">
        <x:v>2020-00086</x:v>
      </x:c>
      <x:c r="B592" s="22" t="str">
        <x:v>L2023-00036-1</x:v>
      </x:c>
      <x:c r="C592" s="22" t="str">
        <x:v>공사</x:v>
      </x:c>
      <x:c r="D592" s="25" t="str">
        <x:v>우즈베키스탄 우르겐치 직업훈련원 건립 및 타슈켄트 교사연수센터 건립사업 시공업체선정 현지입찰</x:v>
      </x:c>
      <x:c r="E592" s="22" t="n">
        <x:v>1</x:v>
      </x:c>
      <x:c r="F592" s="22" t="str">
        <x:v>.xls</x:v>
      </x:c>
      <x:c r="G592" s="25" t="str">
        <x:v>L2023-00036-1/붙임3_입찰관련서류_검토완_0717/Section 4.  Bill of Quantities(Not-Priced)/공내역서/VTC견적서/0 ГП(Site Plan &amp; Landscape+Outdoor Infra)/0-7 НЭО(Outdoor Lighting)/13673_vfor.xls</x:v>
      </x:c>
      <x:c r="H592" s="28" t="n">
        <x:v>39936</x:v>
      </x:c>
      <x:c r="I592" s="22" t="str">
        <x:v>60eb4c1ec6baefd78c2277da9cc0f32f1a655aa123b894a0438e4580ed6b8ecc</x:v>
      </x:c>
      <x:c r="J592" s="22" t="n">
        <x:v>0</x:v>
      </x:c>
      <x:c r="K592" s="22" t="n">
        <x:v>1</x:v>
      </x:c>
      <x:c r="L592" s="22" t="n">
        <x:v>1</x:v>
      </x:c>
      <x:c r="M592" s="28" t="n">
        <x:v>0</x:v>
      </x:c>
      <x:c r="N592" s="28" t="n">
        <x:v>0</x:v>
      </x:c>
      <x:c r="O592" s="28" t="n">
        <x:v>0</x:v>
      </x:c>
      <x:c r="P592" s="62" t="n">
        <x:v>0</x:v>
      </x:c>
      <x:c r="Q592" s="22" t="n">
        <x:v>0</x:v>
      </x:c>
      <x:c r="R592" s="22" t="str"/>
      <x:c r="S592" s="22" t="str"/>
      <x:c r="T592" s="22" t="str"/>
    </x:row>
    <x:row r="593">
      <x:c r="A593" s="22" t="str">
        <x:v>2020-00086</x:v>
      </x:c>
      <x:c r="B593" s="22" t="str">
        <x:v>L2023-00036-1</x:v>
      </x:c>
      <x:c r="C593" s="22" t="str">
        <x:v>공사</x:v>
      </x:c>
      <x:c r="D593" s="25" t="str">
        <x:v>우즈베키스탄 우르겐치 직업훈련원 건립 및 타슈켄트 교사연수센터 건립사업 시공업체선정 현지입찰</x:v>
      </x:c>
      <x:c r="E593" s="22" t="n">
        <x:v>1</x:v>
      </x:c>
      <x:c r="F593" s="22" t="str">
        <x:v>.xls</x:v>
      </x:c>
      <x:c r="G593" s="25" t="str">
        <x:v>L2023-00036-1/붙임3_입찰관련서류_검토완_0717/Section 4.  Bill of Quantities(Not-Priced)/공내역서/VTC견적서/0 ГП(Site Plan &amp; Landscape+Outdoor Infra)/0-8 НСС(Outside CCTV)/13683_vrmu.xls</x:v>
      </x:c>
      <x:c r="H593" s="28" t="n">
        <x:v>58880</x:v>
      </x:c>
      <x:c r="I593" s="22" t="str">
        <x:v>dec38e2426a3423e4a2628c92e9b35bce22644a2d4568e883cac23bda9af639f</x:v>
      </x:c>
      <x:c r="J593" s="22" t="n">
        <x:v>0</x:v>
      </x:c>
      <x:c r="K593" s="22" t="n">
        <x:v>1</x:v>
      </x:c>
      <x:c r="L593" s="22" t="n">
        <x:v>1</x:v>
      </x:c>
      <x:c r="M593" s="28" t="n">
        <x:v>1</x:v>
      </x:c>
      <x:c r="N593" s="28" t="n">
        <x:v>87</x:v>
      </x:c>
      <x:c r="O593" s="28" t="n">
        <x:v>1</x:v>
      </x:c>
      <x:c r="P593" s="62" t="n">
        <x:v>0.011494252873563218</x:v>
      </x:c>
      <x:c r="Q593" s="22" t="n">
        <x:v>0</x:v>
      </x:c>
      <x:c r="R593" s="22" t="str">
        <x:v>Лист1</x:v>
      </x:c>
      <x:c r="S593" s="22" t="str">
        <x:v>visible</x:v>
      </x:c>
      <x:c r="T593" s="22" t="str"/>
    </x:row>
    <x:row r="594">
      <x:c r="A594" s="22" t="str">
        <x:v>2020-00086</x:v>
      </x:c>
      <x:c r="B594" s="22" t="str">
        <x:v>L2023-00036-1</x:v>
      </x:c>
      <x:c r="C594" s="22" t="str">
        <x:v>공사</x:v>
      </x:c>
      <x:c r="D594" s="25" t="str">
        <x:v>우즈베키스탄 우르겐치 직업훈련원 건립 및 타슈켄트 교사연수센터 건립사업 시공업체선정 현지입찰</x:v>
      </x:c>
      <x:c r="E594" s="22" t="n">
        <x:v>1</x:v>
      </x:c>
      <x:c r="F594" s="22" t="str">
        <x:v>.xls</x:v>
      </x:c>
      <x:c r="G594" s="25" t="str">
        <x:v>L2023-00036-1/붙임3_입찰관련서류_검토완_0717/Section 4.  Bill of Quantities(Not-Priced)/공내역서/VTC견적서/0 ГП(Site Plan &amp; Landscape+Outdoor Infra)/0-8 НСС(Outside CCTV)/13683_vfor.xls</x:v>
      </x:c>
      <x:c r="H594" s="28" t="n">
        <x:v>43008</x:v>
      </x:c>
      <x:c r="I594" s="22" t="str">
        <x:v>1d07c8de41f0bc89f5bb0d45ff6b58a77c316e057c58e0078e76db334b69bcbb</x:v>
      </x:c>
      <x:c r="J594" s="22" t="n">
        <x:v>0</x:v>
      </x:c>
      <x:c r="K594" s="22" t="n">
        <x:v>1</x:v>
      </x:c>
      <x:c r="L594" s="22" t="n">
        <x:v>1</x:v>
      </x:c>
      <x:c r="M594" s="28" t="n">
        <x:v>0</x:v>
      </x:c>
      <x:c r="N594" s="28" t="n">
        <x:v>0</x:v>
      </x:c>
      <x:c r="O594" s="28" t="n">
        <x:v>0</x:v>
      </x:c>
      <x:c r="P594" s="62" t="n">
        <x:v>0</x:v>
      </x:c>
      <x:c r="Q594" s="22" t="n">
        <x:v>0</x:v>
      </x:c>
      <x:c r="R594" s="22" t="str"/>
      <x:c r="S594" s="22" t="str"/>
      <x:c r="T594" s="22" t="str"/>
    </x:row>
    <x:row r="595">
      <x:c r="A595" s="22" t="str">
        <x:v>2020-00086</x:v>
      </x:c>
      <x:c r="B595" s="22" t="str">
        <x:v>L2023-00036-1</x:v>
      </x:c>
      <x:c r="C595" s="22" t="str">
        <x:v>공사</x:v>
      </x:c>
      <x:c r="D595" s="25" t="str">
        <x:v>우즈베키스탄 우르겐치 직업훈련원 건립 및 타슈켄트 교사연수센터 건립사업 시공업체선정 현지입찰</x:v>
      </x:c>
      <x:c r="E595" s="22" t="n">
        <x:v>1</x:v>
      </x:c>
      <x:c r="F595" s="22" t="str">
        <x:v>.xls</x:v>
      </x:c>
      <x:c r="G595" s="25" t="str">
        <x:v>L2023-00036-1/붙임3_입찰관련서류_검토완_0717/Section 4.  Bill of Quantities(Not-Priced)/공내역서/VTC견적서/0 ГП(Site Plan &amp; Landscape+Outdoor Infra)/0-8 НСС(Outside CCTV)/bv13680.xls</x:v>
      </x:c>
      <x:c r="H595" s="28" t="n">
        <x:v>90624</x:v>
      </x:c>
      <x:c r="I595" s="22" t="str">
        <x:v>ee1cb2dde73307bbbe1f35435c8c23142d9e8947f28e461d2ce3ddabd61afd05</x:v>
      </x:c>
      <x:c r="J595" s="22" t="n">
        <x:v>0</x:v>
      </x:c>
      <x:c r="K595" s="22" t="n">
        <x:v>1</x:v>
      </x:c>
      <x:c r="L595" s="22" t="n">
        <x:v>1</x:v>
      </x:c>
      <x:c r="M595" s="28" t="n">
        <x:v>0</x:v>
      </x:c>
      <x:c r="N595" s="28" t="n">
        <x:v>0</x:v>
      </x:c>
      <x:c r="O595" s="28" t="n">
        <x:v>0</x:v>
      </x:c>
      <x:c r="P595" s="62" t="n">
        <x:v>0</x:v>
      </x:c>
      <x:c r="Q595" s="22" t="n">
        <x:v>0</x:v>
      </x:c>
      <x:c r="R595" s="22" t="str"/>
      <x:c r="S595" s="22" t="str"/>
      <x:c r="T595" s="22" t="str"/>
    </x:row>
    <x:row r="596">
      <x:c r="A596" s="22" t="str">
        <x:v>2020-00086</x:v>
      </x:c>
      <x:c r="B596" s="22" t="str">
        <x:v>L2023-00036-1</x:v>
      </x:c>
      <x:c r="C596" s="22" t="str">
        <x:v>공사</x:v>
      </x:c>
      <x:c r="D596" s="25" t="str">
        <x:v>우즈베키스탄 우르겐치 직업훈련원 건립 및 타슈켄트 교사연수센터 건립사업 시공업체선정 현지입찰</x:v>
      </x:c>
      <x:c r="E596" s="22" t="n">
        <x:v>1</x:v>
      </x:c>
      <x:c r="F596" s="22" t="str">
        <x:v>.xls</x:v>
      </x:c>
      <x:c r="G596" s="25" t="str">
        <x:v>L2023-00036-1/붙임3_입찰관련서류_검토완_0717/Section 4.  Bill of Quantities(Not-Priced)/공내역서/VTC견적서/0 ГП(Site Plan &amp; Landscape+Outdoor Infra)/0-9 НВК(Outside Water Piping)/13693_vfor.xls</x:v>
      </x:c>
      <x:c r="H596" s="28" t="n">
        <x:v>50688</x:v>
      </x:c>
      <x:c r="I596" s="22" t="str">
        <x:v>40205bc1eaad85a3c4553624b01d8e2e15cb4fbb02e2385cc4c618c196421564</x:v>
      </x:c>
      <x:c r="J596" s="22" t="n">
        <x:v>0</x:v>
      </x:c>
      <x:c r="K596" s="22" t="n">
        <x:v>1</x:v>
      </x:c>
      <x:c r="L596" s="22" t="n">
        <x:v>1</x:v>
      </x:c>
      <x:c r="M596" s="28" t="n">
        <x:v>0</x:v>
      </x:c>
      <x:c r="N596" s="28" t="n">
        <x:v>0</x:v>
      </x:c>
      <x:c r="O596" s="28" t="n">
        <x:v>0</x:v>
      </x:c>
      <x:c r="P596" s="62" t="n">
        <x:v>0</x:v>
      </x:c>
      <x:c r="Q596" s="22" t="n">
        <x:v>0</x:v>
      </x:c>
      <x:c r="R596" s="22" t="str"/>
      <x:c r="S596" s="22" t="str"/>
      <x:c r="T596" s="22" t="str"/>
    </x:row>
    <x:row r="597">
      <x:c r="A597" s="22" t="str">
        <x:v>2020-00086</x:v>
      </x:c>
      <x:c r="B597" s="22" t="str">
        <x:v>L2023-00036-1</x:v>
      </x:c>
      <x:c r="C597" s="22" t="str">
        <x:v>공사</x:v>
      </x:c>
      <x:c r="D597" s="25" t="str">
        <x:v>우즈베키스탄 우르겐치 직업훈련원 건립 및 타슈켄트 교사연수센터 건립사업 시공업체선정 현지입찰</x:v>
      </x:c>
      <x:c r="E597" s="22" t="n">
        <x:v>1</x:v>
      </x:c>
      <x:c r="F597" s="22" t="str">
        <x:v>.xls</x:v>
      </x:c>
      <x:c r="G597" s="25" t="str">
        <x:v>L2023-00036-1/붙임3_입찰관련서류_검토완_0717/Section 4.  Bill of Quantities(Not-Priced)/공내역서/VTC견적서/0 ГП(Site Plan &amp; Landscape+Outdoor Infra)/0-9 НВК(Outside Water Piping)/13693_vrmu.xls</x:v>
      </x:c>
      <x:c r="H597" s="28" t="n">
        <x:v>73728</x:v>
      </x:c>
      <x:c r="I597" s="22" t="str">
        <x:v>7f90477cfd26b71bef664a93e1ccef28539b5f685b7d63c2d2a8a20c834c4893</x:v>
      </x:c>
      <x:c r="J597" s="22" t="n">
        <x:v>0</x:v>
      </x:c>
      <x:c r="K597" s="22" t="n">
        <x:v>1</x:v>
      </x:c>
      <x:c r="L597" s="22" t="n">
        <x:v>1</x:v>
      </x:c>
      <x:c r="M597" s="28" t="n">
        <x:v>1</x:v>
      </x:c>
      <x:c r="N597" s="28" t="n">
        <x:v>123</x:v>
      </x:c>
      <x:c r="O597" s="28" t="n">
        <x:v>1</x:v>
      </x:c>
      <x:c r="P597" s="62" t="n">
        <x:v>0.008130081300813009</x:v>
      </x:c>
      <x:c r="Q597" s="22" t="n">
        <x:v>0</x:v>
      </x:c>
      <x:c r="R597" s="22" t="str">
        <x:v>Лист1</x:v>
      </x:c>
      <x:c r="S597" s="22" t="str">
        <x:v>visible</x:v>
      </x:c>
      <x:c r="T597" s="22" t="str"/>
    </x:row>
    <x:row r="598">
      <x:c r="A598" s="22" t="str">
        <x:v>2020-00086</x:v>
      </x:c>
      <x:c r="B598" s="22" t="str">
        <x:v>L2023-00036-1</x:v>
      </x:c>
      <x:c r="C598" s="22" t="str">
        <x:v>공사</x:v>
      </x:c>
      <x:c r="D598" s="25" t="str">
        <x:v>우즈베키스탄 우르겐치 직업훈련원 건립 및 타슈켄트 교사연수센터 건립사업 시공업체선정 현지입찰</x:v>
      </x:c>
      <x:c r="E598" s="22" t="n">
        <x:v>1</x:v>
      </x:c>
      <x:c r="F598" s="22" t="str">
        <x:v>.xls</x:v>
      </x:c>
      <x:c r="G598" s="25" t="str">
        <x:v>L2023-00036-1/붙임3_입찰관련서류_검토완_0717/Section 4.  Bill of Quantities(Not-Priced)/공내역서/VTC견적서/0 ГП(Site Plan &amp; Landscape+Outdoor Infra)/0-9 НВК(Outside Water Piping)/bv13690.xls</x:v>
      </x:c>
      <x:c r="H598" s="28" t="n">
        <x:v>160256</x:v>
      </x:c>
      <x:c r="I598" s="22" t="str">
        <x:v>1cd6324bf7a0eaec27cb7142830672e0985ab1482b721a78911144c1c4a4cbef</x:v>
      </x:c>
      <x:c r="J598" s="22" t="n">
        <x:v>0</x:v>
      </x:c>
      <x:c r="K598" s="22" t="n">
        <x:v>1</x:v>
      </x:c>
      <x:c r="L598" s="22" t="n">
        <x:v>1</x:v>
      </x:c>
      <x:c r="M598" s="28" t="n">
        <x:v>0</x:v>
      </x:c>
      <x:c r="N598" s="28" t="n">
        <x:v>0</x:v>
      </x:c>
      <x:c r="O598" s="28" t="n">
        <x:v>0</x:v>
      </x:c>
      <x:c r="P598" s="62" t="n">
        <x:v>0</x:v>
      </x:c>
      <x:c r="Q598" s="22" t="n">
        <x:v>0</x:v>
      </x:c>
      <x:c r="R598" s="22" t="str"/>
      <x:c r="S598" s="22" t="str"/>
      <x:c r="T598" s="22" t="str"/>
    </x:row>
    <x:row r="599">
      <x:c r="A599" s="22" t="str">
        <x:v>2020-00086</x:v>
      </x:c>
      <x:c r="B599" s="22" t="str">
        <x:v>L2023-00036-1</x:v>
      </x:c>
      <x:c r="C599" s="22" t="str">
        <x:v>공사</x:v>
      </x:c>
      <x:c r="D599" s="25" t="str">
        <x:v>우즈베키스탄 우르겐치 직업훈련원 건립 및 타슈켄트 교사연수센터 건립사업 시공업체선정 현지입찰</x:v>
      </x:c>
      <x:c r="E599" s="22" t="n">
        <x:v>1</x:v>
      </x:c>
      <x:c r="F599" s="22" t="str">
        <x:v>.xls</x:v>
      </x:c>
      <x:c r="G599" s="25" t="str">
        <x:v>L2023-00036-1/붙임3_입찰관련서류_검토완_0717/Section 4.  Bill of Quantities(Not-Priced)/공내역서/VTC견적서/0 ГП(Site Plan &amp; Landscape+Outdoor Infra)/0-11 СВ(Underground Water Pumping)/bv13710.xls</x:v>
      </x:c>
      <x:c r="H599" s="28" t="n">
        <x:v>108544</x:v>
      </x:c>
      <x:c r="I599" s="22" t="str">
        <x:v>78a4e1c483aad218148c44031dc0dbe4b3d4be6d9d60c09536a5798bd508b8f7</x:v>
      </x:c>
      <x:c r="J599" s="22" t="n">
        <x:v>0</x:v>
      </x:c>
      <x:c r="K599" s="22" t="n">
        <x:v>1</x:v>
      </x:c>
      <x:c r="L599" s="22" t="n">
        <x:v>1</x:v>
      </x:c>
      <x:c r="M599" s="28" t="n">
        <x:v>0</x:v>
      </x:c>
      <x:c r="N599" s="28" t="n">
        <x:v>0</x:v>
      </x:c>
      <x:c r="O599" s="28" t="n">
        <x:v>0</x:v>
      </x:c>
      <x:c r="P599" s="62" t="n">
        <x:v>0</x:v>
      </x:c>
      <x:c r="Q599" s="22" t="n">
        <x:v>0</x:v>
      </x:c>
      <x:c r="R599" s="22" t="str"/>
      <x:c r="S599" s="22" t="str"/>
      <x:c r="T599" s="22" t="str"/>
    </x:row>
    <x:row r="600">
      <x:c r="A600" s="22" t="str">
        <x:v>2020-00086</x:v>
      </x:c>
      <x:c r="B600" s="22" t="str">
        <x:v>L2023-00036-1</x:v>
      </x:c>
      <x:c r="C600" s="22" t="str">
        <x:v>공사</x:v>
      </x:c>
      <x:c r="D600" s="25" t="str">
        <x:v>우즈베키스탄 우르겐치 직업훈련원 건립 및 타슈켄트 교사연수센터 건립사업 시공업체선정 현지입찰</x:v>
      </x:c>
      <x:c r="E600" s="22" t="n">
        <x:v>1</x:v>
      </x:c>
      <x:c r="F600" s="22" t="str">
        <x:v>.xls</x:v>
      </x:c>
      <x:c r="G600" s="25" t="str">
        <x:v>L2023-00036-1/붙임3_입찰관련서류_검토완_0717/Section 4.  Bill of Quantities(Not-Priced)/공내역서/VTC견적서/0 ГП(Site Plan &amp; Landscape+Outdoor Infra)/0-11 СВ(Underground Water Pumping)/13713_vrmu.xls</x:v>
      </x:c>
      <x:c r="H600" s="28" t="n">
        <x:v>67072</x:v>
      </x:c>
      <x:c r="I600" s="22" t="str">
        <x:v>9e59430416fb626364f3a259cffd4886e2e1573ee703ed00f728dac814d9f4da</x:v>
      </x:c>
      <x:c r="J600" s="22" t="n">
        <x:v>0</x:v>
      </x:c>
      <x:c r="K600" s="22" t="n">
        <x:v>1</x:v>
      </x:c>
      <x:c r="L600" s="22" t="n">
        <x:v>1</x:v>
      </x:c>
      <x:c r="M600" s="28" t="n">
        <x:v>1</x:v>
      </x:c>
      <x:c r="N600" s="28" t="n">
        <x:v>101</x:v>
      </x:c>
      <x:c r="O600" s="28" t="n">
        <x:v>1</x:v>
      </x:c>
      <x:c r="P600" s="62" t="n">
        <x:v>0.009900990099009901</x:v>
      </x:c>
      <x:c r="Q600" s="22" t="n">
        <x:v>0</x:v>
      </x:c>
      <x:c r="R600" s="22" t="str">
        <x:v>Лист1</x:v>
      </x:c>
      <x:c r="S600" s="22" t="str">
        <x:v>visible</x:v>
      </x:c>
      <x:c r="T600" s="22" t="str"/>
    </x:row>
    <x:row r="601">
      <x:c r="A601" s="22" t="str">
        <x:v>2020-00086</x:v>
      </x:c>
      <x:c r="B601" s="22" t="str">
        <x:v>L2023-00036-1</x:v>
      </x:c>
      <x:c r="C601" s="22" t="str">
        <x:v>공사</x:v>
      </x:c>
      <x:c r="D601" s="25" t="str">
        <x:v>우즈베키스탄 우르겐치 직업훈련원 건립 및 타슈켄트 교사연수센터 건립사업 시공업체선정 현지입찰</x:v>
      </x:c>
      <x:c r="E601" s="22" t="n">
        <x:v>1</x:v>
      </x:c>
      <x:c r="F601" s="22" t="str">
        <x:v>.xls</x:v>
      </x:c>
      <x:c r="G601" s="25" t="str">
        <x:v>L2023-00036-1/붙임3_입찰관련서류_검토완_0717/Section 4.  Bill of Quantities(Not-Priced)/공내역서/VTC견적서/0 ГП(Site Plan &amp; Landscape+Outdoor Infra)/0-11 СВ(Underground Water Pumping)/13713_vfor.xls</x:v>
      </x:c>
      <x:c r="H601" s="28" t="n">
        <x:v>40448</x:v>
      </x:c>
      <x:c r="I601" s="22" t="str">
        <x:v>b907108bac749dae0b04900b731d9c1a0b43fea8b519995542662c26c338b56c</x:v>
      </x:c>
      <x:c r="J601" s="22" t="n">
        <x:v>0</x:v>
      </x:c>
      <x:c r="K601" s="22" t="n">
        <x:v>1</x:v>
      </x:c>
      <x:c r="L601" s="22" t="n">
        <x:v>1</x:v>
      </x:c>
      <x:c r="M601" s="28" t="n">
        <x:v>0</x:v>
      </x:c>
      <x:c r="N601" s="28" t="n">
        <x:v>0</x:v>
      </x:c>
      <x:c r="O601" s="28" t="n">
        <x:v>0</x:v>
      </x:c>
      <x:c r="P601" s="62" t="n">
        <x:v>0</x:v>
      </x:c>
      <x:c r="Q601" s="22" t="n">
        <x:v>0</x:v>
      </x:c>
      <x:c r="R601" s="22" t="str"/>
      <x:c r="S601" s="22" t="str"/>
      <x:c r="T601" s="22" t="str"/>
    </x:row>
    <x:row r="602">
      <x:c r="A602" s="22" t="str">
        <x:v>2020-00086</x:v>
      </x:c>
      <x:c r="B602" s="22" t="str">
        <x:v>L2023-00036-1</x:v>
      </x:c>
      <x:c r="C602" s="22" t="str">
        <x:v>공사</x:v>
      </x:c>
      <x:c r="D602" s="25" t="str">
        <x:v>우즈베키스탄 우르겐치 직업훈련원 건립 및 타슈켄트 교사연수센터 건립사업 시공업체선정 현지입찰</x:v>
      </x:c>
      <x:c r="E602" s="22" t="n">
        <x:v>1</x:v>
      </x:c>
      <x:c r="F602" s="22" t="str">
        <x:v>.xls</x:v>
      </x:c>
      <x:c r="G602" s="25" t="str">
        <x:v>L2023-00036-1/붙임3_입찰관련서류_검토완_0717/Section 4.  Bill of Quantities(Not-Priced)/공내역서/VTC견적서/0 ГП(Site Plan &amp; Landscape+Outdoor Infra)/0-5 ГСН(Outdoor Gas Infra)/13653_vrmu.xls</x:v>
      </x:c>
      <x:c r="H602" s="28" t="n">
        <x:v>83968</x:v>
      </x:c>
      <x:c r="I602" s="22" t="str">
        <x:v>73cdcf6c26608fd6ed09727e2837da02b88671e6e4a9cf14ce3d854ea7a831f7</x:v>
      </x:c>
      <x:c r="J602" s="22" t="n">
        <x:v>0</x:v>
      </x:c>
      <x:c r="K602" s="22" t="n">
        <x:v>1</x:v>
      </x:c>
      <x:c r="L602" s="22" t="n">
        <x:v>1</x:v>
      </x:c>
      <x:c r="M602" s="28" t="n">
        <x:v>1</x:v>
      </x:c>
      <x:c r="N602" s="28" t="n">
        <x:v>158</x:v>
      </x:c>
      <x:c r="O602" s="28" t="n">
        <x:v>1</x:v>
      </x:c>
      <x:c r="P602" s="62" t="n">
        <x:v>0.006329113924050633</x:v>
      </x:c>
      <x:c r="Q602" s="22" t="n">
        <x:v>0</x:v>
      </x:c>
      <x:c r="R602" s="22" t="str">
        <x:v>Лист1</x:v>
      </x:c>
      <x:c r="S602" s="22" t="str">
        <x:v>visible</x:v>
      </x:c>
      <x:c r="T602" s="22" t="str"/>
    </x:row>
    <x:row r="603">
      <x:c r="A603" s="22" t="str">
        <x:v>2020-00086</x:v>
      </x:c>
      <x:c r="B603" s="22" t="str">
        <x:v>L2023-00036-1</x:v>
      </x:c>
      <x:c r="C603" s="22" t="str">
        <x:v>공사</x:v>
      </x:c>
      <x:c r="D603" s="25" t="str">
        <x:v>우즈베키스탄 우르겐치 직업훈련원 건립 및 타슈켄트 교사연수센터 건립사업 시공업체선정 현지입찰</x:v>
      </x:c>
      <x:c r="E603" s="22" t="n">
        <x:v>1</x:v>
      </x:c>
      <x:c r="F603" s="22" t="str">
        <x:v>.xls</x:v>
      </x:c>
      <x:c r="G603" s="25" t="str">
        <x:v>L2023-00036-1/붙임3_입찰관련서류_검토완_0717/Section 4.  Bill of Quantities(Not-Priced)/공내역서/VTC견적서/0 ГП(Site Plan &amp; Landscape+Outdoor Infra)/0-5 ГСН(Outdoor Gas Infra)/13653_vfor.xls</x:v>
      </x:c>
      <x:c r="H603" s="28" t="n">
        <x:v>50176</x:v>
      </x:c>
      <x:c r="I603" s="22" t="str">
        <x:v>567efd592c487f7ff0d0c59fb9c7d182601f503045ac37195ca1d7619476918a</x:v>
      </x:c>
      <x:c r="J603" s="22" t="n">
        <x:v>0</x:v>
      </x:c>
      <x:c r="K603" s="22" t="n">
        <x:v>1</x:v>
      </x:c>
      <x:c r="L603" s="22" t="n">
        <x:v>1</x:v>
      </x:c>
      <x:c r="M603" s="28" t="n">
        <x:v>0</x:v>
      </x:c>
      <x:c r="N603" s="28" t="n">
        <x:v>0</x:v>
      </x:c>
      <x:c r="O603" s="28" t="n">
        <x:v>0</x:v>
      </x:c>
      <x:c r="P603" s="62" t="n">
        <x:v>0</x:v>
      </x:c>
      <x:c r="Q603" s="22" t="n">
        <x:v>0</x:v>
      </x:c>
      <x:c r="R603" s="22" t="str"/>
      <x:c r="S603" s="22" t="str"/>
      <x:c r="T603" s="22" t="str"/>
    </x:row>
    <x:row r="604">
      <x:c r="A604" s="22" t="str">
        <x:v>2020-00086</x:v>
      </x:c>
      <x:c r="B604" s="22" t="str">
        <x:v>L2023-00036-1</x:v>
      </x:c>
      <x:c r="C604" s="22" t="str">
        <x:v>공사</x:v>
      </x:c>
      <x:c r="D604" s="25" t="str">
        <x:v>우즈베키스탄 우르겐치 직업훈련원 건립 및 타슈켄트 교사연수센터 건립사업 시공업체선정 현지입찰</x:v>
      </x:c>
      <x:c r="E604" s="22" t="n">
        <x:v>1</x:v>
      </x:c>
      <x:c r="F604" s="22" t="str">
        <x:v>.xls</x:v>
      </x:c>
      <x:c r="G604" s="25" t="str">
        <x:v>L2023-00036-1/붙임3_입찰관련서류_검토완_0717/Section 4.  Bill of Quantities(Not-Priced)/공내역서/VTC견적서/0 ГП(Site Plan &amp; Landscape+Outdoor Infra)/0-5 ГСН(Outdoor Gas Infra)/bv13650.xls</x:v>
      </x:c>
      <x:c r="H604" s="28" t="n">
        <x:v>158208</x:v>
      </x:c>
      <x:c r="I604" s="22" t="str">
        <x:v>5a395510c961855d96159b216312e8884d10e3b4d57bafd7a4326ad596851fb7</x:v>
      </x:c>
      <x:c r="J604" s="22" t="n">
        <x:v>0</x:v>
      </x:c>
      <x:c r="K604" s="22" t="n">
        <x:v>1</x:v>
      </x:c>
      <x:c r="L604" s="22" t="n">
        <x:v>1</x:v>
      </x:c>
      <x:c r="M604" s="28" t="n">
        <x:v>0</x:v>
      </x:c>
      <x:c r="N604" s="28" t="n">
        <x:v>0</x:v>
      </x:c>
      <x:c r="O604" s="28" t="n">
        <x:v>0</x:v>
      </x:c>
      <x:c r="P604" s="62" t="n">
        <x:v>0</x:v>
      </x:c>
      <x:c r="Q604" s="22" t="n">
        <x:v>0</x:v>
      </x:c>
      <x:c r="R604" s="22" t="str"/>
      <x:c r="S604" s="22" t="str"/>
      <x:c r="T604" s="22" t="str"/>
    </x:row>
    <x:row r="605">
      <x:c r="A605" s="22" t="str">
        <x:v>2020-00086</x:v>
      </x:c>
      <x:c r="B605" s="22" t="str">
        <x:v>L2023-00036-1</x:v>
      </x:c>
      <x:c r="C605" s="22" t="str">
        <x:v>공사</x:v>
      </x:c>
      <x:c r="D605" s="25" t="str">
        <x:v>우즈베키스탄 우르겐치 직업훈련원 건립 및 타슈켄트 교사연수센터 건립사업 시공업체선정 현지입찰</x:v>
      </x:c>
      <x:c r="E605" s="22" t="n">
        <x:v>1</x:v>
      </x:c>
      <x:c r="F605" s="22" t="str">
        <x:v>.xls</x:v>
      </x:c>
      <x:c r="G605" s="25" t="str">
        <x:v>L2023-00036-1/붙임3_입찰관련서류_검토완_0717/Section 4.  Bill of Quantities(Not-Priced)/공내역서/VTC견적서/0 ГП(Site Plan &amp; Landscape+Outdoor Infra)/0-1 ГП(Site Plan+Landscape)/13403_vrmu.xls</x:v>
      </x:c>
      <x:c r="H605" s="28" t="n">
        <x:v>57344</x:v>
      </x:c>
      <x:c r="I605" s="22" t="str">
        <x:v>9e93c17fb83cb754c8b2b889d7c88e9d56b7b5e94ef2f36d2c7b96356a99bf8b</x:v>
      </x:c>
      <x:c r="J605" s="22" t="n">
        <x:v>0</x:v>
      </x:c>
      <x:c r="K605" s="22" t="n">
        <x:v>1</x:v>
      </x:c>
      <x:c r="L605" s="22" t="n">
        <x:v>1</x:v>
      </x:c>
      <x:c r="M605" s="28" t="n">
        <x:v>1</x:v>
      </x:c>
      <x:c r="N605" s="28" t="n">
        <x:v>85</x:v>
      </x:c>
      <x:c r="O605" s="28" t="n">
        <x:v>1</x:v>
      </x:c>
      <x:c r="P605" s="62" t="n">
        <x:v>0.011764705882352941</x:v>
      </x:c>
      <x:c r="Q605" s="22" t="n">
        <x:v>0</x:v>
      </x:c>
      <x:c r="R605" s="22" t="str">
        <x:v>Лист1</x:v>
      </x:c>
      <x:c r="S605" s="22" t="str">
        <x:v>visible</x:v>
      </x:c>
      <x:c r="T605" s="22" t="str"/>
    </x:row>
    <x:row r="606">
      <x:c r="A606" s="22" t="str">
        <x:v>2020-00086</x:v>
      </x:c>
      <x:c r="B606" s="22" t="str">
        <x:v>L2023-00036-1</x:v>
      </x:c>
      <x:c r="C606" s="22" t="str">
        <x:v>공사</x:v>
      </x:c>
      <x:c r="D606" s="25" t="str">
        <x:v>우즈베키스탄 우르겐치 직업훈련원 건립 및 타슈켄트 교사연수센터 건립사업 시공업체선정 현지입찰</x:v>
      </x:c>
      <x:c r="E606" s="22" t="n">
        <x:v>1</x:v>
      </x:c>
      <x:c r="F606" s="22" t="str">
        <x:v>.xls</x:v>
      </x:c>
      <x:c r="G606" s="25" t="str">
        <x:v>L2023-00036-1/붙임3_입찰관련서류_검토완_0717/Section 4.  Bill of Quantities(Not-Priced)/공내역서/VTC견적서/0 ГП(Site Plan &amp; Landscape+Outdoor Infra)/0-1 ГП(Site Plan+Landscape)/bv13400.xls</x:v>
      </x:c>
      <x:c r="H606" s="28" t="n">
        <x:v>100864</x:v>
      </x:c>
      <x:c r="I606" s="22" t="str">
        <x:v>c237827588a1b89c4b31b984ef80299ed0268e63e35039a34093895646b82cb6</x:v>
      </x:c>
      <x:c r="J606" s="22" t="n">
        <x:v>0</x:v>
      </x:c>
      <x:c r="K606" s="22" t="n">
        <x:v>1</x:v>
      </x:c>
      <x:c r="L606" s="22" t="n">
        <x:v>1</x:v>
      </x:c>
      <x:c r="M606" s="28" t="n">
        <x:v>0</x:v>
      </x:c>
      <x:c r="N606" s="28" t="n">
        <x:v>0</x:v>
      </x:c>
      <x:c r="O606" s="28" t="n">
        <x:v>0</x:v>
      </x:c>
      <x:c r="P606" s="62" t="n">
        <x:v>0</x:v>
      </x:c>
      <x:c r="Q606" s="22" t="n">
        <x:v>0</x:v>
      </x:c>
      <x:c r="R606" s="22" t="str"/>
      <x:c r="S606" s="22" t="str"/>
      <x:c r="T606" s="22" t="str"/>
    </x:row>
    <x:row r="607">
      <x:c r="A607" s="22" t="str">
        <x:v>2020-00086</x:v>
      </x:c>
      <x:c r="B607" s="22" t="str">
        <x:v>L2023-00036-1</x:v>
      </x:c>
      <x:c r="C607" s="22" t="str">
        <x:v>공사</x:v>
      </x:c>
      <x:c r="D607" s="25" t="str">
        <x:v>우즈베키스탄 우르겐치 직업훈련원 건립 및 타슈켄트 교사연수센터 건립사업 시공업체선정 현지입찰</x:v>
      </x:c>
      <x:c r="E607" s="22" t="n">
        <x:v>1</x:v>
      </x:c>
      <x:c r="F607" s="22" t="str">
        <x:v>.xls</x:v>
      </x:c>
      <x:c r="G607" s="25" t="str">
        <x:v>L2023-00036-1/붙임3_입찰관련서류_검토완_0717/Section 4.  Bill of Quantities(Not-Priced)/공내역서/VTC견적서/0 ГП(Site Plan &amp; Landscape+Outdoor Infra)/0-1 ГП(Site Plan+Landscape)/13403_vfor.xls</x:v>
      </x:c>
      <x:c r="H607" s="28" t="n">
        <x:v>40960</x:v>
      </x:c>
      <x:c r="I607" s="22" t="str">
        <x:v>3f220fc5a5b364271bb7c01e7b3a9ffa53b430c77dd7e2b8da559aac8af53508</x:v>
      </x:c>
      <x:c r="J607" s="22" t="n">
        <x:v>0</x:v>
      </x:c>
      <x:c r="K607" s="22" t="n">
        <x:v>1</x:v>
      </x:c>
      <x:c r="L607" s="22" t="n">
        <x:v>1</x:v>
      </x:c>
      <x:c r="M607" s="28" t="n">
        <x:v>0</x:v>
      </x:c>
      <x:c r="N607" s="28" t="n">
        <x:v>0</x:v>
      </x:c>
      <x:c r="O607" s="28" t="n">
        <x:v>0</x:v>
      </x:c>
      <x:c r="P607" s="62" t="n">
        <x:v>0</x:v>
      </x:c>
      <x:c r="Q607" s="22" t="n">
        <x:v>0</x:v>
      </x:c>
      <x:c r="R607" s="22" t="str"/>
      <x:c r="S607" s="22" t="str"/>
      <x:c r="T607" s="22" t="str"/>
    </x:row>
    <x:row r="608">
      <x:c r="A608" s="22" t="str">
        <x:v>2020-00086</x:v>
      </x:c>
      <x:c r="B608" s="22" t="str">
        <x:v>L2023-00036-1</x:v>
      </x:c>
      <x:c r="C608" s="22" t="str">
        <x:v>공사</x:v>
      </x:c>
      <x:c r="D608" s="25" t="str">
        <x:v>우즈베키스탄 우르겐치 직업훈련원 건립 및 타슈켄트 교사연수센터 건립사업 시공업체선정 현지입찰</x:v>
      </x:c>
      <x:c r="E608" s="22" t="n">
        <x:v>1</x:v>
      </x:c>
      <x:c r="F608" s="22" t="str">
        <x:v>.xls</x:v>
      </x:c>
      <x:c r="G608" s="25" t="str">
        <x:v>L2023-00036-1/붙임3_입찰관련서류_검토완_0717/Section 4.  Bill of Quantities(Not-Priced)/공내역서/VTC견적서/6 КПП(Guard House+Fence &amp; Gate)/6-1 КЖ(Structure)/13053_vfor.xls</x:v>
      </x:c>
      <x:c r="H608" s="28" t="n">
        <x:v>57856</x:v>
      </x:c>
      <x:c r="I608" s="22" t="str">
        <x:v>4b6138cf061524a28704b118bd7c9f47aac9302aca4030b86c5a714c09dbe871</x:v>
      </x:c>
      <x:c r="J608" s="22" t="n">
        <x:v>0</x:v>
      </x:c>
      <x:c r="K608" s="22" t="n">
        <x:v>1</x:v>
      </x:c>
      <x:c r="L608" s="22" t="n">
        <x:v>1</x:v>
      </x:c>
      <x:c r="M608" s="28" t="n">
        <x:v>0</x:v>
      </x:c>
      <x:c r="N608" s="28" t="n">
        <x:v>0</x:v>
      </x:c>
      <x:c r="O608" s="28" t="n">
        <x:v>0</x:v>
      </x:c>
      <x:c r="P608" s="62" t="n">
        <x:v>0</x:v>
      </x:c>
      <x:c r="Q608" s="22" t="n">
        <x:v>0</x:v>
      </x:c>
      <x:c r="R608" s="22" t="str"/>
      <x:c r="S608" s="22" t="str"/>
      <x:c r="T608" s="22" t="str"/>
    </x:row>
    <x:row r="609">
      <x:c r="A609" s="22" t="str">
        <x:v>2020-00086</x:v>
      </x:c>
      <x:c r="B609" s="22" t="str">
        <x:v>L2023-00036-1</x:v>
      </x:c>
      <x:c r="C609" s="22" t="str">
        <x:v>공사</x:v>
      </x:c>
      <x:c r="D609" s="25" t="str">
        <x:v>우즈베키스탄 우르겐치 직업훈련원 건립 및 타슈켄트 교사연수센터 건립사업 시공업체선정 현지입찰</x:v>
      </x:c>
      <x:c r="E609" s="22" t="n">
        <x:v>1</x:v>
      </x:c>
      <x:c r="F609" s="22" t="str">
        <x:v>.xls</x:v>
      </x:c>
      <x:c r="G609" s="25" t="str">
        <x:v>L2023-00036-1/붙임3_입찰관련서류_검토완_0717/Section 4.  Bill of Quantities(Not-Priced)/공내역서/VTC견적서/6 КПП(Guard House+Fence &amp; Gate)/6-1 КЖ(Structure)/13053_vrmu.xls</x:v>
      </x:c>
      <x:c r="H609" s="28" t="n">
        <x:v>72704</x:v>
      </x:c>
      <x:c r="I609" s="22" t="str">
        <x:v>dcc0b7139d1a295111335bacbfa1dec0eb5c4d8fd84c4550f6c49f5003c87115</x:v>
      </x:c>
      <x:c r="J609" s="22" t="n">
        <x:v>0</x:v>
      </x:c>
      <x:c r="K609" s="22" t="n">
        <x:v>1</x:v>
      </x:c>
      <x:c r="L609" s="22" t="n">
        <x:v>1</x:v>
      </x:c>
      <x:c r="M609" s="28" t="n">
        <x:v>1</x:v>
      </x:c>
      <x:c r="N609" s="28" t="n">
        <x:v>120</x:v>
      </x:c>
      <x:c r="O609" s="28" t="n">
        <x:v>1</x:v>
      </x:c>
      <x:c r="P609" s="62" t="n">
        <x:v>0.008333333333333333</x:v>
      </x:c>
      <x:c r="Q609" s="22" t="n">
        <x:v>0</x:v>
      </x:c>
      <x:c r="R609" s="22" t="str">
        <x:v>Лист1</x:v>
      </x:c>
      <x:c r="S609" s="22" t="str">
        <x:v>visible</x:v>
      </x:c>
      <x:c r="T609" s="22" t="str"/>
    </x:row>
    <x:row r="610">
      <x:c r="A610" s="22" t="str">
        <x:v>2020-00086</x:v>
      </x:c>
      <x:c r="B610" s="22" t="str">
        <x:v>L2023-00036-1</x:v>
      </x:c>
      <x:c r="C610" s="22" t="str">
        <x:v>공사</x:v>
      </x:c>
      <x:c r="D610" s="25" t="str">
        <x:v>우즈베키스탄 우르겐치 직업훈련원 건립 및 타슈켄트 교사연수센터 건립사업 시공업체선정 현지입찰</x:v>
      </x:c>
      <x:c r="E610" s="22" t="n">
        <x:v>1</x:v>
      </x:c>
      <x:c r="F610" s="22" t="str">
        <x:v>.xls</x:v>
      </x:c>
      <x:c r="G610" s="25" t="str">
        <x:v>L2023-00036-1/붙임3_입찰관련서류_검토완_0717/Section 4.  Bill of Quantities(Not-Priced)/공내역서/VTC견적서/6 КПП(Guard House+Fence &amp; Gate)/6-1 КЖ(Structure)/bv13050.xls</x:v>
      </x:c>
      <x:c r="H610" s="28" t="n">
        <x:v>186368</x:v>
      </x:c>
      <x:c r="I610" s="22" t="str">
        <x:v>ecb8d5c1397c5c50289b9fbd88481d3cee7bb833c0a9a712edc967ee65d8af3f</x:v>
      </x:c>
      <x:c r="J610" s="22" t="n">
        <x:v>0</x:v>
      </x:c>
      <x:c r="K610" s="22" t="n">
        <x:v>1</x:v>
      </x:c>
      <x:c r="L610" s="22" t="n">
        <x:v>1</x:v>
      </x:c>
      <x:c r="M610" s="28" t="n">
        <x:v>0</x:v>
      </x:c>
      <x:c r="N610" s="28" t="n">
        <x:v>0</x:v>
      </x:c>
      <x:c r="O610" s="28" t="n">
        <x:v>0</x:v>
      </x:c>
      <x:c r="P610" s="62" t="n">
        <x:v>0</x:v>
      </x:c>
      <x:c r="Q610" s="22" t="n">
        <x:v>0</x:v>
      </x:c>
      <x:c r="R610" s="22" t="str"/>
      <x:c r="S610" s="22" t="str"/>
      <x:c r="T610" s="22" t="str"/>
    </x:row>
    <x:row r="611">
      <x:c r="A611" s="22" t="str">
        <x:v>2020-00086</x:v>
      </x:c>
      <x:c r="B611" s="22" t="str">
        <x:v>L2023-00036-1</x:v>
      </x:c>
      <x:c r="C611" s="22" t="str">
        <x:v>공사</x:v>
      </x:c>
      <x:c r="D611" s="25" t="str">
        <x:v>우즈베키스탄 우르겐치 직업훈련원 건립 및 타슈켄트 교사연수센터 건립사업 시공업체선정 현지입찰</x:v>
      </x:c>
      <x:c r="E611" s="22" t="n">
        <x:v>1</x:v>
      </x:c>
      <x:c r="F611" s="22" t="str">
        <x:v>.xls</x:v>
      </x:c>
      <x:c r="G611" s="25" t="str">
        <x:v>L2023-00036-1/붙임3_입찰관련서류_검토완_0717/Section 4.  Bill of Quantities(Not-Priced)/공내역서/VTC견적서/6 КПП(Guard House+Fence &amp; Gate)/6-5 ЭО(Electric)/13533_vfor.xls</x:v>
      </x:c>
      <x:c r="H611" s="28" t="n">
        <x:v>45568</x:v>
      </x:c>
      <x:c r="I611" s="22" t="str">
        <x:v>a8c797c5c49f18bcd37916401194d6111b33f4cd1c1431c0bc17678dc1ef7507</x:v>
      </x:c>
      <x:c r="J611" s="22" t="n">
        <x:v>0</x:v>
      </x:c>
      <x:c r="K611" s="22" t="n">
        <x:v>1</x:v>
      </x:c>
      <x:c r="L611" s="22" t="n">
        <x:v>1</x:v>
      </x:c>
      <x:c r="M611" s="28" t="n">
        <x:v>1</x:v>
      </x:c>
      <x:c r="N611" s="28" t="n">
        <x:v>28</x:v>
      </x:c>
      <x:c r="O611" s="28" t="n">
        <x:v>0</x:v>
      </x:c>
      <x:c r="P611" s="62" t="n">
        <x:v>0</x:v>
      </x:c>
      <x:c r="Q611" s="22" t="n">
        <x:v>0</x:v>
      </x:c>
      <x:c r="R611" s="22" t="str">
        <x:v>Лист1</x:v>
      </x:c>
      <x:c r="S611" s="22" t="str">
        <x:v>visible</x:v>
      </x:c>
      <x:c r="T611" s="22" t="str"/>
    </x:row>
    <x:row r="612">
      <x:c r="A612" s="22" t="str">
        <x:v>2020-00086</x:v>
      </x:c>
      <x:c r="B612" s="22" t="str">
        <x:v>L2023-00036-1</x:v>
      </x:c>
      <x:c r="C612" s="22" t="str">
        <x:v>공사</x:v>
      </x:c>
      <x:c r="D612" s="25" t="str">
        <x:v>우즈베키스탄 우르겐치 직업훈련원 건립 및 타슈켄트 교사연수센터 건립사업 시공업체선정 현지입찰</x:v>
      </x:c>
      <x:c r="E612" s="22" t="n">
        <x:v>1</x:v>
      </x:c>
      <x:c r="F612" s="22" t="str">
        <x:v>.xls</x:v>
      </x:c>
      <x:c r="G612" s="25" t="str">
        <x:v>L2023-00036-1/붙임3_입찰관련서류_검토완_0717/Section 4.  Bill of Quantities(Not-Priced)/공내역서/VTC견적서/6 КПП(Guard House+Fence &amp; Gate)/6-5 ЭО(Electric)/13533_vrmu.xls</x:v>
      </x:c>
      <x:c r="H612" s="28" t="n">
        <x:v>51712</x:v>
      </x:c>
      <x:c r="I612" s="22" t="str">
        <x:v>adc4d0090b25860f05ae432980f8a84532193b463acbd300f4d5fa3acf31929d</x:v>
      </x:c>
      <x:c r="J612" s="22" t="n">
        <x:v>0</x:v>
      </x:c>
      <x:c r="K612" s="22" t="n">
        <x:v>1</x:v>
      </x:c>
      <x:c r="L612" s="22" t="n">
        <x:v>1</x:v>
      </x:c>
      <x:c r="M612" s="28" t="n">
        <x:v>1</x:v>
      </x:c>
      <x:c r="N612" s="28" t="n">
        <x:v>51</x:v>
      </x:c>
      <x:c r="O612" s="28" t="n">
        <x:v>1</x:v>
      </x:c>
      <x:c r="P612" s="62" t="n">
        <x:v>0.0196078431372549</x:v>
      </x:c>
      <x:c r="Q612" s="22" t="n">
        <x:v>0</x:v>
      </x:c>
      <x:c r="R612" s="22" t="str">
        <x:v>Лист1</x:v>
      </x:c>
      <x:c r="S612" s="22" t="str">
        <x:v>visible</x:v>
      </x:c>
      <x:c r="T612" s="22" t="str"/>
    </x:row>
    <x:row r="613">
      <x:c r="A613" s="22" t="str">
        <x:v>2020-00086</x:v>
      </x:c>
      <x:c r="B613" s="22" t="str">
        <x:v>L2023-00036-1</x:v>
      </x:c>
      <x:c r="C613" s="22" t="str">
        <x:v>공사</x:v>
      </x:c>
      <x:c r="D613" s="25" t="str">
        <x:v>우즈베키스탄 우르겐치 직업훈련원 건립 및 타슈켄트 교사연수센터 건립사업 시공업체선정 현지입찰</x:v>
      </x:c>
      <x:c r="E613" s="22" t="n">
        <x:v>1</x:v>
      </x:c>
      <x:c r="F613" s="22" t="str">
        <x:v>.xls</x:v>
      </x:c>
      <x:c r="G613" s="25" t="str">
        <x:v>L2023-00036-1/붙임3_입찰관련서류_검토완_0717/Section 4.  Bill of Quantities(Not-Priced)/공내역서/VTC견적서/6 КПП(Guard House+Fence &amp; Gate)/6-5 ЭО(Electric)/bv13530.xls</x:v>
      </x:c>
      <x:c r="H613" s="28" t="n">
        <x:v>77824</x:v>
      </x:c>
      <x:c r="I613" s="22" t="str">
        <x:v>245b723563475e969548ffaaf40bf6267f9670b17170e37180d848a6826ae285</x:v>
      </x:c>
      <x:c r="J613" s="22" t="n">
        <x:v>0</x:v>
      </x:c>
      <x:c r="K613" s="22" t="n">
        <x:v>1</x:v>
      </x:c>
      <x:c r="L613" s="22" t="n">
        <x:v>1</x:v>
      </x:c>
      <x:c r="M613" s="28" t="n">
        <x:v>1</x:v>
      </x:c>
      <x:c r="N613" s="28" t="n">
        <x:v>123</x:v>
      </x:c>
      <x:c r="O613" s="28" t="n">
        <x:v>0</x:v>
      </x:c>
      <x:c r="P613" s="62" t="n">
        <x:v>0</x:v>
      </x:c>
      <x:c r="Q613" s="22" t="n">
        <x:v>0</x:v>
      </x:c>
      <x:c r="R613" s="22" t="str">
        <x:v>6-5_ЛРВ</x:v>
      </x:c>
      <x:c r="S613" s="22" t="str">
        <x:v>visible</x:v>
      </x:c>
      <x:c r="T613" s="22" t="str"/>
    </x:row>
    <x:row r="614">
      <x:c r="A614" s="22" t="str">
        <x:v>2020-00086</x:v>
      </x:c>
      <x:c r="B614" s="22" t="str">
        <x:v>L2023-00036-1</x:v>
      </x:c>
      <x:c r="C614" s="22" t="str">
        <x:v>공사</x:v>
      </x:c>
      <x:c r="D614" s="25" t="str">
        <x:v>우즈베키스탄 우르겐치 직업훈련원 건립 및 타슈켄트 교사연수센터 건립사업 시공업체선정 현지입찰</x:v>
      </x:c>
      <x:c r="E614" s="22" t="n">
        <x:v>1</x:v>
      </x:c>
      <x:c r="F614" s="22" t="str">
        <x:v>.xls</x:v>
      </x:c>
      <x:c r="G614" s="25" t="str">
        <x:v>L2023-00036-1/붙임3_입찰관련서류_검토완_0717/Section 4.  Bill of Quantities(Not-Priced)/공내역서/VTC견적서/6 КПП(Guard House+Fence &amp; Gate)/6-4 ВК(Water &amp; Sewer &amp; Fire plug)/13163_vrmu.xls</x:v>
      </x:c>
      <x:c r="H614" s="28" t="n">
        <x:v>51712</x:v>
      </x:c>
      <x:c r="I614" s="22" t="str">
        <x:v>02996d3aeb403f16f777614300c531dffc91202f13226adbc63fdcd4170cf27b</x:v>
      </x:c>
      <x:c r="J614" s="22" t="n">
        <x:v>0</x:v>
      </x:c>
      <x:c r="K614" s="22" t="n">
        <x:v>1</x:v>
      </x:c>
      <x:c r="L614" s="22" t="n">
        <x:v>1</x:v>
      </x:c>
      <x:c r="M614" s="28" t="n">
        <x:v>1</x:v>
      </x:c>
      <x:c r="N614" s="28" t="n">
        <x:v>69</x:v>
      </x:c>
      <x:c r="O614" s="28" t="n">
        <x:v>1</x:v>
      </x:c>
      <x:c r="P614" s="62" t="n">
        <x:v>0.014492753623188406</x:v>
      </x:c>
      <x:c r="Q614" s="22" t="n">
        <x:v>0</x:v>
      </x:c>
      <x:c r="R614" s="22" t="str">
        <x:v>Лист1</x:v>
      </x:c>
      <x:c r="S614" s="22" t="str">
        <x:v>visible</x:v>
      </x:c>
      <x:c r="T614" s="22" t="str"/>
    </x:row>
    <x:row r="615">
      <x:c r="A615" s="22" t="str">
        <x:v>2020-00086</x:v>
      </x:c>
      <x:c r="B615" s="22" t="str">
        <x:v>L2023-00036-1</x:v>
      </x:c>
      <x:c r="C615" s="22" t="str">
        <x:v>공사</x:v>
      </x:c>
      <x:c r="D615" s="25" t="str">
        <x:v>우즈베키스탄 우르겐치 직업훈련원 건립 및 타슈켄트 교사연수센터 건립사업 시공업체선정 현지입찰</x:v>
      </x:c>
      <x:c r="E615" s="22" t="n">
        <x:v>1</x:v>
      </x:c>
      <x:c r="F615" s="22" t="str">
        <x:v>.xls</x:v>
      </x:c>
      <x:c r="G615" s="25" t="str">
        <x:v>L2023-00036-1/붙임3_입찰관련서류_검토완_0717/Section 4.  Bill of Quantities(Not-Priced)/공내역서/VTC견적서/6 КПП(Guard House+Fence &amp; Gate)/6-4 ВК(Water &amp; Sewer &amp; Fire plug)/13163_vfor.xls</x:v>
      </x:c>
      <x:c r="H615" s="28" t="n">
        <x:v>42496</x:v>
      </x:c>
      <x:c r="I615" s="22" t="str">
        <x:v>df6220b225173aa488bd8d4a23eb05263619cbf4e888bbe98ea36c01265e50fc</x:v>
      </x:c>
      <x:c r="J615" s="22" t="n">
        <x:v>0</x:v>
      </x:c>
      <x:c r="K615" s="22" t="n">
        <x:v>1</x:v>
      </x:c>
      <x:c r="L615" s="22" t="n">
        <x:v>1</x:v>
      </x:c>
      <x:c r="M615" s="28" t="n">
        <x:v>1</x:v>
      </x:c>
      <x:c r="N615" s="28" t="n">
        <x:v>34</x:v>
      </x:c>
      <x:c r="O615" s="28" t="n">
        <x:v>0</x:v>
      </x:c>
      <x:c r="P615" s="62" t="n">
        <x:v>0</x:v>
      </x:c>
      <x:c r="Q615" s="22" t="n">
        <x:v>0</x:v>
      </x:c>
      <x:c r="R615" s="22" t="str">
        <x:v>Лист1</x:v>
      </x:c>
      <x:c r="S615" s="22" t="str">
        <x:v>visible</x:v>
      </x:c>
      <x:c r="T615" s="22" t="str"/>
    </x:row>
    <x:row r="616">
      <x:c r="A616" s="22" t="str">
        <x:v>2020-00086</x:v>
      </x:c>
      <x:c r="B616" s="22" t="str">
        <x:v>L2023-00036-1</x:v>
      </x:c>
      <x:c r="C616" s="22" t="str">
        <x:v>공사</x:v>
      </x:c>
      <x:c r="D616" s="25" t="str">
        <x:v>우즈베키스탄 우르겐치 직업훈련원 건립 및 타슈켄트 교사연수센터 건립사업 시공업체선정 현지입찰</x:v>
      </x:c>
      <x:c r="E616" s="22" t="n">
        <x:v>1</x:v>
      </x:c>
      <x:c r="F616" s="22" t="str">
        <x:v>.xls</x:v>
      </x:c>
      <x:c r="G616" s="25" t="str">
        <x:v>L2023-00036-1/붙임3_입찰관련서류_검토완_0717/Section 4.  Bill of Quantities(Not-Priced)/공내역서/VTC견적서/6 КПП(Guard House+Fence &amp; Gate)/6-4 ВК(Water &amp; Sewer &amp; Fire plug)/bv13160.xls</x:v>
      </x:c>
      <x:c r="H616" s="28" t="n">
        <x:v>81408</x:v>
      </x:c>
      <x:c r="I616" s="22" t="str">
        <x:v>0da398eedf5f2bce997092265a779da29c1e9aad374c13682effe71359e455e6</x:v>
      </x:c>
      <x:c r="J616" s="22" t="n">
        <x:v>0</x:v>
      </x:c>
      <x:c r="K616" s="22" t="n">
        <x:v>1</x:v>
      </x:c>
      <x:c r="L616" s="22" t="n">
        <x:v>1</x:v>
      </x:c>
      <x:c r="M616" s="28" t="n">
        <x:v>1</x:v>
      </x:c>
      <x:c r="N616" s="28" t="n">
        <x:v>127</x:v>
      </x:c>
      <x:c r="O616" s="28" t="n">
        <x:v>0</x:v>
      </x:c>
      <x:c r="P616" s="62" t="n">
        <x:v>0</x:v>
      </x:c>
      <x:c r="Q616" s="22" t="n">
        <x:v>0</x:v>
      </x:c>
      <x:c r="R616" s="22" t="str">
        <x:v>6-4_ЛРВ</x:v>
      </x:c>
      <x:c r="S616" s="22" t="str">
        <x:v>visible</x:v>
      </x:c>
      <x:c r="T616" s="22" t="str"/>
    </x:row>
    <x:row r="617">
      <x:c r="A617" s="22" t="str">
        <x:v>2020-00086</x:v>
      </x:c>
      <x:c r="B617" s="22" t="str">
        <x:v>L2023-00036-1</x:v>
      </x:c>
      <x:c r="C617" s="22" t="str">
        <x:v>공사</x:v>
      </x:c>
      <x:c r="D617" s="25" t="str">
        <x:v>우즈베키스탄 우르겐치 직업훈련원 건립 및 타슈켄트 교사연수센터 건립사업 시공업체선정 현지입찰</x:v>
      </x:c>
      <x:c r="E617" s="22" t="n">
        <x:v>1</x:v>
      </x:c>
      <x:c r="F617" s="22" t="str">
        <x:v>.xls</x:v>
      </x:c>
      <x:c r="G617" s="25" t="str">
        <x:v>L2023-00036-1/붙임3_입찰관련서류_검토완_0717/Section 4.  Bill of Quantities(Not-Priced)/공내역서/VTC견적서/6 КПП(Guard House+Fence &amp; Gate)/6-2 АР(Architecture)/bv13200.xls</x:v>
      </x:c>
      <x:c r="H617" s="28" t="n">
        <x:v>129024</x:v>
      </x:c>
      <x:c r="I617" s="22" t="str">
        <x:v>438cdab323bc3e1f71d5b490c7094683b5141f8e682754558baf8ad56fb493b6</x:v>
      </x:c>
      <x:c r="J617" s="22" t="n">
        <x:v>0</x:v>
      </x:c>
      <x:c r="K617" s="22" t="n">
        <x:v>1</x:v>
      </x:c>
      <x:c r="L617" s="22" t="n">
        <x:v>1</x:v>
      </x:c>
      <x:c r="M617" s="28" t="n">
        <x:v>1</x:v>
      </x:c>
      <x:c r="N617" s="28" t="n">
        <x:v>336</x:v>
      </x:c>
      <x:c r="O617" s="28" t="n">
        <x:v>0</x:v>
      </x:c>
      <x:c r="P617" s="62" t="n">
        <x:v>0</x:v>
      </x:c>
      <x:c r="Q617" s="22" t="n">
        <x:v>0</x:v>
      </x:c>
      <x:c r="R617" s="22" t="str">
        <x:v>6-2_ЛРВ</x:v>
      </x:c>
      <x:c r="S617" s="22" t="str">
        <x:v>visible</x:v>
      </x:c>
      <x:c r="T617" s="22" t="str"/>
    </x:row>
    <x:row r="618">
      <x:c r="A618" s="22" t="str">
        <x:v>2020-00086</x:v>
      </x:c>
      <x:c r="B618" s="22" t="str">
        <x:v>L2023-00036-1</x:v>
      </x:c>
      <x:c r="C618" s="22" t="str">
        <x:v>공사</x:v>
      </x:c>
      <x:c r="D618" s="25" t="str">
        <x:v>우즈베키스탄 우르겐치 직업훈련원 건립 및 타슈켄트 교사연수센터 건립사업 시공업체선정 현지입찰</x:v>
      </x:c>
      <x:c r="E618" s="22" t="n">
        <x:v>1</x:v>
      </x:c>
      <x:c r="F618" s="22" t="str">
        <x:v>.xls</x:v>
      </x:c>
      <x:c r="G618" s="25" t="str">
        <x:v>L2023-00036-1/붙임3_입찰관련서류_검토완_0717/Section 4.  Bill of Quantities(Not-Priced)/공내역서/VTC견적서/6 КПП(Guard House+Fence &amp; Gate)/6-2 АР(Architecture)/13203_vfor.xls</x:v>
      </x:c>
      <x:c r="H618" s="28" t="n">
        <x:v>48640</x:v>
      </x:c>
      <x:c r="I618" s="22" t="str">
        <x:v>21fa111c58e5d02f90ed6d5bf2e47e5fc93e3e0b70ff150c2a2bfd5f7ce512f3</x:v>
      </x:c>
      <x:c r="J618" s="22" t="n">
        <x:v>0</x:v>
      </x:c>
      <x:c r="K618" s="22" t="n">
        <x:v>1</x:v>
      </x:c>
      <x:c r="L618" s="22" t="n">
        <x:v>1</x:v>
      </x:c>
      <x:c r="M618" s="28" t="n">
        <x:v>0</x:v>
      </x:c>
      <x:c r="N618" s="28" t="n">
        <x:v>0</x:v>
      </x:c>
      <x:c r="O618" s="28" t="n">
        <x:v>0</x:v>
      </x:c>
      <x:c r="P618" s="62" t="n">
        <x:v>0</x:v>
      </x:c>
      <x:c r="Q618" s="22" t="n">
        <x:v>0</x:v>
      </x:c>
      <x:c r="R618" s="22" t="str"/>
      <x:c r="S618" s="22" t="str"/>
      <x:c r="T618" s="22" t="str"/>
    </x:row>
    <x:row r="619">
      <x:c r="A619" s="22" t="str">
        <x:v>2020-00086</x:v>
      </x:c>
      <x:c r="B619" s="22" t="str">
        <x:v>L2023-00036-1</x:v>
      </x:c>
      <x:c r="C619" s="22" t="str">
        <x:v>공사</x:v>
      </x:c>
      <x:c r="D619" s="25" t="str">
        <x:v>우즈베키스탄 우르겐치 직업훈련원 건립 및 타슈켄트 교사연수센터 건립사업 시공업체선정 현지입찰</x:v>
      </x:c>
      <x:c r="E619" s="22" t="n">
        <x:v>1</x:v>
      </x:c>
      <x:c r="F619" s="22" t="str">
        <x:v>.xls</x:v>
      </x:c>
      <x:c r="G619" s="25" t="str">
        <x:v>L2023-00036-1/붙임3_입찰관련서류_검토완_0717/Section 4.  Bill of Quantities(Not-Priced)/공내역서/VTC견적서/6 КПП(Guard House+Fence &amp; Gate)/6-2 АР(Architecture)/13203_vrmu.xls</x:v>
      </x:c>
      <x:c r="H619" s="28" t="n">
        <x:v>61440</x:v>
      </x:c>
      <x:c r="I619" s="22" t="str">
        <x:v>cdc00d62f8cb153c9478d025a81ca7bcec02338d395b64066ecdb866f099a689</x:v>
      </x:c>
      <x:c r="J619" s="22" t="n">
        <x:v>0</x:v>
      </x:c>
      <x:c r="K619" s="22" t="n">
        <x:v>1</x:v>
      </x:c>
      <x:c r="L619" s="22" t="n">
        <x:v>1</x:v>
      </x:c>
      <x:c r="M619" s="28" t="n">
        <x:v>1</x:v>
      </x:c>
      <x:c r="N619" s="28" t="n">
        <x:v>112</x:v>
      </x:c>
      <x:c r="O619" s="28" t="n">
        <x:v>1</x:v>
      </x:c>
      <x:c r="P619" s="62" t="n">
        <x:v>0.008928571428571428</x:v>
      </x:c>
      <x:c r="Q619" s="22" t="n">
        <x:v>0</x:v>
      </x:c>
      <x:c r="R619" s="22" t="str">
        <x:v>Лист1</x:v>
      </x:c>
      <x:c r="S619" s="22" t="str">
        <x:v>visible</x:v>
      </x:c>
      <x:c r="T619" s="22" t="str"/>
    </x:row>
    <x:row r="620">
      <x:c r="A620" s="22" t="str">
        <x:v>2020-00086</x:v>
      </x:c>
      <x:c r="B620" s="22" t="str">
        <x:v>L2023-00036-1</x:v>
      </x:c>
      <x:c r="C620" s="22" t="str">
        <x:v>공사</x:v>
      </x:c>
      <x:c r="D620" s="25" t="str">
        <x:v>우즈베키스탄 우르겐치 직업훈련원 건립 및 타슈켄트 교사연수센터 건립사업 시공업체선정 현지입찰</x:v>
      </x:c>
      <x:c r="E620" s="22" t="n">
        <x:v>1</x:v>
      </x:c>
      <x:c r="F620" s="22" t="str">
        <x:v>.xls</x:v>
      </x:c>
      <x:c r="G620" s="25" t="str">
        <x:v>L2023-00036-1/붙임3_입찰관련서류_검토완_0717/Section 4.  Bill of Quantities(Not-Priced)/공내역서/VTC견적서/6 КПП(Guard House+Fence &amp; Gate)/6-7 ВН, СКС(CCTV &amp; Network)/13363_vfor.xls</x:v>
      </x:c>
      <x:c r="H620" s="28" t="n">
        <x:v>48128</x:v>
      </x:c>
      <x:c r="I620" s="22" t="str">
        <x:v>36c9333a99d57c47105b911fbcb3486700e28e5017f87607868f0f75926dffa2</x:v>
      </x:c>
      <x:c r="J620" s="22" t="n">
        <x:v>0</x:v>
      </x:c>
      <x:c r="K620" s="22" t="n">
        <x:v>1</x:v>
      </x:c>
      <x:c r="L620" s="22" t="n">
        <x:v>1</x:v>
      </x:c>
      <x:c r="M620" s="28" t="n">
        <x:v>1</x:v>
      </x:c>
      <x:c r="N620" s="28" t="n">
        <x:v>46</x:v>
      </x:c>
      <x:c r="O620" s="28" t="n">
        <x:v>0</x:v>
      </x:c>
      <x:c r="P620" s="62" t="n">
        <x:v>0</x:v>
      </x:c>
      <x:c r="Q620" s="22" t="n">
        <x:v>0</x:v>
      </x:c>
      <x:c r="R620" s="22" t="str">
        <x:v>Лист1</x:v>
      </x:c>
      <x:c r="S620" s="22" t="str">
        <x:v>visible</x:v>
      </x:c>
      <x:c r="T620" s="22" t="str"/>
    </x:row>
    <x:row r="621">
      <x:c r="A621" s="22" t="str">
        <x:v>2020-00086</x:v>
      </x:c>
      <x:c r="B621" s="22" t="str">
        <x:v>L2023-00036-1</x:v>
      </x:c>
      <x:c r="C621" s="22" t="str">
        <x:v>공사</x:v>
      </x:c>
      <x:c r="D621" s="25" t="str">
        <x:v>우즈베키스탄 우르겐치 직업훈련원 건립 및 타슈켄트 교사연수센터 건립사업 시공업체선정 현지입찰</x:v>
      </x:c>
      <x:c r="E621" s="22" t="n">
        <x:v>1</x:v>
      </x:c>
      <x:c r="F621" s="22" t="str">
        <x:v>.xls</x:v>
      </x:c>
      <x:c r="G621" s="25" t="str">
        <x:v>L2023-00036-1/붙임3_입찰관련서류_검토완_0717/Section 4.  Bill of Quantities(Not-Priced)/공내역서/VTC견적서/6 КПП(Guard House+Fence &amp; Gate)/6-7 ВН, СКС(CCTV &amp; Network)/bv13360.xls</x:v>
      </x:c>
      <x:c r="H621" s="28" t="n">
        <x:v>88576</x:v>
      </x:c>
      <x:c r="I621" s="22" t="str">
        <x:v>74bc8b533c92a35d0c29c637a7feab7f5b9a68290b45af8b0e0690bf0416adab</x:v>
      </x:c>
      <x:c r="J621" s="22" t="n">
        <x:v>0</x:v>
      </x:c>
      <x:c r="K621" s="22" t="n">
        <x:v>1</x:v>
      </x:c>
      <x:c r="L621" s="22" t="n">
        <x:v>1</x:v>
      </x:c>
      <x:c r="M621" s="28" t="n">
        <x:v>1</x:v>
      </x:c>
      <x:c r="N621" s="28" t="n">
        <x:v>157</x:v>
      </x:c>
      <x:c r="O621" s="28" t="n">
        <x:v>0</x:v>
      </x:c>
      <x:c r="P621" s="62" t="n">
        <x:v>0</x:v>
      </x:c>
      <x:c r="Q621" s="22" t="n">
        <x:v>0</x:v>
      </x:c>
      <x:c r="R621" s="22" t="str">
        <x:v>6-7_ЛРВ</x:v>
      </x:c>
      <x:c r="S621" s="22" t="str">
        <x:v>visible</x:v>
      </x:c>
      <x:c r="T621" s="22" t="str"/>
    </x:row>
    <x:row r="622">
      <x:c r="A622" s="22" t="str">
        <x:v>2020-00086</x:v>
      </x:c>
      <x:c r="B622" s="22" t="str">
        <x:v>L2023-00036-1</x:v>
      </x:c>
      <x:c r="C622" s="22" t="str">
        <x:v>공사</x:v>
      </x:c>
      <x:c r="D622" s="25" t="str">
        <x:v>우즈베키스탄 우르겐치 직업훈련원 건립 및 타슈켄트 교사연수센터 건립사업 시공업체선정 현지입찰</x:v>
      </x:c>
      <x:c r="E622" s="22" t="n">
        <x:v>1</x:v>
      </x:c>
      <x:c r="F622" s="22" t="str">
        <x:v>.xls</x:v>
      </x:c>
      <x:c r="G622" s="25" t="str">
        <x:v>L2023-00036-1/붙임3_입찰관련서류_검토완_0717/Section 4.  Bill of Quantities(Not-Priced)/공내역서/VTC견적서/6 КПП(Guard House+Fence &amp; Gate)/6-7 ВН, СКС(CCTV &amp; Network)/13363_vrmu.xls</x:v>
      </x:c>
      <x:c r="H622" s="28" t="n">
        <x:v>57344</x:v>
      </x:c>
      <x:c r="I622" s="22" t="str">
        <x:v>bb45d8fce2bdc88caf7c66fd7cb3a7b238228ed5926d5e1cd6c17d10d95924ee</x:v>
      </x:c>
      <x:c r="J622" s="22" t="n">
        <x:v>0</x:v>
      </x:c>
      <x:c r="K622" s="22" t="n">
        <x:v>1</x:v>
      </x:c>
      <x:c r="L622" s="22" t="n">
        <x:v>1</x:v>
      </x:c>
      <x:c r="M622" s="28" t="n">
        <x:v>1</x:v>
      </x:c>
      <x:c r="N622" s="28" t="n">
        <x:v>79</x:v>
      </x:c>
      <x:c r="O622" s="28" t="n">
        <x:v>1</x:v>
      </x:c>
      <x:c r="P622" s="62" t="n">
        <x:v>0.012658227848101266</x:v>
      </x:c>
      <x:c r="Q622" s="22" t="n">
        <x:v>0</x:v>
      </x:c>
      <x:c r="R622" s="22" t="str">
        <x:v>Лист1</x:v>
      </x:c>
      <x:c r="S622" s="22" t="str">
        <x:v>visible</x:v>
      </x:c>
      <x:c r="T622" s="22" t="str"/>
    </x:row>
    <x:row r="623">
      <x:c r="A623" s="22" t="str">
        <x:v>2020-00086</x:v>
      </x:c>
      <x:c r="B623" s="22" t="str">
        <x:v>L2023-00036-1</x:v>
      </x:c>
      <x:c r="C623" s="22" t="str">
        <x:v>공사</x:v>
      </x:c>
      <x:c r="D623" s="25" t="str">
        <x:v>우즈베키스탄 우르겐치 직업훈련원 건립 및 타슈켄트 교사연수센터 건립사업 시공업체선정 현지입찰</x:v>
      </x:c>
      <x:c r="E623" s="22" t="n">
        <x:v>1</x:v>
      </x:c>
      <x:c r="F623" s="22" t="str">
        <x:v>.xls</x:v>
      </x:c>
      <x:c r="G623" s="25" t="str">
        <x:v>L2023-00036-1/붙임3_입찰관련서류_검토완_0717/Section 4.  Bill of Quantities(Not-Priced)/공내역서/VTC견적서/6 КПП(Guard House+Fence &amp; Gate)/6-6 ПС(Fire Alarm)/bv13350.xls</x:v>
      </x:c>
      <x:c r="H623" s="28" t="n">
        <x:v>68608</x:v>
      </x:c>
      <x:c r="I623" s="22" t="str">
        <x:v>3fedac4c69065bad31ff8ef486ec7a572c6b66408b084530fddeb99286af3107</x:v>
      </x:c>
      <x:c r="J623" s="22" t="n">
        <x:v>0</x:v>
      </x:c>
      <x:c r="K623" s="22" t="n">
        <x:v>1</x:v>
      </x:c>
      <x:c r="L623" s="22" t="n">
        <x:v>1</x:v>
      </x:c>
      <x:c r="M623" s="28" t="n">
        <x:v>0</x:v>
      </x:c>
      <x:c r="N623" s="28" t="n">
        <x:v>0</x:v>
      </x:c>
      <x:c r="O623" s="28" t="n">
        <x:v>0</x:v>
      </x:c>
      <x:c r="P623" s="62" t="n">
        <x:v>0</x:v>
      </x:c>
      <x:c r="Q623" s="22" t="n">
        <x:v>0</x:v>
      </x:c>
      <x:c r="R623" s="22" t="str"/>
      <x:c r="S623" s="22" t="str"/>
      <x:c r="T623" s="22" t="str"/>
    </x:row>
    <x:row r="624">
      <x:c r="A624" s="22" t="str">
        <x:v>2020-00086</x:v>
      </x:c>
      <x:c r="B624" s="22" t="str">
        <x:v>L2023-00036-1</x:v>
      </x:c>
      <x:c r="C624" s="22" t="str">
        <x:v>공사</x:v>
      </x:c>
      <x:c r="D624" s="25" t="str">
        <x:v>우즈베키스탄 우르겐치 직업훈련원 건립 및 타슈켄트 교사연수센터 건립사업 시공업체선정 현지입찰</x:v>
      </x:c>
      <x:c r="E624" s="22" t="n">
        <x:v>1</x:v>
      </x:c>
      <x:c r="F624" s="22" t="str">
        <x:v>.xls</x:v>
      </x:c>
      <x:c r="G624" s="25" t="str">
        <x:v>L2023-00036-1/붙임3_입찰관련서류_검토완_0717/Section 4.  Bill of Quantities(Not-Priced)/공내역서/VTC견적서/6 КПП(Guard House+Fence &amp; Gate)/6-6 ПС(Fire Alarm)/13353_vrmu.xls</x:v>
      </x:c>
      <x:c r="H624" s="28" t="n">
        <x:v>45568</x:v>
      </x:c>
      <x:c r="I624" s="22" t="str">
        <x:v>1042a9e9f47e2df7996e894c927dd8ac8c3cc20fef3dfd2e0469d34176fb67a4</x:v>
      </x:c>
      <x:c r="J624" s="22" t="n">
        <x:v>0</x:v>
      </x:c>
      <x:c r="K624" s="22" t="n">
        <x:v>1</x:v>
      </x:c>
      <x:c r="L624" s="22" t="n">
        <x:v>1</x:v>
      </x:c>
      <x:c r="M624" s="28" t="n">
        <x:v>0</x:v>
      </x:c>
      <x:c r="N624" s="28" t="n">
        <x:v>0</x:v>
      </x:c>
      <x:c r="O624" s="28" t="n">
        <x:v>0</x:v>
      </x:c>
      <x:c r="P624" s="62" t="n">
        <x:v>0</x:v>
      </x:c>
      <x:c r="Q624" s="22" t="n">
        <x:v>0</x:v>
      </x:c>
      <x:c r="R624" s="22" t="str"/>
      <x:c r="S624" s="22" t="str"/>
      <x:c r="T624" s="22" t="str"/>
    </x:row>
    <x:row r="625">
      <x:c r="A625" s="22" t="str">
        <x:v>2020-00086</x:v>
      </x:c>
      <x:c r="B625" s="22" t="str">
        <x:v>L2023-00036-1</x:v>
      </x:c>
      <x:c r="C625" s="22" t="str">
        <x:v>공사</x:v>
      </x:c>
      <x:c r="D625" s="25" t="str">
        <x:v>우즈베키스탄 우르겐치 직업훈련원 건립 및 타슈켄트 교사연수센터 건립사업 시공업체선정 현지입찰</x:v>
      </x:c>
      <x:c r="E625" s="22" t="n">
        <x:v>1</x:v>
      </x:c>
      <x:c r="F625" s="22" t="str">
        <x:v>.xls</x:v>
      </x:c>
      <x:c r="G625" s="25" t="str">
        <x:v>L2023-00036-1/붙임3_입찰관련서류_검토완_0717/Section 4.  Bill of Quantities(Not-Priced)/공내역서/VTC견적서/6 КПП(Guard House+Fence &amp; Gate)/6-6 ПС(Fire Alarm)/13353_vfor.xls</x:v>
      </x:c>
      <x:c r="H625" s="28" t="n">
        <x:v>39936</x:v>
      </x:c>
      <x:c r="I625" s="22" t="str">
        <x:v>ada6a09861b75baeced88918213281f646dd23f8d179cda036079e272dedf6d9</x:v>
      </x:c>
      <x:c r="J625" s="22" t="n">
        <x:v>0</x:v>
      </x:c>
      <x:c r="K625" s="22" t="n">
        <x:v>1</x:v>
      </x:c>
      <x:c r="L625" s="22" t="n">
        <x:v>1</x:v>
      </x:c>
      <x:c r="M625" s="28" t="n">
        <x:v>1</x:v>
      </x:c>
      <x:c r="N625" s="28" t="n">
        <x:v>25</x:v>
      </x:c>
      <x:c r="O625" s="28" t="n">
        <x:v>0</x:v>
      </x:c>
      <x:c r="P625" s="62" t="n">
        <x:v>0</x:v>
      </x:c>
      <x:c r="Q625" s="22" t="n">
        <x:v>0</x:v>
      </x:c>
      <x:c r="R625" s="22" t="str">
        <x:v>Лист1</x:v>
      </x:c>
      <x:c r="S625" s="22" t="str">
        <x:v>visible</x:v>
      </x:c>
      <x:c r="T625" s="22" t="str"/>
    </x:row>
    <x:row r="626">
      <x:c r="A626" s="22" t="str">
        <x:v>2020-00086</x:v>
      </x:c>
      <x:c r="B626" s="22" t="str">
        <x:v>L2023-00036-1</x:v>
      </x:c>
      <x:c r="C626" s="22" t="str">
        <x:v>공사</x:v>
      </x:c>
      <x:c r="D626" s="25" t="str">
        <x:v>우즈베키스탄 우르겐치 직업훈련원 건립 및 타슈켄트 교사연수센터 건립사업 시공업체선정 현지입찰</x:v>
      </x:c>
      <x:c r="E626" s="22" t="n">
        <x:v>1</x:v>
      </x:c>
      <x:c r="F626" s="22" t="str">
        <x:v>.xls</x:v>
      </x:c>
      <x:c r="G626" s="25" t="str">
        <x:v>L2023-00036-1/붙임3_입찰관련서류_검토완_0717/Section 4.  Bill of Quantities(Not-Priced)/공내역서/VTC견적서/6 КПП(Guard House+Fence &amp; Gate)/6-3 ОВ(Heating &amp; Ventilation)/13553_vfor.xls</x:v>
      </x:c>
      <x:c r="H626" s="28" t="n">
        <x:v>39424</x:v>
      </x:c>
      <x:c r="I626" s="22" t="str">
        <x:v>221afcc766216a2167659cd706b07c07df791349f680a06ec88931f4e140e87d</x:v>
      </x:c>
      <x:c r="J626" s="22" t="n">
        <x:v>0</x:v>
      </x:c>
      <x:c r="K626" s="22" t="n">
        <x:v>1</x:v>
      </x:c>
      <x:c r="L626" s="22" t="n">
        <x:v>1</x:v>
      </x:c>
      <x:c r="M626" s="28" t="n">
        <x:v>1</x:v>
      </x:c>
      <x:c r="N626" s="28" t="n">
        <x:v>10</x:v>
      </x:c>
      <x:c r="O626" s="28" t="n">
        <x:v>0</x:v>
      </x:c>
      <x:c r="P626" s="62" t="n">
        <x:v>0</x:v>
      </x:c>
      <x:c r="Q626" s="22" t="n">
        <x:v>0</x:v>
      </x:c>
      <x:c r="R626" s="22" t="str">
        <x:v>Лист1</x:v>
      </x:c>
      <x:c r="S626" s="22" t="str">
        <x:v>visible</x:v>
      </x:c>
      <x:c r="T626" s="22" t="str"/>
    </x:row>
    <x:row r="627">
      <x:c r="A627" s="22" t="str">
        <x:v>2020-00086</x:v>
      </x:c>
      <x:c r="B627" s="22" t="str">
        <x:v>L2023-00036-1</x:v>
      </x:c>
      <x:c r="C627" s="22" t="str">
        <x:v>공사</x:v>
      </x:c>
      <x:c r="D627" s="25" t="str">
        <x:v>우즈베키스탄 우르겐치 직업훈련원 건립 및 타슈켄트 교사연수센터 건립사업 시공업체선정 현지입찰</x:v>
      </x:c>
      <x:c r="E627" s="22" t="n">
        <x:v>1</x:v>
      </x:c>
      <x:c r="F627" s="22" t="str">
        <x:v>.xls</x:v>
      </x:c>
      <x:c r="G627" s="25" t="str">
        <x:v>L2023-00036-1/붙임3_입찰관련서류_검토완_0717/Section 4.  Bill of Quantities(Not-Priced)/공내역서/VTC견적서/6 КПП(Guard House+Fence &amp; Gate)/6-3 ОВ(Heating &amp; Ventilation)/13553_vrmu.xls</x:v>
      </x:c>
      <x:c r="H627" s="28" t="n">
        <x:v>47104</x:v>
      </x:c>
      <x:c r="I627" s="22" t="str">
        <x:v>7c9d9051925373dc66d2ca05fefd5ea839554e87b692910a8f4c2f7831d68277</x:v>
      </x:c>
      <x:c r="J627" s="22" t="n">
        <x:v>0</x:v>
      </x:c>
      <x:c r="K627" s="22" t="n">
        <x:v>1</x:v>
      </x:c>
      <x:c r="L627" s="22" t="n">
        <x:v>1</x:v>
      </x:c>
      <x:c r="M627" s="28" t="n">
        <x:v>1</x:v>
      </x:c>
      <x:c r="N627" s="28" t="n">
        <x:v>43</x:v>
      </x:c>
      <x:c r="O627" s="28" t="n">
        <x:v>1</x:v>
      </x:c>
      <x:c r="P627" s="62" t="n">
        <x:v>0.023255813953488372</x:v>
      </x:c>
      <x:c r="Q627" s="22" t="n">
        <x:v>0</x:v>
      </x:c>
      <x:c r="R627" s="22" t="str">
        <x:v>Лист1</x:v>
      </x:c>
      <x:c r="S627" s="22" t="str">
        <x:v>visible</x:v>
      </x:c>
      <x:c r="T627" s="22" t="str"/>
    </x:row>
    <x:row r="628">
      <x:c r="A628" s="22" t="str">
        <x:v>2020-00086</x:v>
      </x:c>
      <x:c r="B628" s="22" t="str">
        <x:v>L2023-00036-1</x:v>
      </x:c>
      <x:c r="C628" s="22" t="str">
        <x:v>공사</x:v>
      </x:c>
      <x:c r="D628" s="25" t="str">
        <x:v>우즈베키스탄 우르겐치 직업훈련원 건립 및 타슈켄트 교사연수센터 건립사업 시공업체선정 현지입찰</x:v>
      </x:c>
      <x:c r="E628" s="22" t="n">
        <x:v>1</x:v>
      </x:c>
      <x:c r="F628" s="22" t="str">
        <x:v>.xls</x:v>
      </x:c>
      <x:c r="G628" s="25" t="str">
        <x:v>L2023-00036-1/붙임3_입찰관련서류_검토완_0717/Section 4.  Bill of Quantities(Not-Priced)/공내역서/VTC견적서/6 КПП(Guard House+Fence &amp; Gate)/6-3 ОВ(Heating &amp; Ventilation)/bv13550.xls</x:v>
      </x:c>
      <x:c r="H628" s="28" t="n">
        <x:v>64000</x:v>
      </x:c>
      <x:c r="I628" s="22" t="str">
        <x:v>028f57741a7980eb9293cf32591884faf6ce3b4531076bbbf2f780cc5aeb3c5c</x:v>
      </x:c>
      <x:c r="J628" s="22" t="n">
        <x:v>0</x:v>
      </x:c>
      <x:c r="K628" s="22" t="n">
        <x:v>1</x:v>
      </x:c>
      <x:c r="L628" s="22" t="n">
        <x:v>1</x:v>
      </x:c>
      <x:c r="M628" s="28" t="n">
        <x:v>1</x:v>
      </x:c>
      <x:c r="N628" s="28" t="n">
        <x:v>58</x:v>
      </x:c>
      <x:c r="O628" s="28" t="n">
        <x:v>0</x:v>
      </x:c>
      <x:c r="P628" s="62" t="n">
        <x:v>0</x:v>
      </x:c>
      <x:c r="Q628" s="22" t="n">
        <x:v>0</x:v>
      </x:c>
      <x:c r="R628" s="22" t="str">
        <x:v>6-3_ЛРВ</x:v>
      </x:c>
      <x:c r="S628" s="22" t="str">
        <x:v>visible</x:v>
      </x:c>
      <x:c r="T628" s="22" t="str"/>
    </x:row>
    <x:row r="629">
      <x:c r="A629" s="22" t="str">
        <x:v>2020-00086</x:v>
      </x:c>
      <x:c r="B629" s="22" t="str">
        <x:v>L2023-00036-1</x:v>
      </x:c>
      <x:c r="C629" s="22" t="str">
        <x:v>공사</x:v>
      </x:c>
      <x:c r="D629" s="25" t="str">
        <x:v>우즈베키스탄 우르겐치 직업훈련원 건립 및 타슈켄트 교사연수센터 건립사업 시공업체선정 현지입찰</x:v>
      </x:c>
      <x:c r="E629" s="22" t="n">
        <x:v>1</x:v>
      </x:c>
      <x:c r="F629" s="22" t="str">
        <x:v>.xls</x:v>
      </x:c>
      <x:c r="G629" s="25" t="str">
        <x:v>L2023-00036-1/붙임3_입찰관련서류_검토완_0717/Section 4.  Bill of Quantities(Not-Priced)/공내역서/VTC견적서/2 УПК(Practice and Education Building)/2-9 ГСВ(Gas)/13583_vfor.xls</x:v>
      </x:c>
      <x:c r="H629" s="28" t="n">
        <x:v>38400</x:v>
      </x:c>
      <x:c r="I629" s="22" t="str">
        <x:v>ec378189ec8e3fc423efb9636e24d6a2214a259d2af40c14f92b5626a47a4b53</x:v>
      </x:c>
      <x:c r="J629" s="22" t="n">
        <x:v>0</x:v>
      </x:c>
      <x:c r="K629" s="22" t="n">
        <x:v>1</x:v>
      </x:c>
      <x:c r="L629" s="22" t="n">
        <x:v>1</x:v>
      </x:c>
      <x:c r="M629" s="28" t="n">
        <x:v>0</x:v>
      </x:c>
      <x:c r="N629" s="28" t="n">
        <x:v>0</x:v>
      </x:c>
      <x:c r="O629" s="28" t="n">
        <x:v>0</x:v>
      </x:c>
      <x:c r="P629" s="62" t="n">
        <x:v>0</x:v>
      </x:c>
      <x:c r="Q629" s="22" t="n">
        <x:v>0</x:v>
      </x:c>
      <x:c r="R629" s="22" t="str"/>
      <x:c r="S629" s="22" t="str"/>
      <x:c r="T629" s="22" t="str"/>
    </x:row>
    <x:row r="630">
      <x:c r="A630" s="22" t="str">
        <x:v>2020-00086</x:v>
      </x:c>
      <x:c r="B630" s="22" t="str">
        <x:v>L2023-00036-1</x:v>
      </x:c>
      <x:c r="C630" s="22" t="str">
        <x:v>공사</x:v>
      </x:c>
      <x:c r="D630" s="25" t="str">
        <x:v>우즈베키스탄 우르겐치 직업훈련원 건립 및 타슈켄트 교사연수센터 건립사업 시공업체선정 현지입찰</x:v>
      </x:c>
      <x:c r="E630" s="22" t="n">
        <x:v>1</x:v>
      </x:c>
      <x:c r="F630" s="22" t="str">
        <x:v>.xls</x:v>
      </x:c>
      <x:c r="G630" s="25" t="str">
        <x:v>L2023-00036-1/붙임3_입찰관련서류_검토완_0717/Section 4.  Bill of Quantities(Not-Priced)/공내역서/VTC견적서/2 УПК(Practice and Education Building)/2-9 ГСВ(Gas)/13583_vrmu.xls</x:v>
      </x:c>
      <x:c r="H630" s="28" t="n">
        <x:v>58368</x:v>
      </x:c>
      <x:c r="I630" s="22" t="str">
        <x:v>79c0d45acad111aa632a5123591aee7f4aaf88bfcc819bf29af6b23500a562ad</x:v>
      </x:c>
      <x:c r="J630" s="22" t="n">
        <x:v>0</x:v>
      </x:c>
      <x:c r="K630" s="22" t="n">
        <x:v>1</x:v>
      </x:c>
      <x:c r="L630" s="22" t="n">
        <x:v>1</x:v>
      </x:c>
      <x:c r="M630" s="28" t="n">
        <x:v>1</x:v>
      </x:c>
      <x:c r="N630" s="28" t="n">
        <x:v>75</x:v>
      </x:c>
      <x:c r="O630" s="28" t="n">
        <x:v>1</x:v>
      </x:c>
      <x:c r="P630" s="62" t="n">
        <x:v>0.013333333333333334</x:v>
      </x:c>
      <x:c r="Q630" s="22" t="n">
        <x:v>0</x:v>
      </x:c>
      <x:c r="R630" s="22" t="str">
        <x:v>Лист1</x:v>
      </x:c>
      <x:c r="S630" s="22" t="str">
        <x:v>visible</x:v>
      </x:c>
      <x:c r="T630" s="22" t="str"/>
    </x:row>
    <x:row r="631">
      <x:c r="A631" s="22" t="str">
        <x:v>2020-00086</x:v>
      </x:c>
      <x:c r="B631" s="22" t="str">
        <x:v>L2023-00036-1</x:v>
      </x:c>
      <x:c r="C631" s="22" t="str">
        <x:v>공사</x:v>
      </x:c>
      <x:c r="D631" s="25" t="str">
        <x:v>우즈베키스탄 우르겐치 직업훈련원 건립 및 타슈켄트 교사연수센터 건립사업 시공업체선정 현지입찰</x:v>
      </x:c>
      <x:c r="E631" s="22" t="n">
        <x:v>1</x:v>
      </x:c>
      <x:c r="F631" s="22" t="str">
        <x:v>.xls</x:v>
      </x:c>
      <x:c r="G631" s="25" t="str">
        <x:v>L2023-00036-1/붙임3_입찰관련서류_검토완_0717/Section 4.  Bill of Quantities(Not-Priced)/공내역서/VTC견적서/2 УПК(Practice and Education Building)/2-9 ГСВ(Gas)/bv13580.xls</x:v>
      </x:c>
      <x:c r="H631" s="28" t="n">
        <x:v>97792</x:v>
      </x:c>
      <x:c r="I631" s="22" t="str">
        <x:v>e2f79d457ed4fef8a6f0beb829b71d27adcc667ae940dd195ceb0fc2d6b8be1f</x:v>
      </x:c>
      <x:c r="J631" s="22" t="n">
        <x:v>0</x:v>
      </x:c>
      <x:c r="K631" s="22" t="n">
        <x:v>1</x:v>
      </x:c>
      <x:c r="L631" s="22" t="n">
        <x:v>1</x:v>
      </x:c>
      <x:c r="M631" s="28" t="n">
        <x:v>0</x:v>
      </x:c>
      <x:c r="N631" s="28" t="n">
        <x:v>0</x:v>
      </x:c>
      <x:c r="O631" s="28" t="n">
        <x:v>0</x:v>
      </x:c>
      <x:c r="P631" s="62" t="n">
        <x:v>0</x:v>
      </x:c>
      <x:c r="Q631" s="22" t="n">
        <x:v>0</x:v>
      </x:c>
      <x:c r="R631" s="22" t="str"/>
      <x:c r="S631" s="22" t="str"/>
      <x:c r="T631" s="22" t="str"/>
    </x:row>
    <x:row r="632">
      <x:c r="A632" s="22" t="str">
        <x:v>2020-00086</x:v>
      </x:c>
      <x:c r="B632" s="22" t="str">
        <x:v>L2023-00036-1</x:v>
      </x:c>
      <x:c r="C632" s="22" t="str">
        <x:v>공사</x:v>
      </x:c>
      <x:c r="D632" s="25" t="str">
        <x:v>우즈베키스탄 우르겐치 직업훈련원 건립 및 타슈켄트 교사연수센터 건립사업 시공업체선정 현지입찰</x:v>
      </x:c>
      <x:c r="E632" s="22" t="n">
        <x:v>1</x:v>
      </x:c>
      <x:c r="F632" s="22" t="str">
        <x:v>.xls</x:v>
      </x:c>
      <x:c r="G632" s="25" t="str">
        <x:v>L2023-00036-1/붙임3_입찰관련서류_검토완_0717/Section 4.  Bill of Quantities(Not-Priced)/공내역서/VTC견적서/2 УПК(Practice and Education Building)/2-6 ПС(Fire Alarm)/bv13270.xls</x:v>
      </x:c>
      <x:c r="H632" s="28" t="n">
        <x:v>81408</x:v>
      </x:c>
      <x:c r="I632" s="22" t="str">
        <x:v>d46cd1888c84107a56dd7e1a1f3e026e361cbd56a90fe559692389429af17a31</x:v>
      </x:c>
      <x:c r="J632" s="22" t="n">
        <x:v>0</x:v>
      </x:c>
      <x:c r="K632" s="22" t="n">
        <x:v>1</x:v>
      </x:c>
      <x:c r="L632" s="22" t="n">
        <x:v>1</x:v>
      </x:c>
      <x:c r="M632" s="28" t="n">
        <x:v>0</x:v>
      </x:c>
      <x:c r="N632" s="28" t="n">
        <x:v>0</x:v>
      </x:c>
      <x:c r="O632" s="28" t="n">
        <x:v>0</x:v>
      </x:c>
      <x:c r="P632" s="62" t="n">
        <x:v>0</x:v>
      </x:c>
      <x:c r="Q632" s="22" t="n">
        <x:v>0</x:v>
      </x:c>
      <x:c r="R632" s="22" t="str"/>
      <x:c r="S632" s="22" t="str"/>
      <x:c r="T632" s="22" t="str"/>
    </x:row>
    <x:row r="633">
      <x:c r="A633" s="22" t="str">
        <x:v>2020-00086</x:v>
      </x:c>
      <x:c r="B633" s="22" t="str">
        <x:v>L2023-00036-1</x:v>
      </x:c>
      <x:c r="C633" s="22" t="str">
        <x:v>공사</x:v>
      </x:c>
      <x:c r="D633" s="25" t="str">
        <x:v>우즈베키스탄 우르겐치 직업훈련원 건립 및 타슈켄트 교사연수센터 건립사업 시공업체선정 현지입찰</x:v>
      </x:c>
      <x:c r="E633" s="22" t="n">
        <x:v>1</x:v>
      </x:c>
      <x:c r="F633" s="22" t="str">
        <x:v>.xls</x:v>
      </x:c>
      <x:c r="G633" s="25" t="str">
        <x:v>L2023-00036-1/붙임3_입찰관련서류_검토완_0717/Section 4.  Bill of Quantities(Not-Priced)/공내역서/VTC견적서/2 УПК(Practice and Education Building)/2-6 ПС(Fire Alarm)/13273_vrmu.xls</x:v>
      </x:c>
      <x:c r="H633" s="28" t="n">
        <x:v>51712</x:v>
      </x:c>
      <x:c r="I633" s="22" t="str">
        <x:v>37a7d416719880479a04287f43738c935aabd798ceb429a6996cc4e3c53eacf9</x:v>
      </x:c>
      <x:c r="J633" s="22" t="n">
        <x:v>0</x:v>
      </x:c>
      <x:c r="K633" s="22" t="n">
        <x:v>1</x:v>
      </x:c>
      <x:c r="L633" s="22" t="n">
        <x:v>1</x:v>
      </x:c>
      <x:c r="M633" s="28" t="n">
        <x:v>1</x:v>
      </x:c>
      <x:c r="N633" s="28" t="n">
        <x:v>64</x:v>
      </x:c>
      <x:c r="O633" s="28" t="n">
        <x:v>1</x:v>
      </x:c>
      <x:c r="P633" s="62" t="n">
        <x:v>0.015625</x:v>
      </x:c>
      <x:c r="Q633" s="22" t="n">
        <x:v>0</x:v>
      </x:c>
      <x:c r="R633" s="22" t="str">
        <x:v>Лист1</x:v>
      </x:c>
      <x:c r="S633" s="22" t="str">
        <x:v>visible</x:v>
      </x:c>
      <x:c r="T633" s="22" t="str"/>
    </x:row>
    <x:row r="634">
      <x:c r="A634" s="22" t="str">
        <x:v>2020-00086</x:v>
      </x:c>
      <x:c r="B634" s="22" t="str">
        <x:v>L2023-00036-1</x:v>
      </x:c>
      <x:c r="C634" s="22" t="str">
        <x:v>공사</x:v>
      </x:c>
      <x:c r="D634" s="25" t="str">
        <x:v>우즈베키스탄 우르겐치 직업훈련원 건립 및 타슈켄트 교사연수센터 건립사업 시공업체선정 현지입찰</x:v>
      </x:c>
      <x:c r="E634" s="22" t="n">
        <x:v>1</x:v>
      </x:c>
      <x:c r="F634" s="22" t="str">
        <x:v>.xls</x:v>
      </x:c>
      <x:c r="G634" s="25" t="str">
        <x:v>L2023-00036-1/붙임3_입찰관련서류_검토완_0717/Section 4.  Bill of Quantities(Not-Priced)/공내역서/VTC견적서/2 УПК(Practice and Education Building)/2-6 ПС(Fire Alarm)/13273_vfor.xls</x:v>
      </x:c>
      <x:c r="H634" s="28" t="n">
        <x:v>39424</x:v>
      </x:c>
      <x:c r="I634" s="22" t="str">
        <x:v>9253b08795feafb761135dfb7172359fd6821432264e5cec4a3ba2c9aaaef0df</x:v>
      </x:c>
      <x:c r="J634" s="22" t="n">
        <x:v>0</x:v>
      </x:c>
      <x:c r="K634" s="22" t="n">
        <x:v>1</x:v>
      </x:c>
      <x:c r="L634" s="22" t="n">
        <x:v>1</x:v>
      </x:c>
      <x:c r="M634" s="28" t="n">
        <x:v>0</x:v>
      </x:c>
      <x:c r="N634" s="28" t="n">
        <x:v>0</x:v>
      </x:c>
      <x:c r="O634" s="28" t="n">
        <x:v>0</x:v>
      </x:c>
      <x:c r="P634" s="62" t="n">
        <x:v>0</x:v>
      </x:c>
      <x:c r="Q634" s="22" t="n">
        <x:v>0</x:v>
      </x:c>
      <x:c r="R634" s="22" t="str"/>
      <x:c r="S634" s="22" t="str"/>
      <x:c r="T634" s="22" t="str"/>
    </x:row>
    <x:row r="635">
      <x:c r="A635" s="22" t="str">
        <x:v>2020-00086</x:v>
      </x:c>
      <x:c r="B635" s="22" t="str">
        <x:v>L2023-00036-1</x:v>
      </x:c>
      <x:c r="C635" s="22" t="str">
        <x:v>공사</x:v>
      </x:c>
      <x:c r="D635" s="25" t="str">
        <x:v>우즈베키스탄 우르겐치 직업훈련원 건립 및 타슈켄트 교사연수센터 건립사업 시공업체선정 현지입찰</x:v>
      </x:c>
      <x:c r="E635" s="22" t="n">
        <x:v>1</x:v>
      </x:c>
      <x:c r="F635" s="22" t="str">
        <x:v>.xls</x:v>
      </x:c>
      <x:c r="G635" s="25" t="str">
        <x:v>L2023-00036-1/붙임3_입찰관련서류_검토완_0717/Section 4.  Bill of Quantities(Not-Priced)/공내역서/VTC견적서/2 УПК(Practice and Education Building)/2-8 ТМ(Boiler &amp; Solar heating)/13433_vfor.xls</x:v>
      </x:c>
      <x:c r="H635" s="28" t="n">
        <x:v>61952</x:v>
      </x:c>
      <x:c r="I635" s="22" t="str">
        <x:v>d1c10b9aaca880e34e432f14a598fbfa9d3620e37ff970f3d323e49ce5560785</x:v>
      </x:c>
      <x:c r="J635" s="22" t="n">
        <x:v>0</x:v>
      </x:c>
      <x:c r="K635" s="22" t="n">
        <x:v>1</x:v>
      </x:c>
      <x:c r="L635" s="22" t="n">
        <x:v>1</x:v>
      </x:c>
      <x:c r="M635" s="28" t="n">
        <x:v>0</x:v>
      </x:c>
      <x:c r="N635" s="28" t="n">
        <x:v>0</x:v>
      </x:c>
      <x:c r="O635" s="28" t="n">
        <x:v>0</x:v>
      </x:c>
      <x:c r="P635" s="62" t="n">
        <x:v>0</x:v>
      </x:c>
      <x:c r="Q635" s="22" t="n">
        <x:v>0</x:v>
      </x:c>
      <x:c r="R635" s="22" t="str"/>
      <x:c r="S635" s="22" t="str"/>
      <x:c r="T635" s="22" t="str"/>
    </x:row>
    <x:row r="636">
      <x:c r="A636" s="22" t="str">
        <x:v>2020-00086</x:v>
      </x:c>
      <x:c r="B636" s="22" t="str">
        <x:v>L2023-00036-1</x:v>
      </x:c>
      <x:c r="C636" s="22" t="str">
        <x:v>공사</x:v>
      </x:c>
      <x:c r="D636" s="25" t="str">
        <x:v>우즈베키스탄 우르겐치 직업훈련원 건립 및 타슈켄트 교사연수센터 건립사업 시공업체선정 현지입찰</x:v>
      </x:c>
      <x:c r="E636" s="22" t="n">
        <x:v>1</x:v>
      </x:c>
      <x:c r="F636" s="22" t="str">
        <x:v>.xls</x:v>
      </x:c>
      <x:c r="G636" s="25" t="str">
        <x:v>L2023-00036-1/붙임3_입찰관련서류_검토완_0717/Section 4.  Bill of Quantities(Not-Priced)/공내역서/VTC견적서/2 УПК(Practice and Education Building)/2-8 ТМ(Boiler &amp; Solar heating)/bv13430.xls</x:v>
      </x:c>
      <x:c r="H636" s="28" t="n">
        <x:v>178176</x:v>
      </x:c>
      <x:c r="I636" s="22" t="str">
        <x:v>1e6b0f50a2a378878bb06672f894f03a587ce5a0d49a819318305705775920d7</x:v>
      </x:c>
      <x:c r="J636" s="22" t="n">
        <x:v>0</x:v>
      </x:c>
      <x:c r="K636" s="22" t="n">
        <x:v>1</x:v>
      </x:c>
      <x:c r="L636" s="22" t="n">
        <x:v>1</x:v>
      </x:c>
      <x:c r="M636" s="28" t="n">
        <x:v>0</x:v>
      </x:c>
      <x:c r="N636" s="28" t="n">
        <x:v>0</x:v>
      </x:c>
      <x:c r="O636" s="28" t="n">
        <x:v>0</x:v>
      </x:c>
      <x:c r="P636" s="62" t="n">
        <x:v>0</x:v>
      </x:c>
      <x:c r="Q636" s="22" t="n">
        <x:v>0</x:v>
      </x:c>
      <x:c r="R636" s="22" t="str"/>
      <x:c r="S636" s="22" t="str"/>
      <x:c r="T636" s="22" t="str"/>
    </x:row>
    <x:row r="637">
      <x:c r="A637" s="22" t="str">
        <x:v>2020-00086</x:v>
      </x:c>
      <x:c r="B637" s="22" t="str">
        <x:v>L2023-00036-1</x:v>
      </x:c>
      <x:c r="C637" s="22" t="str">
        <x:v>공사</x:v>
      </x:c>
      <x:c r="D637" s="25" t="str">
        <x:v>우즈베키스탄 우르겐치 직업훈련원 건립 및 타슈켄트 교사연수센터 건립사업 시공업체선정 현지입찰</x:v>
      </x:c>
      <x:c r="E637" s="22" t="n">
        <x:v>1</x:v>
      </x:c>
      <x:c r="F637" s="22" t="str">
        <x:v>.xls</x:v>
      </x:c>
      <x:c r="G637" s="25" t="str">
        <x:v>L2023-00036-1/붙임3_입찰관련서류_검토완_0717/Section 4.  Bill of Quantities(Not-Priced)/공내역서/VTC견적서/2 УПК(Practice and Education Building)/2-8 ТМ(Boiler &amp; Solar heating)/13433_vrmu.xls</x:v>
      </x:c>
      <x:c r="H637" s="28" t="n">
        <x:v>86528</x:v>
      </x:c>
      <x:c r="I637" s="22" t="str">
        <x:v>07503448a7270dbdb8f63ef2ae2d8ee1d85bc1ce1b33df86927763a7c6a90f7c</x:v>
      </x:c>
      <x:c r="J637" s="22" t="n">
        <x:v>0</x:v>
      </x:c>
      <x:c r="K637" s="22" t="n">
        <x:v>1</x:v>
      </x:c>
      <x:c r="L637" s="22" t="n">
        <x:v>1</x:v>
      </x:c>
      <x:c r="M637" s="28" t="n">
        <x:v>1</x:v>
      </x:c>
      <x:c r="N637" s="28" t="n">
        <x:v>175</x:v>
      </x:c>
      <x:c r="O637" s="28" t="n">
        <x:v>1</x:v>
      </x:c>
      <x:c r="P637" s="62" t="n">
        <x:v>0.005714285714285714</x:v>
      </x:c>
      <x:c r="Q637" s="22" t="n">
        <x:v>0</x:v>
      </x:c>
      <x:c r="R637" s="22" t="str">
        <x:v>Лист1</x:v>
      </x:c>
      <x:c r="S637" s="22" t="str">
        <x:v>visible</x:v>
      </x:c>
      <x:c r="T637" s="22" t="str"/>
    </x:row>
    <x:row r="638">
      <x:c r="A638" s="22" t="str">
        <x:v>2020-00086</x:v>
      </x:c>
      <x:c r="B638" s="22" t="str">
        <x:v>L2023-00036-1</x:v>
      </x:c>
      <x:c r="C638" s="22" t="str">
        <x:v>공사</x:v>
      </x:c>
      <x:c r="D638" s="25" t="str">
        <x:v>우즈베키스탄 우르겐치 직업훈련원 건립 및 타슈켄트 교사연수센터 건립사업 시공업체선정 현지입찰</x:v>
      </x:c>
      <x:c r="E638" s="22" t="n">
        <x:v>1</x:v>
      </x:c>
      <x:c r="F638" s="22" t="str">
        <x:v>.xls</x:v>
      </x:c>
      <x:c r="G638" s="25" t="str">
        <x:v>L2023-00036-1/붙임3_입찰관련서류_검토완_0717/Section 4.  Bill of Quantities(Not-Priced)/공내역서/VTC견적서/2 УПК(Practice and Education Building)/2-5 ЭО(Electric)/13593_vrmu.xls</x:v>
      </x:c>
      <x:c r="H638" s="28" t="n">
        <x:v>88064</x:v>
      </x:c>
      <x:c r="I638" s="22" t="str">
        <x:v>939da5ac56da64a557c1ad8bd96b90cc057f9a01d7ed01a90287001de59cfd7e</x:v>
      </x:c>
      <x:c r="J638" s="22" t="n">
        <x:v>0</x:v>
      </x:c>
      <x:c r="K638" s="22" t="n">
        <x:v>1</x:v>
      </x:c>
      <x:c r="L638" s="22" t="n">
        <x:v>1</x:v>
      </x:c>
      <x:c r="M638" s="28" t="n">
        <x:v>1</x:v>
      </x:c>
      <x:c r="N638" s="28" t="n">
        <x:v>140</x:v>
      </x:c>
      <x:c r="O638" s="28" t="n">
        <x:v>1</x:v>
      </x:c>
      <x:c r="P638" s="62" t="n">
        <x:v>0.007142857142857143</x:v>
      </x:c>
      <x:c r="Q638" s="22" t="n">
        <x:v>0</x:v>
      </x:c>
      <x:c r="R638" s="22" t="str">
        <x:v>Лист1</x:v>
      </x:c>
      <x:c r="S638" s="22" t="str">
        <x:v>visible</x:v>
      </x:c>
      <x:c r="T638" s="22" t="str"/>
    </x:row>
    <x:row r="639">
      <x:c r="A639" s="22" t="str">
        <x:v>2020-00086</x:v>
      </x:c>
      <x:c r="B639" s="22" t="str">
        <x:v>L2023-00036-1</x:v>
      </x:c>
      <x:c r="C639" s="22" t="str">
        <x:v>공사</x:v>
      </x:c>
      <x:c r="D639" s="25" t="str">
        <x:v>우즈베키스탄 우르겐치 직업훈련원 건립 및 타슈켄트 교사연수센터 건립사업 시공업체선정 현지입찰</x:v>
      </x:c>
      <x:c r="E639" s="22" t="n">
        <x:v>1</x:v>
      </x:c>
      <x:c r="F639" s="22" t="str">
        <x:v>.xls</x:v>
      </x:c>
      <x:c r="G639" s="25" t="str">
        <x:v>L2023-00036-1/붙임3_입찰관련서류_검토완_0717/Section 4.  Bill of Quantities(Not-Priced)/공내역서/VTC견적서/2 УПК(Practice and Education Building)/2-5 ЭО(Electric)/13593_vfor.xls</x:v>
      </x:c>
      <x:c r="H639" s="28" t="n">
        <x:v>76288</x:v>
      </x:c>
      <x:c r="I639" s="22" t="str">
        <x:v>c30b8ac327c03590384c07e2e8f0356db3b6aa949e01439f1bd4eb1866809498</x:v>
      </x:c>
      <x:c r="J639" s="22" t="n">
        <x:v>0</x:v>
      </x:c>
      <x:c r="K639" s="22" t="n">
        <x:v>1</x:v>
      </x:c>
      <x:c r="L639" s="22" t="n">
        <x:v>1</x:v>
      </x:c>
      <x:c r="M639" s="28" t="n">
        <x:v>0</x:v>
      </x:c>
      <x:c r="N639" s="28" t="n">
        <x:v>0</x:v>
      </x:c>
      <x:c r="O639" s="28" t="n">
        <x:v>0</x:v>
      </x:c>
      <x:c r="P639" s="62" t="n">
        <x:v>0</x:v>
      </x:c>
      <x:c r="Q639" s="22" t="n">
        <x:v>0</x:v>
      </x:c>
      <x:c r="R639" s="22" t="str"/>
      <x:c r="S639" s="22" t="str"/>
      <x:c r="T639" s="22" t="str"/>
    </x:row>
    <x:row r="640">
      <x:c r="A640" s="22" t="str">
        <x:v>2020-00086</x:v>
      </x:c>
      <x:c r="B640" s="22" t="str">
        <x:v>L2023-00036-1</x:v>
      </x:c>
      <x:c r="C640" s="22" t="str">
        <x:v>공사</x:v>
      </x:c>
      <x:c r="D640" s="25" t="str">
        <x:v>우즈베키스탄 우르겐치 직업훈련원 건립 및 타슈켄트 교사연수센터 건립사업 시공업체선정 현지입찰</x:v>
      </x:c>
      <x:c r="E640" s="22" t="n">
        <x:v>1</x:v>
      </x:c>
      <x:c r="F640" s="22" t="str">
        <x:v>.xls</x:v>
      </x:c>
      <x:c r="G640" s="25" t="str">
        <x:v>L2023-00036-1/붙임3_입찰관련서류_검토완_0717/Section 4.  Bill of Quantities(Not-Priced)/공내역서/VTC견적서/2 УПК(Practice and Education Building)/2-5 ЭО(Electric)/bv13590.xls</x:v>
      </x:c>
      <x:c r="H640" s="28" t="n">
        <x:v>165376</x:v>
      </x:c>
      <x:c r="I640" s="22" t="str">
        <x:v>66663efa81309957bad47d81b20bef6148a275bbbdc2760911baebfc3d44937b</x:v>
      </x:c>
      <x:c r="J640" s="22" t="n">
        <x:v>0</x:v>
      </x:c>
      <x:c r="K640" s="22" t="n">
        <x:v>1</x:v>
      </x:c>
      <x:c r="L640" s="22" t="n">
        <x:v>1</x:v>
      </x:c>
      <x:c r="M640" s="28" t="n">
        <x:v>0</x:v>
      </x:c>
      <x:c r="N640" s="28" t="n">
        <x:v>0</x:v>
      </x:c>
      <x:c r="O640" s="28" t="n">
        <x:v>0</x:v>
      </x:c>
      <x:c r="P640" s="62" t="n">
        <x:v>0</x:v>
      </x:c>
      <x:c r="Q640" s="22" t="n">
        <x:v>0</x:v>
      </x:c>
      <x:c r="R640" s="22" t="str"/>
      <x:c r="S640" s="22" t="str"/>
      <x:c r="T640" s="22" t="str"/>
    </x:row>
    <x:row r="641">
      <x:c r="A641" s="22" t="str">
        <x:v>2020-00086</x:v>
      </x:c>
      <x:c r="B641" s="22" t="str">
        <x:v>L2023-00036-1</x:v>
      </x:c>
      <x:c r="C641" s="22" t="str">
        <x:v>공사</x:v>
      </x:c>
      <x:c r="D641" s="25" t="str">
        <x:v>우즈베키스탄 우르겐치 직업훈련원 건립 및 타슈켄트 교사연수센터 건립사업 시공업체선정 현지입찰</x:v>
      </x:c>
      <x:c r="E641" s="22" t="n">
        <x:v>1</x:v>
      </x:c>
      <x:c r="F641" s="22" t="str">
        <x:v>.xls</x:v>
      </x:c>
      <x:c r="G641" s="25" t="str">
        <x:v>L2023-00036-1/붙임3_입찰관련서류_검토완_0717/Section 4.  Bill of Quantities(Not-Priced)/공내역서/VTC견적서/2 УПК(Practice and Education Building)/2-1 КЖ(Structure)/bv13010.xls</x:v>
      </x:c>
      <x:c r="H641" s="28" t="n">
        <x:v>438784</x:v>
      </x:c>
      <x:c r="I641" s="22" t="str">
        <x:v>9a08a9249b066c02507c7d7b6711bbd0214f8d0d66dfa4d6052663da0fc7d2fe</x:v>
      </x:c>
      <x:c r="J641" s="22" t="n">
        <x:v>0</x:v>
      </x:c>
      <x:c r="K641" s="22" t="n">
        <x:v>1</x:v>
      </x:c>
      <x:c r="L641" s="22" t="n">
        <x:v>1</x:v>
      </x:c>
      <x:c r="M641" s="28" t="n">
        <x:v>0</x:v>
      </x:c>
      <x:c r="N641" s="28" t="n">
        <x:v>0</x:v>
      </x:c>
      <x:c r="O641" s="28" t="n">
        <x:v>0</x:v>
      </x:c>
      <x:c r="P641" s="62" t="n">
        <x:v>0</x:v>
      </x:c>
      <x:c r="Q641" s="22" t="n">
        <x:v>0</x:v>
      </x:c>
      <x:c r="R641" s="22" t="str"/>
      <x:c r="S641" s="22" t="str"/>
      <x:c r="T641" s="22" t="str"/>
    </x:row>
    <x:row r="642">
      <x:c r="A642" s="22" t="str">
        <x:v>2020-00086</x:v>
      </x:c>
      <x:c r="B642" s="22" t="str">
        <x:v>L2023-00036-1</x:v>
      </x:c>
      <x:c r="C642" s="22" t="str">
        <x:v>공사</x:v>
      </x:c>
      <x:c r="D642" s="25" t="str">
        <x:v>우즈베키스탄 우르겐치 직업훈련원 건립 및 타슈켄트 교사연수센터 건립사업 시공업체선정 현지입찰</x:v>
      </x:c>
      <x:c r="E642" s="22" t="n">
        <x:v>1</x:v>
      </x:c>
      <x:c r="F642" s="22" t="str">
        <x:v>.xls</x:v>
      </x:c>
      <x:c r="G642" s="25" t="str">
        <x:v>L2023-00036-1/붙임3_입찰관련서류_검토완_0717/Section 4.  Bill of Quantities(Not-Priced)/공내역서/VTC견적서/2 УПК(Practice and Education Building)/2-1 КЖ(Structure)/13013_vfor.xls</x:v>
      </x:c>
      <x:c r="H642" s="28" t="n">
        <x:v>90112</x:v>
      </x:c>
      <x:c r="I642" s="22" t="str">
        <x:v>eb125c00f27b73c161614158902fe9f7296eb1d8eee1c3f3da800522e1d82334</x:v>
      </x:c>
      <x:c r="J642" s="22" t="n">
        <x:v>0</x:v>
      </x:c>
      <x:c r="K642" s="22" t="n">
        <x:v>1</x:v>
      </x:c>
      <x:c r="L642" s="22" t="n">
        <x:v>1</x:v>
      </x:c>
      <x:c r="M642" s="28" t="n">
        <x:v>0</x:v>
      </x:c>
      <x:c r="N642" s="28" t="n">
        <x:v>0</x:v>
      </x:c>
      <x:c r="O642" s="28" t="n">
        <x:v>0</x:v>
      </x:c>
      <x:c r="P642" s="62" t="n">
        <x:v>0</x:v>
      </x:c>
      <x:c r="Q642" s="22" t="n">
        <x:v>0</x:v>
      </x:c>
      <x:c r="R642" s="22" t="str"/>
      <x:c r="S642" s="22" t="str"/>
      <x:c r="T642" s="22" t="str"/>
    </x:row>
    <x:row r="643">
      <x:c r="A643" s="22" t="str">
        <x:v>2020-00086</x:v>
      </x:c>
      <x:c r="B643" s="22" t="str">
        <x:v>L2023-00036-1</x:v>
      </x:c>
      <x:c r="C643" s="22" t="str">
        <x:v>공사</x:v>
      </x:c>
      <x:c r="D643" s="25" t="str">
        <x:v>우즈베키스탄 우르겐치 직업훈련원 건립 및 타슈켄트 교사연수센터 건립사업 시공업체선정 현지입찰</x:v>
      </x:c>
      <x:c r="E643" s="22" t="n">
        <x:v>1</x:v>
      </x:c>
      <x:c r="F643" s="22" t="str">
        <x:v>.xls</x:v>
      </x:c>
      <x:c r="G643" s="25" t="str">
        <x:v>L2023-00036-1/붙임3_입찰관련서류_검토완_0717/Section 4.  Bill of Quantities(Not-Priced)/공내역서/VTC견적서/2 УПК(Practice and Education Building)/2-1 КЖ(Structure)/13013_vrmu.xls</x:v>
      </x:c>
      <x:c r="H643" s="28" t="n">
        <x:v>78336</x:v>
      </x:c>
      <x:c r="I643" s="22" t="str">
        <x:v>894f30fba7d6ceffd13ac600a3933b3b9c6ef0d085d61f97bad1695d4a782097</x:v>
      </x:c>
      <x:c r="J643" s="22" t="n">
        <x:v>0</x:v>
      </x:c>
      <x:c r="K643" s="22" t="n">
        <x:v>1</x:v>
      </x:c>
      <x:c r="L643" s="22" t="n">
        <x:v>1</x:v>
      </x:c>
      <x:c r="M643" s="28" t="n">
        <x:v>1</x:v>
      </x:c>
      <x:c r="N643" s="28" t="n">
        <x:v>151</x:v>
      </x:c>
      <x:c r="O643" s="28" t="n">
        <x:v>1</x:v>
      </x:c>
      <x:c r="P643" s="62" t="n">
        <x:v>0.006622516556291391</x:v>
      </x:c>
      <x:c r="Q643" s="22" t="n">
        <x:v>0</x:v>
      </x:c>
      <x:c r="R643" s="22" t="str">
        <x:v>Лист1</x:v>
      </x:c>
      <x:c r="S643" s="22" t="str">
        <x:v>visible</x:v>
      </x:c>
      <x:c r="T643" s="22" t="str"/>
    </x:row>
    <x:row r="644">
      <x:c r="A644" s="22" t="str">
        <x:v>2020-00086</x:v>
      </x:c>
      <x:c r="B644" s="22" t="str">
        <x:v>L2023-00036-1</x:v>
      </x:c>
      <x:c r="C644" s="22" t="str">
        <x:v>공사</x:v>
      </x:c>
      <x:c r="D644" s="25" t="str">
        <x:v>우즈베키스탄 우르겐치 직업훈련원 건립 및 타슈켄트 교사연수센터 건립사업 시공업체선정 현지입찰</x:v>
      </x:c>
      <x:c r="E644" s="22" t="n">
        <x:v>1</x:v>
      </x:c>
      <x:c r="F644" s="22" t="str">
        <x:v>.xls</x:v>
      </x:c>
      <x:c r="G644" s="25" t="str">
        <x:v>L2023-00036-1/붙임3_입찰관련서류_검토완_0717/Section 4.  Bill of Quantities(Not-Priced)/공내역서/VTC견적서/2 УПК(Practice and Education Building)/2-3 ОВ(Heating &amp; Ventilation)/bv13510.xls</x:v>
      </x:c>
      <x:c r="H644" s="28" t="n">
        <x:v>450048</x:v>
      </x:c>
      <x:c r="I644" s="22" t="str">
        <x:v>f64d8d027c4f2b4232513b0b8605c8f8092aa552cac0b7ed425ff53f6db6908f</x:v>
      </x:c>
      <x:c r="J644" s="22" t="n">
        <x:v>0</x:v>
      </x:c>
      <x:c r="K644" s="22" t="n">
        <x:v>1</x:v>
      </x:c>
      <x:c r="L644" s="22" t="n">
        <x:v>1</x:v>
      </x:c>
      <x:c r="M644" s="28" t="n">
        <x:v>0</x:v>
      </x:c>
      <x:c r="N644" s="28" t="n">
        <x:v>0</x:v>
      </x:c>
      <x:c r="O644" s="28" t="n">
        <x:v>0</x:v>
      </x:c>
      <x:c r="P644" s="62" t="n">
        <x:v>0</x:v>
      </x:c>
      <x:c r="Q644" s="22" t="n">
        <x:v>0</x:v>
      </x:c>
      <x:c r="R644" s="22" t="str"/>
      <x:c r="S644" s="22" t="str"/>
      <x:c r="T644" s="22" t="str"/>
    </x:row>
    <x:row r="645">
      <x:c r="A645" s="22" t="str">
        <x:v>2020-00086</x:v>
      </x:c>
      <x:c r="B645" s="22" t="str">
        <x:v>L2023-00036-1</x:v>
      </x:c>
      <x:c r="C645" s="22" t="str">
        <x:v>공사</x:v>
      </x:c>
      <x:c r="D645" s="25" t="str">
        <x:v>우즈베키스탄 우르겐치 직업훈련원 건립 및 타슈켄트 교사연수센터 건립사업 시공업체선정 현지입찰</x:v>
      </x:c>
      <x:c r="E645" s="22" t="n">
        <x:v>1</x:v>
      </x:c>
      <x:c r="F645" s="22" t="str">
        <x:v>.xls</x:v>
      </x:c>
      <x:c r="G645" s="25" t="str">
        <x:v>L2023-00036-1/붙임3_입찰관련서류_검토완_0717/Section 4.  Bill of Quantities(Not-Priced)/공내역서/VTC견적서/2 УПК(Practice and Education Building)/2-3 ОВ(Heating &amp; Ventilation)/13513_vfor.xls</x:v>
      </x:c>
      <x:c r="H645" s="28" t="n">
        <x:v>99840</x:v>
      </x:c>
      <x:c r="I645" s="22" t="str">
        <x:v>12c5ca43305042fecde990e14ec0489f64e6a5bfb76e9a69fab76bb26799d793</x:v>
      </x:c>
      <x:c r="J645" s="22" t="n">
        <x:v>0</x:v>
      </x:c>
      <x:c r="K645" s="22" t="n">
        <x:v>1</x:v>
      </x:c>
      <x:c r="L645" s="22" t="n">
        <x:v>1</x:v>
      </x:c>
      <x:c r="M645" s="28" t="n">
        <x:v>0</x:v>
      </x:c>
      <x:c r="N645" s="28" t="n">
        <x:v>0</x:v>
      </x:c>
      <x:c r="O645" s="28" t="n">
        <x:v>0</x:v>
      </x:c>
      <x:c r="P645" s="62" t="n">
        <x:v>0</x:v>
      </x:c>
      <x:c r="Q645" s="22" t="n">
        <x:v>0</x:v>
      </x:c>
      <x:c r="R645" s="22" t="str"/>
      <x:c r="S645" s="22" t="str"/>
      <x:c r="T645" s="22" t="str"/>
    </x:row>
    <x:row r="646">
      <x:c r="A646" s="22" t="str">
        <x:v>2020-00086</x:v>
      </x:c>
      <x:c r="B646" s="22" t="str">
        <x:v>L2023-00036-1</x:v>
      </x:c>
      <x:c r="C646" s="22" t="str">
        <x:v>공사</x:v>
      </x:c>
      <x:c r="D646" s="25" t="str">
        <x:v>우즈베키스탄 우르겐치 직업훈련원 건립 및 타슈켄트 교사연수센터 건립사업 시공업체선정 현지입찰</x:v>
      </x:c>
      <x:c r="E646" s="22" t="n">
        <x:v>1</x:v>
      </x:c>
      <x:c r="F646" s="22" t="str">
        <x:v>.xls</x:v>
      </x:c>
      <x:c r="G646" s="25" t="str">
        <x:v>L2023-00036-1/붙임3_입찰관련서류_검토완_0717/Section 4.  Bill of Quantities(Not-Priced)/공내역서/VTC견적서/2 УПК(Practice and Education Building)/2-3 ОВ(Heating &amp; Ventilation)/13513_vrmu.xls</x:v>
      </x:c>
      <x:c r="H646" s="28" t="n">
        <x:v>100352</x:v>
      </x:c>
      <x:c r="I646" s="22" t="str">
        <x:v>c598552db7e0e86089126d4ffff68c3be6e09016d43faddb5648dc76758c1996</x:v>
      </x:c>
      <x:c r="J646" s="22" t="n">
        <x:v>0</x:v>
      </x:c>
      <x:c r="K646" s="22" t="n">
        <x:v>1</x:v>
      </x:c>
      <x:c r="L646" s="22" t="n">
        <x:v>1</x:v>
      </x:c>
      <x:c r="M646" s="28" t="n">
        <x:v>1</x:v>
      </x:c>
      <x:c r="N646" s="28" t="n">
        <x:v>228</x:v>
      </x:c>
      <x:c r="O646" s="28" t="n">
        <x:v>1</x:v>
      </x:c>
      <x:c r="P646" s="62" t="n">
        <x:v>0.0043859649122807015</x:v>
      </x:c>
      <x:c r="Q646" s="22" t="n">
        <x:v>0</x:v>
      </x:c>
      <x:c r="R646" s="22" t="str">
        <x:v>Лист1</x:v>
      </x:c>
      <x:c r="S646" s="22" t="str">
        <x:v>visible</x:v>
      </x:c>
      <x:c r="T646" s="22" t="str"/>
    </x:row>
    <x:row r="647">
      <x:c r="A647" s="22" t="str">
        <x:v>2020-00086</x:v>
      </x:c>
      <x:c r="B647" s="22" t="str">
        <x:v>L2023-00036-1</x:v>
      </x:c>
      <x:c r="C647" s="22" t="str">
        <x:v>공사</x:v>
      </x:c>
      <x:c r="D647" s="25" t="str">
        <x:v>우즈베키스탄 우르겐치 직업훈련원 건립 및 타슈켄트 교사연수센터 건립사업 시공업체선정 현지입찰</x:v>
      </x:c>
      <x:c r="E647" s="22" t="n">
        <x:v>1</x:v>
      </x:c>
      <x:c r="F647" s="22" t="str">
        <x:v>.xls</x:v>
      </x:c>
      <x:c r="G647" s="25" t="str">
        <x:v>L2023-00036-1/붙임3_입찰관련서류_검토완_0717/Section 4.  Bill of Quantities(Not-Priced)/공내역서/VTC견적서/2 УПК(Practice and Education Building)/2-4 ВК(Water &amp; Sewer &amp; Fireplug)/13123_vrmu.xls</x:v>
      </x:c>
      <x:c r="H647" s="28" t="n">
        <x:v>88576</x:v>
      </x:c>
      <x:c r="I647" s="22" t="str">
        <x:v>355c8ae16063462d4e7d9dacb0087baa7fe1d5550fffd04313e146fe418e2cc7</x:v>
      </x:c>
      <x:c r="J647" s="22" t="n">
        <x:v>0</x:v>
      </x:c>
      <x:c r="K647" s="22" t="n">
        <x:v>1</x:v>
      </x:c>
      <x:c r="L647" s="22" t="n">
        <x:v>1</x:v>
      </x:c>
      <x:c r="M647" s="28" t="n">
        <x:v>1</x:v>
      </x:c>
      <x:c r="N647" s="28" t="n">
        <x:v>198</x:v>
      </x:c>
      <x:c r="O647" s="28" t="n">
        <x:v>1</x:v>
      </x:c>
      <x:c r="P647" s="62" t="n">
        <x:v>0.005050505050505051</x:v>
      </x:c>
      <x:c r="Q647" s="22" t="n">
        <x:v>0</x:v>
      </x:c>
      <x:c r="R647" s="22" t="str">
        <x:v>Лист1</x:v>
      </x:c>
      <x:c r="S647" s="22" t="str">
        <x:v>visible</x:v>
      </x:c>
      <x:c r="T647" s="22" t="str"/>
    </x:row>
    <x:row r="648">
      <x:c r="A648" s="22" t="str">
        <x:v>2020-00086</x:v>
      </x:c>
      <x:c r="B648" s="22" t="str">
        <x:v>L2023-00036-1</x:v>
      </x:c>
      <x:c r="C648" s="22" t="str">
        <x:v>공사</x:v>
      </x:c>
      <x:c r="D648" s="25" t="str">
        <x:v>우즈베키스탄 우르겐치 직업훈련원 건립 및 타슈켄트 교사연수센터 건립사업 시공업체선정 현지입찰</x:v>
      </x:c>
      <x:c r="E648" s="22" t="n">
        <x:v>1</x:v>
      </x:c>
      <x:c r="F648" s="22" t="str">
        <x:v>.xls</x:v>
      </x:c>
      <x:c r="G648" s="25" t="str">
        <x:v>L2023-00036-1/붙임3_입찰관련서류_검토완_0717/Section 4.  Bill of Quantities(Not-Priced)/공내역서/VTC견적서/2 УПК(Practice and Education Building)/2-4 ВК(Water &amp; Sewer &amp; Fireplug)/13123_vfor.xls</x:v>
      </x:c>
      <x:c r="H648" s="28" t="n">
        <x:v>59904</x:v>
      </x:c>
      <x:c r="I648" s="22" t="str">
        <x:v>a7d4c30f7d188cff8e06d5929b7943ca6001dd6edf34d708f09e06ff60bad3a9</x:v>
      </x:c>
      <x:c r="J648" s="22" t="n">
        <x:v>0</x:v>
      </x:c>
      <x:c r="K648" s="22" t="n">
        <x:v>1</x:v>
      </x:c>
      <x:c r="L648" s="22" t="n">
        <x:v>1</x:v>
      </x:c>
      <x:c r="M648" s="28" t="n">
        <x:v>0</x:v>
      </x:c>
      <x:c r="N648" s="28" t="n">
        <x:v>0</x:v>
      </x:c>
      <x:c r="O648" s="28" t="n">
        <x:v>0</x:v>
      </x:c>
      <x:c r="P648" s="62" t="n">
        <x:v>0</x:v>
      </x:c>
      <x:c r="Q648" s="22" t="n">
        <x:v>0</x:v>
      </x:c>
      <x:c r="R648" s="22" t="str"/>
      <x:c r="S648" s="22" t="str"/>
      <x:c r="T648" s="22" t="str"/>
    </x:row>
    <x:row r="649">
      <x:c r="A649" s="22" t="str">
        <x:v>2020-00086</x:v>
      </x:c>
      <x:c r="B649" s="22" t="str">
        <x:v>L2023-00036-1</x:v>
      </x:c>
      <x:c r="C649" s="22" t="str">
        <x:v>공사</x:v>
      </x:c>
      <x:c r="D649" s="25" t="str">
        <x:v>우즈베키스탄 우르겐치 직업훈련원 건립 및 타슈켄트 교사연수센터 건립사업 시공업체선정 현지입찰</x:v>
      </x:c>
      <x:c r="E649" s="22" t="n">
        <x:v>1</x:v>
      </x:c>
      <x:c r="F649" s="22" t="str">
        <x:v>.xls</x:v>
      </x:c>
      <x:c r="G649" s="25" t="str">
        <x:v>L2023-00036-1/붙임3_입찰관련서류_검토완_0717/Section 4.  Bill of Quantities(Not-Priced)/공내역서/VTC견적서/2 УПК(Practice and Education Building)/2-4 ВК(Water &amp; Sewer &amp; Fireplug)/bv13120.xls</x:v>
      </x:c>
      <x:c r="H649" s="28" t="n">
        <x:v>172032</x:v>
      </x:c>
      <x:c r="I649" s="22" t="str">
        <x:v>3e907a310c004ae321d7eebac0f5fce2c118ec91ebfb9514f3a8a5c68894b05c</x:v>
      </x:c>
      <x:c r="J649" s="22" t="n">
        <x:v>0</x:v>
      </x:c>
      <x:c r="K649" s="22" t="n">
        <x:v>1</x:v>
      </x:c>
      <x:c r="L649" s="22" t="n">
        <x:v>1</x:v>
      </x:c>
      <x:c r="M649" s="28" t="n">
        <x:v>0</x:v>
      </x:c>
      <x:c r="N649" s="28" t="n">
        <x:v>0</x:v>
      </x:c>
      <x:c r="O649" s="28" t="n">
        <x:v>0</x:v>
      </x:c>
      <x:c r="P649" s="62" t="n">
        <x:v>0</x:v>
      </x:c>
      <x:c r="Q649" s="22" t="n">
        <x:v>0</x:v>
      </x:c>
      <x:c r="R649" s="22" t="str"/>
      <x:c r="S649" s="22" t="str"/>
      <x:c r="T649" s="22" t="str"/>
    </x:row>
    <x:row r="650">
      <x:c r="A650" s="22" t="str">
        <x:v>2020-00086</x:v>
      </x:c>
      <x:c r="B650" s="22" t="str">
        <x:v>L2023-00036-1</x:v>
      </x:c>
      <x:c r="C650" s="22" t="str">
        <x:v>공사</x:v>
      </x:c>
      <x:c r="D650" s="25" t="str">
        <x:v>우즈베키스탄 우르겐치 직업훈련원 건립 및 타슈켄트 교사연수센터 건립사업 시공업체선정 현지입찰</x:v>
      </x:c>
      <x:c r="E650" s="22" t="n">
        <x:v>1</x:v>
      </x:c>
      <x:c r="F650" s="22" t="str">
        <x:v>.xls</x:v>
      </x:c>
      <x:c r="G650" s="25" t="str">
        <x:v>L2023-00036-1/붙임3_입찰관련서류_검토완_0717/Section 4.  Bill of Quantities(Not-Priced)/공내역서/VTC견적서/2 УПК(Practice and Education Building)/2-7 ВН, СКС(CCTV &amp; Network)/13283_vrmu.xls</x:v>
      </x:c>
      <x:c r="H650" s="28" t="n">
        <x:v>67072</x:v>
      </x:c>
      <x:c r="I650" s="22" t="str">
        <x:v>b6846cb5505886d26e2d8e4507951919d190aa8d9ba9fa7ba7df632cb03e888d</x:v>
      </x:c>
      <x:c r="J650" s="22" t="n">
        <x:v>0</x:v>
      </x:c>
      <x:c r="K650" s="22" t="n">
        <x:v>1</x:v>
      </x:c>
      <x:c r="L650" s="22" t="n">
        <x:v>1</x:v>
      </x:c>
      <x:c r="M650" s="28" t="n">
        <x:v>1</x:v>
      </x:c>
      <x:c r="N650" s="28" t="n">
        <x:v>121</x:v>
      </x:c>
      <x:c r="O650" s="28" t="n">
        <x:v>1</x:v>
      </x:c>
      <x:c r="P650" s="62" t="n">
        <x:v>0.008264462809917356</x:v>
      </x:c>
      <x:c r="Q650" s="22" t="n">
        <x:v>0</x:v>
      </x:c>
      <x:c r="R650" s="22" t="str">
        <x:v>Лист1</x:v>
      </x:c>
      <x:c r="S650" s="22" t="str">
        <x:v>visible</x:v>
      </x:c>
      <x:c r="T650" s="22" t="str"/>
    </x:row>
    <x:row r="651">
      <x:c r="A651" s="22" t="str">
        <x:v>2020-00086</x:v>
      </x:c>
      <x:c r="B651" s="22" t="str">
        <x:v>L2023-00036-1</x:v>
      </x:c>
      <x:c r="C651" s="22" t="str">
        <x:v>공사</x:v>
      </x:c>
      <x:c r="D651" s="25" t="str">
        <x:v>우즈베키스탄 우르겐치 직업훈련원 건립 및 타슈켄트 교사연수센터 건립사업 시공업체선정 현지입찰</x:v>
      </x:c>
      <x:c r="E651" s="22" t="n">
        <x:v>1</x:v>
      </x:c>
      <x:c r="F651" s="22" t="str">
        <x:v>.xls</x:v>
      </x:c>
      <x:c r="G651" s="25" t="str">
        <x:v>L2023-00036-1/붙임3_입찰관련서류_검토완_0717/Section 4.  Bill of Quantities(Not-Priced)/공내역서/VTC견적서/2 УПК(Practice and Education Building)/2-7 ВН, СКС(CCTV &amp; Network)/13283_vfor.xls</x:v>
      </x:c>
      <x:c r="H651" s="28" t="n">
        <x:v>47104</x:v>
      </x:c>
      <x:c r="I651" s="22" t="str">
        <x:v>db6c3cc502fbc8f749a5c19609ddf016fd8932c4cc11020c6bd9ee1e3229f05d</x:v>
      </x:c>
      <x:c r="J651" s="22" t="n">
        <x:v>0</x:v>
      </x:c>
      <x:c r="K651" s="22" t="n">
        <x:v>1</x:v>
      </x:c>
      <x:c r="L651" s="22" t="n">
        <x:v>1</x:v>
      </x:c>
      <x:c r="M651" s="28" t="n">
        <x:v>0</x:v>
      </x:c>
      <x:c r="N651" s="28" t="n">
        <x:v>0</x:v>
      </x:c>
      <x:c r="O651" s="28" t="n">
        <x:v>0</x:v>
      </x:c>
      <x:c r="P651" s="62" t="n">
        <x:v>0</x:v>
      </x:c>
      <x:c r="Q651" s="22" t="n">
        <x:v>0</x:v>
      </x:c>
      <x:c r="R651" s="22" t="str"/>
      <x:c r="S651" s="22" t="str"/>
      <x:c r="T651" s="22" t="str"/>
    </x:row>
    <x:row r="652">
      <x:c r="A652" s="22" t="str">
        <x:v>2020-00086</x:v>
      </x:c>
      <x:c r="B652" s="22" t="str">
        <x:v>L2023-00036-1</x:v>
      </x:c>
      <x:c r="C652" s="22" t="str">
        <x:v>공사</x:v>
      </x:c>
      <x:c r="D652" s="25" t="str">
        <x:v>우즈베키스탄 우르겐치 직업훈련원 건립 및 타슈켄트 교사연수센터 건립사업 시공업체선정 현지입찰</x:v>
      </x:c>
      <x:c r="E652" s="22" t="n">
        <x:v>1</x:v>
      </x:c>
      <x:c r="F652" s="22" t="str">
        <x:v>.xls</x:v>
      </x:c>
      <x:c r="G652" s="25" t="str">
        <x:v>L2023-00036-1/붙임3_입찰관련서류_검토완_0717/Section 4.  Bill of Quantities(Not-Priced)/공내역서/VTC견적서/2 УПК(Practice and Education Building)/2-7 ВН, СКС(CCTV &amp; Network)/bv13280.xls</x:v>
      </x:c>
      <x:c r="H652" s="28" t="n">
        <x:v>108032</x:v>
      </x:c>
      <x:c r="I652" s="22" t="str">
        <x:v>6992044beb67c2e32411290725db35b2c64559310aff468a4b53db8d3f90312f</x:v>
      </x:c>
      <x:c r="J652" s="22" t="n">
        <x:v>0</x:v>
      </x:c>
      <x:c r="K652" s="22" t="n">
        <x:v>1</x:v>
      </x:c>
      <x:c r="L652" s="22" t="n">
        <x:v>1</x:v>
      </x:c>
      <x:c r="M652" s="28" t="n">
        <x:v>0</x:v>
      </x:c>
      <x:c r="N652" s="28" t="n">
        <x:v>0</x:v>
      </x:c>
      <x:c r="O652" s="28" t="n">
        <x:v>0</x:v>
      </x:c>
      <x:c r="P652" s="62" t="n">
        <x:v>0</x:v>
      </x:c>
      <x:c r="Q652" s="22" t="n">
        <x:v>0</x:v>
      </x:c>
      <x:c r="R652" s="22" t="str"/>
      <x:c r="S652" s="22" t="str"/>
      <x:c r="T652" s="22" t="str"/>
    </x:row>
    <x:row r="653">
      <x:c r="A653" s="22" t="str">
        <x:v>2020-00086</x:v>
      </x:c>
      <x:c r="B653" s="22" t="str">
        <x:v>L2023-00036-1</x:v>
      </x:c>
      <x:c r="C653" s="22" t="str">
        <x:v>공사</x:v>
      </x:c>
      <x:c r="D653" s="25" t="str">
        <x:v>우즈베키스탄 우르겐치 직업훈련원 건립 및 타슈켄트 교사연수센터 건립사업 시공업체선정 현지입찰</x:v>
      </x:c>
      <x:c r="E653" s="22" t="n">
        <x:v>1</x:v>
      </x:c>
      <x:c r="F653" s="22" t="str">
        <x:v>.xls</x:v>
      </x:c>
      <x:c r="G653" s="25" t="str">
        <x:v>L2023-00036-1/붙임3_입찰관련서류_검토완_0717/Section 4.  Bill of Quantities(Not-Priced)/공내역서/VTC견적서/2 УПК(Practice and Education Building)/2-2 АР(Architecture)/bv13180.xls</x:v>
      </x:c>
      <x:c r="H653" s="28" t="n">
        <x:v>216064</x:v>
      </x:c>
      <x:c r="I653" s="22" t="str">
        <x:v>0a4453a2cbcb0fb035d5a2ee0e7a231433a198a6bc5351d8192be15d300f39db</x:v>
      </x:c>
      <x:c r="J653" s="22" t="n">
        <x:v>0</x:v>
      </x:c>
      <x:c r="K653" s="22" t="n">
        <x:v>1</x:v>
      </x:c>
      <x:c r="L653" s="22" t="n">
        <x:v>1</x:v>
      </x:c>
      <x:c r="M653" s="28" t="n">
        <x:v>0</x:v>
      </x:c>
      <x:c r="N653" s="28" t="n">
        <x:v>0</x:v>
      </x:c>
      <x:c r="O653" s="28" t="n">
        <x:v>0</x:v>
      </x:c>
      <x:c r="P653" s="62" t="n">
        <x:v>0</x:v>
      </x:c>
      <x:c r="Q653" s="22" t="n">
        <x:v>0</x:v>
      </x:c>
      <x:c r="R653" s="22" t="str"/>
      <x:c r="S653" s="22" t="str"/>
      <x:c r="T653" s="22" t="str"/>
    </x:row>
    <x:row r="654">
      <x:c r="A654" s="22" t="str">
        <x:v>2020-00086</x:v>
      </x:c>
      <x:c r="B654" s="22" t="str">
        <x:v>L2023-00036-1</x:v>
      </x:c>
      <x:c r="C654" s="22" t="str">
        <x:v>공사</x:v>
      </x:c>
      <x:c r="D654" s="25" t="str">
        <x:v>우즈베키스탄 우르겐치 직업훈련원 건립 및 타슈켄트 교사연수센터 건립사업 시공업체선정 현지입찰</x:v>
      </x:c>
      <x:c r="E654" s="22" t="n">
        <x:v>1</x:v>
      </x:c>
      <x:c r="F654" s="22" t="str">
        <x:v>.xls</x:v>
      </x:c>
      <x:c r="G654" s="25" t="str">
        <x:v>L2023-00036-1/붙임3_입찰관련서류_검토완_0717/Section 4.  Bill of Quantities(Not-Priced)/공내역서/VTC견적서/2 УПК(Practice and Education Building)/2-2 АР(Architecture)/13183_vfor.xls</x:v>
      </x:c>
      <x:c r="H654" s="28" t="n">
        <x:v>57344</x:v>
      </x:c>
      <x:c r="I654" s="22" t="str">
        <x:v>ced6d9cc5f0dc47f2fbaa02466c757851c746ad533d0b2a7e89d6670c94b95f5</x:v>
      </x:c>
      <x:c r="J654" s="22" t="n">
        <x:v>0</x:v>
      </x:c>
      <x:c r="K654" s="22" t="n">
        <x:v>1</x:v>
      </x:c>
      <x:c r="L654" s="22" t="n">
        <x:v>1</x:v>
      </x:c>
      <x:c r="M654" s="28" t="n">
        <x:v>0</x:v>
      </x:c>
      <x:c r="N654" s="28" t="n">
        <x:v>0</x:v>
      </x:c>
      <x:c r="O654" s="28" t="n">
        <x:v>0</x:v>
      </x:c>
      <x:c r="P654" s="62" t="n">
        <x:v>0</x:v>
      </x:c>
      <x:c r="Q654" s="22" t="n">
        <x:v>0</x:v>
      </x:c>
      <x:c r="R654" s="22" t="str"/>
      <x:c r="S654" s="22" t="str"/>
      <x:c r="T654" s="22" t="str"/>
    </x:row>
    <x:row r="655">
      <x:c r="A655" s="22" t="str">
        <x:v>2020-00086</x:v>
      </x:c>
      <x:c r="B655" s="22" t="str">
        <x:v>L2023-00036-1</x:v>
      </x:c>
      <x:c r="C655" s="22" t="str">
        <x:v>공사</x:v>
      </x:c>
      <x:c r="D655" s="25" t="str">
        <x:v>우즈베키스탄 우르겐치 직업훈련원 건립 및 타슈켄트 교사연수센터 건립사업 시공업체선정 현지입찰</x:v>
      </x:c>
      <x:c r="E655" s="22" t="n">
        <x:v>1</x:v>
      </x:c>
      <x:c r="F655" s="22" t="str">
        <x:v>.xls</x:v>
      </x:c>
      <x:c r="G655" s="25" t="str">
        <x:v>L2023-00036-1/붙임3_입찰관련서류_검토완_0717/Section 4.  Bill of Quantities(Not-Priced)/공내역서/VTC견적서/2 УПК(Practice and Education Building)/2-2 АР(Architecture)/13183_vrmu.xls</x:v>
      </x:c>
      <x:c r="H655" s="28" t="n">
        <x:v>82432</x:v>
      </x:c>
      <x:c r="I655" s="22" t="str">
        <x:v>d785547f100119bf8fe99b2cf9a925055b4fd0715cf243dd3de72fa18b6a5902</x:v>
      </x:c>
      <x:c r="J655" s="22" t="n">
        <x:v>0</x:v>
      </x:c>
      <x:c r="K655" s="22" t="n">
        <x:v>1</x:v>
      </x:c>
      <x:c r="L655" s="22" t="n">
        <x:v>1</x:v>
      </x:c>
      <x:c r="M655" s="28" t="n">
        <x:v>1</x:v>
      </x:c>
      <x:c r="N655" s="28" t="n">
        <x:v>189</x:v>
      </x:c>
      <x:c r="O655" s="28" t="n">
        <x:v>1</x:v>
      </x:c>
      <x:c r="P655" s="62" t="n">
        <x:v>0.005291005291005291</x:v>
      </x:c>
      <x:c r="Q655" s="22" t="n">
        <x:v>0</x:v>
      </x:c>
      <x:c r="R655" s="22" t="str">
        <x:v>Лист1</x:v>
      </x:c>
      <x:c r="S655" s="22" t="str">
        <x:v>visible</x:v>
      </x:c>
      <x:c r="T655" s="22" t="str"/>
    </x:row>
    <x:row r="656">
      <x:c r="A656" s="22" t="str">
        <x:v>2020-00086</x:v>
      </x:c>
      <x:c r="B656" s="22" t="str">
        <x:v>L2023-00036-1</x:v>
      </x:c>
      <x:c r="C656" s="22" t="str">
        <x:v>공사</x:v>
      </x:c>
      <x:c r="D656" s="25" t="str">
        <x:v>우즈베키스탄 우르겐치 직업훈련원 건립 및 타슈켄트 교사연수센터 건립사업 시공업체선정 현지입찰</x:v>
      </x:c>
      <x:c r="E656" s="22" t="n">
        <x:v>1</x:v>
      </x:c>
      <x:c r="F656" s="22" t="str">
        <x:v>.xls</x:v>
      </x:c>
      <x:c r="G656" s="25" t="str">
        <x:v>L2023-00036-1/붙임3_입찰관련서류_검토완_0717/Section 4.  Bill of Quantities(Not-Priced)/공내역서/VTC견적서/1 АДМИН ЗДАНИЕ(Admin. Build)/1-1 КЖ(Structure)/bv13060.xls</x:v>
      </x:c>
      <x:c r="H656" s="28" t="n">
        <x:v>726528</x:v>
      </x:c>
      <x:c r="I656" s="22" t="str">
        <x:v>24109ba5131665957977d77e5eaf5651afc7be65b2c614927a1f2a469e3a4094</x:v>
      </x:c>
      <x:c r="J656" s="22" t="n">
        <x:v>0</x:v>
      </x:c>
      <x:c r="K656" s="22" t="n">
        <x:v>1</x:v>
      </x:c>
      <x:c r="L656" s="22" t="n">
        <x:v>1</x:v>
      </x:c>
      <x:c r="M656" s="28" t="n">
        <x:v>0</x:v>
      </x:c>
      <x:c r="N656" s="28" t="n">
        <x:v>0</x:v>
      </x:c>
      <x:c r="O656" s="28" t="n">
        <x:v>0</x:v>
      </x:c>
      <x:c r="P656" s="62" t="n">
        <x:v>0</x:v>
      </x:c>
      <x:c r="Q656" s="22" t="n">
        <x:v>0</x:v>
      </x:c>
      <x:c r="R656" s="22" t="str"/>
      <x:c r="S656" s="22" t="str"/>
      <x:c r="T656" s="22" t="str"/>
    </x:row>
    <x:row r="657">
      <x:c r="A657" s="22" t="str">
        <x:v>2020-00086</x:v>
      </x:c>
      <x:c r="B657" s="22" t="str">
        <x:v>L2023-00036-1</x:v>
      </x:c>
      <x:c r="C657" s="22" t="str">
        <x:v>공사</x:v>
      </x:c>
      <x:c r="D657" s="25" t="str">
        <x:v>우즈베키스탄 우르겐치 직업훈련원 건립 및 타슈켄트 교사연수센터 건립사업 시공업체선정 현지입찰</x:v>
      </x:c>
      <x:c r="E657" s="22" t="n">
        <x:v>1</x:v>
      </x:c>
      <x:c r="F657" s="22" t="str">
        <x:v>.xls</x:v>
      </x:c>
      <x:c r="G657" s="25" t="str">
        <x:v>L2023-00036-1/붙임3_입찰관련서류_검토완_0717/Section 4.  Bill of Quantities(Not-Priced)/공내역서/VTC견적서/1 АДМИН ЗДАНИЕ(Admin. Build)/1-1 КЖ(Structure)/13063_vrmu.xls</x:v>
      </x:c>
      <x:c r="H657" s="28" t="n">
        <x:v>79360</x:v>
      </x:c>
      <x:c r="I657" s="22" t="str">
        <x:v>97ca88b1db2e39ab8d470cd74e64acd38eb9c5888d5f78c83da36d324fa0e727</x:v>
      </x:c>
      <x:c r="J657" s="22" t="n">
        <x:v>0</x:v>
      </x:c>
      <x:c r="K657" s="22" t="n">
        <x:v>1</x:v>
      </x:c>
      <x:c r="L657" s="22" t="n">
        <x:v>1</x:v>
      </x:c>
      <x:c r="M657" s="28" t="n">
        <x:v>1</x:v>
      </x:c>
      <x:c r="N657" s="28" t="n">
        <x:v>163</x:v>
      </x:c>
      <x:c r="O657" s="28" t="n">
        <x:v>1</x:v>
      </x:c>
      <x:c r="P657" s="62" t="n">
        <x:v>0.006134969325153374</x:v>
      </x:c>
      <x:c r="Q657" s="22" t="n">
        <x:v>0</x:v>
      </x:c>
      <x:c r="R657" s="22" t="str">
        <x:v>Лист1</x:v>
      </x:c>
      <x:c r="S657" s="22" t="str">
        <x:v>visible</x:v>
      </x:c>
      <x:c r="T657" s="22" t="str"/>
    </x:row>
    <x:row r="658">
      <x:c r="A658" s="22" t="str">
        <x:v>2020-00086</x:v>
      </x:c>
      <x:c r="B658" s="22" t="str">
        <x:v>L2023-00036-1</x:v>
      </x:c>
      <x:c r="C658" s="22" t="str">
        <x:v>공사</x:v>
      </x:c>
      <x:c r="D658" s="25" t="str">
        <x:v>우즈베키스탄 우르겐치 직업훈련원 건립 및 타슈켄트 교사연수센터 건립사업 시공업체선정 현지입찰</x:v>
      </x:c>
      <x:c r="E658" s="22" t="n">
        <x:v>1</x:v>
      </x:c>
      <x:c r="F658" s="22" t="str">
        <x:v>.xls</x:v>
      </x:c>
      <x:c r="G658" s="25" t="str">
        <x:v>L2023-00036-1/붙임3_입찰관련서류_검토완_0717/Section 4.  Bill of Quantities(Not-Priced)/공내역서/VTC견적서/1 АДМИН ЗДАНИЕ(Admin. Build)/1-1 КЖ(Structure)/13063_vfor.xls</x:v>
      </x:c>
      <x:c r="H658" s="28" t="n">
        <x:v>118272</x:v>
      </x:c>
      <x:c r="I658" s="22" t="str">
        <x:v>722aad89cd38a9a05303abe12485831eca2450747711346f1c22d77bdb78f05b</x:v>
      </x:c>
      <x:c r="J658" s="22" t="n">
        <x:v>0</x:v>
      </x:c>
      <x:c r="K658" s="22" t="n">
        <x:v>1</x:v>
      </x:c>
      <x:c r="L658" s="22" t="n">
        <x:v>1</x:v>
      </x:c>
      <x:c r="M658" s="28" t="n">
        <x:v>0</x:v>
      </x:c>
      <x:c r="N658" s="28" t="n">
        <x:v>0</x:v>
      </x:c>
      <x:c r="O658" s="28" t="n">
        <x:v>0</x:v>
      </x:c>
      <x:c r="P658" s="62" t="n">
        <x:v>0</x:v>
      </x:c>
      <x:c r="Q658" s="22" t="n">
        <x:v>0</x:v>
      </x:c>
      <x:c r="R658" s="22" t="str"/>
      <x:c r="S658" s="22" t="str"/>
      <x:c r="T658" s="22" t="str"/>
    </x:row>
    <x:row r="659">
      <x:c r="A659" s="22" t="str">
        <x:v>2020-00086</x:v>
      </x:c>
      <x:c r="B659" s="22" t="str">
        <x:v>L2023-00036-1</x:v>
      </x:c>
      <x:c r="C659" s="22" t="str">
        <x:v>공사</x:v>
      </x:c>
      <x:c r="D659" s="25" t="str">
        <x:v>우즈베키스탄 우르겐치 직업훈련원 건립 및 타슈켄트 교사연수센터 건립사업 시공업체선정 현지입찰</x:v>
      </x:c>
      <x:c r="E659" s="22" t="n">
        <x:v>1</x:v>
      </x:c>
      <x:c r="F659" s="22" t="str">
        <x:v>.xls</x:v>
      </x:c>
      <x:c r="G659" s="25" t="str">
        <x:v>L2023-00036-1/붙임3_입찰관련서류_검토완_0717/Section 4.  Bill of Quantities(Not-Priced)/공내역서/VTC견적서/1 АДМИН ЗДАНИЕ(Admin. Build)/1-5 ЭО(Electric)/13493_vrmu.xls</x:v>
      </x:c>
      <x:c r="H659" s="28" t="n">
        <x:v>95744</x:v>
      </x:c>
      <x:c r="I659" s="22" t="str">
        <x:v>ebe77e774131a081d32956fc8861c1d8f742a8828afd9bed0fd71db438f6f165</x:v>
      </x:c>
      <x:c r="J659" s="22" t="n">
        <x:v>0</x:v>
      </x:c>
      <x:c r="K659" s="22" t="n">
        <x:v>1</x:v>
      </x:c>
      <x:c r="L659" s="22" t="n">
        <x:v>1</x:v>
      </x:c>
      <x:c r="M659" s="28" t="n">
        <x:v>0</x:v>
      </x:c>
      <x:c r="N659" s="28" t="n">
        <x:v>0</x:v>
      </x:c>
      <x:c r="O659" s="28" t="n">
        <x:v>0</x:v>
      </x:c>
      <x:c r="P659" s="62" t="n">
        <x:v>0</x:v>
      </x:c>
      <x:c r="Q659" s="22" t="n">
        <x:v>0</x:v>
      </x:c>
      <x:c r="R659" s="22" t="str"/>
      <x:c r="S659" s="22" t="str"/>
      <x:c r="T659" s="22" t="str"/>
    </x:row>
    <x:row r="660">
      <x:c r="A660" s="22" t="str">
        <x:v>2020-00086</x:v>
      </x:c>
      <x:c r="B660" s="22" t="str">
        <x:v>L2023-00036-1</x:v>
      </x:c>
      <x:c r="C660" s="22" t="str">
        <x:v>공사</x:v>
      </x:c>
      <x:c r="D660" s="25" t="str">
        <x:v>우즈베키스탄 우르겐치 직업훈련원 건립 및 타슈켄트 교사연수센터 건립사업 시공업체선정 현지입찰</x:v>
      </x:c>
      <x:c r="E660" s="22" t="n">
        <x:v>1</x:v>
      </x:c>
      <x:c r="F660" s="22" t="str">
        <x:v>.xls</x:v>
      </x:c>
      <x:c r="G660" s="25" t="str">
        <x:v>L2023-00036-1/붙임3_입찰관련서류_검토완_0717/Section 4.  Bill of Quantities(Not-Priced)/공내역서/VTC견적서/1 АДМИН ЗДАНИЕ(Admin. Build)/1-5 ЭО(Electric)/bv13490.xls</x:v>
      </x:c>
      <x:c r="H660" s="28" t="n">
        <x:v>158720</x:v>
      </x:c>
      <x:c r="I660" s="22" t="str">
        <x:v>bd5f8e35593e9c7efc6d645f53dd05706c78ef405c09926c16e8f6574c780cc0</x:v>
      </x:c>
      <x:c r="J660" s="22" t="n">
        <x:v>0</x:v>
      </x:c>
      <x:c r="K660" s="22" t="n">
        <x:v>1</x:v>
      </x:c>
      <x:c r="L660" s="22" t="n">
        <x:v>1</x:v>
      </x:c>
      <x:c r="M660" s="28" t="n">
        <x:v>0</x:v>
      </x:c>
      <x:c r="N660" s="28" t="n">
        <x:v>0</x:v>
      </x:c>
      <x:c r="O660" s="28" t="n">
        <x:v>0</x:v>
      </x:c>
      <x:c r="P660" s="62" t="n">
        <x:v>0</x:v>
      </x:c>
      <x:c r="Q660" s="22" t="n">
        <x:v>0</x:v>
      </x:c>
      <x:c r="R660" s="22" t="str"/>
      <x:c r="S660" s="22" t="str"/>
      <x:c r="T660" s="22" t="str"/>
    </x:row>
    <x:row r="661">
      <x:c r="A661" s="22" t="str">
        <x:v>2020-00086</x:v>
      </x:c>
      <x:c r="B661" s="22" t="str">
        <x:v>L2023-00036-1</x:v>
      </x:c>
      <x:c r="C661" s="22" t="str">
        <x:v>공사</x:v>
      </x:c>
      <x:c r="D661" s="25" t="str">
        <x:v>우즈베키스탄 우르겐치 직업훈련원 건립 및 타슈켄트 교사연수센터 건립사업 시공업체선정 현지입찰</x:v>
      </x:c>
      <x:c r="E661" s="22" t="n">
        <x:v>1</x:v>
      </x:c>
      <x:c r="F661" s="22" t="str">
        <x:v>.xls</x:v>
      </x:c>
      <x:c r="G661" s="25" t="str">
        <x:v>L2023-00036-1/붙임3_입찰관련서류_검토완_0717/Section 4.  Bill of Quantities(Not-Priced)/공내역서/VTC견적서/1 АДМИН ЗДАНИЕ(Admin. Build)/1-7 ВН, СКС(CCTV &amp; Network)/bv13260.xls</x:v>
      </x:c>
      <x:c r="H661" s="28" t="n">
        <x:v>107520</x:v>
      </x:c>
      <x:c r="I661" s="22" t="str">
        <x:v>da9736d6f767a8ecd457f4daac55033b9573e34d0967a3842ac2dd832de749d3</x:v>
      </x:c>
      <x:c r="J661" s="22" t="n">
        <x:v>0</x:v>
      </x:c>
      <x:c r="K661" s="22" t="n">
        <x:v>1</x:v>
      </x:c>
      <x:c r="L661" s="22" t="n">
        <x:v>1</x:v>
      </x:c>
      <x:c r="M661" s="28" t="n">
        <x:v>0</x:v>
      </x:c>
      <x:c r="N661" s="28" t="n">
        <x:v>0</x:v>
      </x:c>
      <x:c r="O661" s="28" t="n">
        <x:v>0</x:v>
      </x:c>
      <x:c r="P661" s="62" t="n">
        <x:v>0</x:v>
      </x:c>
      <x:c r="Q661" s="22" t="n">
        <x:v>0</x:v>
      </x:c>
      <x:c r="R661" s="22" t="str"/>
      <x:c r="S661" s="22" t="str"/>
      <x:c r="T661" s="22" t="str"/>
    </x:row>
    <x:row r="662">
      <x:c r="A662" s="22" t="str">
        <x:v>2020-00086</x:v>
      </x:c>
      <x:c r="B662" s="22" t="str">
        <x:v>L2023-00036-1</x:v>
      </x:c>
      <x:c r="C662" s="22" t="str">
        <x:v>공사</x:v>
      </x:c>
      <x:c r="D662" s="25" t="str">
        <x:v>우즈베키스탄 우르겐치 직업훈련원 건립 및 타슈켄트 교사연수센터 건립사업 시공업체선정 현지입찰</x:v>
      </x:c>
      <x:c r="E662" s="22" t="n">
        <x:v>1</x:v>
      </x:c>
      <x:c r="F662" s="22" t="str">
        <x:v>.xls</x:v>
      </x:c>
      <x:c r="G662" s="25" t="str">
        <x:v>L2023-00036-1/붙임3_입찰관련서류_검토완_0717/Section 4.  Bill of Quantities(Not-Priced)/공내역서/VTC견적서/1 АДМИН ЗДАНИЕ(Admin. Build)/1-7 ВН, СКС(CCTV &amp; Network)/13263_vfor.xls</x:v>
      </x:c>
      <x:c r="H662" s="28" t="n">
        <x:v>47616</x:v>
      </x:c>
      <x:c r="I662" s="22" t="str">
        <x:v>7a8b4feeaa0c2b59e5da2fb55f1768d770b5ad657133ec053d138eb8e9bce861</x:v>
      </x:c>
      <x:c r="J662" s="22" t="n">
        <x:v>0</x:v>
      </x:c>
      <x:c r="K662" s="22" t="n">
        <x:v>1</x:v>
      </x:c>
      <x:c r="L662" s="22" t="n">
        <x:v>1</x:v>
      </x:c>
      <x:c r="M662" s="28" t="n">
        <x:v>0</x:v>
      </x:c>
      <x:c r="N662" s="28" t="n">
        <x:v>0</x:v>
      </x:c>
      <x:c r="O662" s="28" t="n">
        <x:v>0</x:v>
      </x:c>
      <x:c r="P662" s="62" t="n">
        <x:v>0</x:v>
      </x:c>
      <x:c r="Q662" s="22" t="n">
        <x:v>0</x:v>
      </x:c>
      <x:c r="R662" s="22" t="str"/>
      <x:c r="S662" s="22" t="str"/>
      <x:c r="T662" s="22" t="str"/>
    </x:row>
    <x:row r="663">
      <x:c r="A663" s="22" t="str">
        <x:v>2020-00086</x:v>
      </x:c>
      <x:c r="B663" s="22" t="str">
        <x:v>L2023-00036-1</x:v>
      </x:c>
      <x:c r="C663" s="22" t="str">
        <x:v>공사</x:v>
      </x:c>
      <x:c r="D663" s="25" t="str">
        <x:v>우즈베키스탄 우르겐치 직업훈련원 건립 및 타슈켄트 교사연수센터 건립사업 시공업체선정 현지입찰</x:v>
      </x:c>
      <x:c r="E663" s="22" t="n">
        <x:v>1</x:v>
      </x:c>
      <x:c r="F663" s="22" t="str">
        <x:v>.xls</x:v>
      </x:c>
      <x:c r="G663" s="25" t="str">
        <x:v>L2023-00036-1/붙임3_입찰관련서류_검토완_0717/Section 4.  Bill of Quantities(Not-Priced)/공내역서/VTC견적서/1 АДМИН ЗДАНИЕ(Admin. Build)/1-7 ВН, СКС(CCTV &amp; Network)/13263_vrmu.xls</x:v>
      </x:c>
      <x:c r="H663" s="28" t="n">
        <x:v>68608</x:v>
      </x:c>
      <x:c r="I663" s="22" t="str">
        <x:v>6c0471c582338da570a451cd77b90965fe575e9f9b5a76c47f242fa9f7baf869</x:v>
      </x:c>
      <x:c r="J663" s="22" t="n">
        <x:v>0</x:v>
      </x:c>
      <x:c r="K663" s="22" t="n">
        <x:v>1</x:v>
      </x:c>
      <x:c r="L663" s="22" t="n">
        <x:v>1</x:v>
      </x:c>
      <x:c r="M663" s="28" t="n">
        <x:v>1</x:v>
      </x:c>
      <x:c r="N663" s="28" t="n">
        <x:v>121</x:v>
      </x:c>
      <x:c r="O663" s="28" t="n">
        <x:v>1</x:v>
      </x:c>
      <x:c r="P663" s="62" t="n">
        <x:v>0.008264462809917356</x:v>
      </x:c>
      <x:c r="Q663" s="22" t="n">
        <x:v>0</x:v>
      </x:c>
      <x:c r="R663" s="22" t="str">
        <x:v>Лист1</x:v>
      </x:c>
      <x:c r="S663" s="22" t="str">
        <x:v>visible</x:v>
      </x:c>
      <x:c r="T663" s="22" t="str"/>
    </x:row>
    <x:row r="664">
      <x:c r="A664" s="22" t="str">
        <x:v>2020-00086</x:v>
      </x:c>
      <x:c r="B664" s="22" t="str">
        <x:v>L2023-00036-1</x:v>
      </x:c>
      <x:c r="C664" s="22" t="str">
        <x:v>공사</x:v>
      </x:c>
      <x:c r="D664" s="25" t="str">
        <x:v>우즈베키스탄 우르겐치 직업훈련원 건립 및 타슈켄트 교사연수센터 건립사업 시공업체선정 현지입찰</x:v>
      </x:c>
      <x:c r="E664" s="22" t="n">
        <x:v>1</x:v>
      </x:c>
      <x:c r="F664" s="22" t="str">
        <x:v>.xls</x:v>
      </x:c>
      <x:c r="G664" s="25" t="str">
        <x:v>L2023-00036-1/붙임3_입찰관련서류_검토완_0717/Section 4.  Bill of Quantities(Not-Priced)/공내역서/VTC견적서/1 АДМИН ЗДАНИЕ(Admin. Build)/1-4 ВК(Water &amp; Sewer &amp; Fireplug)/13133_vfor.xls</x:v>
      </x:c>
      <x:c r="H664" s="28" t="n">
        <x:v>52736</x:v>
      </x:c>
      <x:c r="I664" s="22" t="str">
        <x:v>741ec748efad6c50d4f9031854c9af39efdae94a7f251502f482d1e634696395</x:v>
      </x:c>
      <x:c r="J664" s="22" t="n">
        <x:v>0</x:v>
      </x:c>
      <x:c r="K664" s="22" t="n">
        <x:v>1</x:v>
      </x:c>
      <x:c r="L664" s="22" t="n">
        <x:v>1</x:v>
      </x:c>
      <x:c r="M664" s="28" t="n">
        <x:v>0</x:v>
      </x:c>
      <x:c r="N664" s="28" t="n">
        <x:v>0</x:v>
      </x:c>
      <x:c r="O664" s="28" t="n">
        <x:v>0</x:v>
      </x:c>
      <x:c r="P664" s="62" t="n">
        <x:v>0</x:v>
      </x:c>
      <x:c r="Q664" s="22" t="n">
        <x:v>0</x:v>
      </x:c>
      <x:c r="R664" s="22" t="str"/>
      <x:c r="S664" s="22" t="str"/>
      <x:c r="T664" s="22" t="str"/>
    </x:row>
    <x:row r="665">
      <x:c r="A665" s="22" t="str">
        <x:v>2020-00086</x:v>
      </x:c>
      <x:c r="B665" s="22" t="str">
        <x:v>L2023-00036-1</x:v>
      </x:c>
      <x:c r="C665" s="22" t="str">
        <x:v>공사</x:v>
      </x:c>
      <x:c r="D665" s="25" t="str">
        <x:v>우즈베키스탄 우르겐치 직업훈련원 건립 및 타슈켄트 교사연수센터 건립사업 시공업체선정 현지입찰</x:v>
      </x:c>
      <x:c r="E665" s="22" t="n">
        <x:v>1</x:v>
      </x:c>
      <x:c r="F665" s="22" t="str">
        <x:v>.xls</x:v>
      </x:c>
      <x:c r="G665" s="25" t="str">
        <x:v>L2023-00036-1/붙임3_입찰관련서류_검토완_0717/Section 4.  Bill of Quantities(Not-Priced)/공내역서/VTC견적서/1 АДМИН ЗДАНИЕ(Admin. Build)/1-4 ВК(Water &amp; Sewer &amp; Fireplug)/bv13130.xls</x:v>
      </x:c>
      <x:c r="H665" s="28" t="n">
        <x:v>154624</x:v>
      </x:c>
      <x:c r="I665" s="22" t="str">
        <x:v>1223ff48761e0fa74c64b76affe4f9a0bba0f90d9621723ff81afca192aa3ec9</x:v>
      </x:c>
      <x:c r="J665" s="22" t="n">
        <x:v>0</x:v>
      </x:c>
      <x:c r="K665" s="22" t="n">
        <x:v>1</x:v>
      </x:c>
      <x:c r="L665" s="22" t="n">
        <x:v>1</x:v>
      </x:c>
      <x:c r="M665" s="28" t="n">
        <x:v>0</x:v>
      </x:c>
      <x:c r="N665" s="28" t="n">
        <x:v>0</x:v>
      </x:c>
      <x:c r="O665" s="28" t="n">
        <x:v>0</x:v>
      </x:c>
      <x:c r="P665" s="62" t="n">
        <x:v>0</x:v>
      </x:c>
      <x:c r="Q665" s="22" t="n">
        <x:v>0</x:v>
      </x:c>
      <x:c r="R665" s="22" t="str"/>
      <x:c r="S665" s="22" t="str"/>
      <x:c r="T665" s="22" t="str"/>
    </x:row>
    <x:row r="666">
      <x:c r="A666" s="22" t="str">
        <x:v>2020-00086</x:v>
      </x:c>
      <x:c r="B666" s="22" t="str">
        <x:v>L2023-00036-1</x:v>
      </x:c>
      <x:c r="C666" s="22" t="str">
        <x:v>공사</x:v>
      </x:c>
      <x:c r="D666" s="25" t="str">
        <x:v>우즈베키스탄 우르겐치 직업훈련원 건립 및 타슈켄트 교사연수센터 건립사업 시공업체선정 현지입찰</x:v>
      </x:c>
      <x:c r="E666" s="22" t="n">
        <x:v>1</x:v>
      </x:c>
      <x:c r="F666" s="22" t="str">
        <x:v>.xls</x:v>
      </x:c>
      <x:c r="G666" s="25" t="str">
        <x:v>L2023-00036-1/붙임3_입찰관련서류_검토완_0717/Section 4.  Bill of Quantities(Not-Priced)/공내역서/VTC견적서/1 АДМИН ЗДАНИЕ(Admin. Build)/1-4 ВК(Water &amp; Sewer &amp; Fireplug)/13133_vrmu.xls</x:v>
      </x:c>
      <x:c r="H666" s="28" t="n">
        <x:v>79360</x:v>
      </x:c>
      <x:c r="I666" s="22" t="str">
        <x:v>b0afbc4d11efcf493a5e6015f97ca5b4a7b9097194af5dc00c5ac2e9b8482153</x:v>
      </x:c>
      <x:c r="J666" s="22" t="n">
        <x:v>0</x:v>
      </x:c>
      <x:c r="K666" s="22" t="n">
        <x:v>1</x:v>
      </x:c>
      <x:c r="L666" s="22" t="n">
        <x:v>1</x:v>
      </x:c>
      <x:c r="M666" s="28" t="n">
        <x:v>1</x:v>
      </x:c>
      <x:c r="N666" s="28" t="n">
        <x:v>169</x:v>
      </x:c>
      <x:c r="O666" s="28" t="n">
        <x:v>1</x:v>
      </x:c>
      <x:c r="P666" s="62" t="n">
        <x:v>0.005917159763313609</x:v>
      </x:c>
      <x:c r="Q666" s="22" t="n">
        <x:v>0</x:v>
      </x:c>
      <x:c r="R666" s="22" t="str">
        <x:v>Лист1</x:v>
      </x:c>
      <x:c r="S666" s="22" t="str">
        <x:v>visible</x:v>
      </x:c>
      <x:c r="T666" s="22" t="str"/>
    </x:row>
    <x:row r="667">
      <x:c r="A667" s="22" t="str">
        <x:v>2020-00086</x:v>
      </x:c>
      <x:c r="B667" s="22" t="str">
        <x:v>L2023-00036-1</x:v>
      </x:c>
      <x:c r="C667" s="22" t="str">
        <x:v>공사</x:v>
      </x:c>
      <x:c r="D667" s="25" t="str">
        <x:v>우즈베키스탄 우르겐치 직업훈련원 건립 및 타슈켄트 교사연수센터 건립사업 시공업체선정 현지입찰</x:v>
      </x:c>
      <x:c r="E667" s="22" t="n">
        <x:v>1</x:v>
      </x:c>
      <x:c r="F667" s="22" t="str">
        <x:v>.xls</x:v>
      </x:c>
      <x:c r="G667" s="25" t="str">
        <x:v>L2023-00036-1/붙임3_입찰관련서류_검토완_0717/Section 4.  Bill of Quantities(Not-Priced)/공내역서/VTC견적서/1 АДМИН ЗДАНИЕ(Admin. Build)/1-10 ЛИФТ(ELEV)/13753_vrmu.xls</x:v>
      </x:c>
      <x:c r="H667" s="28" t="n">
        <x:v>43008</x:v>
      </x:c>
      <x:c r="I667" s="22" t="str">
        <x:v>d8c8c9194e19cccc526a10c247d70181deba40b1b4cf1c4603bfe482647ccc57</x:v>
      </x:c>
      <x:c r="J667" s="22" t="n">
        <x:v>0</x:v>
      </x:c>
      <x:c r="K667" s="22" t="n">
        <x:v>1</x:v>
      </x:c>
      <x:c r="L667" s="22" t="n">
        <x:v>1</x:v>
      </x:c>
      <x:c r="M667" s="28" t="n">
        <x:v>0</x:v>
      </x:c>
      <x:c r="N667" s="28" t="n">
        <x:v>0</x:v>
      </x:c>
      <x:c r="O667" s="28" t="n">
        <x:v>0</x:v>
      </x:c>
      <x:c r="P667" s="62" t="n">
        <x:v>0</x:v>
      </x:c>
      <x:c r="Q667" s="22" t="n">
        <x:v>0</x:v>
      </x:c>
      <x:c r="R667" s="22" t="str"/>
      <x:c r="S667" s="22" t="str"/>
      <x:c r="T667" s="22" t="str"/>
    </x:row>
    <x:row r="668">
      <x:c r="A668" s="22" t="str">
        <x:v>2020-00086</x:v>
      </x:c>
      <x:c r="B668" s="22" t="str">
        <x:v>L2023-00036-1</x:v>
      </x:c>
      <x:c r="C668" s="22" t="str">
        <x:v>공사</x:v>
      </x:c>
      <x:c r="D668" s="25" t="str">
        <x:v>우즈베키스탄 우르겐치 직업훈련원 건립 및 타슈켄트 교사연수센터 건립사업 시공업체선정 현지입찰</x:v>
      </x:c>
      <x:c r="E668" s="22" t="n">
        <x:v>1</x:v>
      </x:c>
      <x:c r="F668" s="22" t="str">
        <x:v>.xls</x:v>
      </x:c>
      <x:c r="G668" s="25" t="str">
        <x:v>L2023-00036-1/붙임3_입찰관련서류_검토완_0717/Section 4.  Bill of Quantities(Not-Priced)/공내역서/VTC견적서/1 АДМИН ЗДАНИЕ(Admin. Build)/1-10 ЛИФТ(ELEV)/13753_vfor.xls</x:v>
      </x:c>
      <x:c r="H668" s="28" t="n">
        <x:v>30208</x:v>
      </x:c>
      <x:c r="I668" s="22" t="str">
        <x:v>b3579f537710c58124f00338f7e0f9e99571d8b9b633597f327e8b17d0a47566</x:v>
      </x:c>
      <x:c r="J668" s="22" t="n">
        <x:v>0</x:v>
      </x:c>
      <x:c r="K668" s="22" t="n">
        <x:v>1</x:v>
      </x:c>
      <x:c r="L668" s="22" t="n">
        <x:v>1</x:v>
      </x:c>
      <x:c r="M668" s="28" t="n">
        <x:v>0</x:v>
      </x:c>
      <x:c r="N668" s="28" t="n">
        <x:v>0</x:v>
      </x:c>
      <x:c r="O668" s="28" t="n">
        <x:v>0</x:v>
      </x:c>
      <x:c r="P668" s="62" t="n">
        <x:v>0</x:v>
      </x:c>
      <x:c r="Q668" s="22" t="n">
        <x:v>0</x:v>
      </x:c>
      <x:c r="R668" s="22" t="str"/>
      <x:c r="S668" s="22" t="str"/>
      <x:c r="T668" s="22" t="str"/>
    </x:row>
    <x:row r="669">
      <x:c r="A669" s="22" t="str">
        <x:v>2020-00086</x:v>
      </x:c>
      <x:c r="B669" s="22" t="str">
        <x:v>L2023-00036-1</x:v>
      </x:c>
      <x:c r="C669" s="22" t="str">
        <x:v>공사</x:v>
      </x:c>
      <x:c r="D669" s="25" t="str">
        <x:v>우즈베키스탄 우르겐치 직업훈련원 건립 및 타슈켄트 교사연수센터 건립사업 시공업체선정 현지입찰</x:v>
      </x:c>
      <x:c r="E669" s="22" t="n">
        <x:v>1</x:v>
      </x:c>
      <x:c r="F669" s="22" t="str">
        <x:v>.xls</x:v>
      </x:c>
      <x:c r="G669" s="25" t="str">
        <x:v>L2023-00036-1/붙임3_입찰관련서류_검토완_0717/Section 4.  Bill of Quantities(Not-Priced)/공내역서/VTC견적서/1 АДМИН ЗДАНИЕ(Admin. Build)/1-10 ЛИФТ(ELEV)/bv13750.xls</x:v>
      </x:c>
      <x:c r="H669" s="28" t="n">
        <x:v>54784</x:v>
      </x:c>
      <x:c r="I669" s="22" t="str">
        <x:v>eb9c87be647fc11b224374cdaaccddcc279ef6fd030d266e10a9e18b670be321</x:v>
      </x:c>
      <x:c r="J669" s="22" t="n">
        <x:v>0</x:v>
      </x:c>
      <x:c r="K669" s="22" t="n">
        <x:v>1</x:v>
      </x:c>
      <x:c r="L669" s="22" t="n">
        <x:v>1</x:v>
      </x:c>
      <x:c r="M669" s="28" t="n">
        <x:v>0</x:v>
      </x:c>
      <x:c r="N669" s="28" t="n">
        <x:v>0</x:v>
      </x:c>
      <x:c r="O669" s="28" t="n">
        <x:v>0</x:v>
      </x:c>
      <x:c r="P669" s="62" t="n">
        <x:v>0</x:v>
      </x:c>
      <x:c r="Q669" s="22" t="n">
        <x:v>0</x:v>
      </x:c>
      <x:c r="R669" s="22" t="str"/>
      <x:c r="S669" s="22" t="str"/>
      <x:c r="T669" s="22" t="str"/>
    </x:row>
    <x:row r="670">
      <x:c r="A670" s="22" t="str">
        <x:v>2020-00086</x:v>
      </x:c>
      <x:c r="B670" s="22" t="str">
        <x:v>L2023-00036-1</x:v>
      </x:c>
      <x:c r="C670" s="22" t="str">
        <x:v>공사</x:v>
      </x:c>
      <x:c r="D670" s="25" t="str">
        <x:v>우즈베키스탄 우르겐치 직업훈련원 건립 및 타슈켄트 교사연수센터 건립사업 시공업체선정 현지입찰</x:v>
      </x:c>
      <x:c r="E670" s="22" t="n">
        <x:v>1</x:v>
      </x:c>
      <x:c r="F670" s="22" t="str">
        <x:v>.xls</x:v>
      </x:c>
      <x:c r="G670" s="25" t="str">
        <x:v>L2023-00036-1/붙임3_입찰관련서류_검토완_0717/Section 4.  Bill of Quantities(Not-Priced)/공내역서/VTC견적서/1 АДМИН ЗДАНИЕ(Admin. Build)/1-3 ОВ(Heating &amp; Ventilation)/13483_vfor.xls</x:v>
      </x:c>
      <x:c r="H670" s="28" t="n">
        <x:v>99328</x:v>
      </x:c>
      <x:c r="I670" s="22" t="str">
        <x:v>ea2c98759901d209006d0bf437f6b47db3db59af4a523229e57e8127d6eaec66</x:v>
      </x:c>
      <x:c r="J670" s="22" t="n">
        <x:v>0</x:v>
      </x:c>
      <x:c r="K670" s="22" t="n">
        <x:v>1</x:v>
      </x:c>
      <x:c r="L670" s="22" t="n">
        <x:v>1</x:v>
      </x:c>
      <x:c r="M670" s="28" t="n">
        <x:v>0</x:v>
      </x:c>
      <x:c r="N670" s="28" t="n">
        <x:v>0</x:v>
      </x:c>
      <x:c r="O670" s="28" t="n">
        <x:v>0</x:v>
      </x:c>
      <x:c r="P670" s="62" t="n">
        <x:v>0</x:v>
      </x:c>
      <x:c r="Q670" s="22" t="n">
        <x:v>0</x:v>
      </x:c>
      <x:c r="R670" s="22" t="str"/>
      <x:c r="S670" s="22" t="str"/>
      <x:c r="T670" s="22" t="str"/>
    </x:row>
    <x:row r="671">
      <x:c r="A671" s="22" t="str">
        <x:v>2020-00086</x:v>
      </x:c>
      <x:c r="B671" s="22" t="str">
        <x:v>L2023-00036-1</x:v>
      </x:c>
      <x:c r="C671" s="22" t="str">
        <x:v>공사</x:v>
      </x:c>
      <x:c r="D671" s="25" t="str">
        <x:v>우즈베키스탄 우르겐치 직업훈련원 건립 및 타슈켄트 교사연수센터 건립사업 시공업체선정 현지입찰</x:v>
      </x:c>
      <x:c r="E671" s="22" t="n">
        <x:v>1</x:v>
      </x:c>
      <x:c r="F671" s="22" t="str">
        <x:v>.xls</x:v>
      </x:c>
      <x:c r="G671" s="25" t="str">
        <x:v>L2023-00036-1/붙임3_입찰관련서류_검토완_0717/Section 4.  Bill of Quantities(Not-Priced)/공내역서/VTC견적서/1 АДМИН ЗДАНИЕ(Admin. Build)/1-3 ОВ(Heating &amp; Ventilation)/bv13480.xls</x:v>
      </x:c>
      <x:c r="H671" s="28" t="n">
        <x:v>427008</x:v>
      </x:c>
      <x:c r="I671" s="22" t="str">
        <x:v>09bb65db10a11858d8ac285c8181d79f56e81b7cf85edc982df2b0f23f6c6b66</x:v>
      </x:c>
      <x:c r="J671" s="22" t="n">
        <x:v>0</x:v>
      </x:c>
      <x:c r="K671" s="22" t="n">
        <x:v>1</x:v>
      </x:c>
      <x:c r="L671" s="22" t="n">
        <x:v>1</x:v>
      </x:c>
      <x:c r="M671" s="28" t="n">
        <x:v>0</x:v>
      </x:c>
      <x:c r="N671" s="28" t="n">
        <x:v>0</x:v>
      </x:c>
      <x:c r="O671" s="28" t="n">
        <x:v>0</x:v>
      </x:c>
      <x:c r="P671" s="62" t="n">
        <x:v>0</x:v>
      </x:c>
      <x:c r="Q671" s="22" t="n">
        <x:v>0</x:v>
      </x:c>
      <x:c r="R671" s="22" t="str"/>
      <x:c r="S671" s="22" t="str"/>
      <x:c r="T671" s="22" t="str"/>
    </x:row>
    <x:row r="672">
      <x:c r="A672" s="22" t="str">
        <x:v>2020-00086</x:v>
      </x:c>
      <x:c r="B672" s="22" t="str">
        <x:v>L2023-00036-1</x:v>
      </x:c>
      <x:c r="C672" s="22" t="str">
        <x:v>공사</x:v>
      </x:c>
      <x:c r="D672" s="25" t="str">
        <x:v>우즈베키스탄 우르겐치 직업훈련원 건립 및 타슈켄트 교사연수센터 건립사업 시공업체선정 현지입찰</x:v>
      </x:c>
      <x:c r="E672" s="22" t="n">
        <x:v>1</x:v>
      </x:c>
      <x:c r="F672" s="22" t="str">
        <x:v>.xls</x:v>
      </x:c>
      <x:c r="G672" s="25" t="str">
        <x:v>L2023-00036-1/붙임3_입찰관련서류_검토완_0717/Section 4.  Bill of Quantities(Not-Priced)/공내역서/VTC견적서/1 АДМИН ЗДАНИЕ(Admin. Build)/1-3 ОВ(Heating &amp; Ventilation)/13483_vrmu.xls</x:v>
      </x:c>
      <x:c r="H672" s="28" t="n">
        <x:v>103936</x:v>
      </x:c>
      <x:c r="I672" s="22" t="str">
        <x:v>a04ed59f23ea1ae61745cad683d4cbaf5ae363e309db5658d259973ecd8f543d</x:v>
      </x:c>
      <x:c r="J672" s="22" t="n">
        <x:v>0</x:v>
      </x:c>
      <x:c r="K672" s="22" t="n">
        <x:v>1</x:v>
      </x:c>
      <x:c r="L672" s="22" t="n">
        <x:v>1</x:v>
      </x:c>
      <x:c r="M672" s="28" t="n">
        <x:v>1</x:v>
      </x:c>
      <x:c r="N672" s="28" t="n">
        <x:v>244</x:v>
      </x:c>
      <x:c r="O672" s="28" t="n">
        <x:v>1</x:v>
      </x:c>
      <x:c r="P672" s="62" t="n">
        <x:v>0.004098360655737705</x:v>
      </x:c>
      <x:c r="Q672" s="22" t="n">
        <x:v>0</x:v>
      </x:c>
      <x:c r="R672" s="22" t="str">
        <x:v>Лист1</x:v>
      </x:c>
      <x:c r="S672" s="22" t="str">
        <x:v>visible</x:v>
      </x:c>
      <x:c r="T672" s="22" t="str"/>
    </x:row>
    <x:row r="673">
      <x:c r="A673" s="22" t="str">
        <x:v>2020-00086</x:v>
      </x:c>
      <x:c r="B673" s="22" t="str">
        <x:v>L2023-00036-1</x:v>
      </x:c>
      <x:c r="C673" s="22" t="str">
        <x:v>공사</x:v>
      </x:c>
      <x:c r="D673" s="25" t="str">
        <x:v>우즈베키스탄 우르겐치 직업훈련원 건립 및 타슈켄트 교사연수센터 건립사업 시공업체선정 현지입찰</x:v>
      </x:c>
      <x:c r="E673" s="22" t="n">
        <x:v>1</x:v>
      </x:c>
      <x:c r="F673" s="22" t="str">
        <x:v>.xls</x:v>
      </x:c>
      <x:c r="G673" s="25" t="str">
        <x:v>L2023-00036-1/붙임3_입찰관련서류_검토완_0717/Section 4.  Bill of Quantities(Not-Priced)/공내역서/VTC견적서/1 АДМИН ЗДАНИЕ(Admin. Build)/1-6 ПС(Fire Alarm)/13253_vrmu.xls</x:v>
      </x:c>
      <x:c r="H673" s="28" t="n">
        <x:v>49152</x:v>
      </x:c>
      <x:c r="I673" s="22" t="str">
        <x:v>638ac1d9b3e1c826c7350759798f5c9e7977ba6841161f9a0604aab9275f55ae</x:v>
      </x:c>
      <x:c r="J673" s="22" t="n">
        <x:v>0</x:v>
      </x:c>
      <x:c r="K673" s="22" t="n">
        <x:v>1</x:v>
      </x:c>
      <x:c r="L673" s="22" t="n">
        <x:v>1</x:v>
      </x:c>
      <x:c r="M673" s="28" t="n">
        <x:v>0</x:v>
      </x:c>
      <x:c r="N673" s="28" t="n">
        <x:v>0</x:v>
      </x:c>
      <x:c r="O673" s="28" t="n">
        <x:v>0</x:v>
      </x:c>
      <x:c r="P673" s="62" t="n">
        <x:v>0</x:v>
      </x:c>
      <x:c r="Q673" s="22" t="n">
        <x:v>0</x:v>
      </x:c>
      <x:c r="R673" s="22" t="str"/>
      <x:c r="S673" s="22" t="str"/>
      <x:c r="T673" s="22" t="str"/>
    </x:row>
    <x:row r="674">
      <x:c r="A674" s="22" t="str">
        <x:v>2020-00086</x:v>
      </x:c>
      <x:c r="B674" s="22" t="str">
        <x:v>L2023-00036-1</x:v>
      </x:c>
      <x:c r="C674" s="22" t="str">
        <x:v>공사</x:v>
      </x:c>
      <x:c r="D674" s="25" t="str">
        <x:v>우즈베키스탄 우르겐치 직업훈련원 건립 및 타슈켄트 교사연수센터 건립사업 시공업체선정 현지입찰</x:v>
      </x:c>
      <x:c r="E674" s="22" t="n">
        <x:v>1</x:v>
      </x:c>
      <x:c r="F674" s="22" t="str">
        <x:v>.xls</x:v>
      </x:c>
      <x:c r="G674" s="25" t="str">
        <x:v>L2023-00036-1/붙임3_입찰관련서류_검토완_0717/Section 4.  Bill of Quantities(Not-Priced)/공내역서/VTC견적서/1 АДМИН ЗДАНИЕ(Admin. Build)/1-6 ПС(Fire Alarm)/13253_vfor.xls</x:v>
      </x:c>
      <x:c r="H674" s="28" t="n">
        <x:v>36864</x:v>
      </x:c>
      <x:c r="I674" s="22" t="str">
        <x:v>4bb2f66c458714b2e47664a339164cdd7ab4a42d68218d6abcca1ab11bf69708</x:v>
      </x:c>
      <x:c r="J674" s="22" t="n">
        <x:v>0</x:v>
      </x:c>
      <x:c r="K674" s="22" t="n">
        <x:v>1</x:v>
      </x:c>
      <x:c r="L674" s="22" t="n">
        <x:v>1</x:v>
      </x:c>
      <x:c r="M674" s="28" t="n">
        <x:v>0</x:v>
      </x:c>
      <x:c r="N674" s="28" t="n">
        <x:v>0</x:v>
      </x:c>
      <x:c r="O674" s="28" t="n">
        <x:v>0</x:v>
      </x:c>
      <x:c r="P674" s="62" t="n">
        <x:v>0</x:v>
      </x:c>
      <x:c r="Q674" s="22" t="n">
        <x:v>0</x:v>
      </x:c>
      <x:c r="R674" s="22" t="str"/>
      <x:c r="S674" s="22" t="str"/>
      <x:c r="T674" s="22" t="str"/>
    </x:row>
    <x:row r="675">
      <x:c r="A675" s="22" t="str">
        <x:v>2020-00086</x:v>
      </x:c>
      <x:c r="B675" s="22" t="str">
        <x:v>L2023-00036-1</x:v>
      </x:c>
      <x:c r="C675" s="22" t="str">
        <x:v>공사</x:v>
      </x:c>
      <x:c r="D675" s="25" t="str">
        <x:v>우즈베키스탄 우르겐치 직업훈련원 건립 및 타슈켄트 교사연수센터 건립사업 시공업체선정 현지입찰</x:v>
      </x:c>
      <x:c r="E675" s="22" t="n">
        <x:v>1</x:v>
      </x:c>
      <x:c r="F675" s="22" t="str">
        <x:v>.xls</x:v>
      </x:c>
      <x:c r="G675" s="25" t="str">
        <x:v>L2023-00036-1/붙임3_입찰관련서류_검토완_0717/Section 4.  Bill of Quantities(Not-Priced)/공내역서/VTC견적서/1 АДМИН ЗДАНИЕ(Admin. Build)/1-6 ПС(Fire Alarm)/bv13250.xls</x:v>
      </x:c>
      <x:c r="H675" s="28" t="n">
        <x:v>71680</x:v>
      </x:c>
      <x:c r="I675" s="22" t="str">
        <x:v>6dde06584b8e720185be54b7abd01bc9cfe2672da2dbd294b9972d6ed3dfea7d</x:v>
      </x:c>
      <x:c r="J675" s="22" t="n">
        <x:v>0</x:v>
      </x:c>
      <x:c r="K675" s="22" t="n">
        <x:v>1</x:v>
      </x:c>
      <x:c r="L675" s="22" t="n">
        <x:v>1</x:v>
      </x:c>
      <x:c r="M675" s="28" t="n">
        <x:v>0</x:v>
      </x:c>
      <x:c r="N675" s="28" t="n">
        <x:v>0</x:v>
      </x:c>
      <x:c r="O675" s="28" t="n">
        <x:v>0</x:v>
      </x:c>
      <x:c r="P675" s="62" t="n">
        <x:v>0</x:v>
      </x:c>
      <x:c r="Q675" s="22" t="n">
        <x:v>0</x:v>
      </x:c>
      <x:c r="R675" s="22" t="str"/>
      <x:c r="S675" s="22" t="str"/>
      <x:c r="T675" s="22" t="str"/>
    </x:row>
    <x:row r="676">
      <x:c r="A676" s="22" t="str">
        <x:v>2020-00086</x:v>
      </x:c>
      <x:c r="B676" s="22" t="str">
        <x:v>L2023-00036-1</x:v>
      </x:c>
      <x:c r="C676" s="22" t="str">
        <x:v>공사</x:v>
      </x:c>
      <x:c r="D676" s="25" t="str">
        <x:v>우즈베키스탄 우르겐치 직업훈련원 건립 및 타슈켄트 교사연수센터 건립사업 시공업체선정 현지입찰</x:v>
      </x:c>
      <x:c r="E676" s="22" t="n">
        <x:v>1</x:v>
      </x:c>
      <x:c r="F676" s="22" t="str">
        <x:v>.xls</x:v>
      </x:c>
      <x:c r="G676" s="25" t="str">
        <x:v>L2023-00036-1/붙임3_입찰관련서류_검토완_0717/Section 4.  Bill of Quantities(Not-Priced)/공내역서/VTC견적서/1 АДМИН ЗДАНИЕ(Admin. Build)/1-8 ТМ (Boiler &amp; Solar heating)/bv13420.xls</x:v>
      </x:c>
      <x:c r="H676" s="28" t="n">
        <x:v>164864</x:v>
      </x:c>
      <x:c r="I676" s="22" t="str">
        <x:v>54879a728d46d53dde25618dd54da54ee91a6d2d51486ebe13b0999701943dd6</x:v>
      </x:c>
      <x:c r="J676" s="22" t="n">
        <x:v>0</x:v>
      </x:c>
      <x:c r="K676" s="22" t="n">
        <x:v>1</x:v>
      </x:c>
      <x:c r="L676" s="22" t="n">
        <x:v>1</x:v>
      </x:c>
      <x:c r="M676" s="28" t="n">
        <x:v>0</x:v>
      </x:c>
      <x:c r="N676" s="28" t="n">
        <x:v>0</x:v>
      </x:c>
      <x:c r="O676" s="28" t="n">
        <x:v>0</x:v>
      </x:c>
      <x:c r="P676" s="62" t="n">
        <x:v>0</x:v>
      </x:c>
      <x:c r="Q676" s="22" t="n">
        <x:v>0</x:v>
      </x:c>
      <x:c r="R676" s="22" t="str"/>
      <x:c r="S676" s="22" t="str"/>
      <x:c r="T676" s="22" t="str"/>
    </x:row>
    <x:row r="677">
      <x:c r="A677" s="22" t="str">
        <x:v>2020-00086</x:v>
      </x:c>
      <x:c r="B677" s="22" t="str">
        <x:v>L2023-00036-1</x:v>
      </x:c>
      <x:c r="C677" s="22" t="str">
        <x:v>공사</x:v>
      </x:c>
      <x:c r="D677" s="25" t="str">
        <x:v>우즈베키스탄 우르겐치 직업훈련원 건립 및 타슈켄트 교사연수센터 건립사업 시공업체선정 현지입찰</x:v>
      </x:c>
      <x:c r="E677" s="22" t="n">
        <x:v>1</x:v>
      </x:c>
      <x:c r="F677" s="22" t="str">
        <x:v>.xls</x:v>
      </x:c>
      <x:c r="G677" s="25" t="str">
        <x:v>L2023-00036-1/붙임3_입찰관련서류_검토완_0717/Section 4.  Bill of Quantities(Not-Priced)/공내역서/VTC견적서/1 АДМИН ЗДАНИЕ(Admin. Build)/1-8 ТМ (Boiler &amp; Solar heating)/13423_vrmu.xls</x:v>
      </x:c>
      <x:c r="H677" s="28" t="n">
        <x:v>84480</x:v>
      </x:c>
      <x:c r="I677" s="22" t="str">
        <x:v>a54c2fcb25747bfe4b9ef498e03a257b08f2e783b9e9f49c3876e0aff148bd9c</x:v>
      </x:c>
      <x:c r="J677" s="22" t="n">
        <x:v>0</x:v>
      </x:c>
      <x:c r="K677" s="22" t="n">
        <x:v>1</x:v>
      </x:c>
      <x:c r="L677" s="22" t="n">
        <x:v>1</x:v>
      </x:c>
      <x:c r="M677" s="28" t="n">
        <x:v>1</x:v>
      </x:c>
      <x:c r="N677" s="28" t="n">
        <x:v>170</x:v>
      </x:c>
      <x:c r="O677" s="28" t="n">
        <x:v>1</x:v>
      </x:c>
      <x:c r="P677" s="62" t="n">
        <x:v>0.0058823529411764705</x:v>
      </x:c>
      <x:c r="Q677" s="22" t="n">
        <x:v>0</x:v>
      </x:c>
      <x:c r="R677" s="22" t="str">
        <x:v>Лист1</x:v>
      </x:c>
      <x:c r="S677" s="22" t="str">
        <x:v>visible</x:v>
      </x:c>
      <x:c r="T677" s="22" t="str"/>
    </x:row>
    <x:row r="678">
      <x:c r="A678" s="22" t="str">
        <x:v>2020-00086</x:v>
      </x:c>
      <x:c r="B678" s="22" t="str">
        <x:v>L2023-00036-1</x:v>
      </x:c>
      <x:c r="C678" s="22" t="str">
        <x:v>공사</x:v>
      </x:c>
      <x:c r="D678" s="25" t="str">
        <x:v>우즈베키스탄 우르겐치 직업훈련원 건립 및 타슈켄트 교사연수센터 건립사업 시공업체선정 현지입찰</x:v>
      </x:c>
      <x:c r="E678" s="22" t="n">
        <x:v>1</x:v>
      </x:c>
      <x:c r="F678" s="22" t="str">
        <x:v>.xls</x:v>
      </x:c>
      <x:c r="G678" s="25" t="str">
        <x:v>L2023-00036-1/붙임3_입찰관련서류_검토완_0717/Section 4.  Bill of Quantities(Not-Priced)/공내역서/VTC견적서/1 АДМИН ЗДАНИЕ(Admin. Build)/1-8 ТМ (Boiler &amp; Solar heating)/13423_vfor.xls</x:v>
      </x:c>
      <x:c r="H678" s="28" t="n">
        <x:v>59392</x:v>
      </x:c>
      <x:c r="I678" s="22" t="str">
        <x:v>4fe45df97a3ca51ea360b356de5895b9deb0d9cd61ae11d2664eed6687d6f3d6</x:v>
      </x:c>
      <x:c r="J678" s="22" t="n">
        <x:v>0</x:v>
      </x:c>
      <x:c r="K678" s="22" t="n">
        <x:v>1</x:v>
      </x:c>
      <x:c r="L678" s="22" t="n">
        <x:v>1</x:v>
      </x:c>
      <x:c r="M678" s="28" t="n">
        <x:v>0</x:v>
      </x:c>
      <x:c r="N678" s="28" t="n">
        <x:v>0</x:v>
      </x:c>
      <x:c r="O678" s="28" t="n">
        <x:v>0</x:v>
      </x:c>
      <x:c r="P678" s="62" t="n">
        <x:v>0</x:v>
      </x:c>
      <x:c r="Q678" s="22" t="n">
        <x:v>0</x:v>
      </x:c>
      <x:c r="R678" s="22" t="str"/>
      <x:c r="S678" s="22" t="str"/>
      <x:c r="T678" s="22" t="str"/>
    </x:row>
    <x:row r="679">
      <x:c r="A679" s="22" t="str">
        <x:v>2020-00086</x:v>
      </x:c>
      <x:c r="B679" s="22" t="str">
        <x:v>L2023-00036-1</x:v>
      </x:c>
      <x:c r="C679" s="22" t="str">
        <x:v>공사</x:v>
      </x:c>
      <x:c r="D679" s="25" t="str">
        <x:v>우즈베키스탄 우르겐치 직업훈련원 건립 및 타슈켄트 교사연수센터 건립사업 시공업체선정 현지입찰</x:v>
      </x:c>
      <x:c r="E679" s="22" t="n">
        <x:v>1</x:v>
      </x:c>
      <x:c r="F679" s="22" t="str">
        <x:v>.xls</x:v>
      </x:c>
      <x:c r="G679" s="25" t="str">
        <x:v>L2023-00036-1/붙임3_입찰관련서류_검토완_0717/Section 4.  Bill of Quantities(Not-Priced)/공내역서/VTC견적서/1 АДМИН ЗДАНИЕ(Admin. Build)/1-2 АР(Architecture)/13373_vrmu.xls</x:v>
      </x:c>
      <x:c r="H679" s="28" t="n">
        <x:v>78336</x:v>
      </x:c>
      <x:c r="I679" s="22" t="str">
        <x:v>d8937a8073c4ef846f2a1d0ed67d95e4a5466aa94bfcffaee1af02f63a42d713</x:v>
      </x:c>
      <x:c r="J679" s="22" t="n">
        <x:v>0</x:v>
      </x:c>
      <x:c r="K679" s="22" t="n">
        <x:v>1</x:v>
      </x:c>
      <x:c r="L679" s="22" t="n">
        <x:v>1</x:v>
      </x:c>
      <x:c r="M679" s="28" t="n">
        <x:v>1</x:v>
      </x:c>
      <x:c r="N679" s="28" t="n">
        <x:v>173</x:v>
      </x:c>
      <x:c r="O679" s="28" t="n">
        <x:v>1</x:v>
      </x:c>
      <x:c r="P679" s="62" t="n">
        <x:v>0.005780346820809248</x:v>
      </x:c>
      <x:c r="Q679" s="22" t="n">
        <x:v>0</x:v>
      </x:c>
      <x:c r="R679" s="22" t="str">
        <x:v>Лист1</x:v>
      </x:c>
      <x:c r="S679" s="22" t="str">
        <x:v>visible</x:v>
      </x:c>
      <x:c r="T679" s="22" t="str"/>
    </x:row>
    <x:row r="680">
      <x:c r="A680" s="22" t="str">
        <x:v>2020-00086</x:v>
      </x:c>
      <x:c r="B680" s="22" t="str">
        <x:v>L2023-00036-1</x:v>
      </x:c>
      <x:c r="C680" s="22" t="str">
        <x:v>공사</x:v>
      </x:c>
      <x:c r="D680" s="25" t="str">
        <x:v>우즈베키스탄 우르겐치 직업훈련원 건립 및 타슈켄트 교사연수센터 건립사업 시공업체선정 현지입찰</x:v>
      </x:c>
      <x:c r="E680" s="22" t="n">
        <x:v>1</x:v>
      </x:c>
      <x:c r="F680" s="22" t="str">
        <x:v>.xls</x:v>
      </x:c>
      <x:c r="G680" s="25" t="str">
        <x:v>L2023-00036-1/붙임3_입찰관련서류_검토완_0717/Section 4.  Bill of Quantities(Not-Priced)/공내역서/VTC견적서/1 АДМИН ЗДАНИЕ(Admin. Build)/1-2 АР(Architecture)/bv13370.xls</x:v>
      </x:c>
      <x:c r="H680" s="28" t="n">
        <x:v>210944</x:v>
      </x:c>
      <x:c r="I680" s="22" t="str">
        <x:v>8de2bc3d895d879ac1baa522646d817648368da6f2ca6310cdce9e83c7414649</x:v>
      </x:c>
      <x:c r="J680" s="22" t="n">
        <x:v>0</x:v>
      </x:c>
      <x:c r="K680" s="22" t="n">
        <x:v>1</x:v>
      </x:c>
      <x:c r="L680" s="22" t="n">
        <x:v>1</x:v>
      </x:c>
      <x:c r="M680" s="28" t="n">
        <x:v>0</x:v>
      </x:c>
      <x:c r="N680" s="28" t="n">
        <x:v>0</x:v>
      </x:c>
      <x:c r="O680" s="28" t="n">
        <x:v>0</x:v>
      </x:c>
      <x:c r="P680" s="62" t="n">
        <x:v>0</x:v>
      </x:c>
      <x:c r="Q680" s="22" t="n">
        <x:v>0</x:v>
      </x:c>
      <x:c r="R680" s="22" t="str"/>
      <x:c r="S680" s="22" t="str"/>
      <x:c r="T680" s="22" t="str"/>
    </x:row>
    <x:row r="681">
      <x:c r="A681" s="22" t="str">
        <x:v>2020-00086</x:v>
      </x:c>
      <x:c r="B681" s="22" t="str">
        <x:v>L2023-00036-1</x:v>
      </x:c>
      <x:c r="C681" s="22" t="str">
        <x:v>공사</x:v>
      </x:c>
      <x:c r="D681" s="25" t="str">
        <x:v>우즈베키스탄 우르겐치 직업훈련원 건립 및 타슈켄트 교사연수센터 건립사업 시공업체선정 현지입찰</x:v>
      </x:c>
      <x:c r="E681" s="22" t="n">
        <x:v>1</x:v>
      </x:c>
      <x:c r="F681" s="22" t="str">
        <x:v>.xls</x:v>
      </x:c>
      <x:c r="G681" s="25" t="str">
        <x:v>L2023-00036-1/붙임3_입찰관련서류_검토완_0717/Section 4.  Bill of Quantities(Not-Priced)/공내역서/VTC견적서/1 АДМИН ЗДАНИЕ(Admin. Build)/1-2 АР(Architecture)/13373_vfor.xls</x:v>
      </x:c>
      <x:c r="H681" s="28" t="n">
        <x:v>53248</x:v>
      </x:c>
      <x:c r="I681" s="22" t="str">
        <x:v>1fd794da035727f9b400374fd614b001fa502fae9e609f298084c9c1ba246f47</x:v>
      </x:c>
      <x:c r="J681" s="22" t="n">
        <x:v>0</x:v>
      </x:c>
      <x:c r="K681" s="22" t="n">
        <x:v>1</x:v>
      </x:c>
      <x:c r="L681" s="22" t="n">
        <x:v>1</x:v>
      </x:c>
      <x:c r="M681" s="28" t="n">
        <x:v>0</x:v>
      </x:c>
      <x:c r="N681" s="28" t="n">
        <x:v>0</x:v>
      </x:c>
      <x:c r="O681" s="28" t="n">
        <x:v>0</x:v>
      </x:c>
      <x:c r="P681" s="62" t="n">
        <x:v>0</x:v>
      </x:c>
      <x:c r="Q681" s="22" t="n">
        <x:v>0</x:v>
      </x:c>
      <x:c r="R681" s="22" t="str"/>
      <x:c r="S681" s="22" t="str"/>
      <x:c r="T681" s="22" t="str"/>
    </x:row>
    <x:row r="682">
      <x:c r="A682" s="22" t="str">
        <x:v>2020-00086</x:v>
      </x:c>
      <x:c r="B682" s="22" t="str">
        <x:v>L2023-00036-1</x:v>
      </x:c>
      <x:c r="C682" s="22" t="str">
        <x:v>공사</x:v>
      </x:c>
      <x:c r="D682" s="25" t="str">
        <x:v>우즈베키스탄 우르겐치 직업훈련원 건립 및 타슈켄트 교사연수센터 건립사업 시공업체선정 현지입찰</x:v>
      </x:c>
      <x:c r="E682" s="22" t="n">
        <x:v>1</x:v>
      </x:c>
      <x:c r="F682" s="22" t="str">
        <x:v>.xls</x:v>
      </x:c>
      <x:c r="G682" s="25" t="str">
        <x:v>L2023-00036-1/붙임3_입찰관련서류_검토완_0717/Section 4.  Bill of Quantities(Not-Priced)/공내역서/VTC견적서/1 АДМИН ЗДАНИЕ(Admin. Build)/1-9 ГСВ(Gas)/13463_vrmu.xls</x:v>
      </x:c>
      <x:c r="H682" s="28" t="n">
        <x:v>57344</x:v>
      </x:c>
      <x:c r="I682" s="22" t="str">
        <x:v>1501c33f8e5b96476ddea53841abdd3c2adb92e4d3e866d7096938be3f8c71a6</x:v>
      </x:c>
      <x:c r="J682" s="22" t="n">
        <x:v>0</x:v>
      </x:c>
      <x:c r="K682" s="22" t="n">
        <x:v>1</x:v>
      </x:c>
      <x:c r="L682" s="22" t="n">
        <x:v>1</x:v>
      </x:c>
      <x:c r="M682" s="28" t="n">
        <x:v>1</x:v>
      </x:c>
      <x:c r="N682" s="28" t="n">
        <x:v>72</x:v>
      </x:c>
      <x:c r="O682" s="28" t="n">
        <x:v>1</x:v>
      </x:c>
      <x:c r="P682" s="62" t="n">
        <x:v>0.013888888888888888</x:v>
      </x:c>
      <x:c r="Q682" s="22" t="n">
        <x:v>0</x:v>
      </x:c>
      <x:c r="R682" s="22" t="str">
        <x:v>Лист1</x:v>
      </x:c>
      <x:c r="S682" s="22" t="str">
        <x:v>visible</x:v>
      </x:c>
      <x:c r="T682" s="22" t="str"/>
    </x:row>
    <x:row r="683">
      <x:c r="A683" s="22" t="str">
        <x:v>2020-00086</x:v>
      </x:c>
      <x:c r="B683" s="22" t="str">
        <x:v>L2023-00036-1</x:v>
      </x:c>
      <x:c r="C683" s="22" t="str">
        <x:v>공사</x:v>
      </x:c>
      <x:c r="D683" s="25" t="str">
        <x:v>우즈베키스탄 우르겐치 직업훈련원 건립 및 타슈켄트 교사연수센터 건립사업 시공업체선정 현지입찰</x:v>
      </x:c>
      <x:c r="E683" s="22" t="n">
        <x:v>1</x:v>
      </x:c>
      <x:c r="F683" s="22" t="str">
        <x:v>.xls</x:v>
      </x:c>
      <x:c r="G683" s="25" t="str">
        <x:v>L2023-00036-1/붙임3_입찰관련서류_검토완_0717/Section 4.  Bill of Quantities(Not-Priced)/공내역서/VTC견적서/1 АДМИН ЗДАНИЕ(Admin. Build)/1-9 ГСВ(Gas)/bv13460.xls</x:v>
      </x:c>
      <x:c r="H683" s="28" t="n">
        <x:v>96256</x:v>
      </x:c>
      <x:c r="I683" s="22" t="str">
        <x:v>588c1f649649826e30b0665d9a48f62f1bb7b8c32ecd2910dbcab3cb69e9168f</x:v>
      </x:c>
      <x:c r="J683" s="22" t="n">
        <x:v>0</x:v>
      </x:c>
      <x:c r="K683" s="22" t="n">
        <x:v>1</x:v>
      </x:c>
      <x:c r="L683" s="22" t="n">
        <x:v>1</x:v>
      </x:c>
      <x:c r="M683" s="28" t="n">
        <x:v>0</x:v>
      </x:c>
      <x:c r="N683" s="28" t="n">
        <x:v>0</x:v>
      </x:c>
      <x:c r="O683" s="28" t="n">
        <x:v>0</x:v>
      </x:c>
      <x:c r="P683" s="62" t="n">
        <x:v>0</x:v>
      </x:c>
      <x:c r="Q683" s="22" t="n">
        <x:v>0</x:v>
      </x:c>
      <x:c r="R683" s="22" t="str"/>
      <x:c r="S683" s="22" t="str"/>
      <x:c r="T683" s="22" t="str"/>
    </x:row>
    <x:row r="684">
      <x:c r="A684" s="22" t="str">
        <x:v>2020-00086</x:v>
      </x:c>
      <x:c r="B684" s="22" t="str">
        <x:v>L2023-00036-1</x:v>
      </x:c>
      <x:c r="C684" s="22" t="str">
        <x:v>공사</x:v>
      </x:c>
      <x:c r="D684" s="25" t="str">
        <x:v>우즈베키스탄 우르겐치 직업훈련원 건립 및 타슈켄트 교사연수센터 건립사업 시공업체선정 현지입찰</x:v>
      </x:c>
      <x:c r="E684" s="22" t="n">
        <x:v>1</x:v>
      </x:c>
      <x:c r="F684" s="22" t="str">
        <x:v>.xls</x:v>
      </x:c>
      <x:c r="G684" s="25" t="str">
        <x:v>L2023-00036-1/붙임3_입찰관련서류_검토완_0717/Section 4.  Bill of Quantities(Not-Priced)/공내역서/VTC견적서/1 АДМИН ЗДАНИЕ(Admin. Build)/1-9 ГСВ(Gas)/13463_vfor.xls</x:v>
      </x:c>
      <x:c r="H684" s="28" t="n">
        <x:v>37888</x:v>
      </x:c>
      <x:c r="I684" s="22" t="str">
        <x:v>25912c3b07a4bfa20711c5089964aa1b96918b731753114e83bff382b00543b4</x:v>
      </x:c>
      <x:c r="J684" s="22" t="n">
        <x:v>0</x:v>
      </x:c>
      <x:c r="K684" s="22" t="n">
        <x:v>1</x:v>
      </x:c>
      <x:c r="L684" s="22" t="n">
        <x:v>1</x:v>
      </x:c>
      <x:c r="M684" s="28" t="n">
        <x:v>0</x:v>
      </x:c>
      <x:c r="N684" s="28" t="n">
        <x:v>0</x:v>
      </x:c>
      <x:c r="O684" s="28" t="n">
        <x:v>0</x:v>
      </x:c>
      <x:c r="P684" s="62" t="n">
        <x:v>0</x:v>
      </x:c>
      <x:c r="Q684" s="22" t="n">
        <x:v>0</x:v>
      </x:c>
      <x:c r="R684" s="22" t="str"/>
      <x:c r="S684" s="22" t="str"/>
      <x:c r="T684" s="22" t="str"/>
    </x:row>
    <x:row r="685">
      <x:c r="A685" s="22" t="str">
        <x:v>2020-00086</x:v>
      </x:c>
      <x:c r="B685" s="22" t="str">
        <x:v>L2023-00036-1</x:v>
      </x:c>
      <x:c r="C685" s="22" t="str">
        <x:v>공사</x:v>
      </x:c>
      <x:c r="D685" s="25" t="str">
        <x:v>우즈베키스탄 우르겐치 직업훈련원 건립 및 타슈켄트 교사연수센터 건립사업 시공업체선정 현지입찰</x:v>
      </x:c>
      <x:c r="E685" s="22" t="n">
        <x:v>1</x:v>
      </x:c>
      <x:c r="F685" s="22" t="str">
        <x:v>.xls</x:v>
      </x:c>
      <x:c r="G685" s="25" t="str">
        <x:v>L2023-00036-1/붙임3_입찰관련서류_검토완_0717/Section 4.  Bill of Quantities(Not-Priced)/공내역서/VTC견적서/5 МИНИКУХНЯ(Mini Cafe)/5-3 ОВ(Heating &amp; Ventilation)/13543_vrmu.xls</x:v>
      </x:c>
      <x:c r="H685" s="28" t="n">
        <x:v>49664</x:v>
      </x:c>
      <x:c r="I685" s="22" t="str">
        <x:v>2e0c5447782587d021f6d8f036576bc903e602712197c33721262ba5cc1fc354</x:v>
      </x:c>
      <x:c r="J685" s="22" t="n">
        <x:v>0</x:v>
      </x:c>
      <x:c r="K685" s="22" t="n">
        <x:v>1</x:v>
      </x:c>
      <x:c r="L685" s="22" t="n">
        <x:v>1</x:v>
      </x:c>
      <x:c r="M685" s="28" t="n">
        <x:v>1</x:v>
      </x:c>
      <x:c r="N685" s="28" t="n">
        <x:v>45</x:v>
      </x:c>
      <x:c r="O685" s="28" t="n">
        <x:v>1</x:v>
      </x:c>
      <x:c r="P685" s="62" t="n">
        <x:v>0.022222222222222223</x:v>
      </x:c>
      <x:c r="Q685" s="22" t="n">
        <x:v>0</x:v>
      </x:c>
      <x:c r="R685" s="22" t="str">
        <x:v>Лист1</x:v>
      </x:c>
      <x:c r="S685" s="22" t="str">
        <x:v>visible</x:v>
      </x:c>
      <x:c r="T685" s="22" t="str"/>
    </x:row>
    <x:row r="686">
      <x:c r="A686" s="22" t="str">
        <x:v>2020-00086</x:v>
      </x:c>
      <x:c r="B686" s="22" t="str">
        <x:v>L2023-00036-1</x:v>
      </x:c>
      <x:c r="C686" s="22" t="str">
        <x:v>공사</x:v>
      </x:c>
      <x:c r="D686" s="25" t="str">
        <x:v>우즈베키스탄 우르겐치 직업훈련원 건립 및 타슈켄트 교사연수센터 건립사업 시공업체선정 현지입찰</x:v>
      </x:c>
      <x:c r="E686" s="22" t="n">
        <x:v>1</x:v>
      </x:c>
      <x:c r="F686" s="22" t="str">
        <x:v>.xls</x:v>
      </x:c>
      <x:c r="G686" s="25" t="str">
        <x:v>L2023-00036-1/붙임3_입찰관련서류_검토완_0717/Section 4.  Bill of Quantities(Not-Priced)/공내역서/VTC견적서/5 МИНИКУХНЯ(Mini Cafe)/5-3 ОВ(Heating &amp; Ventilation)/13543_vfor.xls</x:v>
      </x:c>
      <x:c r="H686" s="28" t="n">
        <x:v>32768</x:v>
      </x:c>
      <x:c r="I686" s="22" t="str">
        <x:v>876a0957fc6163b0b1e4ad5810ee7d53956a2d9014cbba2d4ea4baf23224ec61</x:v>
      </x:c>
      <x:c r="J686" s="22" t="n">
        <x:v>0</x:v>
      </x:c>
      <x:c r="K686" s="22" t="n">
        <x:v>1</x:v>
      </x:c>
      <x:c r="L686" s="22" t="n">
        <x:v>1</x:v>
      </x:c>
      <x:c r="M686" s="28" t="n">
        <x:v>0</x:v>
      </x:c>
      <x:c r="N686" s="28" t="n">
        <x:v>0</x:v>
      </x:c>
      <x:c r="O686" s="28" t="n">
        <x:v>0</x:v>
      </x:c>
      <x:c r="P686" s="62" t="n">
        <x:v>0</x:v>
      </x:c>
      <x:c r="Q686" s="22" t="n">
        <x:v>0</x:v>
      </x:c>
      <x:c r="R686" s="22" t="str"/>
      <x:c r="S686" s="22" t="str"/>
      <x:c r="T686" s="22" t="str"/>
    </x:row>
    <x:row r="687">
      <x:c r="A687" s="22" t="str">
        <x:v>2020-00086</x:v>
      </x:c>
      <x:c r="B687" s="22" t="str">
        <x:v>L2023-00036-1</x:v>
      </x:c>
      <x:c r="C687" s="22" t="str">
        <x:v>공사</x:v>
      </x:c>
      <x:c r="D687" s="25" t="str">
        <x:v>우즈베키스탄 우르겐치 직업훈련원 건립 및 타슈켄트 교사연수센터 건립사업 시공업체선정 현지입찰</x:v>
      </x:c>
      <x:c r="E687" s="22" t="n">
        <x:v>1</x:v>
      </x:c>
      <x:c r="F687" s="22" t="str">
        <x:v>.xls</x:v>
      </x:c>
      <x:c r="G687" s="25" t="str">
        <x:v>L2023-00036-1/붙임3_입찰관련서류_검토완_0717/Section 4.  Bill of Quantities(Not-Priced)/공내역서/VTC견적서/5 МИНИКУХНЯ(Mini Cafe)/5-3 ОВ(Heating &amp; Ventilation)/bv13540.xls</x:v>
      </x:c>
      <x:c r="H687" s="28" t="n">
        <x:v>65536</x:v>
      </x:c>
      <x:c r="I687" s="22" t="str">
        <x:v>f02a015b345ee86a5346018105e60337b5af91dc340467ec926133d010d70b8f</x:v>
      </x:c>
      <x:c r="J687" s="22" t="n">
        <x:v>0</x:v>
      </x:c>
      <x:c r="K687" s="22" t="n">
        <x:v>1</x:v>
      </x:c>
      <x:c r="L687" s="22" t="n">
        <x:v>1</x:v>
      </x:c>
      <x:c r="M687" s="28" t="n">
        <x:v>0</x:v>
      </x:c>
      <x:c r="N687" s="28" t="n">
        <x:v>0</x:v>
      </x:c>
      <x:c r="O687" s="28" t="n">
        <x:v>0</x:v>
      </x:c>
      <x:c r="P687" s="62" t="n">
        <x:v>0</x:v>
      </x:c>
      <x:c r="Q687" s="22" t="n">
        <x:v>0</x:v>
      </x:c>
      <x:c r="R687" s="22" t="str"/>
      <x:c r="S687" s="22" t="str"/>
      <x:c r="T687" s="22" t="str"/>
    </x:row>
    <x:row r="688">
      <x:c r="A688" s="22" t="str">
        <x:v>2020-00086</x:v>
      </x:c>
      <x:c r="B688" s="22" t="str">
        <x:v>L2023-00036-1</x:v>
      </x:c>
      <x:c r="C688" s="22" t="str">
        <x:v>공사</x:v>
      </x:c>
      <x:c r="D688" s="25" t="str">
        <x:v>우즈베키스탄 우르겐치 직업훈련원 건립 및 타슈켄트 교사연수센터 건립사업 시공업체선정 현지입찰</x:v>
      </x:c>
      <x:c r="E688" s="22" t="n">
        <x:v>1</x:v>
      </x:c>
      <x:c r="F688" s="22" t="str">
        <x:v>.xls</x:v>
      </x:c>
      <x:c r="G688" s="25" t="str">
        <x:v>L2023-00036-1/붙임3_입찰관련서류_검토완_0717/Section 4.  Bill of Quantities(Not-Priced)/공내역서/VTC견적서/5 МИНИКУХНЯ(Mini Cafe)/5-2 АР(Architecture)/bv13190.xls</x:v>
      </x:c>
      <x:c r="H688" s="28" t="n">
        <x:v>114176</x:v>
      </x:c>
      <x:c r="I688" s="22" t="str">
        <x:v>4ade510ed9f6b01414dd3b9e208d36868bcf0fe70bb6352beb850b258163fe9f</x:v>
      </x:c>
      <x:c r="J688" s="22" t="n">
        <x:v>0</x:v>
      </x:c>
      <x:c r="K688" s="22" t="n">
        <x:v>1</x:v>
      </x:c>
      <x:c r="L688" s="22" t="n">
        <x:v>1</x:v>
      </x:c>
      <x:c r="M688" s="28" t="n">
        <x:v>0</x:v>
      </x:c>
      <x:c r="N688" s="28" t="n">
        <x:v>0</x:v>
      </x:c>
      <x:c r="O688" s="28" t="n">
        <x:v>0</x:v>
      </x:c>
      <x:c r="P688" s="62" t="n">
        <x:v>0</x:v>
      </x:c>
      <x:c r="Q688" s="22" t="n">
        <x:v>0</x:v>
      </x:c>
      <x:c r="R688" s="22" t="str"/>
      <x:c r="S688" s="22" t="str"/>
      <x:c r="T688" s="22" t="str"/>
    </x:row>
    <x:row r="689">
      <x:c r="A689" s="22" t="str">
        <x:v>2020-00086</x:v>
      </x:c>
      <x:c r="B689" s="22" t="str">
        <x:v>L2023-00036-1</x:v>
      </x:c>
      <x:c r="C689" s="22" t="str">
        <x:v>공사</x:v>
      </x:c>
      <x:c r="D689" s="25" t="str">
        <x:v>우즈베키스탄 우르겐치 직업훈련원 건립 및 타슈켄트 교사연수센터 건립사업 시공업체선정 현지입찰</x:v>
      </x:c>
      <x:c r="E689" s="22" t="n">
        <x:v>1</x:v>
      </x:c>
      <x:c r="F689" s="22" t="str">
        <x:v>.xls</x:v>
      </x:c>
      <x:c r="G689" s="25" t="str">
        <x:v>L2023-00036-1/붙임3_입찰관련서류_검토완_0717/Section 4.  Bill of Quantities(Not-Priced)/공내역서/VTC견적서/5 МИНИКУХНЯ(Mini Cafe)/5-2 АР(Architecture)/13193_vrmu.xls</x:v>
      </x:c>
      <x:c r="H689" s="28" t="n">
        <x:v>59392</x:v>
      </x:c>
      <x:c r="I689" s="22" t="str">
        <x:v>32390eeba886734409c4cffd1bac48a8b2621f64ee819bc516ce95d6ce0de568</x:v>
      </x:c>
      <x:c r="J689" s="22" t="n">
        <x:v>0</x:v>
      </x:c>
      <x:c r="K689" s="22" t="n">
        <x:v>1</x:v>
      </x:c>
      <x:c r="L689" s="22" t="n">
        <x:v>1</x:v>
      </x:c>
      <x:c r="M689" s="28" t="n">
        <x:v>1</x:v>
      </x:c>
      <x:c r="N689" s="28" t="n">
        <x:v>104</x:v>
      </x:c>
      <x:c r="O689" s="28" t="n">
        <x:v>1</x:v>
      </x:c>
      <x:c r="P689" s="62" t="n">
        <x:v>0.009615384615384616</x:v>
      </x:c>
      <x:c r="Q689" s="22" t="n">
        <x:v>0</x:v>
      </x:c>
      <x:c r="R689" s="22" t="str">
        <x:v>Лист1</x:v>
      </x:c>
      <x:c r="S689" s="22" t="str">
        <x:v>visible</x:v>
      </x:c>
      <x:c r="T689" s="22" t="str"/>
    </x:row>
    <x:row r="690">
      <x:c r="A690" s="22" t="str">
        <x:v>2020-00086</x:v>
      </x:c>
      <x:c r="B690" s="22" t="str">
        <x:v>L2023-00036-1</x:v>
      </x:c>
      <x:c r="C690" s="22" t="str">
        <x:v>공사</x:v>
      </x:c>
      <x:c r="D690" s="25" t="str">
        <x:v>우즈베키스탄 우르겐치 직업훈련원 건립 및 타슈켄트 교사연수센터 건립사업 시공업체선정 현지입찰</x:v>
      </x:c>
      <x:c r="E690" s="22" t="n">
        <x:v>1</x:v>
      </x:c>
      <x:c r="F690" s="22" t="str">
        <x:v>.xls</x:v>
      </x:c>
      <x:c r="G690" s="25" t="str">
        <x:v>L2023-00036-1/붙임3_입찰관련서류_검토완_0717/Section 4.  Bill of Quantities(Not-Priced)/공내역서/VTC견적서/5 МИНИКУХНЯ(Mini Cafe)/5-2 АР(Architecture)/13193_vfor.xls</x:v>
      </x:c>
      <x:c r="H690" s="28" t="n">
        <x:v>40960</x:v>
      </x:c>
      <x:c r="I690" s="22" t="str">
        <x:v>f62d6e52a875e6096a3b3750725b2d51bc1fd31530c2873884d5a5d062914d99</x:v>
      </x:c>
      <x:c r="J690" s="22" t="n">
        <x:v>0</x:v>
      </x:c>
      <x:c r="K690" s="22" t="n">
        <x:v>1</x:v>
      </x:c>
      <x:c r="L690" s="22" t="n">
        <x:v>1</x:v>
      </x:c>
      <x:c r="M690" s="28" t="n">
        <x:v>0</x:v>
      </x:c>
      <x:c r="N690" s="28" t="n">
        <x:v>0</x:v>
      </x:c>
      <x:c r="O690" s="28" t="n">
        <x:v>0</x:v>
      </x:c>
      <x:c r="P690" s="62" t="n">
        <x:v>0</x:v>
      </x:c>
      <x:c r="Q690" s="22" t="n">
        <x:v>0</x:v>
      </x:c>
      <x:c r="R690" s="22" t="str"/>
      <x:c r="S690" s="22" t="str"/>
      <x:c r="T690" s="22" t="str"/>
    </x:row>
    <x:row r="691">
      <x:c r="A691" s="22" t="str">
        <x:v>2020-00086</x:v>
      </x:c>
      <x:c r="B691" s="22" t="str">
        <x:v>L2023-00036-1</x:v>
      </x:c>
      <x:c r="C691" s="22" t="str">
        <x:v>공사</x:v>
      </x:c>
      <x:c r="D691" s="25" t="str">
        <x:v>우즈베키스탄 우르겐치 직업훈련원 건립 및 타슈켄트 교사연수센터 건립사업 시공업체선정 현지입찰</x:v>
      </x:c>
      <x:c r="E691" s="22" t="n">
        <x:v>1</x:v>
      </x:c>
      <x:c r="F691" s="22" t="str">
        <x:v>.xls</x:v>
      </x:c>
      <x:c r="G691" s="25" t="str">
        <x:v>L2023-00036-1/붙임3_입찰관련서류_검토완_0717/Section 4.  Bill of Quantities(Not-Priced)/공내역서/VTC견적서/5 МИНИКУХНЯ(Mini Cafe)/5-5 ЭО(Electric)/13523_vrmu.xls</x:v>
      </x:c>
      <x:c r="H691" s="28" t="n">
        <x:v>51712</x:v>
      </x:c>
      <x:c r="I691" s="22" t="str">
        <x:v>7e16265662d64e011839c6562a409b724755257307d17d53527af9a45b14d4e6</x:v>
      </x:c>
      <x:c r="J691" s="22" t="n">
        <x:v>0</x:v>
      </x:c>
      <x:c r="K691" s="22" t="n">
        <x:v>1</x:v>
      </x:c>
      <x:c r="L691" s="22" t="n">
        <x:v>1</x:v>
      </x:c>
      <x:c r="M691" s="28" t="n">
        <x:v>1</x:v>
      </x:c>
      <x:c r="N691" s="28" t="n">
        <x:v>51</x:v>
      </x:c>
      <x:c r="O691" s="28" t="n">
        <x:v>1</x:v>
      </x:c>
      <x:c r="P691" s="62" t="n">
        <x:v>0.0196078431372549</x:v>
      </x:c>
      <x:c r="Q691" s="22" t="n">
        <x:v>0</x:v>
      </x:c>
      <x:c r="R691" s="22" t="str">
        <x:v>Лист1</x:v>
      </x:c>
      <x:c r="S691" s="22" t="str">
        <x:v>visible</x:v>
      </x:c>
      <x:c r="T691" s="22" t="str"/>
    </x:row>
    <x:row r="692">
      <x:c r="A692" s="22" t="str">
        <x:v>2020-00086</x:v>
      </x:c>
      <x:c r="B692" s="22" t="str">
        <x:v>L2023-00036-1</x:v>
      </x:c>
      <x:c r="C692" s="22" t="str">
        <x:v>공사</x:v>
      </x:c>
      <x:c r="D692" s="25" t="str">
        <x:v>우즈베키스탄 우르겐치 직업훈련원 건립 및 타슈켄트 교사연수센터 건립사업 시공업체선정 현지입찰</x:v>
      </x:c>
      <x:c r="E692" s="22" t="n">
        <x:v>1</x:v>
      </x:c>
      <x:c r="F692" s="22" t="str">
        <x:v>.xls</x:v>
      </x:c>
      <x:c r="G692" s="25" t="str">
        <x:v>L2023-00036-1/붙임3_입찰관련서류_검토완_0717/Section 4.  Bill of Quantities(Not-Priced)/공내역서/VTC견적서/5 МИНИКУХНЯ(Mini Cafe)/5-5 ЭО(Electric)/13523_vfor.xls</x:v>
      </x:c>
      <x:c r="H692" s="28" t="n">
        <x:v>38912</x:v>
      </x:c>
      <x:c r="I692" s="22" t="str">
        <x:v>0b8abf0891da011114759f88243e0f71e1a95036c98ea30dad347b4f69ee2b1b</x:v>
      </x:c>
      <x:c r="J692" s="22" t="n">
        <x:v>0</x:v>
      </x:c>
      <x:c r="K692" s="22" t="n">
        <x:v>1</x:v>
      </x:c>
      <x:c r="L692" s="22" t="n">
        <x:v>1</x:v>
      </x:c>
      <x:c r="M692" s="28" t="n">
        <x:v>0</x:v>
      </x:c>
      <x:c r="N692" s="28" t="n">
        <x:v>0</x:v>
      </x:c>
      <x:c r="O692" s="28" t="n">
        <x:v>0</x:v>
      </x:c>
      <x:c r="P692" s="62" t="n">
        <x:v>0</x:v>
      </x:c>
      <x:c r="Q692" s="22" t="n">
        <x:v>0</x:v>
      </x:c>
      <x:c r="R692" s="22" t="str"/>
      <x:c r="S692" s="22" t="str"/>
      <x:c r="T692" s="22" t="str"/>
    </x:row>
    <x:row r="693">
      <x:c r="A693" s="22" t="str">
        <x:v>2020-00086</x:v>
      </x:c>
      <x:c r="B693" s="22" t="str">
        <x:v>L2023-00036-1</x:v>
      </x:c>
      <x:c r="C693" s="22" t="str">
        <x:v>공사</x:v>
      </x:c>
      <x:c r="D693" s="25" t="str">
        <x:v>우즈베키스탄 우르겐치 직업훈련원 건립 및 타슈켄트 교사연수센터 건립사업 시공업체선정 현지입찰</x:v>
      </x:c>
      <x:c r="E693" s="22" t="n">
        <x:v>1</x:v>
      </x:c>
      <x:c r="F693" s="22" t="str">
        <x:v>.xls</x:v>
      </x:c>
      <x:c r="G693" s="25" t="str">
        <x:v>L2023-00036-1/붙임3_입찰관련서류_검토완_0717/Section 4.  Bill of Quantities(Not-Priced)/공내역서/VTC견적서/5 МИНИКУХНЯ(Mini Cafe)/5-5 ЭО(Electric)/bv13520.xls</x:v>
      </x:c>
      <x:c r="H693" s="28" t="n">
        <x:v>72704</x:v>
      </x:c>
      <x:c r="I693" s="22" t="str">
        <x:v>1ada1c8c043ded8552eb8c5daa2fa56c90309d301f171e5fe5761772acfa2c72</x:v>
      </x:c>
      <x:c r="J693" s="22" t="n">
        <x:v>0</x:v>
      </x:c>
      <x:c r="K693" s="22" t="n">
        <x:v>1</x:v>
      </x:c>
      <x:c r="L693" s="22" t="n">
        <x:v>1</x:v>
      </x:c>
      <x:c r="M693" s="28" t="n">
        <x:v>0</x:v>
      </x:c>
      <x:c r="N693" s="28" t="n">
        <x:v>0</x:v>
      </x:c>
      <x:c r="O693" s="28" t="n">
        <x:v>0</x:v>
      </x:c>
      <x:c r="P693" s="62" t="n">
        <x:v>0</x:v>
      </x:c>
      <x:c r="Q693" s="22" t="n">
        <x:v>0</x:v>
      </x:c>
      <x:c r="R693" s="22" t="str"/>
      <x:c r="S693" s="22" t="str"/>
      <x:c r="T693" s="22" t="str"/>
    </x:row>
    <x:row r="694">
      <x:c r="A694" s="22" t="str">
        <x:v>2020-00086</x:v>
      </x:c>
      <x:c r="B694" s="22" t="str">
        <x:v>L2023-00036-1</x:v>
      </x:c>
      <x:c r="C694" s="22" t="str">
        <x:v>공사</x:v>
      </x:c>
      <x:c r="D694" s="25" t="str">
        <x:v>우즈베키스탄 우르겐치 직업훈련원 건립 및 타슈켄트 교사연수센터 건립사업 시공업체선정 현지입찰</x:v>
      </x:c>
      <x:c r="E694" s="22" t="n">
        <x:v>1</x:v>
      </x:c>
      <x:c r="F694" s="22" t="str">
        <x:v>.xls</x:v>
      </x:c>
      <x:c r="G694" s="25" t="str">
        <x:v>L2023-00036-1/붙임3_입찰관련서류_검토완_0717/Section 4.  Bill of Quantities(Not-Priced)/공내역서/VTC견적서/5 МИНИКУХНЯ(Mini Cafe)/5-6 ПС(Fire Alarm)/13333_vrmu.xls</x:v>
      </x:c>
      <x:c r="H694" s="28" t="n">
        <x:v>45568</x:v>
      </x:c>
      <x:c r="I694" s="22" t="str">
        <x:v>c129f77230778e4e75807137b0a081fda18b76c89bfafb91bf998c73b18b42b4</x:v>
      </x:c>
      <x:c r="J694" s="22" t="n">
        <x:v>0</x:v>
      </x:c>
      <x:c r="K694" s="22" t="n">
        <x:v>1</x:v>
      </x:c>
      <x:c r="L694" s="22" t="n">
        <x:v>1</x:v>
      </x:c>
      <x:c r="M694" s="28" t="n">
        <x:v>1</x:v>
      </x:c>
      <x:c r="N694" s="28" t="n">
        <x:v>46</x:v>
      </x:c>
      <x:c r="O694" s="28" t="n">
        <x:v>1</x:v>
      </x:c>
      <x:c r="P694" s="62" t="n">
        <x:v>0.021739130434782608</x:v>
      </x:c>
      <x:c r="Q694" s="22" t="n">
        <x:v>0</x:v>
      </x:c>
      <x:c r="R694" s="22" t="str">
        <x:v>Лист1</x:v>
      </x:c>
      <x:c r="S694" s="22" t="str">
        <x:v>visible</x:v>
      </x:c>
      <x:c r="T694" s="22" t="str"/>
    </x:row>
    <x:row r="695">
      <x:c r="A695" s="22" t="str">
        <x:v>2020-00086</x:v>
      </x:c>
      <x:c r="B695" s="22" t="str">
        <x:v>L2023-00036-1</x:v>
      </x:c>
      <x:c r="C695" s="22" t="str">
        <x:v>공사</x:v>
      </x:c>
      <x:c r="D695" s="25" t="str">
        <x:v>우즈베키스탄 우르겐치 직업훈련원 건립 및 타슈켄트 교사연수센터 건립사업 시공업체선정 현지입찰</x:v>
      </x:c>
      <x:c r="E695" s="22" t="n">
        <x:v>1</x:v>
      </x:c>
      <x:c r="F695" s="22" t="str">
        <x:v>.xls</x:v>
      </x:c>
      <x:c r="G695" s="25" t="str">
        <x:v>L2023-00036-1/붙임3_입찰관련서류_검토완_0717/Section 4.  Bill of Quantities(Not-Priced)/공내역서/VTC견적서/5 МИНИКУХНЯ(Mini Cafe)/5-6 ПС(Fire Alarm)/13333_vfor.xls</x:v>
      </x:c>
      <x:c r="H695" s="28" t="n">
        <x:v>35328</x:v>
      </x:c>
      <x:c r="I695" s="22" t="str">
        <x:v>10bb19b81831d3a84b82c28f1547ca3fe887463b9f75dee45ccc757eb0779c6c</x:v>
      </x:c>
      <x:c r="J695" s="22" t="n">
        <x:v>0</x:v>
      </x:c>
      <x:c r="K695" s="22" t="n">
        <x:v>1</x:v>
      </x:c>
      <x:c r="L695" s="22" t="n">
        <x:v>1</x:v>
      </x:c>
      <x:c r="M695" s="28" t="n">
        <x:v>0</x:v>
      </x:c>
      <x:c r="N695" s="28" t="n">
        <x:v>0</x:v>
      </x:c>
      <x:c r="O695" s="28" t="n">
        <x:v>0</x:v>
      </x:c>
      <x:c r="P695" s="62" t="n">
        <x:v>0</x:v>
      </x:c>
      <x:c r="Q695" s="22" t="n">
        <x:v>0</x:v>
      </x:c>
      <x:c r="R695" s="22" t="str"/>
      <x:c r="S695" s="22" t="str"/>
      <x:c r="T695" s="22" t="str"/>
    </x:row>
    <x:row r="696">
      <x:c r="A696" s="22" t="str">
        <x:v>2020-00086</x:v>
      </x:c>
      <x:c r="B696" s="22" t="str">
        <x:v>L2023-00036-1</x:v>
      </x:c>
      <x:c r="C696" s="22" t="str">
        <x:v>공사</x:v>
      </x:c>
      <x:c r="D696" s="25" t="str">
        <x:v>우즈베키스탄 우르겐치 직업훈련원 건립 및 타슈켄트 교사연수센터 건립사업 시공업체선정 현지입찰</x:v>
      </x:c>
      <x:c r="E696" s="22" t="n">
        <x:v>1</x:v>
      </x:c>
      <x:c r="F696" s="22" t="str">
        <x:v>.xls</x:v>
      </x:c>
      <x:c r="G696" s="25" t="str">
        <x:v>L2023-00036-1/붙임3_입찰관련서류_검토완_0717/Section 4.  Bill of Quantities(Not-Priced)/공내역서/VTC견적서/5 МИНИКУХНЯ(Mini Cafe)/5-6 ПС(Fire Alarm)/bv13330.xls</x:v>
      </x:c>
      <x:c r="H696" s="28" t="n">
        <x:v>62976</x:v>
      </x:c>
      <x:c r="I696" s="22" t="str">
        <x:v>5285368cbc7c4336c65b8d5e64b9139cb7feafa61bb9ae14627cdc4c2d5c9f76</x:v>
      </x:c>
      <x:c r="J696" s="22" t="n">
        <x:v>0</x:v>
      </x:c>
      <x:c r="K696" s="22" t="n">
        <x:v>1</x:v>
      </x:c>
      <x:c r="L696" s="22" t="n">
        <x:v>1</x:v>
      </x:c>
      <x:c r="M696" s="28" t="n">
        <x:v>0</x:v>
      </x:c>
      <x:c r="N696" s="28" t="n">
        <x:v>0</x:v>
      </x:c>
      <x:c r="O696" s="28" t="n">
        <x:v>0</x:v>
      </x:c>
      <x:c r="P696" s="62" t="n">
        <x:v>0</x:v>
      </x:c>
      <x:c r="Q696" s="22" t="n">
        <x:v>0</x:v>
      </x:c>
      <x:c r="R696" s="22" t="str"/>
      <x:c r="S696" s="22" t="str"/>
      <x:c r="T696" s="22" t="str"/>
    </x:row>
    <x:row r="697">
      <x:c r="A697" s="22" t="str">
        <x:v>2020-00086</x:v>
      </x:c>
      <x:c r="B697" s="22" t="str">
        <x:v>L2023-00036-1</x:v>
      </x:c>
      <x:c r="C697" s="22" t="str">
        <x:v>공사</x:v>
      </x:c>
      <x:c r="D697" s="25" t="str">
        <x:v>우즈베키스탄 우르겐치 직업훈련원 건립 및 타슈켄트 교사연수센터 건립사업 시공업체선정 현지입찰</x:v>
      </x:c>
      <x:c r="E697" s="22" t="n">
        <x:v>1</x:v>
      </x:c>
      <x:c r="F697" s="22" t="str">
        <x:v>.xls</x:v>
      </x:c>
      <x:c r="G697" s="25" t="str">
        <x:v>L2023-00036-1/붙임3_입찰관련서류_검토완_0717/Section 4.  Bill of Quantities(Not-Priced)/공내역서/VTC견적서/5 МИНИКУХНЯ(Mini Cafe)/5-1 КЖ(Structure)/13043_vrmu.xls</x:v>
      </x:c>
      <x:c r="H697" s="28" t="n">
        <x:v>64000</x:v>
      </x:c>
      <x:c r="I697" s="22" t="str">
        <x:v>380165b5ba6f48a8bc825a12a666a0aeb51807f94d8b2c20559637674f7d94b0</x:v>
      </x:c>
      <x:c r="J697" s="22" t="n">
        <x:v>0</x:v>
      </x:c>
      <x:c r="K697" s="22" t="n">
        <x:v>1</x:v>
      </x:c>
      <x:c r="L697" s="22" t="n">
        <x:v>1</x:v>
      </x:c>
      <x:c r="M697" s="28" t="n">
        <x:v>1</x:v>
      </x:c>
      <x:c r="N697" s="28" t="n">
        <x:v>131</x:v>
      </x:c>
      <x:c r="O697" s="28" t="n">
        <x:v>1</x:v>
      </x:c>
      <x:c r="P697" s="62" t="n">
        <x:v>0.007633587786259542</x:v>
      </x:c>
      <x:c r="Q697" s="22" t="n">
        <x:v>0</x:v>
      </x:c>
      <x:c r="R697" s="22" t="str">
        <x:v>Лист1</x:v>
      </x:c>
      <x:c r="S697" s="22" t="str">
        <x:v>visible</x:v>
      </x:c>
      <x:c r="T697" s="22" t="str"/>
    </x:row>
    <x:row r="698">
      <x:c r="A698" s="22" t="str">
        <x:v>2020-00086</x:v>
      </x:c>
      <x:c r="B698" s="22" t="str">
        <x:v>L2023-00036-1</x:v>
      </x:c>
      <x:c r="C698" s="22" t="str">
        <x:v>공사</x:v>
      </x:c>
      <x:c r="D698" s="25" t="str">
        <x:v>우즈베키스탄 우르겐치 직업훈련원 건립 및 타슈켄트 교사연수센터 건립사업 시공업체선정 현지입찰</x:v>
      </x:c>
      <x:c r="E698" s="22" t="n">
        <x:v>1</x:v>
      </x:c>
      <x:c r="F698" s="22" t="str">
        <x:v>.xls</x:v>
      </x:c>
      <x:c r="G698" s="25" t="str">
        <x:v>L2023-00036-1/붙임3_입찰관련서류_검토완_0717/Section 4.  Bill of Quantities(Not-Priced)/공내역서/VTC견적서/5 МИНИКУХНЯ(Mini Cafe)/5-1 КЖ(Structure)/13043_vfor.xls</x:v>
      </x:c>
      <x:c r="H698" s="28" t="n">
        <x:v>48128</x:v>
      </x:c>
      <x:c r="I698" s="22" t="str">
        <x:v>97f17253a08cf0cc8c9680898c42398ae08fe78103f09e01bf2a6835019a9ec3</x:v>
      </x:c>
      <x:c r="J698" s="22" t="n">
        <x:v>0</x:v>
      </x:c>
      <x:c r="K698" s="22" t="n">
        <x:v>1</x:v>
      </x:c>
      <x:c r="L698" s="22" t="n">
        <x:v>1</x:v>
      </x:c>
      <x:c r="M698" s="28" t="n">
        <x:v>0</x:v>
      </x:c>
      <x:c r="N698" s="28" t="n">
        <x:v>0</x:v>
      </x:c>
      <x:c r="O698" s="28" t="n">
        <x:v>0</x:v>
      </x:c>
      <x:c r="P698" s="62" t="n">
        <x:v>0</x:v>
      </x:c>
      <x:c r="Q698" s="22" t="n">
        <x:v>0</x:v>
      </x:c>
      <x:c r="R698" s="22" t="str"/>
      <x:c r="S698" s="22" t="str"/>
      <x:c r="T698" s="22" t="str"/>
    </x:row>
    <x:row r="699">
      <x:c r="A699" s="22" t="str">
        <x:v>2020-00086</x:v>
      </x:c>
      <x:c r="B699" s="22" t="str">
        <x:v>L2023-00036-1</x:v>
      </x:c>
      <x:c r="C699" s="22" t="str">
        <x:v>공사</x:v>
      </x:c>
      <x:c r="D699" s="25" t="str">
        <x:v>우즈베키스탄 우르겐치 직업훈련원 건립 및 타슈켄트 교사연수센터 건립사업 시공업체선정 현지입찰</x:v>
      </x:c>
      <x:c r="E699" s="22" t="n">
        <x:v>1</x:v>
      </x:c>
      <x:c r="F699" s="22" t="str">
        <x:v>.xls</x:v>
      </x:c>
      <x:c r="G699" s="25" t="str">
        <x:v>L2023-00036-1/붙임3_입찰관련서류_검토완_0717/Section 4.  Bill of Quantities(Not-Priced)/공내역서/VTC견적서/5 МИНИКУХНЯ(Mini Cafe)/5-1 КЖ(Structure)/bv13040.xls</x:v>
      </x:c>
      <x:c r="H699" s="28" t="n">
        <x:v>174592</x:v>
      </x:c>
      <x:c r="I699" s="22" t="str">
        <x:v>863838e7bc7c9434fc3bd88bdcfea6aba7ac50f88f9f5db01b0e254da7998ff8</x:v>
      </x:c>
      <x:c r="J699" s="22" t="n">
        <x:v>0</x:v>
      </x:c>
      <x:c r="K699" s="22" t="n">
        <x:v>1</x:v>
      </x:c>
      <x:c r="L699" s="22" t="n">
        <x:v>1</x:v>
      </x:c>
      <x:c r="M699" s="28" t="n">
        <x:v>0</x:v>
      </x:c>
      <x:c r="N699" s="28" t="n">
        <x:v>0</x:v>
      </x:c>
      <x:c r="O699" s="28" t="n">
        <x:v>0</x:v>
      </x:c>
      <x:c r="P699" s="62" t="n">
        <x:v>0</x:v>
      </x:c>
      <x:c r="Q699" s="22" t="n">
        <x:v>0</x:v>
      </x:c>
      <x:c r="R699" s="22" t="str"/>
      <x:c r="S699" s="22" t="str"/>
      <x:c r="T699" s="22" t="str"/>
    </x:row>
    <x:row r="700">
      <x:c r="A700" s="22" t="str">
        <x:v>2020-00086</x:v>
      </x:c>
      <x:c r="B700" s="22" t="str">
        <x:v>L2023-00036-1</x:v>
      </x:c>
      <x:c r="C700" s="22" t="str">
        <x:v>공사</x:v>
      </x:c>
      <x:c r="D700" s="25" t="str">
        <x:v>우즈베키스탄 우르겐치 직업훈련원 건립 및 타슈켄트 교사연수센터 건립사업 시공업체선정 현지입찰</x:v>
      </x:c>
      <x:c r="E700" s="22" t="n">
        <x:v>1</x:v>
      </x:c>
      <x:c r="F700" s="22" t="str">
        <x:v>.xls</x:v>
      </x:c>
      <x:c r="G700" s="25" t="str">
        <x:v>L2023-00036-1/붙임3_입찰관련서류_검토완_0717/Section 4.  Bill of Quantities(Not-Priced)/공내역서/VTC견적서/5 МИНИКУХНЯ(Mini Cafe)/5-7 ВН, СКС(CCTV &amp; Network)/bv13340.xls</x:v>
      </x:c>
      <x:c r="H700" s="28" t="n">
        <x:v>87552</x:v>
      </x:c>
      <x:c r="I700" s="22" t="str">
        <x:v>f7ebc1e11ee41682c73ffe4df54efdaf6f8776e3d1421e342e5d6efdf51b8f91</x:v>
      </x:c>
      <x:c r="J700" s="22" t="n">
        <x:v>0</x:v>
      </x:c>
      <x:c r="K700" s="22" t="n">
        <x:v>1</x:v>
      </x:c>
      <x:c r="L700" s="22" t="n">
        <x:v>1</x:v>
      </x:c>
      <x:c r="M700" s="28" t="n">
        <x:v>0</x:v>
      </x:c>
      <x:c r="N700" s="28" t="n">
        <x:v>0</x:v>
      </x:c>
      <x:c r="O700" s="28" t="n">
        <x:v>0</x:v>
      </x:c>
      <x:c r="P700" s="62" t="n">
        <x:v>0</x:v>
      </x:c>
      <x:c r="Q700" s="22" t="n">
        <x:v>0</x:v>
      </x:c>
      <x:c r="R700" s="22" t="str"/>
      <x:c r="S700" s="22" t="str"/>
      <x:c r="T700" s="22" t="str"/>
    </x:row>
    <x:row r="701">
      <x:c r="A701" s="22" t="str">
        <x:v>2020-00086</x:v>
      </x:c>
      <x:c r="B701" s="22" t="str">
        <x:v>L2023-00036-1</x:v>
      </x:c>
      <x:c r="C701" s="22" t="str">
        <x:v>공사</x:v>
      </x:c>
      <x:c r="D701" s="25" t="str">
        <x:v>우즈베키스탄 우르겐치 직업훈련원 건립 및 타슈켄트 교사연수센터 건립사업 시공업체선정 현지입찰</x:v>
      </x:c>
      <x:c r="E701" s="22" t="n">
        <x:v>1</x:v>
      </x:c>
      <x:c r="F701" s="22" t="str">
        <x:v>.xls</x:v>
      </x:c>
      <x:c r="G701" s="25" t="str">
        <x:v>L2023-00036-1/붙임3_입찰관련서류_검토완_0717/Section 4.  Bill of Quantities(Not-Priced)/공내역서/VTC견적서/5 МИНИКУХНЯ(Mini Cafe)/5-7 ВН, СКС(CCTV &amp; Network)/13343_vfor.xls</x:v>
      </x:c>
      <x:c r="H701" s="28" t="n">
        <x:v>42496</x:v>
      </x:c>
      <x:c r="I701" s="22" t="str">
        <x:v>7ae45ebf6513a57ba6f4fb37a194629105af57885c6435d8e0b3fac1d07b54d7</x:v>
      </x:c>
      <x:c r="J701" s="22" t="n">
        <x:v>0</x:v>
      </x:c>
      <x:c r="K701" s="22" t="n">
        <x:v>1</x:v>
      </x:c>
      <x:c r="L701" s="22" t="n">
        <x:v>1</x:v>
      </x:c>
      <x:c r="M701" s="28" t="n">
        <x:v>0</x:v>
      </x:c>
      <x:c r="N701" s="28" t="n">
        <x:v>0</x:v>
      </x:c>
      <x:c r="O701" s="28" t="n">
        <x:v>0</x:v>
      </x:c>
      <x:c r="P701" s="62" t="n">
        <x:v>0</x:v>
      </x:c>
      <x:c r="Q701" s="22" t="n">
        <x:v>0</x:v>
      </x:c>
      <x:c r="R701" s="22" t="str"/>
      <x:c r="S701" s="22" t="str"/>
      <x:c r="T701" s="22" t="str"/>
    </x:row>
    <x:row r="702">
      <x:c r="A702" s="22" t="str">
        <x:v>2020-00086</x:v>
      </x:c>
      <x:c r="B702" s="22" t="str">
        <x:v>L2023-00036-1</x:v>
      </x:c>
      <x:c r="C702" s="22" t="str">
        <x:v>공사</x:v>
      </x:c>
      <x:c r="D702" s="25" t="str">
        <x:v>우즈베키스탄 우르겐치 직업훈련원 건립 및 타슈켄트 교사연수센터 건립사업 시공업체선정 현지입찰</x:v>
      </x:c>
      <x:c r="E702" s="22" t="n">
        <x:v>1</x:v>
      </x:c>
      <x:c r="F702" s="22" t="str">
        <x:v>.xls</x:v>
      </x:c>
      <x:c r="G702" s="25" t="str">
        <x:v>L2023-00036-1/붙임3_입찰관련서류_검토완_0717/Section 4.  Bill of Quantities(Not-Priced)/공내역서/VTC견적서/5 МИНИКУХНЯ(Mini Cafe)/5-7 ВН, СКС(CCTV &amp; Network)/13343_vrmu.xls</x:v>
      </x:c>
      <x:c r="H702" s="28" t="n">
        <x:v>57344</x:v>
      </x:c>
      <x:c r="I702" s="22" t="str">
        <x:v>0c131dc024a728f09c19dc05519a4f69fc17da1dc83c0ff221c9fcbc28ca3e83</x:v>
      </x:c>
      <x:c r="J702" s="22" t="n">
        <x:v>0</x:v>
      </x:c>
      <x:c r="K702" s="22" t="n">
        <x:v>1</x:v>
      </x:c>
      <x:c r="L702" s="22" t="n">
        <x:v>1</x:v>
      </x:c>
      <x:c r="M702" s="28" t="n">
        <x:v>1</x:v>
      </x:c>
      <x:c r="N702" s="28" t="n">
        <x:v>87</x:v>
      </x:c>
      <x:c r="O702" s="28" t="n">
        <x:v>1</x:v>
      </x:c>
      <x:c r="P702" s="62" t="n">
        <x:v>0.011494252873563218</x:v>
      </x:c>
      <x:c r="Q702" s="22" t="n">
        <x:v>0</x:v>
      </x:c>
      <x:c r="R702" s="22" t="str">
        <x:v>Лист1</x:v>
      </x:c>
      <x:c r="S702" s="22" t="str">
        <x:v>visible</x:v>
      </x:c>
      <x:c r="T702" s="22" t="str"/>
    </x:row>
    <x:row r="703">
      <x:c r="A703" s="22" t="str">
        <x:v>2020-00086</x:v>
      </x:c>
      <x:c r="B703" s="22" t="str">
        <x:v>L2023-00036-1</x:v>
      </x:c>
      <x:c r="C703" s="22" t="str">
        <x:v>공사</x:v>
      </x:c>
      <x:c r="D703" s="25" t="str">
        <x:v>우즈베키스탄 우르겐치 직업훈련원 건립 및 타슈켄트 교사연수센터 건립사업 시공업체선정 현지입찰</x:v>
      </x:c>
      <x:c r="E703" s="22" t="n">
        <x:v>1</x:v>
      </x:c>
      <x:c r="F703" s="22" t="str">
        <x:v>.xls</x:v>
      </x:c>
      <x:c r="G703" s="25" t="str">
        <x:v>L2023-00036-1/붙임3_입찰관련서류_검토완_0717/Section 4.  Bill of Quantities(Not-Priced)/공내역서/VTC견적서/5 МИНИКУХНЯ(Mini Cafe)/5-4 ВК(Water &amp; Sewer &amp; Fireplug)/bv13150.xls</x:v>
      </x:c>
      <x:c r="H703" s="28" t="n">
        <x:v>81920</x:v>
      </x:c>
      <x:c r="I703" s="22" t="str">
        <x:v>ff40bc5d0ea432e7b1d7366c5d4fcb487b2c3880f96e4f78375825eafcfb95b6</x:v>
      </x:c>
      <x:c r="J703" s="22" t="n">
        <x:v>0</x:v>
      </x:c>
      <x:c r="K703" s="22" t="n">
        <x:v>1</x:v>
      </x:c>
      <x:c r="L703" s="22" t="n">
        <x:v>1</x:v>
      </x:c>
      <x:c r="M703" s="28" t="n">
        <x:v>0</x:v>
      </x:c>
      <x:c r="N703" s="28" t="n">
        <x:v>0</x:v>
      </x:c>
      <x:c r="O703" s="28" t="n">
        <x:v>0</x:v>
      </x:c>
      <x:c r="P703" s="62" t="n">
        <x:v>0</x:v>
      </x:c>
      <x:c r="Q703" s="22" t="n">
        <x:v>0</x:v>
      </x:c>
      <x:c r="R703" s="22" t="str"/>
      <x:c r="S703" s="22" t="str"/>
      <x:c r="T703" s="22" t="str"/>
    </x:row>
    <x:row r="704">
      <x:c r="A704" s="22" t="str">
        <x:v>2020-00086</x:v>
      </x:c>
      <x:c r="B704" s="22" t="str">
        <x:v>L2023-00036-1</x:v>
      </x:c>
      <x:c r="C704" s="22" t="str">
        <x:v>공사</x:v>
      </x:c>
      <x:c r="D704" s="25" t="str">
        <x:v>우즈베키스탄 우르겐치 직업훈련원 건립 및 타슈켄트 교사연수센터 건립사업 시공업체선정 현지입찰</x:v>
      </x:c>
      <x:c r="E704" s="22" t="n">
        <x:v>1</x:v>
      </x:c>
      <x:c r="F704" s="22" t="str">
        <x:v>.xls</x:v>
      </x:c>
      <x:c r="G704" s="25" t="str">
        <x:v>L2023-00036-1/붙임3_입찰관련서류_검토완_0717/Section 4.  Bill of Quantities(Not-Priced)/공내역서/VTC견적서/5 МИНИКУХНЯ(Mini Cafe)/5-4 ВК(Water &amp; Sewer &amp; Fireplug)/13153_vfor.xls</x:v>
      </x:c>
      <x:c r="H704" s="28" t="n">
        <x:v>38912</x:v>
      </x:c>
      <x:c r="I704" s="22" t="str">
        <x:v>8c432bdc15c5f2e9b21d8cf64d2092af76e32ac769bcf6930a80498eda501c52</x:v>
      </x:c>
      <x:c r="J704" s="22" t="n">
        <x:v>0</x:v>
      </x:c>
      <x:c r="K704" s="22" t="n">
        <x:v>1</x:v>
      </x:c>
      <x:c r="L704" s="22" t="n">
        <x:v>1</x:v>
      </x:c>
      <x:c r="M704" s="28" t="n">
        <x:v>0</x:v>
      </x:c>
      <x:c r="N704" s="28" t="n">
        <x:v>0</x:v>
      </x:c>
      <x:c r="O704" s="28" t="n">
        <x:v>0</x:v>
      </x:c>
      <x:c r="P704" s="62" t="n">
        <x:v>0</x:v>
      </x:c>
      <x:c r="Q704" s="22" t="n">
        <x:v>0</x:v>
      </x:c>
      <x:c r="R704" s="22" t="str"/>
      <x:c r="S704" s="22" t="str"/>
      <x:c r="T704" s="22" t="str"/>
    </x:row>
    <x:row r="705">
      <x:c r="A705" s="22" t="str">
        <x:v>2020-00086</x:v>
      </x:c>
      <x:c r="B705" s="22" t="str">
        <x:v>L2023-00036-1</x:v>
      </x:c>
      <x:c r="C705" s="22" t="str">
        <x:v>공사</x:v>
      </x:c>
      <x:c r="D705" s="25" t="str">
        <x:v>우즈베키스탄 우르겐치 직업훈련원 건립 및 타슈켄트 교사연수센터 건립사업 시공업체선정 현지입찰</x:v>
      </x:c>
      <x:c r="E705" s="22" t="n">
        <x:v>1</x:v>
      </x:c>
      <x:c r="F705" s="22" t="str">
        <x:v>.xls</x:v>
      </x:c>
      <x:c r="G705" s="25" t="str">
        <x:v>L2023-00036-1/붙임3_입찰관련서류_검토완_0717/Section 4.  Bill of Quantities(Not-Priced)/공내역서/VTC견적서/5 МИНИКУХНЯ(Mini Cafe)/5-4 ВК(Water &amp; Sewer &amp; Fireplug)/13153_vrmu.xls</x:v>
      </x:c>
      <x:c r="H705" s="28" t="n">
        <x:v>55296</x:v>
      </x:c>
      <x:c r="I705" s="22" t="str">
        <x:v>b73ea620ff03c68e64d826146d0e3fdf85d76c45d5f7b952398e75088501d5a8</x:v>
      </x:c>
      <x:c r="J705" s="22" t="n">
        <x:v>0</x:v>
      </x:c>
      <x:c r="K705" s="22" t="n">
        <x:v>1</x:v>
      </x:c>
      <x:c r="L705" s="22" t="n">
        <x:v>1</x:v>
      </x:c>
      <x:c r="M705" s="28" t="n">
        <x:v>1</x:v>
      </x:c>
      <x:c r="N705" s="28" t="n">
        <x:v>89</x:v>
      </x:c>
      <x:c r="O705" s="28" t="n">
        <x:v>1</x:v>
      </x:c>
      <x:c r="P705" s="62" t="n">
        <x:v>0.011235955056179775</x:v>
      </x:c>
      <x:c r="Q705" s="22" t="n">
        <x:v>0</x:v>
      </x:c>
      <x:c r="R705" s="22" t="str">
        <x:v>Лист1</x:v>
      </x:c>
      <x:c r="S705" s="22" t="str">
        <x:v>visible</x:v>
      </x:c>
      <x:c r="T705" s="22" t="str"/>
    </x:row>
    <x:row r="706">
      <x:c r="A706" s="22" t="str">
        <x:v>2020-00086</x:v>
      </x:c>
      <x:c r="B706" s="22" t="str">
        <x:v>L2023-00036-1</x:v>
      </x:c>
      <x:c r="C706" s="22" t="str">
        <x:v>공사</x:v>
      </x:c>
      <x:c r="D706" s="25" t="str">
        <x:v>우즈베키스탄 우르겐치 직업훈련원 건립 및 타슈켄트 교사연수센터 건립사업 시공업체선정 현지입찰</x:v>
      </x:c>
      <x:c r="E706" s="22" t="n">
        <x:v>1</x:v>
      </x:c>
      <x:c r="F706" s="22" t="str">
        <x:v>.xls</x:v>
      </x:c>
      <x:c r="G706" s="25" t="str">
        <x:v>L2023-00036-1/붙임3_입찰관련서류_검토완_0717/Section 4.  Bill of Quantities(Not-Priced)/공내역서/VTC견적서/9 ТП(Transformers)/9-2 ЭО(Electric)/bv13620.xls</x:v>
      </x:c>
      <x:c r="H706" s="28" t="n">
        <x:v>72192</x:v>
      </x:c>
      <x:c r="I706" s="22" t="str">
        <x:v>d12264dd66d83231e992bd650b7557870412089a06a2a0d4425c2f7ce9505b54</x:v>
      </x:c>
      <x:c r="J706" s="22" t="n">
        <x:v>0</x:v>
      </x:c>
      <x:c r="K706" s="22" t="n">
        <x:v>1</x:v>
      </x:c>
      <x:c r="L706" s="22" t="n">
        <x:v>1</x:v>
      </x:c>
      <x:c r="M706" s="28" t="n">
        <x:v>0</x:v>
      </x:c>
      <x:c r="N706" s="28" t="n">
        <x:v>0</x:v>
      </x:c>
      <x:c r="O706" s="28" t="n">
        <x:v>0</x:v>
      </x:c>
      <x:c r="P706" s="62" t="n">
        <x:v>0</x:v>
      </x:c>
      <x:c r="Q706" s="22" t="n">
        <x:v>0</x:v>
      </x:c>
      <x:c r="R706" s="22" t="str"/>
      <x:c r="S706" s="22" t="str"/>
      <x:c r="T706" s="22" t="str"/>
    </x:row>
    <x:row r="707">
      <x:c r="A707" s="22" t="str">
        <x:v>2020-00086</x:v>
      </x:c>
      <x:c r="B707" s="22" t="str">
        <x:v>L2023-00036-1</x:v>
      </x:c>
      <x:c r="C707" s="22" t="str">
        <x:v>공사</x:v>
      </x:c>
      <x:c r="D707" s="25" t="str">
        <x:v>우즈베키스탄 우르겐치 직업훈련원 건립 및 타슈켄트 교사연수센터 건립사업 시공업체선정 현지입찰</x:v>
      </x:c>
      <x:c r="E707" s="22" t="n">
        <x:v>1</x:v>
      </x:c>
      <x:c r="F707" s="22" t="str">
        <x:v>.xls</x:v>
      </x:c>
      <x:c r="G707" s="25" t="str">
        <x:v>L2023-00036-1/붙임3_입찰관련서류_검토완_0717/Section 4.  Bill of Quantities(Not-Priced)/공내역서/VTC견적서/9 ТП(Transformers)/9-2 ЭО(Electric)/13623_vfor.xls</x:v>
      </x:c>
      <x:c r="H707" s="28" t="n">
        <x:v>43520</x:v>
      </x:c>
      <x:c r="I707" s="22" t="str">
        <x:v>45d383d1448e59a8f49860e92e6e7aa212038c27e4d7bce97a086cc21f88ccfe</x:v>
      </x:c>
      <x:c r="J707" s="22" t="n">
        <x:v>0</x:v>
      </x:c>
      <x:c r="K707" s="22" t="n">
        <x:v>1</x:v>
      </x:c>
      <x:c r="L707" s="22" t="n">
        <x:v>1</x:v>
      </x:c>
      <x:c r="M707" s="28" t="n">
        <x:v>0</x:v>
      </x:c>
      <x:c r="N707" s="28" t="n">
        <x:v>0</x:v>
      </x:c>
      <x:c r="O707" s="28" t="n">
        <x:v>0</x:v>
      </x:c>
      <x:c r="P707" s="62" t="n">
        <x:v>0</x:v>
      </x:c>
      <x:c r="Q707" s="22" t="n">
        <x:v>0</x:v>
      </x:c>
      <x:c r="R707" s="22" t="str"/>
      <x:c r="S707" s="22" t="str"/>
      <x:c r="T707" s="22" t="str"/>
    </x:row>
    <x:row r="708">
      <x:c r="A708" s="22" t="str">
        <x:v>2020-00086</x:v>
      </x:c>
      <x:c r="B708" s="22" t="str">
        <x:v>L2023-00036-1</x:v>
      </x:c>
      <x:c r="C708" s="22" t="str">
        <x:v>공사</x:v>
      </x:c>
      <x:c r="D708" s="25" t="str">
        <x:v>우즈베키스탄 우르겐치 직업훈련원 건립 및 타슈켄트 교사연수센터 건립사업 시공업체선정 현지입찰</x:v>
      </x:c>
      <x:c r="E708" s="22" t="n">
        <x:v>1</x:v>
      </x:c>
      <x:c r="F708" s="22" t="str">
        <x:v>.xls</x:v>
      </x:c>
      <x:c r="G708" s="25" t="str">
        <x:v>L2023-00036-1/붙임3_입찰관련서류_검토완_0717/Section 4.  Bill of Quantities(Not-Priced)/공내역서/VTC견적서/9 ТП(Transformers)/9-2 ЭО(Electric)/13623_vrmu.xls</x:v>
      </x:c>
      <x:c r="H708" s="28" t="n">
        <x:v>44544</x:v>
      </x:c>
      <x:c r="I708" s="22" t="str">
        <x:v>9c376ffd83f74a7a0482782b87e52d87f3fd57e8ae172745d22dd2b5f75c87d3</x:v>
      </x:c>
      <x:c r="J708" s="22" t="n">
        <x:v>0</x:v>
      </x:c>
      <x:c r="K708" s="22" t="n">
        <x:v>1</x:v>
      </x:c>
      <x:c r="L708" s="22" t="n">
        <x:v>1</x:v>
      </x:c>
      <x:c r="M708" s="28" t="n">
        <x:v>1</x:v>
      </x:c>
      <x:c r="N708" s="28" t="n">
        <x:v>25</x:v>
      </x:c>
      <x:c r="O708" s="28" t="n">
        <x:v>1</x:v>
      </x:c>
      <x:c r="P708" s="62" t="n">
        <x:v>0.04</x:v>
      </x:c>
      <x:c r="Q708" s="22" t="n">
        <x:v>0</x:v>
      </x:c>
      <x:c r="R708" s="22" t="str">
        <x:v>Лист1</x:v>
      </x:c>
      <x:c r="S708" s="22" t="str">
        <x:v>visible</x:v>
      </x:c>
      <x:c r="T708" s="22" t="str"/>
    </x:row>
    <x:row r="709">
      <x:c r="A709" s="22" t="str">
        <x:v>2020-00086</x:v>
      </x:c>
      <x:c r="B709" s="22" t="str">
        <x:v>L2023-00036-1</x:v>
      </x:c>
      <x:c r="C709" s="22" t="str">
        <x:v>공사</x:v>
      </x:c>
      <x:c r="D709" s="25" t="str">
        <x:v>우즈베키스탄 우르겐치 직업훈련원 건립 및 타슈켄트 교사연수센터 건립사업 시공업체선정 현지입찰</x:v>
      </x:c>
      <x:c r="E709" s="22" t="n">
        <x:v>1</x:v>
      </x:c>
      <x:c r="F709" s="22" t="str">
        <x:v>.xls</x:v>
      </x:c>
      <x:c r="G709" s="25" t="str">
        <x:v>L2023-00036-1/붙임3_입찰관련서류_검토완_0717/Section 4.  Bill of Quantities(Not-Priced)/공내역서/VTC견적서/9 ТП(Transformers)/9-1 AC(Architecture+Structure)/13613_vrmu.xls</x:v>
      </x:c>
      <x:c r="H709" s="28" t="n">
        <x:v>52224</x:v>
      </x:c>
      <x:c r="I709" s="22" t="str">
        <x:v>dac492bc0da9304780f8cd01f3d5f4471428e5935002eef499f872bcaa423196</x:v>
      </x:c>
      <x:c r="J709" s="22" t="n">
        <x:v>0</x:v>
      </x:c>
      <x:c r="K709" s="22" t="n">
        <x:v>1</x:v>
      </x:c>
      <x:c r="L709" s="22" t="n">
        <x:v>1</x:v>
      </x:c>
      <x:c r="M709" s="28" t="n">
        <x:v>1</x:v>
      </x:c>
      <x:c r="N709" s="28" t="n">
        <x:v>60</x:v>
      </x:c>
      <x:c r="O709" s="28" t="n">
        <x:v>1</x:v>
      </x:c>
      <x:c r="P709" s="62" t="n">
        <x:v>0.016666666666666666</x:v>
      </x:c>
      <x:c r="Q709" s="22" t="n">
        <x:v>0</x:v>
      </x:c>
      <x:c r="R709" s="22" t="str">
        <x:v>Лист1</x:v>
      </x:c>
      <x:c r="S709" s="22" t="str">
        <x:v>visible</x:v>
      </x:c>
      <x:c r="T709" s="22" t="str"/>
    </x:row>
    <x:row r="710">
      <x:c r="A710" s="22" t="str">
        <x:v>2020-00086</x:v>
      </x:c>
      <x:c r="B710" s="22" t="str">
        <x:v>L2023-00036-1</x:v>
      </x:c>
      <x:c r="C710" s="22" t="str">
        <x:v>공사</x:v>
      </x:c>
      <x:c r="D710" s="25" t="str">
        <x:v>우즈베키스탄 우르겐치 직업훈련원 건립 및 타슈켄트 교사연수센터 건립사업 시공업체선정 현지입찰</x:v>
      </x:c>
      <x:c r="E710" s="22" t="n">
        <x:v>1</x:v>
      </x:c>
      <x:c r="F710" s="22" t="str">
        <x:v>.xls</x:v>
      </x:c>
      <x:c r="G710" s="25" t="str">
        <x:v>L2023-00036-1/붙임3_입찰관련서류_검토완_0717/Section 4.  Bill of Quantities(Not-Priced)/공내역서/VTC견적서/9 ТП(Transformers)/9-1 AC(Architecture+Structure)/bv13610.xls</x:v>
      </x:c>
      <x:c r="H710" s="28" t="n">
        <x:v>87552</x:v>
      </x:c>
      <x:c r="I710" s="22" t="str">
        <x:v>9c3b233e7eee9e95f4d7e3a8fd06879e5232932fea0154ee2d2ca48539bf46ec</x:v>
      </x:c>
      <x:c r="J710" s="22" t="n">
        <x:v>0</x:v>
      </x:c>
      <x:c r="K710" s="22" t="n">
        <x:v>1</x:v>
      </x:c>
      <x:c r="L710" s="22" t="n">
        <x:v>1</x:v>
      </x:c>
      <x:c r="M710" s="28" t="n">
        <x:v>0</x:v>
      </x:c>
      <x:c r="N710" s="28" t="n">
        <x:v>0</x:v>
      </x:c>
      <x:c r="O710" s="28" t="n">
        <x:v>0</x:v>
      </x:c>
      <x:c r="P710" s="62" t="n">
        <x:v>0</x:v>
      </x:c>
      <x:c r="Q710" s="22" t="n">
        <x:v>0</x:v>
      </x:c>
      <x:c r="R710" s="22" t="str"/>
      <x:c r="S710" s="22" t="str"/>
      <x:c r="T710" s="22" t="str"/>
    </x:row>
    <x:row r="711">
      <x:c r="A711" s="22" t="str">
        <x:v>2020-00086</x:v>
      </x:c>
      <x:c r="B711" s="22" t="str">
        <x:v>L2023-00036-1</x:v>
      </x:c>
      <x:c r="C711" s="22" t="str">
        <x:v>공사</x:v>
      </x:c>
      <x:c r="D711" s="25" t="str">
        <x:v>우즈베키스탄 우르겐치 직업훈련원 건립 및 타슈켄트 교사연수센터 건립사업 시공업체선정 현지입찰</x:v>
      </x:c>
      <x:c r="E711" s="22" t="n">
        <x:v>1</x:v>
      </x:c>
      <x:c r="F711" s="22" t="str">
        <x:v>.xls</x:v>
      </x:c>
      <x:c r="G711" s="25" t="str">
        <x:v>L2023-00036-1/붙임3_입찰관련서류_검토완_0717/Section 4.  Bill of Quantities(Not-Priced)/공내역서/VTC견적서/9 ТП(Transformers)/9-1 AC(Architecture+Structure)/13613_vfor.xls</x:v>
      </x:c>
      <x:c r="H711" s="28" t="n">
        <x:v>43520</x:v>
      </x:c>
      <x:c r="I711" s="22" t="str">
        <x:v>d44f0b5ecfc1065f05341153878714679026a9bf6545cc1f41a3b99d2fc64e82</x:v>
      </x:c>
      <x:c r="J711" s="22" t="n">
        <x:v>0</x:v>
      </x:c>
      <x:c r="K711" s="22" t="n">
        <x:v>1</x:v>
      </x:c>
      <x:c r="L711" s="22" t="n">
        <x:v>1</x:v>
      </x:c>
      <x:c r="M711" s="28" t="n">
        <x:v>0</x:v>
      </x:c>
      <x:c r="N711" s="28" t="n">
        <x:v>0</x:v>
      </x:c>
      <x:c r="O711" s="28" t="n">
        <x:v>0</x:v>
      </x:c>
      <x:c r="P711" s="62" t="n">
        <x:v>0</x:v>
      </x:c>
      <x:c r="Q711" s="22" t="n">
        <x:v>0</x:v>
      </x:c>
      <x:c r="R711" s="22" t="str"/>
      <x:c r="S711" s="22" t="str"/>
      <x:c r="T711" s="22" t="str"/>
    </x:row>
    <x:row r="712">
      <x:c r="A712" s="22" t="str">
        <x:v>2020-00086</x:v>
      </x:c>
      <x:c r="B712" s="22" t="str">
        <x:v>L2023-00036-1</x:v>
      </x:c>
      <x:c r="C712" s="22" t="str">
        <x:v>공사</x:v>
      </x:c>
      <x:c r="D712" s="25" t="str">
        <x:v>우즈베키스탄 우르겐치 직업훈련원 건립 및 타슈켄트 교사연수센터 건립사업 시공업체선정 현지입찰</x:v>
      </x:c>
      <x:c r="E712" s="22" t="n">
        <x:v>1</x:v>
      </x:c>
      <x:c r="F712" s="22" t="str">
        <x:v>.xlsx</x:v>
      </x:c>
      <x:c r="G712" s="25" t="str">
        <x:v>L2023-00036-1/붙임3_입찰관련서류_검토완_0717/Section 4.  Bill of Quantities(Not-Priced)/공내역서/TTC견적서/TTC(Teacher Traing Center)/СВОДКА(TTC Total sum. o).xlsx</x:v>
      </x:c>
      <x:c r="H712" s="28" t="n">
        <x:v>32243</x:v>
      </x:c>
      <x:c r="I712" s="22" t="str">
        <x:v>18f7fed124e549f8d045a52b65bfb032bfd797fb45093bfe24108488bd7f0010</x:v>
      </x:c>
      <x:c r="J712" s="22" t="n">
        <x:v>0</x:v>
      </x:c>
      <x:c r="K712" s="22" t="n">
        <x:v>1</x:v>
      </x:c>
      <x:c r="L712" s="22" t="n">
        <x:v>1</x:v>
      </x:c>
      <x:c r="M712" s="28" t="n">
        <x:v>0</x:v>
      </x:c>
      <x:c r="N712" s="28" t="n">
        <x:v>0</x:v>
      </x:c>
      <x:c r="O712" s="28" t="n">
        <x:v>0</x:v>
      </x:c>
      <x:c r="P712" s="62" t="n">
        <x:v>0</x:v>
      </x:c>
      <x:c r="Q712" s="22" t="n">
        <x:v>0</x:v>
      </x:c>
      <x:c r="R712" s="22" t="str"/>
      <x:c r="S712" s="22" t="str"/>
      <x:c r="T712" s="22" t="str"/>
    </x:row>
    <x:row r="713">
      <x:c r="A713" s="22" t="str">
        <x:v>2020-00086</x:v>
      </x:c>
      <x:c r="B713" s="22" t="str">
        <x:v>L2023-00036-1</x:v>
      </x:c>
      <x:c r="C713" s="22" t="str">
        <x:v>공사</x:v>
      </x:c>
      <x:c r="D713" s="25" t="str">
        <x:v>우즈베키스탄 우르겐치 직업훈련원 건립 및 타슈켄트 교사연수센터 건립사업 시공업체선정 현지입찰</x:v>
      </x:c>
      <x:c r="E713" s="22" t="n">
        <x:v>1</x:v>
      </x:c>
      <x:c r="F713" s="22" t="str">
        <x:v>.xlsx</x:v>
      </x:c>
      <x:c r="G713" s="25" t="str">
        <x:v>L2023-00036-1/붙임3_입찰관련서류_검토완_0717/Section 4.  Bill of Quantities(Not-Priced)/공내역서/TTC견적서/TTC(Teacher Traing Center)/12 OB( Heating &amp; Ventilation)/ra900.xlsx</x:v>
      </x:c>
      <x:c r="H713" s="28" t="n">
        <x:v>25457</x:v>
      </x:c>
      <x:c r="I713" s="22" t="str">
        <x:v>c0e7dba7fed37589ec6340137fd80e3748fc4e6f60d5a31a1732a90a20c89215</x:v>
      </x:c>
      <x:c r="J713" s="22" t="n">
        <x:v>0</x:v>
      </x:c>
      <x:c r="K713" s="22" t="n">
        <x:v>1</x:v>
      </x:c>
      <x:c r="L713" s="22" t="n">
        <x:v>1</x:v>
      </x:c>
      <x:c r="M713" s="28" t="n">
        <x:v>1</x:v>
      </x:c>
      <x:c r="N713" s="28" t="n">
        <x:v>145</x:v>
      </x:c>
      <x:c r="O713" s="28" t="n">
        <x:v>0</x:v>
      </x:c>
      <x:c r="P713" s="62" t="n">
        <x:v>0</x:v>
      </x:c>
      <x:c r="Q713" s="22" t="n">
        <x:v>0</x:v>
      </x:c>
      <x:c r="R713" s="22" t="str">
        <x:v>ra_abc4</x:v>
      </x:c>
      <x:c r="S713" s="22" t="str">
        <x:v>visible</x:v>
      </x:c>
      <x:c r="T713" s="22" t="str"/>
    </x:row>
    <x:row r="714">
      <x:c r="A714" s="22" t="str">
        <x:v>2020-00086</x:v>
      </x:c>
      <x:c r="B714" s="22" t="str">
        <x:v>L2023-00036-1</x:v>
      </x:c>
      <x:c r="C714" s="22" t="str">
        <x:v>공사</x:v>
      </x:c>
      <x:c r="D714" s="25" t="str">
        <x:v>우즈베키스탄 우르겐치 직업훈련원 건립 및 타슈켄트 교사연수센터 건립사업 시공업체선정 현지입찰</x:v>
      </x:c>
      <x:c r="E714" s="22" t="n">
        <x:v>1</x:v>
      </x:c>
      <x:c r="F714" s="22" t="str">
        <x:v>.xlsx</x:v>
      </x:c>
      <x:c r="G714" s="25" t="str">
        <x:v>L2023-00036-1/붙임3_입찰관련서류_검토완_0717/Section 4.  Bill of Quantities(Not-Priced)/공내역서/TTC견적서/TTC(Teacher Traing Center)/12 OB( Heating &amp; Ventilation)/bv900.xlsx</x:v>
      </x:c>
      <x:c r="H714" s="28" t="n">
        <x:v>57114</x:v>
      </x:c>
      <x:c r="I714" s="22" t="str">
        <x:v>6ecb37ae086780f16e98b30e7632769c400d862e9e881341019571e4635cfe62</x:v>
      </x:c>
      <x:c r="J714" s="22" t="n">
        <x:v>0</x:v>
      </x:c>
      <x:c r="K714" s="22" t="n">
        <x:v>1</x:v>
      </x:c>
      <x:c r="L714" s="22" t="n">
        <x:v>1</x:v>
      </x:c>
      <x:c r="M714" s="28" t="n">
        <x:v>1</x:v>
      </x:c>
      <x:c r="N714" s="28" t="n">
        <x:v>583</x:v>
      </x:c>
      <x:c r="O714" s="28" t="n">
        <x:v>0</x:v>
      </x:c>
      <x:c r="P714" s="62" t="n">
        <x:v>0</x:v>
      </x:c>
      <x:c r="Q714" s="22" t="n">
        <x:v>0</x:v>
      </x:c>
      <x:c r="R714" s="22" t="str">
        <x:v>_ЛРВ</x:v>
      </x:c>
      <x:c r="S714" s="22" t="str">
        <x:v>visible</x:v>
      </x:c>
      <x:c r="T714" s="22" t="str"/>
    </x:row>
    <x:row r="715">
      <x:c r="A715" s="22" t="str">
        <x:v>2020-00086</x:v>
      </x:c>
      <x:c r="B715" s="22" t="str">
        <x:v>L2023-00036-1</x:v>
      </x:c>
      <x:c r="C715" s="22" t="str">
        <x:v>공사</x:v>
      </x:c>
      <x:c r="D715" s="25" t="str">
        <x:v>우즈베키스탄 우르겐치 직업훈련원 건립 및 타슈켄트 교사연수센터 건립사업 시공업체선정 현지입찰</x:v>
      </x:c>
      <x:c r="E715" s="22" t="n">
        <x:v>1</x:v>
      </x:c>
      <x:c r="F715" s="22" t="str">
        <x:v>.xlsx</x:v>
      </x:c>
      <x:c r="G715" s="25" t="str">
        <x:v>L2023-00036-1/붙임3_입찰관련서류_검토완_0717/Section 4.  Bill of Quantities(Not-Priced)/공내역서/TTC견적서/TTC(Teacher Traing Center)/10 СКС(Network)/ra880.xlsx</x:v>
      </x:c>
      <x:c r="H715" s="28" t="n">
        <x:v>18030</x:v>
      </x:c>
      <x:c r="I715" s="22" t="str">
        <x:v>199cd0082bbab1b40761e3488c1f1d8640ea614526e9e2299473c945cad04b3c</x:v>
      </x:c>
      <x:c r="J715" s="22" t="n">
        <x:v>0</x:v>
      </x:c>
      <x:c r="K715" s="22" t="n">
        <x:v>1</x:v>
      </x:c>
      <x:c r="L715" s="22" t="n">
        <x:v>1</x:v>
      </x:c>
      <x:c r="M715" s="28" t="n">
        <x:v>1</x:v>
      </x:c>
      <x:c r="N715" s="28" t="n">
        <x:v>46</x:v>
      </x:c>
      <x:c r="O715" s="28" t="n">
        <x:v>0</x:v>
      </x:c>
      <x:c r="P715" s="62" t="n">
        <x:v>0</x:v>
      </x:c>
      <x:c r="Q715" s="22" t="n">
        <x:v>0</x:v>
      </x:c>
      <x:c r="R715" s="22" t="str">
        <x:v>ra_abc4</x:v>
      </x:c>
      <x:c r="S715" s="22" t="str">
        <x:v>visible</x:v>
      </x:c>
      <x:c r="T715" s="22" t="str"/>
    </x:row>
    <x:row r="716">
      <x:c r="A716" s="22" t="str">
        <x:v>2020-00086</x:v>
      </x:c>
      <x:c r="B716" s="22" t="str">
        <x:v>L2023-00036-1</x:v>
      </x:c>
      <x:c r="C716" s="22" t="str">
        <x:v>공사</x:v>
      </x:c>
      <x:c r="D716" s="25" t="str">
        <x:v>우즈베키스탄 우르겐치 직업훈련원 건립 및 타슈켄트 교사연수센터 건립사업 시공업체선정 현지입찰</x:v>
      </x:c>
      <x:c r="E716" s="22" t="n">
        <x:v>1</x:v>
      </x:c>
      <x:c r="F716" s="22" t="str">
        <x:v>.xlsx</x:v>
      </x:c>
      <x:c r="G716" s="25" t="str">
        <x:v>L2023-00036-1/붙임3_입찰관련서류_검토완_0717/Section 4.  Bill of Quantities(Not-Priced)/공내역서/TTC견적서/TTC(Teacher Traing Center)/10 СКС(Network)/bv880.xlsx</x:v>
      </x:c>
      <x:c r="H716" s="28" t="n">
        <x:v>18727</x:v>
      </x:c>
      <x:c r="I716" s="22" t="str">
        <x:v>7dbc22ca005e0e4c226c79d089e7a86d1cf9d86c5ce303f40f114936328702ea</x:v>
      </x:c>
      <x:c r="J716" s="22" t="n">
        <x:v>0</x:v>
      </x:c>
      <x:c r="K716" s="22" t="n">
        <x:v>1</x:v>
      </x:c>
      <x:c r="L716" s="22" t="n">
        <x:v>1</x:v>
      </x:c>
      <x:c r="M716" s="28" t="n">
        <x:v>1</x:v>
      </x:c>
      <x:c r="N716" s="28" t="n">
        <x:v>72</x:v>
      </x:c>
      <x:c r="O716" s="28" t="n">
        <x:v>0</x:v>
      </x:c>
      <x:c r="P716" s="62" t="n">
        <x:v>0</x:v>
      </x:c>
      <x:c r="Q716" s="22" t="n">
        <x:v>0</x:v>
      </x:c>
      <x:c r="R716" s="22" t="str">
        <x:v>_ЛРВ</x:v>
      </x:c>
      <x:c r="S716" s="22" t="str">
        <x:v>visible</x:v>
      </x:c>
      <x:c r="T716" s="22" t="str"/>
    </x:row>
    <x:row r="717">
      <x:c r="A717" s="22" t="str">
        <x:v>2020-00086</x:v>
      </x:c>
      <x:c r="B717" s="22" t="str">
        <x:v>L2023-00036-1</x:v>
      </x:c>
      <x:c r="C717" s="22" t="str">
        <x:v>공사</x:v>
      </x:c>
      <x:c r="D717" s="25" t="str">
        <x:v>우즈베키스탄 우르겐치 직업훈련원 건립 및 타슈켄트 교사연수센터 건립사업 시공업체선정 현지입찰</x:v>
      </x:c>
      <x:c r="E717" s="22" t="n">
        <x:v>1</x:v>
      </x:c>
      <x:c r="F717" s="22" t="str">
        <x:v>.xlsx</x:v>
      </x:c>
      <x:c r="G717" s="25" t="str">
        <x:v>L2023-00036-1/붙임3_입찰관련서류_검토완_0717/Section 4.  Bill of Quantities(Not-Priced)/공내역서/TTC견적서/TTC(Teacher Traing Center)/9 ЭО(Electric)/bv870.xlsx</x:v>
      </x:c>
      <x:c r="H717" s="28" t="n">
        <x:v>24024</x:v>
      </x:c>
      <x:c r="I717" s="22" t="str">
        <x:v>590053cdfd59adba7a4b5f88ecdf76f97cfb3c4d11e98da39322368216c48da9</x:v>
      </x:c>
      <x:c r="J717" s="22" t="n">
        <x:v>0</x:v>
      </x:c>
      <x:c r="K717" s="22" t="n">
        <x:v>1</x:v>
      </x:c>
      <x:c r="L717" s="22" t="n">
        <x:v>1</x:v>
      </x:c>
      <x:c r="M717" s="28" t="n">
        <x:v>1</x:v>
      </x:c>
      <x:c r="N717" s="28" t="n">
        <x:v>135</x:v>
      </x:c>
      <x:c r="O717" s="28" t="n">
        <x:v>0</x:v>
      </x:c>
      <x:c r="P717" s="62" t="n">
        <x:v>0</x:v>
      </x:c>
      <x:c r="Q717" s="22" t="n">
        <x:v>0</x:v>
      </x:c>
      <x:c r="R717" s="22" t="str">
        <x:v>_ЛРВ</x:v>
      </x:c>
      <x:c r="S717" s="22" t="str">
        <x:v>visible</x:v>
      </x:c>
      <x:c r="T717" s="22" t="str"/>
    </x:row>
    <x:row r="718">
      <x:c r="A718" s="22" t="str">
        <x:v>2020-00086</x:v>
      </x:c>
      <x:c r="B718" s="22" t="str">
        <x:v>L2023-00036-1</x:v>
      </x:c>
      <x:c r="C718" s="22" t="str">
        <x:v>공사</x:v>
      </x:c>
      <x:c r="D718" s="25" t="str">
        <x:v>우즈베키스탄 우르겐치 직업훈련원 건립 및 타슈켄트 교사연수센터 건립사업 시공업체선정 현지입찰</x:v>
      </x:c>
      <x:c r="E718" s="22" t="n">
        <x:v>1</x:v>
      </x:c>
      <x:c r="F718" s="22" t="str">
        <x:v>.xlsx</x:v>
      </x:c>
      <x:c r="G718" s="25" t="str">
        <x:v>L2023-00036-1/붙임3_입찰관련서류_검토완_0717/Section 4.  Bill of Quantities(Not-Priced)/공내역서/TTC견적서/TTC(Teacher Traing Center)/9 ЭО(Electric)/ra870.xlsx</x:v>
      </x:c>
      <x:c r="H718" s="28" t="n">
        <x:v>17554</x:v>
      </x:c>
      <x:c r="I718" s="22" t="str">
        <x:v>86bcd13f1e122deed0898b8d011d1d581353131e0abde33c435654236fba8f3e</x:v>
      </x:c>
      <x:c r="J718" s="22" t="n">
        <x:v>0</x:v>
      </x:c>
      <x:c r="K718" s="22" t="n">
        <x:v>1</x:v>
      </x:c>
      <x:c r="L718" s="22" t="n">
        <x:v>1</x:v>
      </x:c>
      <x:c r="M718" s="28" t="n">
        <x:v>1</x:v>
      </x:c>
      <x:c r="N718" s="28" t="n">
        <x:v>44</x:v>
      </x:c>
      <x:c r="O718" s="28" t="n">
        <x:v>0</x:v>
      </x:c>
      <x:c r="P718" s="62" t="n">
        <x:v>0</x:v>
      </x:c>
      <x:c r="Q718" s="22" t="n">
        <x:v>0</x:v>
      </x:c>
      <x:c r="R718" s="22" t="str">
        <x:v>ra_abc4</x:v>
      </x:c>
      <x:c r="S718" s="22" t="str">
        <x:v>visible</x:v>
      </x:c>
      <x:c r="T718" s="22" t="str"/>
    </x:row>
    <x:row r="719">
      <x:c r="A719" s="22" t="str">
        <x:v>2020-00086</x:v>
      </x:c>
      <x:c r="B719" s="22" t="str">
        <x:v>L2023-00036-1</x:v>
      </x:c>
      <x:c r="C719" s="22" t="str">
        <x:v>공사</x:v>
      </x:c>
      <x:c r="D719" s="25" t="str">
        <x:v>우즈베키스탄 우르겐치 직업훈련원 건립 및 타슈켄트 교사연수센터 건립사업 시공업체선정 현지입찰</x:v>
      </x:c>
      <x:c r="E719" s="22" t="n">
        <x:v>1</x:v>
      </x:c>
      <x:c r="F719" s="22" t="str">
        <x:v>.xlsx</x:v>
      </x:c>
      <x:c r="G719" s="25" t="str">
        <x:v>L2023-00036-1/붙임3_입찰관련서류_검토완_0717/Section 4.  Bill of Quantities(Not-Priced)/공내역서/TTC견적서/TTC(Teacher Traing Center)/2 АР(Architecture)/ra3030.xlsx</x:v>
      </x:c>
      <x:c r="H719" s="28" t="n">
        <x:v>27171</x:v>
      </x:c>
      <x:c r="I719" s="22" t="str">
        <x:v>1ab32257b417f35173d37ca063d6c865481a2c4e20984dbfcccad7ba6691eea3</x:v>
      </x:c>
      <x:c r="J719" s="22" t="n">
        <x:v>0</x:v>
      </x:c>
      <x:c r="K719" s="22" t="n">
        <x:v>1</x:v>
      </x:c>
      <x:c r="L719" s="22" t="n">
        <x:v>1</x:v>
      </x:c>
      <x:c r="M719" s="28" t="n">
        <x:v>1</x:v>
      </x:c>
      <x:c r="N719" s="28" t="n">
        <x:v>142</x:v>
      </x:c>
      <x:c r="O719" s="28" t="n">
        <x:v>0</x:v>
      </x:c>
      <x:c r="P719" s="62" t="n">
        <x:v>0</x:v>
      </x:c>
      <x:c r="Q719" s="22" t="n">
        <x:v>0</x:v>
      </x:c>
      <x:c r="R719" s="22" t="str">
        <x:v>ra_abc4</x:v>
      </x:c>
      <x:c r="S719" s="22" t="str">
        <x:v>visible</x:v>
      </x:c>
      <x:c r="T719" s="22" t="str"/>
    </x:row>
    <x:row r="720">
      <x:c r="A720" s="22" t="str">
        <x:v>2020-00086</x:v>
      </x:c>
      <x:c r="B720" s="22" t="str">
        <x:v>L2023-00036-1</x:v>
      </x:c>
      <x:c r="C720" s="22" t="str">
        <x:v>공사</x:v>
      </x:c>
      <x:c r="D720" s="25" t="str">
        <x:v>우즈베키스탄 우르겐치 직업훈련원 건립 및 타슈켄트 교사연수센터 건립사업 시공업체선정 현지입찰</x:v>
      </x:c>
      <x:c r="E720" s="22" t="n">
        <x:v>1</x:v>
      </x:c>
      <x:c r="F720" s="22" t="str">
        <x:v>.xlsx</x:v>
      </x:c>
      <x:c r="G720" s="25" t="str">
        <x:v>L2023-00036-1/붙임3_입찰관련서류_검토완_0717/Section 4.  Bill of Quantities(Not-Priced)/공내역서/TTC견적서/TTC(Teacher Traing Center)/2 АР(Architecture)/bv3030.xlsx</x:v>
      </x:c>
      <x:c r="H720" s="28" t="n">
        <x:v>84434</x:v>
      </x:c>
      <x:c r="I720" s="22" t="str">
        <x:v>fe7024582a9e7a27577e95f0b5c83b062807ddf1c456cf8c97eea3f47349b1f3</x:v>
      </x:c>
      <x:c r="J720" s="22" t="n">
        <x:v>0</x:v>
      </x:c>
      <x:c r="K720" s="22" t="n">
        <x:v>1</x:v>
      </x:c>
      <x:c r="L720" s="22" t="n">
        <x:v>1</x:v>
      </x:c>
      <x:c r="M720" s="28" t="n">
        <x:v>1</x:v>
      </x:c>
      <x:c r="N720" s="28" t="n">
        <x:v>720</x:v>
      </x:c>
      <x:c r="O720" s="28" t="n">
        <x:v>0</x:v>
      </x:c>
      <x:c r="P720" s="62" t="n">
        <x:v>0</x:v>
      </x:c>
      <x:c r="Q720" s="22" t="n">
        <x:v>0</x:v>
      </x:c>
      <x:c r="R720" s="22" t="str">
        <x:v>_ЛРВ</x:v>
      </x:c>
      <x:c r="S720" s="22" t="str">
        <x:v>visible</x:v>
      </x:c>
      <x:c r="T720" s="22" t="str"/>
    </x:row>
    <x:row r="721">
      <x:c r="A721" s="22" t="str">
        <x:v>2020-00086</x:v>
      </x:c>
      <x:c r="B721" s="22" t="str">
        <x:v>L2023-00036-1</x:v>
      </x:c>
      <x:c r="C721" s="22" t="str">
        <x:v>공사</x:v>
      </x:c>
      <x:c r="D721" s="25" t="str">
        <x:v>우즈베키스탄 우르겐치 직업훈련원 건립 및 타슈켄트 교사연수센터 건립사업 시공업체선정 현지입찰</x:v>
      </x:c>
      <x:c r="E721" s="22" t="n">
        <x:v>1</x:v>
      </x:c>
      <x:c r="F721" s="22" t="str">
        <x:v>.xlsx</x:v>
      </x:c>
      <x:c r="G721" s="25" t="str">
        <x:v>L2023-00036-1/붙임3_입찰관련서류_검토완_0717/Section 4.  Bill of Quantities(Not-Priced)/공내역서/TTC견적서/TTC(Teacher Traing Center)/7 CO(Suond)/ra3050.xlsx</x:v>
      </x:c>
      <x:c r="H721" s="28" t="n">
        <x:v>16144</x:v>
      </x:c>
      <x:c r="I721" s="22" t="str">
        <x:v>3cf45bc9f2d27c43f48e134d2bfd9e01b5da1619124aac33d045fbd062047f42</x:v>
      </x:c>
      <x:c r="J721" s="22" t="n">
        <x:v>0</x:v>
      </x:c>
      <x:c r="K721" s="22" t="n">
        <x:v>1</x:v>
      </x:c>
      <x:c r="L721" s="22" t="n">
        <x:v>1</x:v>
      </x:c>
      <x:c r="M721" s="28" t="n">
        <x:v>1</x:v>
      </x:c>
      <x:c r="N721" s="28" t="n">
        <x:v>26</x:v>
      </x:c>
      <x:c r="O721" s="28" t="n">
        <x:v>0</x:v>
      </x:c>
      <x:c r="P721" s="62" t="n">
        <x:v>0</x:v>
      </x:c>
      <x:c r="Q721" s="22" t="n">
        <x:v>0</x:v>
      </x:c>
      <x:c r="R721" s="22" t="str">
        <x:v>ra_abc4</x:v>
      </x:c>
      <x:c r="S721" s="22" t="str">
        <x:v>visible</x:v>
      </x:c>
      <x:c r="T721" s="22" t="str"/>
    </x:row>
    <x:row r="722">
      <x:c r="A722" s="22" t="str">
        <x:v>2020-00086</x:v>
      </x:c>
      <x:c r="B722" s="22" t="str">
        <x:v>L2023-00036-1</x:v>
      </x:c>
      <x:c r="C722" s="22" t="str">
        <x:v>공사</x:v>
      </x:c>
      <x:c r="D722" s="25" t="str">
        <x:v>우즈베키스탄 우르겐치 직업훈련원 건립 및 타슈켄트 교사연수센터 건립사업 시공업체선정 현지입찰</x:v>
      </x:c>
      <x:c r="E722" s="22" t="n">
        <x:v>1</x:v>
      </x:c>
      <x:c r="F722" s="22" t="str">
        <x:v>.xlsx</x:v>
      </x:c>
      <x:c r="G722" s="25" t="str">
        <x:v>L2023-00036-1/붙임3_입찰관련서류_검토완_0717/Section 4.  Bill of Quantities(Not-Priced)/공내역서/TTC견적서/TTC(Teacher Traing Center)/7 CO(Suond)/bv3050.xlsx</x:v>
      </x:c>
      <x:c r="H722" s="28" t="n">
        <x:v>19167</x:v>
      </x:c>
      <x:c r="I722" s="22" t="str">
        <x:v>d8736b6fb22ca90bb5af5c298fc86e1ee24f5e86a706ccd04c842123ad6d6659</x:v>
      </x:c>
      <x:c r="J722" s="22" t="n">
        <x:v>0</x:v>
      </x:c>
      <x:c r="K722" s="22" t="n">
        <x:v>1</x:v>
      </x:c>
      <x:c r="L722" s="22" t="n">
        <x:v>1</x:v>
      </x:c>
      <x:c r="M722" s="28" t="n">
        <x:v>1</x:v>
      </x:c>
      <x:c r="N722" s="28" t="n">
        <x:v>47</x:v>
      </x:c>
      <x:c r="O722" s="28" t="n">
        <x:v>0</x:v>
      </x:c>
      <x:c r="P722" s="62" t="n">
        <x:v>0</x:v>
      </x:c>
      <x:c r="Q722" s="22" t="n">
        <x:v>0</x:v>
      </x:c>
      <x:c r="R722" s="22" t="str">
        <x:v>_ЛРВ</x:v>
      </x:c>
      <x:c r="S722" s="22" t="str">
        <x:v>visible</x:v>
      </x:c>
      <x:c r="T722" s="22" t="str"/>
    </x:row>
    <x:row r="723">
      <x:c r="A723" s="22" t="str">
        <x:v>2020-00086</x:v>
      </x:c>
      <x:c r="B723" s="22" t="str">
        <x:v>L2023-00036-1</x:v>
      </x:c>
      <x:c r="C723" s="22" t="str">
        <x:v>공사</x:v>
      </x:c>
      <x:c r="D723" s="25" t="str">
        <x:v>우즈베키스탄 우르겐치 직업훈련원 건립 및 타슈켄트 교사연수센터 건립사업 시공업체선정 현지입찰</x:v>
      </x:c>
      <x:c r="E723" s="22" t="n">
        <x:v>1</x:v>
      </x:c>
      <x:c r="F723" s="22" t="str">
        <x:v>.xlsx</x:v>
      </x:c>
      <x:c r="G723" s="25" t="str">
        <x:v>L2023-00036-1/붙임3_입찰관련서류_검토완_0717/Section 4.  Bill of Quantities(Not-Priced)/공내역서/TTC견적서/TTC(Teacher Traing Center)/6 BH(CCTV)/bv3040.xlsx</x:v>
      </x:c>
      <x:c r="H723" s="28" t="n">
        <x:v>17421</x:v>
      </x:c>
      <x:c r="I723" s="22" t="str">
        <x:v>c087a01a7f5ee8bc03972781ebf3fd9e8b22b9403edf8c1afc5f58ba62cd9347</x:v>
      </x:c>
      <x:c r="J723" s="22" t="n">
        <x:v>0</x:v>
      </x:c>
      <x:c r="K723" s="22" t="n">
        <x:v>1</x:v>
      </x:c>
      <x:c r="L723" s="22" t="n">
        <x:v>1</x:v>
      </x:c>
      <x:c r="M723" s="28" t="n">
        <x:v>1</x:v>
      </x:c>
      <x:c r="N723" s="28" t="n">
        <x:v>41</x:v>
      </x:c>
      <x:c r="O723" s="28" t="n">
        <x:v>0</x:v>
      </x:c>
      <x:c r="P723" s="62" t="n">
        <x:v>0</x:v>
      </x:c>
      <x:c r="Q723" s="22" t="n">
        <x:v>0</x:v>
      </x:c>
      <x:c r="R723" s="22" t="str">
        <x:v>_ЛРВ</x:v>
      </x:c>
      <x:c r="S723" s="22" t="str">
        <x:v>visible</x:v>
      </x:c>
      <x:c r="T723" s="22" t="str"/>
    </x:row>
    <x:row r="724">
      <x:c r="A724" s="22" t="str">
        <x:v>2020-00086</x:v>
      </x:c>
      <x:c r="B724" s="22" t="str">
        <x:v>L2023-00036-1</x:v>
      </x:c>
      <x:c r="C724" s="22" t="str">
        <x:v>공사</x:v>
      </x:c>
      <x:c r="D724" s="25" t="str">
        <x:v>우즈베키스탄 우르겐치 직업훈련원 건립 및 타슈켄트 교사연수센터 건립사업 시공업체선정 현지입찰</x:v>
      </x:c>
      <x:c r="E724" s="22" t="n">
        <x:v>1</x:v>
      </x:c>
      <x:c r="F724" s="22" t="str">
        <x:v>.xlsx</x:v>
      </x:c>
      <x:c r="G724" s="25" t="str">
        <x:v>L2023-00036-1/붙임3_입찰관련서류_검토완_0717/Section 4.  Bill of Quantities(Not-Priced)/공내역서/TTC견적서/TTC(Teacher Traing Center)/6 BH(CCTV)/ra3040.xlsx</x:v>
      </x:c>
      <x:c r="H724" s="28" t="n">
        <x:v>15692</x:v>
      </x:c>
      <x:c r="I724" s="22" t="str">
        <x:v>f5e37918a701d900c3b2bbe9e1043f237d948b3b8b8e292ed0b3f2ded32bfeef</x:v>
      </x:c>
      <x:c r="J724" s="22" t="n">
        <x:v>0</x:v>
      </x:c>
      <x:c r="K724" s="22" t="n">
        <x:v>1</x:v>
      </x:c>
      <x:c r="L724" s="22" t="n">
        <x:v>1</x:v>
      </x:c>
      <x:c r="M724" s="28" t="n">
        <x:v>1</x:v>
      </x:c>
      <x:c r="N724" s="28" t="n">
        <x:v>21</x:v>
      </x:c>
      <x:c r="O724" s="28" t="n">
        <x:v>0</x:v>
      </x:c>
      <x:c r="P724" s="62" t="n">
        <x:v>0</x:v>
      </x:c>
      <x:c r="Q724" s="22" t="n">
        <x:v>0</x:v>
      </x:c>
      <x:c r="R724" s="22" t="str">
        <x:v>ra_abc4</x:v>
      </x:c>
      <x:c r="S724" s="22" t="str">
        <x:v>visible</x:v>
      </x:c>
      <x:c r="T724" s="22" t="str"/>
    </x:row>
    <x:row r="725">
      <x:c r="A725" s="22" t="str">
        <x:v>2020-00086</x:v>
      </x:c>
      <x:c r="B725" s="22" t="str">
        <x:v>L2023-00036-1</x:v>
      </x:c>
      <x:c r="C725" s="22" t="str">
        <x:v>공사</x:v>
      </x:c>
      <x:c r="D725" s="25" t="str">
        <x:v>우즈베키스탄 우르겐치 직업훈련원 건립 및 타슈켄트 교사연수센터 건립사업 시공업체선정 현지입찰</x:v>
      </x:c>
      <x:c r="E725" s="22" t="n">
        <x:v>1</x:v>
      </x:c>
      <x:c r="F725" s="22" t="str">
        <x:v>.xlsx</x:v>
      </x:c>
      <x:c r="G725" s="25" t="str">
        <x:v>L2023-00036-1/붙임3_입찰관련서류_검토완_0717/Section 4.  Bill of Quantities(Not-Priced)/공내역서/TTC견적서/TTC(Teacher Traing Center)/3 ГП(Site Plan &amp; Landscape+Outdoor Infra)/bv3060.xlsx</x:v>
      </x:c>
      <x:c r="H725" s="28" t="n">
        <x:v>27660</x:v>
      </x:c>
      <x:c r="I725" s="22" t="str">
        <x:v>d38cd3ff2234cd84ccd1adff4d2959195030ae5e3712b8ec0eff324533322e0f</x:v>
      </x:c>
      <x:c r="J725" s="22" t="n">
        <x:v>0</x:v>
      </x:c>
      <x:c r="K725" s="22" t="n">
        <x:v>1</x:v>
      </x:c>
      <x:c r="L725" s="22" t="n">
        <x:v>1</x:v>
      </x:c>
      <x:c r="M725" s="28" t="n">
        <x:v>1</x:v>
      </x:c>
      <x:c r="N725" s="28" t="n">
        <x:v>119</x:v>
      </x:c>
      <x:c r="O725" s="28" t="n">
        <x:v>0</x:v>
      </x:c>
      <x:c r="P725" s="62" t="n">
        <x:v>0</x:v>
      </x:c>
      <x:c r="Q725" s="22" t="n">
        <x:v>0</x:v>
      </x:c>
      <x:c r="R725" s="22" t="str">
        <x:v>_ЛРВ</x:v>
      </x:c>
      <x:c r="S725" s="22" t="str">
        <x:v>visible</x:v>
      </x:c>
      <x:c r="T725" s="22" t="str"/>
    </x:row>
    <x:row r="726">
      <x:c r="A726" s="22" t="str">
        <x:v>2020-00086</x:v>
      </x:c>
      <x:c r="B726" s="22" t="str">
        <x:v>L2023-00036-1</x:v>
      </x:c>
      <x:c r="C726" s="22" t="str">
        <x:v>공사</x:v>
      </x:c>
      <x:c r="D726" s="25" t="str">
        <x:v>우즈베키스탄 우르겐치 직업훈련원 건립 및 타슈켄트 교사연수센터 건립사업 시공업체선정 현지입찰</x:v>
      </x:c>
      <x:c r="E726" s="22" t="n">
        <x:v>1</x:v>
      </x:c>
      <x:c r="F726" s="22" t="str">
        <x:v>.xlsx</x:v>
      </x:c>
      <x:c r="G726" s="25" t="str">
        <x:v>L2023-00036-1/붙임3_입찰관련서류_검토완_0717/Section 4.  Bill of Quantities(Not-Priced)/공내역서/TTC견적서/TTC(Teacher Traing Center)/3 ГП(Site Plan &amp; Landscape+Outdoor Infra)/ra3060.xlsx</x:v>
      </x:c>
      <x:c r="H726" s="28" t="n">
        <x:v>18388</x:v>
      </x:c>
      <x:c r="I726" s="22" t="str">
        <x:v>7d07a0c0b1035748d075950f03fed1b0792f6c426640217f52f3e44a82850c98</x:v>
      </x:c>
      <x:c r="J726" s="22" t="n">
        <x:v>0</x:v>
      </x:c>
      <x:c r="K726" s="22" t="n">
        <x:v>1</x:v>
      </x:c>
      <x:c r="L726" s="22" t="n">
        <x:v>1</x:v>
      </x:c>
      <x:c r="M726" s="28" t="n">
        <x:v>1</x:v>
      </x:c>
      <x:c r="N726" s="28" t="n">
        <x:v>47</x:v>
      </x:c>
      <x:c r="O726" s="28" t="n">
        <x:v>0</x:v>
      </x:c>
      <x:c r="P726" s="62" t="n">
        <x:v>0</x:v>
      </x:c>
      <x:c r="Q726" s="22" t="n">
        <x:v>0</x:v>
      </x:c>
      <x:c r="R726" s="22" t="str">
        <x:v>ra_abc4</x:v>
      </x:c>
      <x:c r="S726" s="22" t="str">
        <x:v>visible</x:v>
      </x:c>
      <x:c r="T726" s="22" t="str"/>
    </x:row>
    <x:row r="727">
      <x:c r="A727" s="22" t="str">
        <x:v>2020-00086</x:v>
      </x:c>
      <x:c r="B727" s="22" t="str">
        <x:v>L2023-00036-1</x:v>
      </x:c>
      <x:c r="C727" s="22" t="str">
        <x:v>공사</x:v>
      </x:c>
      <x:c r="D727" s="25" t="str">
        <x:v>우즈베키스탄 우르겐치 직업훈련원 건립 및 타슈켄트 교사연수센터 건립사업 시공업체선정 현지입찰</x:v>
      </x:c>
      <x:c r="E727" s="22" t="n">
        <x:v>1</x:v>
      </x:c>
      <x:c r="F727" s="22" t="str">
        <x:v>.xlsx</x:v>
      </x:c>
      <x:c r="G727" s="25" t="str">
        <x:v>L2023-00036-1/붙임3_입찰관련서류_검토완_0717/Section 4.  Bill of Quantities(Not-Priced)/공내역서/TTC견적서/TTC(Teacher Traing Center)/11 ПС(Fire Alarm)/ra890.xlsx</x:v>
      </x:c>
      <x:c r="H727" s="28" t="n">
        <x:v>16065</x:v>
      </x:c>
      <x:c r="I727" s="22" t="str">
        <x:v>d8b2c9b85f45400cc7d8c27f259fa0c5b3e76d1b545bb75354989dbb43135b4d</x:v>
      </x:c>
      <x:c r="J727" s="22" t="n">
        <x:v>0</x:v>
      </x:c>
      <x:c r="K727" s="22" t="n">
        <x:v>1</x:v>
      </x:c>
      <x:c r="L727" s="22" t="n">
        <x:v>1</x:v>
      </x:c>
      <x:c r="M727" s="28" t="n">
        <x:v>1</x:v>
      </x:c>
      <x:c r="N727" s="28" t="n">
        <x:v>26</x:v>
      </x:c>
      <x:c r="O727" s="28" t="n">
        <x:v>0</x:v>
      </x:c>
      <x:c r="P727" s="62" t="n">
        <x:v>0</x:v>
      </x:c>
      <x:c r="Q727" s="22" t="n">
        <x:v>0</x:v>
      </x:c>
      <x:c r="R727" s="22" t="str">
        <x:v>ra_abc4</x:v>
      </x:c>
      <x:c r="S727" s="22" t="str">
        <x:v>visible</x:v>
      </x:c>
      <x:c r="T727" s="22" t="str"/>
    </x:row>
    <x:row r="728">
      <x:c r="A728" s="22" t="str">
        <x:v>2020-00086</x:v>
      </x:c>
      <x:c r="B728" s="22" t="str">
        <x:v>L2023-00036-1</x:v>
      </x:c>
      <x:c r="C728" s="22" t="str">
        <x:v>공사</x:v>
      </x:c>
      <x:c r="D728" s="25" t="str">
        <x:v>우즈베키스탄 우르겐치 직업훈련원 건립 및 타슈켄트 교사연수센터 건립사업 시공업체선정 현지입찰</x:v>
      </x:c>
      <x:c r="E728" s="22" t="n">
        <x:v>1</x:v>
      </x:c>
      <x:c r="F728" s="22" t="str">
        <x:v>.xlsx</x:v>
      </x:c>
      <x:c r="G728" s="25" t="str">
        <x:v>L2023-00036-1/붙임3_입찰관련서류_검토완_0717/Section 4.  Bill of Quantities(Not-Priced)/공내역서/TTC견적서/TTC(Teacher Traing Center)/11 ПС(Fire Alarm)/bv890.xlsx</x:v>
      </x:c>
      <x:c r="H728" s="28" t="n">
        <x:v>16239</x:v>
      </x:c>
      <x:c r="I728" s="22" t="str">
        <x:v>8129ceac07201b1e597cc0f6a8cb95da3e9b128c6c78d846cc24a60a01eda92a</x:v>
      </x:c>
      <x:c r="J728" s="22" t="n">
        <x:v>0</x:v>
      </x:c>
      <x:c r="K728" s="22" t="n">
        <x:v>1</x:v>
      </x:c>
      <x:c r="L728" s="22" t="n">
        <x:v>1</x:v>
      </x:c>
      <x:c r="M728" s="28" t="n">
        <x:v>1</x:v>
      </x:c>
      <x:c r="N728" s="28" t="n">
        <x:v>50</x:v>
      </x:c>
      <x:c r="O728" s="28" t="n">
        <x:v>0</x:v>
      </x:c>
      <x:c r="P728" s="62" t="n">
        <x:v>0</x:v>
      </x:c>
      <x:c r="Q728" s="22" t="n">
        <x:v>0</x:v>
      </x:c>
      <x:c r="R728" s="22" t="str">
        <x:v>_ЛРВ</x:v>
      </x:c>
      <x:c r="S728" s="22" t="str">
        <x:v>visible</x:v>
      </x:c>
      <x:c r="T728" s="22" t="str"/>
    </x:row>
    <x:row r="729">
      <x:c r="A729" s="22" t="str">
        <x:v>2020-00086</x:v>
      </x:c>
      <x:c r="B729" s="22" t="str">
        <x:v>L2023-00036-1</x:v>
      </x:c>
      <x:c r="C729" s="22" t="str">
        <x:v>공사</x:v>
      </x:c>
      <x:c r="D729" s="25" t="str">
        <x:v>우즈베키스탄 우르겐치 직업훈련원 건립 및 타슈켄트 교사연수센터 건립사업 시공업체선정 현지입찰</x:v>
      </x:c>
      <x:c r="E729" s="22" t="n">
        <x:v>1</x:v>
      </x:c>
      <x:c r="F729" s="22" t="str">
        <x:v>.xlsx</x:v>
      </x:c>
      <x:c r="G729" s="25" t="str">
        <x:v>L2023-00036-1/붙임3_입찰관련서류_검토완_0717/Section 4.  Bill of Quantities(Not-Priced)/공내역서/TTC견적서/TTC(Teacher Traing Center)/8 TX(Technology)/ra1980.xlsx</x:v>
      </x:c>
      <x:c r="H729" s="28" t="n">
        <x:v>20617</x:v>
      </x:c>
      <x:c r="I729" s="22" t="str">
        <x:v>622bb79188a8c68bb6c3ee2ce4251459a88c3c64cd720cfe0775331285385fe3</x:v>
      </x:c>
      <x:c r="J729" s="22" t="n">
        <x:v>0</x:v>
      </x:c>
      <x:c r="K729" s="22" t="n">
        <x:v>1</x:v>
      </x:c>
      <x:c r="L729" s="22" t="n">
        <x:v>1</x:v>
      </x:c>
      <x:c r="M729" s="28" t="n">
        <x:v>1</x:v>
      </x:c>
      <x:c r="N729" s="28" t="n">
        <x:v>73</x:v>
      </x:c>
      <x:c r="O729" s="28" t="n">
        <x:v>0</x:v>
      </x:c>
      <x:c r="P729" s="62" t="n">
        <x:v>0</x:v>
      </x:c>
      <x:c r="Q729" s="22" t="n">
        <x:v>0</x:v>
      </x:c>
      <x:c r="R729" s="22" t="str">
        <x:v>ra_abc4</x:v>
      </x:c>
      <x:c r="S729" s="22" t="str">
        <x:v>visible</x:v>
      </x:c>
      <x:c r="T729" s="22" t="str"/>
    </x:row>
    <x:row r="730">
      <x:c r="A730" s="22" t="str">
        <x:v>2020-00086</x:v>
      </x:c>
      <x:c r="B730" s="22" t="str">
        <x:v>L2023-00036-1</x:v>
      </x:c>
      <x:c r="C730" s="22" t="str">
        <x:v>공사</x:v>
      </x:c>
      <x:c r="D730" s="25" t="str">
        <x:v>우즈베키스탄 우르겐치 직업훈련원 건립 및 타슈켄트 교사연수센터 건립사업 시공업체선정 현지입찰</x:v>
      </x:c>
      <x:c r="E730" s="22" t="n">
        <x:v>1</x:v>
      </x:c>
      <x:c r="F730" s="22" t="str">
        <x:v>.xlsx</x:v>
      </x:c>
      <x:c r="G730" s="25" t="str">
        <x:v>L2023-00036-1/붙임3_입찰관련서류_검토완_0717/Section 4.  Bill of Quantities(Not-Priced)/공내역서/TTC견적서/TTC(Teacher Traing Center)/8 TX(Technology)/bv1980.xlsx</x:v>
      </x:c>
      <x:c r="H730" s="28" t="n">
        <x:v>26757</x:v>
      </x:c>
      <x:c r="I730" s="22" t="str">
        <x:v>658f831982ac98d8cfbab1681ad4e3120d4258ebd2fe84176ecd04c364fd7c9f</x:v>
      </x:c>
      <x:c r="J730" s="22" t="n">
        <x:v>0</x:v>
      </x:c>
      <x:c r="K730" s="22" t="n">
        <x:v>1</x:v>
      </x:c>
      <x:c r="L730" s="22" t="n">
        <x:v>1</x:v>
      </x:c>
      <x:c r="M730" s="28" t="n">
        <x:v>1</x:v>
      </x:c>
      <x:c r="N730" s="28" t="n">
        <x:v>122</x:v>
      </x:c>
      <x:c r="O730" s="28" t="n">
        <x:v>0</x:v>
      </x:c>
      <x:c r="P730" s="62" t="n">
        <x:v>0</x:v>
      </x:c>
      <x:c r="Q730" s="22" t="n">
        <x:v>0</x:v>
      </x:c>
      <x:c r="R730" s="22" t="str">
        <x:v>_ЛРВ</x:v>
      </x:c>
      <x:c r="S730" s="22" t="str">
        <x:v>visible</x:v>
      </x:c>
      <x:c r="T730" s="22" t="str"/>
    </x:row>
    <x:row r="731">
      <x:c r="A731" s="22" t="str">
        <x:v>2020-00086</x:v>
      </x:c>
      <x:c r="B731" s="22" t="str">
        <x:v>L2023-00036-1</x:v>
      </x:c>
      <x:c r="C731" s="22" t="str">
        <x:v>공사</x:v>
      </x:c>
      <x:c r="D731" s="25" t="str">
        <x:v>우즈베키스탄 우르겐치 직업훈련원 건립 및 타슈켄트 교사연수센터 건립사업 시공업체선정 현지입찰</x:v>
      </x:c>
      <x:c r="E731" s="22" t="n">
        <x:v>1</x:v>
      </x:c>
      <x:c r="F731" s="22" t="str">
        <x:v>.xlsx</x:v>
      </x:c>
      <x:c r="G731" s="25" t="str">
        <x:v>L2023-00036-1/붙임3_입찰관련서류_검토완_0717/Section 4.  Bill of Quantities(Not-Priced)/공내역서/TTC견적서/TTC(Teacher Traing Center)/1 КЖ(Structure)/bv1960bvvv.xlsx</x:v>
      </x:c>
      <x:c r="H731" s="28" t="n">
        <x:v>182869</x:v>
      </x:c>
      <x:c r="I731" s="22" t="str">
        <x:v>e5c99030dcc522bfbec53f93e2065da4eb585f95ef5433d19a6f5060946eda14</x:v>
      </x:c>
      <x:c r="J731" s="22" t="n">
        <x:v>0</x:v>
      </x:c>
      <x:c r="K731" s="22" t="n">
        <x:v>1</x:v>
      </x:c>
      <x:c r="L731" s="22" t="n">
        <x:v>1</x:v>
      </x:c>
      <x:c r="M731" s="28" t="n">
        <x:v>1</x:v>
      </x:c>
      <x:c r="N731" s="28" t="n">
        <x:v>1896</x:v>
      </x:c>
      <x:c r="O731" s="28" t="n">
        <x:v>0</x:v>
      </x:c>
      <x:c r="P731" s="62" t="n">
        <x:v>0</x:v>
      </x:c>
      <x:c r="Q731" s="22" t="n">
        <x:v>0</x:v>
      </x:c>
      <x:c r="R731" s="22" t="str">
        <x:v>_ЛРВ</x:v>
      </x:c>
      <x:c r="S731" s="22" t="str">
        <x:v>visible</x:v>
      </x:c>
      <x:c r="T731" s="22" t="str"/>
    </x:row>
    <x:row r="732">
      <x:c r="A732" s="22" t="str">
        <x:v>2020-00086</x:v>
      </x:c>
      <x:c r="B732" s="22" t="str">
        <x:v>L2023-00036-1</x:v>
      </x:c>
      <x:c r="C732" s="22" t="str">
        <x:v>공사</x:v>
      </x:c>
      <x:c r="D732" s="25" t="str">
        <x:v>우즈베키스탄 우르겐치 직업훈련원 건립 및 타슈켄트 교사연수센터 건립사업 시공업체선정 현지입찰</x:v>
      </x:c>
      <x:c r="E732" s="22" t="n">
        <x:v>1</x:v>
      </x:c>
      <x:c r="F732" s="22" t="str">
        <x:v>.xlsx</x:v>
      </x:c>
      <x:c r="G732" s="25" t="str">
        <x:v>L2023-00036-1/붙임3_입찰관련서류_검토완_0717/Section 4.  Bill of Quantities(Not-Priced)/공내역서/TTC견적서/TTC(Teacher Traing Center)/1 КЖ(Structure)/ra1960.xlsx</x:v>
      </x:c>
      <x:c r="H732" s="28" t="n">
        <x:v>22697</x:v>
      </x:c>
      <x:c r="I732" s="22" t="str">
        <x:v>1df141d69100814db5f9704fbd37ab0da50fd60867b7be892d994f292bba0530</x:v>
      </x:c>
      <x:c r="J732" s="22" t="n">
        <x:v>0</x:v>
      </x:c>
      <x:c r="K732" s="22" t="n">
        <x:v>1</x:v>
      </x:c>
      <x:c r="L732" s="22" t="n">
        <x:v>1</x:v>
      </x:c>
      <x:c r="M732" s="28" t="n">
        <x:v>1</x:v>
      </x:c>
      <x:c r="N732" s="28" t="n">
        <x:v>93</x:v>
      </x:c>
      <x:c r="O732" s="28" t="n">
        <x:v>0</x:v>
      </x:c>
      <x:c r="P732" s="62" t="n">
        <x:v>0</x:v>
      </x:c>
      <x:c r="Q732" s="22" t="n">
        <x:v>0</x:v>
      </x:c>
      <x:c r="R732" s="22" t="str">
        <x:v>ra_abc4</x:v>
      </x:c>
      <x:c r="S732" s="22" t="str">
        <x:v>visible</x:v>
      </x:c>
      <x:c r="T732" s="22" t="str"/>
    </x:row>
    <x:row r="733">
      <x:c r="A733" s="22" t="str">
        <x:v>2020-00086</x:v>
      </x:c>
      <x:c r="B733" s="22" t="str">
        <x:v>L2023-00036-1</x:v>
      </x:c>
      <x:c r="C733" s="22" t="str">
        <x:v>공사</x:v>
      </x:c>
      <x:c r="D733" s="25" t="str">
        <x:v>우즈베키스탄 우르겐치 직업훈련원 건립 및 타슈켄트 교사연수센터 건립사업 시공업체선정 현지입찰</x:v>
      </x:c>
      <x:c r="E733" s="22" t="n">
        <x:v>1</x:v>
      </x:c>
      <x:c r="F733" s="22" t="str">
        <x:v>.xlsx</x:v>
      </x:c>
      <x:c r="G733" s="25" t="str">
        <x:v>L2023-00036-1/붙임3_입찰관련서류_검토완_0717/Section 4.  Bill of Quantities(Not-Priced)/공내역서/TTC견적서/TTC(Teacher Traing Center)/4 Fence &amp; Gate/ra1970.xlsx</x:v>
      </x:c>
      <x:c r="H733" s="28" t="n">
        <x:v>17488</x:v>
      </x:c>
      <x:c r="I733" s="22" t="str">
        <x:v>2ce08b34a8bc5b4c30202b96999f24f8b8143955bb33db40aa4a9b418396dc3e</x:v>
      </x:c>
      <x:c r="J733" s="22" t="n">
        <x:v>0</x:v>
      </x:c>
      <x:c r="K733" s="22" t="n">
        <x:v>1</x:v>
      </x:c>
      <x:c r="L733" s="22" t="n">
        <x:v>1</x:v>
      </x:c>
      <x:c r="M733" s="28" t="n">
        <x:v>1</x:v>
      </x:c>
      <x:c r="N733" s="28" t="n">
        <x:v>47</x:v>
      </x:c>
      <x:c r="O733" s="28" t="n">
        <x:v>0</x:v>
      </x:c>
      <x:c r="P733" s="62" t="n">
        <x:v>0</x:v>
      </x:c>
      <x:c r="Q733" s="22" t="n">
        <x:v>0</x:v>
      </x:c>
      <x:c r="R733" s="22" t="str">
        <x:v>ra_abc4</x:v>
      </x:c>
      <x:c r="S733" s="22" t="str">
        <x:v>visible</x:v>
      </x:c>
      <x:c r="T733" s="22" t="str"/>
    </x:row>
    <x:row r="734">
      <x:c r="A734" s="22" t="str">
        <x:v>2020-00086</x:v>
      </x:c>
      <x:c r="B734" s="22" t="str">
        <x:v>L2023-00036-1</x:v>
      </x:c>
      <x:c r="C734" s="22" t="str">
        <x:v>공사</x:v>
      </x:c>
      <x:c r="D734" s="25" t="str">
        <x:v>우즈베키스탄 우르겐치 직업훈련원 건립 및 타슈켄트 교사연수센터 건립사업 시공업체선정 현지입찰</x:v>
      </x:c>
      <x:c r="E734" s="22" t="n">
        <x:v>1</x:v>
      </x:c>
      <x:c r="F734" s="22" t="str">
        <x:v>.xlsx</x:v>
      </x:c>
      <x:c r="G734" s="25" t="str">
        <x:v>L2023-00036-1/붙임3_입찰관련서류_검토완_0717/Section 4.  Bill of Quantities(Not-Priced)/공내역서/TTC견적서/TTC(Teacher Traing Center)/4 Fence &amp; Gate/bv1970.xlsx</x:v>
      </x:c>
      <x:c r="H734" s="28" t="n">
        <x:v>31247</x:v>
      </x:c>
      <x:c r="I734" s="22" t="str">
        <x:v>72f147bedce1773ad4eb4cb1322cdb8560daad6b74664382be38ab6b252391e8</x:v>
      </x:c>
      <x:c r="J734" s="22" t="n">
        <x:v>0</x:v>
      </x:c>
      <x:c r="K734" s="22" t="n">
        <x:v>1</x:v>
      </x:c>
      <x:c r="L734" s="22" t="n">
        <x:v>1</x:v>
      </x:c>
      <x:c r="M734" s="28" t="n">
        <x:v>1</x:v>
      </x:c>
      <x:c r="N734" s="28" t="n">
        <x:v>160</x:v>
      </x:c>
      <x:c r="O734" s="28" t="n">
        <x:v>0</x:v>
      </x:c>
      <x:c r="P734" s="62" t="n">
        <x:v>0</x:v>
      </x:c>
      <x:c r="Q734" s="22" t="n">
        <x:v>0</x:v>
      </x:c>
      <x:c r="R734" s="22" t="str">
        <x:v>_ЛРВ</x:v>
      </x:c>
      <x:c r="S734" s="22" t="str">
        <x:v>visible</x:v>
      </x:c>
      <x:c r="T734" s="22" t="str"/>
    </x:row>
    <x:row r="735">
      <x:c r="A735" s="22" t="str">
        <x:v>2020-00086</x:v>
      </x:c>
      <x:c r="B735" s="22" t="str">
        <x:v>L2023-00036-1</x:v>
      </x:c>
      <x:c r="C735" s="22" t="str">
        <x:v>공사</x:v>
      </x:c>
      <x:c r="D735" s="25" t="str">
        <x:v>우즈베키스탄 우르겐치 직업훈련원 건립 및 타슈켄트 교사연수센터 건립사업 시공업체선정 현지입찰</x:v>
      </x:c>
      <x:c r="E735" s="22" t="n">
        <x:v>1</x:v>
      </x:c>
      <x:c r="F735" s="22" t="str">
        <x:v>.xlsx</x:v>
      </x:c>
      <x:c r="G735" s="25" t="str">
        <x:v>L2023-00036-1/붙임3_입찰관련서류_검토완_0717/Section 4.  Bill of Quantities(Not-Priced)/공내역서/TTC견적서/TTC(Teacher Traing Center)/5 BK(Water &amp; Drain)/ra3070.xlsx</x:v>
      </x:c>
      <x:c r="H735" s="28" t="n">
        <x:v>25278</x:v>
      </x:c>
      <x:c r="I735" s="22" t="str">
        <x:v>fd300044379245c1d80d88ba74fe1633f3b5207511979bfda5b2a1dcd3740796</x:v>
      </x:c>
      <x:c r="J735" s="22" t="n">
        <x:v>0</x:v>
      </x:c>
      <x:c r="K735" s="22" t="n">
        <x:v>1</x:v>
      </x:c>
      <x:c r="L735" s="22" t="n">
        <x:v>1</x:v>
      </x:c>
      <x:c r="M735" s="28" t="n">
        <x:v>1</x:v>
      </x:c>
      <x:c r="N735" s="28" t="n">
        <x:v>129</x:v>
      </x:c>
      <x:c r="O735" s="28" t="n">
        <x:v>0</x:v>
      </x:c>
      <x:c r="P735" s="62" t="n">
        <x:v>0</x:v>
      </x:c>
      <x:c r="Q735" s="22" t="n">
        <x:v>0</x:v>
      </x:c>
      <x:c r="R735" s="22" t="str">
        <x:v>ra_abc4</x:v>
      </x:c>
      <x:c r="S735" s="22" t="str">
        <x:v>visible</x:v>
      </x:c>
      <x:c r="T735" s="22" t="str"/>
    </x:row>
    <x:row r="736">
      <x:c r="A736" s="22" t="str">
        <x:v>2020-00086</x:v>
      </x:c>
      <x:c r="B736" s="22" t="str">
        <x:v>L2023-00036-1</x:v>
      </x:c>
      <x:c r="C736" s="22" t="str">
        <x:v>공사</x:v>
      </x:c>
      <x:c r="D736" s="25" t="str">
        <x:v>우즈베키스탄 우르겐치 직업훈련원 건립 및 타슈켄트 교사연수센터 건립사업 시공업체선정 현지입찰</x:v>
      </x:c>
      <x:c r="E736" s="22" t="n">
        <x:v>1</x:v>
      </x:c>
      <x:c r="F736" s="22" t="str">
        <x:v>.xlsx</x:v>
      </x:c>
      <x:c r="G736" s="25" t="str">
        <x:v>L2023-00036-1/붙임3_입찰관련서류_검토완_0717/Section 4.  Bill of Quantities(Not-Priced)/공내역서/TTC견적서/TTC(Teacher Traing Center)/5 BK(Water &amp; Drain)/bv3070.xlsx</x:v>
      </x:c>
      <x:c r="H736" s="28" t="n">
        <x:v>49531</x:v>
      </x:c>
      <x:c r="I736" s="22" t="str">
        <x:v>6acc573f07036eef8ca050dcd24be3037151b90e25f2d5c5ee04ffd429ce3bd4</x:v>
      </x:c>
      <x:c r="J736" s="22" t="n">
        <x:v>0</x:v>
      </x:c>
      <x:c r="K736" s="22" t="n">
        <x:v>1</x:v>
      </x:c>
      <x:c r="L736" s="22" t="n">
        <x:v>1</x:v>
      </x:c>
      <x:c r="M736" s="28" t="n">
        <x:v>1</x:v>
      </x:c>
      <x:c r="N736" s="28" t="n">
        <x:v>351</x:v>
      </x:c>
      <x:c r="O736" s="28" t="n">
        <x:v>0</x:v>
      </x:c>
      <x:c r="P736" s="62" t="n">
        <x:v>0</x:v>
      </x:c>
      <x:c r="Q736" s="22" t="n">
        <x:v>0</x:v>
      </x:c>
      <x:c r="R736" s="22" t="str">
        <x:v>_ЛРВ</x:v>
      </x:c>
      <x:c r="S736" s="22" t="str">
        <x:v>visible</x:v>
      </x:c>
      <x:c r="T736" s="22" t="str"/>
    </x:row>
    <x:row r="737">
      <x:c r="A737" s="22" t="str">
        <x:v>2020-00086</x:v>
      </x:c>
      <x:c r="B737" s="22" t="str">
        <x:v>L2023-00036-1</x:v>
      </x:c>
      <x:c r="C737" s="22" t="str">
        <x:v>공사</x:v>
      </x:c>
      <x:c r="D737" s="25" t="str">
        <x:v>우즈베키스탄 우르겐치 직업훈련원 건립 및 타슈켄트 교사연수센터 건립사업 시공업체선정 현지입찰</x:v>
      </x:c>
      <x:c r="E737" s="22" t="n">
        <x:v>1</x:v>
      </x:c>
      <x:c r="F737" s="22" t="str">
        <x:v>.xls</x:v>
      </x:c>
      <x:c r="G737" s="25" t="str">
        <x:v>L2023-00036-1/붙임3_입찰관련서류_검토완_0717/Section 4.  Bill of Quantities(Not-Priced)/공내역서/TTC견적서/TTC(Teacher Traing Center)/13 ТП(Transformers)/13-2 ЭО(Electric)/bv13620.xls</x:v>
      </x:c>
      <x:c r="H737" s="28" t="n">
        <x:v>41984</x:v>
      </x:c>
      <x:c r="I737" s="22" t="str">
        <x:v>7e8bd22f2ccb96108964380fcbdbcd8324c2a0724a07718109c2bb550faa2db3</x:v>
      </x:c>
      <x:c r="J737" s="22" t="n">
        <x:v>0</x:v>
      </x:c>
      <x:c r="K737" s="22" t="n">
        <x:v>1</x:v>
      </x:c>
      <x:c r="L737" s="22" t="n">
        <x:v>1</x:v>
      </x:c>
      <x:c r="M737" s="28" t="n">
        <x:v>1</x:v>
      </x:c>
      <x:c r="N737" s="28" t="n">
        <x:v>20</x:v>
      </x:c>
      <x:c r="O737" s="28" t="n">
        <x:v>1</x:v>
      </x:c>
      <x:c r="P737" s="62" t="n">
        <x:v>0.05</x:v>
      </x:c>
      <x:c r="Q737" s="22" t="n">
        <x:v>0</x:v>
      </x:c>
      <x:c r="R737" s="22" t="str">
        <x:v>Лист1</x:v>
      </x:c>
      <x:c r="S737" s="22" t="str">
        <x:v>visible</x:v>
      </x:c>
      <x:c r="T737" s="22" t="str"/>
    </x:row>
    <x:row r="738">
      <x:c r="A738" s="22" t="str">
        <x:v>2020-00086</x:v>
      </x:c>
      <x:c r="B738" s="22" t="str">
        <x:v>L2023-00036-1</x:v>
      </x:c>
      <x:c r="C738" s="22" t="str">
        <x:v>공사</x:v>
      </x:c>
      <x:c r="D738" s="25" t="str">
        <x:v>우즈베키스탄 우르겐치 직업훈련원 건립 및 타슈켄트 교사연수센터 건립사업 시공업체선정 현지입찰</x:v>
      </x:c>
      <x:c r="E738" s="22" t="n">
        <x:v>1</x:v>
      </x:c>
      <x:c r="F738" s="22" t="str">
        <x:v>.xls</x:v>
      </x:c>
      <x:c r="G738" s="25" t="str">
        <x:v>L2023-00036-1/붙임3_입찰관련서류_검토완_0717/Section 4.  Bill of Quantities(Not-Priced)/공내역서/TTC견적서/TTC(Teacher Traing Center)/13 ТП(Transformers)/13-2 ЭО(Electric)/ra13620.xls</x:v>
      </x:c>
      <x:c r="H738" s="28" t="n">
        <x:v>65024</x:v>
      </x:c>
      <x:c r="I738" s="22" t="str">
        <x:v>5a96dab71fd5d42b3c00fe59751a4460f6fc39aa8bf201852715f2b9b272d1d5</x:v>
      </x:c>
      <x:c r="J738" s="22" t="n">
        <x:v>0</x:v>
      </x:c>
      <x:c r="K738" s="22" t="n">
        <x:v>1</x:v>
      </x:c>
      <x:c r="L738" s="22" t="n">
        <x:v>1</x:v>
      </x:c>
      <x:c r="M738" s="28" t="n">
        <x:v>0</x:v>
      </x:c>
      <x:c r="N738" s="28" t="n">
        <x:v>0</x:v>
      </x:c>
      <x:c r="O738" s="28" t="n">
        <x:v>0</x:v>
      </x:c>
      <x:c r="P738" s="62" t="n">
        <x:v>0</x:v>
      </x:c>
      <x:c r="Q738" s="22" t="n">
        <x:v>0</x:v>
      </x:c>
      <x:c r="R738" s="22" t="str"/>
      <x:c r="S738" s="22" t="str"/>
      <x:c r="T738" s="22" t="str"/>
    </x:row>
    <x:row r="739">
      <x:c r="A739" s="22" t="str">
        <x:v>2020-00086</x:v>
      </x:c>
      <x:c r="B739" s="22" t="str">
        <x:v>L2023-00036-1</x:v>
      </x:c>
      <x:c r="C739" s="22" t="str">
        <x:v>공사</x:v>
      </x:c>
      <x:c r="D739" s="25" t="str">
        <x:v>우즈베키스탄 우르겐치 직업훈련원 건립 및 타슈켄트 교사연수센터 건립사업 시공업체선정 현지입찰</x:v>
      </x:c>
      <x:c r="E739" s="22" t="n">
        <x:v>1</x:v>
      </x:c>
      <x:c r="F739" s="22" t="str">
        <x:v>.xls</x:v>
      </x:c>
      <x:c r="G739" s="25" t="str">
        <x:v>L2023-00036-1/붙임3_입찰관련서류_검토완_0717/Section 4.  Bill of Quantities(Not-Priced)/공내역서/TTC견적서/TTC(Teacher Traing Center)/13 ТП(Transformers)/13-1 AC(Architecture+Structure)/ra13610.xls</x:v>
      </x:c>
      <x:c r="H739" s="28" t="n">
        <x:v>80896</x:v>
      </x:c>
      <x:c r="I739" s="22" t="str">
        <x:v>2d4926fc91e958ec0627a1ae92e834125bb395be03f2a1749895e985115bbf2f</x:v>
      </x:c>
      <x:c r="J739" s="22" t="n">
        <x:v>0</x:v>
      </x:c>
      <x:c r="K739" s="22" t="n">
        <x:v>1</x:v>
      </x:c>
      <x:c r="L739" s="22" t="n">
        <x:v>1</x:v>
      </x:c>
      <x:c r="M739" s="28" t="n">
        <x:v>0</x:v>
      </x:c>
      <x:c r="N739" s="28" t="n">
        <x:v>0</x:v>
      </x:c>
      <x:c r="O739" s="28" t="n">
        <x:v>0</x:v>
      </x:c>
      <x:c r="P739" s="62" t="n">
        <x:v>0</x:v>
      </x:c>
      <x:c r="Q739" s="22" t="n">
        <x:v>0</x:v>
      </x:c>
      <x:c r="R739" s="22" t="str"/>
      <x:c r="S739" s="22" t="str"/>
      <x:c r="T739" s="22" t="str"/>
    </x:row>
    <x:row r="740">
      <x:c r="A740" s="22" t="str">
        <x:v>2020-00086</x:v>
      </x:c>
      <x:c r="B740" s="22" t="str">
        <x:v>L2023-00036-1</x:v>
      </x:c>
      <x:c r="C740" s="22" t="str">
        <x:v>공사</x:v>
      </x:c>
      <x:c r="D740" s="25" t="str">
        <x:v>우즈베키스탄 우르겐치 직업훈련원 건립 및 타슈켄트 교사연수센터 건립사업 시공업체선정 현지입찰</x:v>
      </x:c>
      <x:c r="E740" s="22" t="n">
        <x:v>1</x:v>
      </x:c>
      <x:c r="F740" s="22" t="str">
        <x:v>.xls</x:v>
      </x:c>
      <x:c r="G740" s="25" t="str">
        <x:v>L2023-00036-1/붙임3_입찰관련서류_검토완_0717/Section 4.  Bill of Quantities(Not-Priced)/공내역서/TTC견적서/TTC(Teacher Traing Center)/13 ТП(Transformers)/13-1 AC(Architecture+Structure)/bv13610.xls</x:v>
      </x:c>
      <x:c r="H740" s="28" t="n">
        <x:v>48640</x:v>
      </x:c>
      <x:c r="I740" s="22" t="str">
        <x:v>6e059fc8e195c66ee541a50f09da94021c8a9f0d41e662173e8be5b9bd43b5a9</x:v>
      </x:c>
      <x:c r="J740" s="22" t="n">
        <x:v>0</x:v>
      </x:c>
      <x:c r="K740" s="22" t="n">
        <x:v>1</x:v>
      </x:c>
      <x:c r="L740" s="22" t="n">
        <x:v>1</x:v>
      </x:c>
      <x:c r="M740" s="28" t="n">
        <x:v>1</x:v>
      </x:c>
      <x:c r="N740" s="28" t="n">
        <x:v>53</x:v>
      </x:c>
      <x:c r="O740" s="28" t="n">
        <x:v>1</x:v>
      </x:c>
      <x:c r="P740" s="62" t="n">
        <x:v>0.018867924528301886</x:v>
      </x:c>
      <x:c r="Q740" s="22" t="n">
        <x:v>0</x:v>
      </x:c>
      <x:c r="R740" s="22" t="str">
        <x:v>Лист1</x:v>
      </x:c>
      <x:c r="S740" s="22" t="str">
        <x:v>visible</x:v>
      </x:c>
      <x:c r="T740" s="22" t="str"/>
    </x:row>
    <x:row r="741">
      <x:c r="A741" s="22" t="str">
        <x:v>2020-00086</x:v>
      </x:c>
      <x:c r="B741" s="22" t="str">
        <x:v>L2023-00053-1</x:v>
      </x:c>
      <x:c r="C741" s="22" t="str">
        <x:v>공사</x:v>
      </x:c>
      <x:c r="D741" s="25" t="str">
        <x:v>우즈베키스탄 직업훈련원 및 타슈켄트 교사연수센터 건립 시공업체 선정 현지입찰</x:v>
      </x:c>
      <x:c r="E741" s="22" t="n">
        <x:v>1</x:v>
      </x:c>
      <x:c r="F741" s="22" t="str">
        <x:v>.zip</x:v>
      </x:c>
      <x:c r="G741" s="25" t="str">
        <x:v>L2023-00053-1/Urgench VTC Bid Attachment Documents.zip</x:v>
      </x:c>
      <x:c r="H741" s="28" t="n">
        <x:v>17246765</x:v>
      </x:c>
      <x:c r="I741" s="22" t="str">
        <x:v>536a00b0fa9d5f6dfced744c6e0afe275038dfdc35eec9fc8f2587e52bfd988e</x:v>
      </x:c>
      <x:c r="J741" s="22" t="n">
        <x:v>0</x:v>
      </x:c>
      <x:c r="K741" s="22" t="n">
        <x:v>0</x:v>
      </x:c>
      <x:c r="L741" s="22" t="n">
        <x:v>0</x:v>
      </x:c>
      <x:c r="M741" s="28" t="n">
        <x:v>0</x:v>
      </x:c>
      <x:c r="N741" s="28" t="n">
        <x:v>0</x:v>
      </x:c>
      <x:c r="O741" s="28" t="n">
        <x:v>0</x:v>
      </x:c>
      <x:c r="P741" s="62" t="n">
        <x:v>0</x:v>
      </x:c>
      <x:c r="Q741" s="22" t="n">
        <x:v>0</x:v>
      </x:c>
      <x:c r="R741" s="22" t="str"/>
      <x:c r="S741" s="22" t="str"/>
      <x:c r="T741" s="22" t="str"/>
    </x:row>
    <x:row r="742">
      <x:c r="A742" s="22" t="str">
        <x:v>2020-00086</x:v>
      </x:c>
      <x:c r="B742" s="22" t="str">
        <x:v>L2023-00053-1</x:v>
      </x:c>
      <x:c r="C742" s="22" t="str">
        <x:v>공사</x:v>
      </x:c>
      <x:c r="D742" s="25" t="str">
        <x:v>우즈베키스탄 직업훈련원 및 타슈켄트 교사연수센터 건립 시공업체 선정 현지입찰</x:v>
      </x:c>
      <x:c r="E742" s="22" t="n">
        <x:v>1</x:v>
      </x:c>
      <x:c r="F742" s="22" t="str">
        <x:v>.zip</x:v>
      </x:c>
      <x:c r="G742" s="25" t="str">
        <x:v>L2023-00053-1/Urgench VTC Bid Attachment Documents/Urgench VTC Bid Attachment Documents/Section 4.  Bill of Quantities(Not-Priced).zip</x:v>
      </x:c>
      <x:c r="H742" s="28" t="n">
        <x:v>13052503</x:v>
      </x:c>
      <x:c r="I742" s="22" t="str">
        <x:v>99a055acc422a26b58aeb64cff198b7e527518a20cc52f0be4eb5bc26fb3afca</x:v>
      </x:c>
      <x:c r="J742" s="22" t="n">
        <x:v>0</x:v>
      </x:c>
      <x:c r="K742" s="22" t="n">
        <x:v>1</x:v>
      </x:c>
      <x:c r="L742" s="22" t="n">
        <x:v>1</x:v>
      </x:c>
      <x:c r="M742" s="28" t="n">
        <x:v>0</x:v>
      </x:c>
      <x:c r="N742" s="28" t="n">
        <x:v>0</x:v>
      </x:c>
      <x:c r="O742" s="28" t="n">
        <x:v>0</x:v>
      </x:c>
      <x:c r="P742" s="62" t="n">
        <x:v>0</x:v>
      </x:c>
      <x:c r="Q742" s="22" t="n">
        <x:v>0</x:v>
      </x:c>
      <x:c r="R742" s="22" t="str"/>
      <x:c r="S742" s="22" t="str"/>
      <x:c r="T742" s="22" t="str"/>
    </x:row>
    <x:row r="743">
      <x:c r="A743" s="22" t="str">
        <x:v>2020-00086</x:v>
      </x:c>
      <x:c r="B743" s="22" t="str">
        <x:v>L2023-00053-1</x:v>
      </x:c>
      <x:c r="C743" s="22" t="str">
        <x:v>공사</x:v>
      </x:c>
      <x:c r="D743" s="25" t="str">
        <x:v>우즈베키스탄 직업훈련원 및 타슈켄트 교사연수센터 건립 시공업체 선정 현지입찰</x:v>
      </x:c>
      <x:c r="E743" s="22" t="n">
        <x:v>1</x:v>
      </x:c>
      <x:c r="F743" s="22" t="str">
        <x:v>.rtf</x:v>
      </x:c>
      <x:c r="G743" s="25" t="str">
        <x:v>L2023-00053-1/Urgench VTC Bid Attachment Documents/Urgench VTC Bid Attachment Documents/Section 1 - Instructions to Bidders (ITB)1.rtf</x:v>
      </x:c>
      <x:c r="H743" s="28" t="n">
        <x:v>245002</x:v>
      </x:c>
      <x:c r="I743" s="22" t="str">
        <x:v>390bbd7576bb3a941037f3e4e3eabc77cbdfb0d67d5e5fa5d6091b723e7b85e2</x:v>
      </x:c>
      <x:c r="J743" s="22" t="n">
        <x:v>0</x:v>
      </x:c>
      <x:c r="K743" s="22" t="n">
        <x:v>0</x:v>
      </x:c>
      <x:c r="L743" s="22" t="n">
        <x:v>0</x:v>
      </x:c>
      <x:c r="M743" s="28" t="n">
        <x:v>0</x:v>
      </x:c>
      <x:c r="N743" s="28" t="n">
        <x:v>0</x:v>
      </x:c>
      <x:c r="O743" s="28" t="n">
        <x:v>0</x:v>
      </x:c>
      <x:c r="P743" s="62" t="n">
        <x:v>0</x:v>
      </x:c>
      <x:c r="Q743" s="22" t="n">
        <x:v>0</x:v>
      </x:c>
      <x:c r="R743" s="22" t="str"/>
      <x:c r="S743" s="22" t="str"/>
      <x:c r="T743" s="22" t="str"/>
    </x:row>
    <x:row r="744">
      <x:c r="A744" s="22" t="str">
        <x:v>2020-00086</x:v>
      </x:c>
      <x:c r="B744" s="22" t="str">
        <x:v>L2023-00053-1</x:v>
      </x:c>
      <x:c r="C744" s="22" t="str">
        <x:v>공사</x:v>
      </x:c>
      <x:c r="D744" s="25" t="str">
        <x:v>우즈베키스탄 직업훈련원 및 타슈켄트 교사연수센터 건립 시공업체 선정 현지입찰</x:v>
      </x:c>
      <x:c r="E744" s="22" t="n">
        <x:v>1</x:v>
      </x:c>
      <x:c r="F744" s="22" t="str">
        <x:v>.docx</x:v>
      </x:c>
      <x:c r="G744" s="25" t="str">
        <x:v>L2023-00053-1/Urgench VTC Bid Attachment Documents/Urgench VTC Bid Attachment Documents/Urgench_VTC_Bid Annoncement(The Daily Korean News for Korean Residents).docx</x:v>
      </x:c>
      <x:c r="H744" s="28" t="n">
        <x:v>34326</x:v>
      </x:c>
      <x:c r="I744" s="22" t="str">
        <x:v>3450606c8d66f1a9afead4cd07dcf94dab7a57f016ecade4eaf75b2a6f403ed8</x:v>
      </x:c>
      <x:c r="J744" s="22" t="n">
        <x:v>0</x:v>
      </x:c>
      <x:c r="K744" s="22" t="n">
        <x:v>0</x:v>
      </x:c>
      <x:c r="L744" s="22" t="n">
        <x:v>0</x:v>
      </x:c>
      <x:c r="M744" s="28" t="n">
        <x:v>0</x:v>
      </x:c>
      <x:c r="N744" s="28" t="n">
        <x:v>0</x:v>
      </x:c>
      <x:c r="O744" s="28" t="n">
        <x:v>0</x:v>
      </x:c>
      <x:c r="P744" s="62" t="n">
        <x:v>0</x:v>
      </x:c>
      <x:c r="Q744" s="22" t="n">
        <x:v>0</x:v>
      </x:c>
      <x:c r="R744" s="22" t="str"/>
      <x:c r="S744" s="22" t="str"/>
      <x:c r="T744" s="22" t="str"/>
    </x:row>
    <x:row r="745">
      <x:c r="A745" s="22" t="str">
        <x:v>2020-00086</x:v>
      </x:c>
      <x:c r="B745" s="22" t="str">
        <x:v>L2023-00053-1</x:v>
      </x:c>
      <x:c r="C745" s="22" t="str">
        <x:v>공사</x:v>
      </x:c>
      <x:c r="D745" s="25" t="str">
        <x:v>우즈베키스탄 직업훈련원 및 타슈켄트 교사연수센터 건립 시공업체 선정 현지입찰</x:v>
      </x:c>
      <x:c r="E745" s="22" t="n">
        <x:v>1</x:v>
      </x:c>
      <x:c r="F745" s="22" t="str">
        <x:v>.docx</x:v>
      </x:c>
      <x:c r="G745" s="25" t="str">
        <x:v>L2023-00053-1/Urgench VTC Bid Attachment Documents/Urgench VTC Bid Attachment Documents/Section 8 - Special Conditions of Contract1.docx</x:v>
      </x:c>
      <x:c r="H745" s="28" t="n">
        <x:v>69496</x:v>
      </x:c>
      <x:c r="I745" s="22" t="str">
        <x:v>760b4346ea2afda3ae9c1b46fb4822a0caacb128562e96122d5edeb8397ac261</x:v>
      </x:c>
      <x:c r="J745" s="22" t="n">
        <x:v>0</x:v>
      </x:c>
      <x:c r="K745" s="22" t="n">
        <x:v>0</x:v>
      </x:c>
      <x:c r="L745" s="22" t="n">
        <x:v>0</x:v>
      </x:c>
      <x:c r="M745" s="28" t="n">
        <x:v>0</x:v>
      </x:c>
      <x:c r="N745" s="28" t="n">
        <x:v>0</x:v>
      </x:c>
      <x:c r="O745" s="28" t="n">
        <x:v>0</x:v>
      </x:c>
      <x:c r="P745" s="62" t="n">
        <x:v>0</x:v>
      </x:c>
      <x:c r="Q745" s="22" t="n">
        <x:v>0</x:v>
      </x:c>
      <x:c r="R745" s="22" t="str"/>
      <x:c r="S745" s="22" t="str"/>
      <x:c r="T745" s="22" t="str"/>
    </x:row>
    <x:row r="746">
      <x:c r="A746" s="22" t="str">
        <x:v>2020-00086</x:v>
      </x:c>
      <x:c r="B746" s="22" t="str">
        <x:v>L2023-00053-1</x:v>
      </x:c>
      <x:c r="C746" s="22" t="str">
        <x:v>공사</x:v>
      </x:c>
      <x:c r="D746" s="25" t="str">
        <x:v>우즈베키스탄 직업훈련원 및 타슈켄트 교사연수센터 건립 시공업체 선정 현지입찰</x:v>
      </x:c>
      <x:c r="E746" s="22" t="n">
        <x:v>1</x:v>
      </x:c>
      <x:c r="F746" s="22" t="str">
        <x:v>.docx</x:v>
      </x:c>
      <x:c r="G746" s="25" t="str">
        <x:v>L2023-00053-1/Urgench VTC Bid Attachment Documents/Urgench VTC Bid Attachment Documents/Invitation_for_Bids_Bid_Announcement.docx</x:v>
      </x:c>
      <x:c r="H746" s="28" t="n">
        <x:v>192127</x:v>
      </x:c>
      <x:c r="I746" s="22" t="str">
        <x:v>954563cf1ad551144681974f3cbcb52f2bdd4ec98503bf27fe05e812eda5dea8</x:v>
      </x:c>
      <x:c r="J746" s="22" t="n">
        <x:v>0</x:v>
      </x:c>
      <x:c r="K746" s="22" t="n">
        <x:v>0</x:v>
      </x:c>
      <x:c r="L746" s="22" t="n">
        <x:v>0</x:v>
      </x:c>
      <x:c r="M746" s="28" t="n">
        <x:v>0</x:v>
      </x:c>
      <x:c r="N746" s="28" t="n">
        <x:v>0</x:v>
      </x:c>
      <x:c r="O746" s="28" t="n">
        <x:v>0</x:v>
      </x:c>
      <x:c r="P746" s="62" t="n">
        <x:v>0</x:v>
      </x:c>
      <x:c r="Q746" s="22" t="n">
        <x:v>0</x:v>
      </x:c>
      <x:c r="R746" s="22" t="str"/>
      <x:c r="S746" s="22" t="str"/>
      <x:c r="T746" s="22" t="str"/>
    </x:row>
    <x:row r="747">
      <x:c r="A747" s="22" t="str">
        <x:v>2020-00086</x:v>
      </x:c>
      <x:c r="B747" s="22" t="str">
        <x:v>L2023-00053-1</x:v>
      </x:c>
      <x:c r="C747" s="22" t="str">
        <x:v>공사</x:v>
      </x:c>
      <x:c r="D747" s="25" t="str">
        <x:v>우즈베키스탄 직업훈련원 및 타슈켄트 교사연수센터 건립 시공업체 선정 현지입찰</x:v>
      </x:c>
      <x:c r="E747" s="22" t="n">
        <x:v>1</x:v>
      </x:c>
      <x:c r="F747" s="22" t="str">
        <x:v>.docx</x:v>
      </x:c>
      <x:c r="G747" s="25" t="str">
        <x:v>L2023-00053-1/Urgench VTC Bid Attachment Documents/Urgench VTC Bid Attachment Documents/Section 7 - General Conditions of Contract1.docx</x:v>
      </x:c>
      <x:c r="H747" s="28" t="n">
        <x:v>217233</x:v>
      </x:c>
      <x:c r="I747" s="22" t="str">
        <x:v>e75b96a17c6f376efb50a21eb18b9d8370971008633ca1ebbc82da6fdc811362</x:v>
      </x:c>
      <x:c r="J747" s="22" t="n">
        <x:v>0</x:v>
      </x:c>
      <x:c r="K747" s="22" t="n">
        <x:v>0</x:v>
      </x:c>
      <x:c r="L747" s="22" t="n">
        <x:v>0</x:v>
      </x:c>
      <x:c r="M747" s="28" t="n">
        <x:v>0</x:v>
      </x:c>
      <x:c r="N747" s="28" t="n">
        <x:v>0</x:v>
      </x:c>
      <x:c r="O747" s="28" t="n">
        <x:v>0</x:v>
      </x:c>
      <x:c r="P747" s="62" t="n">
        <x:v>0</x:v>
      </x:c>
      <x:c r="Q747" s="22" t="n">
        <x:v>0</x:v>
      </x:c>
      <x:c r="R747" s="22" t="str"/>
      <x:c r="S747" s="22" t="str"/>
      <x:c r="T747" s="22" t="str"/>
    </x:row>
    <x:row r="748">
      <x:c r="A748" s="22" t="str">
        <x:v>2020-00086</x:v>
      </x:c>
      <x:c r="B748" s="22" t="str">
        <x:v>L2023-00053-1</x:v>
      </x:c>
      <x:c r="C748" s="22" t="str">
        <x:v>공사</x:v>
      </x:c>
      <x:c r="D748" s="25" t="str">
        <x:v>우즈베키스탄 직업훈련원 및 타슈켄트 교사연수센터 건립 시공업체 선정 현지입찰</x:v>
      </x:c>
      <x:c r="E748" s="22" t="n">
        <x:v>1</x:v>
      </x:c>
      <x:c r="F748" s="22" t="str">
        <x:v>.docx</x:v>
      </x:c>
      <x:c r="G748" s="25" t="str">
        <x:v>L2023-00053-1/Urgench VTC Bid Attachment Documents/Urgench VTC Bid Attachment Documents/Section 9 - Contract Forms1.docx</x:v>
      </x:c>
      <x:c r="H748" s="28" t="n">
        <x:v>38156</x:v>
      </x:c>
      <x:c r="I748" s="22" t="str">
        <x:v>db9a1ebf8dcc45bc51acbd9a0497d1864d3efaf6e56d715838970cc5c1e337c8</x:v>
      </x:c>
      <x:c r="J748" s="22" t="n">
        <x:v>0</x:v>
      </x:c>
      <x:c r="K748" s="22" t="n">
        <x:v>0</x:v>
      </x:c>
      <x:c r="L748" s="22" t="n">
        <x:v>0</x:v>
      </x:c>
      <x:c r="M748" s="28" t="n">
        <x:v>0</x:v>
      </x:c>
      <x:c r="N748" s="28" t="n">
        <x:v>0</x:v>
      </x:c>
      <x:c r="O748" s="28" t="n">
        <x:v>0</x:v>
      </x:c>
      <x:c r="P748" s="62" t="n">
        <x:v>0</x:v>
      </x:c>
      <x:c r="Q748" s="22" t="n">
        <x:v>0</x:v>
      </x:c>
      <x:c r="R748" s="22" t="str"/>
      <x:c r="S748" s="22" t="str"/>
      <x:c r="T748" s="22" t="str"/>
    </x:row>
    <x:row r="749">
      <x:c r="A749" s="22" t="str">
        <x:v>2020-00086</x:v>
      </x:c>
      <x:c r="B749" s="22" t="str">
        <x:v>L2023-00053-1</x:v>
      </x:c>
      <x:c r="C749" s="22" t="str">
        <x:v>공사</x:v>
      </x:c>
      <x:c r="D749" s="25" t="str">
        <x:v>우즈베키스탄 직업훈련원 및 타슈켄트 교사연수센터 건립 시공업체 선정 현지입찰</x:v>
      </x:c>
      <x:c r="E749" s="22" t="n">
        <x:v>1</x:v>
      </x:c>
      <x:c r="F749" s="22" t="str">
        <x:v>.doc</x:v>
      </x:c>
      <x:c r="G749" s="25" t="str">
        <x:v>L2023-00053-1/Urgench VTC Bid Attachment Documents/Urgench VTC Bid Attachment Documents/Bid Document cover page.doc</x:v>
      </x:c>
      <x:c r="H749" s="28" t="n">
        <x:v>52224</x:v>
      </x:c>
      <x:c r="I749" s="22" t="str">
        <x:v>b5396fa96a9ac37efc9f302eaa5625bbdb33206fce6dce412fce915f40bd6740</x:v>
      </x:c>
      <x:c r="J749" s="22" t="n">
        <x:v>0</x:v>
      </x:c>
      <x:c r="K749" s="22" t="n">
        <x:v>0</x:v>
      </x:c>
      <x:c r="L749" s="22" t="n">
        <x:v>0</x:v>
      </x:c>
      <x:c r="M749" s="28" t="n">
        <x:v>0</x:v>
      </x:c>
      <x:c r="N749" s="28" t="n">
        <x:v>0</x:v>
      </x:c>
      <x:c r="O749" s="28" t="n">
        <x:v>0</x:v>
      </x:c>
      <x:c r="P749" s="62" t="n">
        <x:v>0</x:v>
      </x:c>
      <x:c r="Q749" s="22" t="n">
        <x:v>0</x:v>
      </x:c>
      <x:c r="R749" s="22" t="str"/>
      <x:c r="S749" s="22" t="str"/>
      <x:c r="T749" s="22" t="str"/>
    </x:row>
    <x:row r="750">
      <x:c r="A750" s="22" t="str">
        <x:v>2020-00086</x:v>
      </x:c>
      <x:c r="B750" s="22" t="str">
        <x:v>L2023-00053-1</x:v>
      </x:c>
      <x:c r="C750" s="22" t="str">
        <x:v>공사</x:v>
      </x:c>
      <x:c r="D750" s="25" t="str">
        <x:v>우즈베키스탄 직업훈련원 및 타슈켄트 교사연수센터 건립 시공업체 선정 현지입찰</x:v>
      </x:c>
      <x:c r="E750" s="22" t="n">
        <x:v>1</x:v>
      </x:c>
      <x:c r="F750" s="22" t="str">
        <x:v>.pptx</x:v>
      </x:c>
      <x:c r="G750" s="25" t="str">
        <x:v>L2023-00053-1/Urgench VTC Bid Attachment Documents/Urgench VTC Bid Attachment Documents/Section 6. Specification(SNIF_ GOST_ Bid Explaination ).pptx</x:v>
      </x:c>
      <x:c r="H750" s="28" t="n">
        <x:v>3527970</x:v>
      </x:c>
      <x:c r="I750" s="22" t="str">
        <x:v>2f7e6c110ff2b37f6264a18bb83813ce9b3f8bfd7f89c6485c93a7a1f4893d6f</x:v>
      </x:c>
      <x:c r="J750" s="22" t="n">
        <x:v>0</x:v>
      </x:c>
      <x:c r="K750" s="22" t="n">
        <x:v>0</x:v>
      </x:c>
      <x:c r="L750" s="22" t="n">
        <x:v>0</x:v>
      </x:c>
      <x:c r="M750" s="28" t="n">
        <x:v>0</x:v>
      </x:c>
      <x:c r="N750" s="28" t="n">
        <x:v>0</x:v>
      </x:c>
      <x:c r="O750" s="28" t="n">
        <x:v>0</x:v>
      </x:c>
      <x:c r="P750" s="62" t="n">
        <x:v>0</x:v>
      </x:c>
      <x:c r="Q750" s="22" t="n">
        <x:v>0</x:v>
      </x:c>
      <x:c r="R750" s="22" t="str"/>
      <x:c r="S750" s="22" t="str"/>
      <x:c r="T750" s="22" t="str"/>
    </x:row>
    <x:row r="751">
      <x:c r="A751" s="22" t="str">
        <x:v>2020-00086</x:v>
      </x:c>
      <x:c r="B751" s="22" t="str">
        <x:v>L2023-00053-1</x:v>
      </x:c>
      <x:c r="C751" s="22" t="str">
        <x:v>공사</x:v>
      </x:c>
      <x:c r="D751" s="25" t="str">
        <x:v>우즈베키스탄 직업훈련원 및 타슈켄트 교사연수센터 건립 시공업체 선정 현지입찰</x:v>
      </x:c>
      <x:c r="E751" s="22" t="n">
        <x:v>1</x:v>
      </x:c>
      <x:c r="F751" s="22" t="str">
        <x:v>.rtf</x:v>
      </x:c>
      <x:c r="G751" s="25" t="str">
        <x:v>L2023-00053-1/Urgench VTC Bid Attachment Documents/Urgench VTC Bid Attachment Documents/Section 2 - Bid Data Sheet (BDS).rtf</x:v>
      </x:c>
      <x:c r="H751" s="28" t="n">
        <x:v>570751</x:v>
      </x:c>
      <x:c r="I751" s="22" t="str">
        <x:v>2a3d2f3678df474a642bcd3188dd2f366329aafeea10be38b8a7f441c737f862</x:v>
      </x:c>
      <x:c r="J751" s="22" t="n">
        <x:v>0</x:v>
      </x:c>
      <x:c r="K751" s="22" t="n">
        <x:v>0</x:v>
      </x:c>
      <x:c r="L751" s="22" t="n">
        <x:v>0</x:v>
      </x:c>
      <x:c r="M751" s="28" t="n">
        <x:v>0</x:v>
      </x:c>
      <x:c r="N751" s="28" t="n">
        <x:v>0</x:v>
      </x:c>
      <x:c r="O751" s="28" t="n">
        <x:v>0</x:v>
      </x:c>
      <x:c r="P751" s="62" t="n">
        <x:v>0</x:v>
      </x:c>
      <x:c r="Q751" s="22" t="n">
        <x:v>0</x:v>
      </x:c>
      <x:c r="R751" s="22" t="str"/>
      <x:c r="S751" s="22" t="str"/>
      <x:c r="T751" s="22" t="str"/>
    </x:row>
    <x:row r="752">
      <x:c r="A752" s="22" t="str">
        <x:v>2020-00086</x:v>
      </x:c>
      <x:c r="B752" s="22" t="str">
        <x:v>L2023-00053-1</x:v>
      </x:c>
      <x:c r="C752" s="22" t="str">
        <x:v>공사</x:v>
      </x:c>
      <x:c r="D752" s="25" t="str">
        <x:v>우즈베키스탄 직업훈련원 및 타슈켄트 교사연수센터 건립 시공업체 선정 현지입찰</x:v>
      </x:c>
      <x:c r="E752" s="22" t="n">
        <x:v>1</x:v>
      </x:c>
      <x:c r="F752" s="22" t="str">
        <x:v>.docx</x:v>
      </x:c>
      <x:c r="G752" s="25" t="str">
        <x:v>L2023-00053-1/Urgench VTC Bid Attachment Documents/Urgench VTC Bid Attachment Documents/Section 4_5_6 - Requirements1.docx</x:v>
      </x:c>
      <x:c r="H752" s="28" t="n">
        <x:v>35598</x:v>
      </x:c>
      <x:c r="I752" s="22" t="str">
        <x:v>8ac3a3512581869d6c2ceab54a934d9abc32035f917b7b8764b101daaeb84341</x:v>
      </x:c>
      <x:c r="J752" s="22" t="n">
        <x:v>0</x:v>
      </x:c>
      <x:c r="K752" s="22" t="n">
        <x:v>0</x:v>
      </x:c>
      <x:c r="L752" s="22" t="n">
        <x:v>0</x:v>
      </x:c>
      <x:c r="M752" s="28" t="n">
        <x:v>0</x:v>
      </x:c>
      <x:c r="N752" s="28" t="n">
        <x:v>0</x:v>
      </x:c>
      <x:c r="O752" s="28" t="n">
        <x:v>0</x:v>
      </x:c>
      <x:c r="P752" s="62" t="n">
        <x:v>0</x:v>
      </x:c>
      <x:c r="Q752" s="22" t="n">
        <x:v>0</x:v>
      </x:c>
      <x:c r="R752" s="22" t="str"/>
      <x:c r="S752" s="22" t="str"/>
      <x:c r="T752" s="22" t="str"/>
    </x:row>
    <x:row r="753">
      <x:c r="A753" s="22" t="str">
        <x:v>2020-00086</x:v>
      </x:c>
      <x:c r="B753" s="22" t="str">
        <x:v>L2023-00053-1</x:v>
      </x:c>
      <x:c r="C753" s="22" t="str">
        <x:v>공사</x:v>
      </x:c>
      <x:c r="D753" s="25" t="str">
        <x:v>우즈베키스탄 직업훈련원 및 타슈켄트 교사연수센터 건립 시공업체 선정 현지입찰</x:v>
      </x:c>
      <x:c r="E753" s="22" t="n">
        <x:v>1</x:v>
      </x:c>
      <x:c r="F753" s="22" t="str">
        <x:v>.doc</x:v>
      </x:c>
      <x:c r="G753" s="25" t="str">
        <x:v>L2023-00053-1/Urgench VTC Bid Attachment Documents/Urgench VTC Bid Attachment Documents/Section 3 - Bidding Forms.doc</x:v>
      </x:c>
      <x:c r="H753" s="28" t="n">
        <x:v>225792</x:v>
      </x:c>
      <x:c r="I753" s="22" t="str">
        <x:v>adfb744b0bf339dd964330f741d04f9b61bbefc3acbf62e88409800d53448a7f</x:v>
      </x:c>
      <x:c r="J753" s="22" t="n">
        <x:v>0</x:v>
      </x:c>
      <x:c r="K753" s="22" t="n">
        <x:v>0</x:v>
      </x:c>
      <x:c r="L753" s="22" t="n">
        <x:v>0</x:v>
      </x:c>
      <x:c r="M753" s="28" t="n">
        <x:v>0</x:v>
      </x:c>
      <x:c r="N753" s="28" t="n">
        <x:v>0</x:v>
      </x:c>
      <x:c r="O753" s="28" t="n">
        <x:v>0</x:v>
      </x:c>
      <x:c r="P753" s="62" t="n">
        <x:v>0</x:v>
      </x:c>
      <x:c r="Q753" s="22" t="n">
        <x:v>0</x:v>
      </x:c>
      <x:c r="R753" s="22" t="str"/>
      <x:c r="S753" s="22" t="str"/>
      <x:c r="T753" s="22" t="str"/>
    </x:row>
    <x:row r="754">
      <x:c r="A754" s="22" t="str">
        <x:v>2020-00086</x:v>
      </x:c>
      <x:c r="B754" s="22" t="str">
        <x:v>L2023-00053-1</x:v>
      </x:c>
      <x:c r="C754" s="22" t="str">
        <x:v>공사</x:v>
      </x:c>
      <x:c r="D754" s="25" t="str">
        <x:v>우즈베키스탄 직업훈련원 및 타슈켄트 교사연수센터 건립 시공업체 선정 현지입찰</x:v>
      </x:c>
      <x:c r="E754" s="22" t="n">
        <x:v>1</x:v>
      </x:c>
      <x:c r="F754" s="22" t="str">
        <x:v>.docx</x:v>
      </x:c>
      <x:c r="G754" s="25" t="str">
        <x:v>L2023-00053-1/Urgench VTC Bid Attachment Documents/Urgench VTC Bid Attachment Documents/Section 4.  Bill of Quantities(Not-Priced)/Estimate Detailed Conditions)(VTC+TTC)_Final_.docx</x:v>
      </x:c>
      <x:c r="H754" s="28" t="n">
        <x:v>80256</x:v>
      </x:c>
      <x:c r="I754" s="22" t="str">
        <x:v>85e95a0b24220bc384b973a8b80ddf9f69be2a1263001b8c8ae3065ad7d3c962</x:v>
      </x:c>
      <x:c r="J754" s="22" t="n">
        <x:v>0</x:v>
      </x:c>
      <x:c r="K754" s="22" t="n">
        <x:v>1</x:v>
      </x:c>
      <x:c r="L754" s="22" t="n">
        <x:v>1</x:v>
      </x:c>
      <x:c r="M754" s="28" t="n">
        <x:v>0</x:v>
      </x:c>
      <x:c r="N754" s="28" t="n">
        <x:v>0</x:v>
      </x:c>
      <x:c r="O754" s="28" t="n">
        <x:v>0</x:v>
      </x:c>
      <x:c r="P754" s="62" t="n">
        <x:v>0</x:v>
      </x:c>
      <x:c r="Q754" s="22" t="n">
        <x:v>0</x:v>
      </x:c>
      <x:c r="R754" s="22" t="str"/>
      <x:c r="S754" s="22" t="str"/>
      <x:c r="T754" s="22" t="str"/>
    </x:row>
    <x:row r="755">
      <x:c r="A755" s="22" t="str">
        <x:v>2020-00086</x:v>
      </x:c>
      <x:c r="B755" s="22" t="str">
        <x:v>L2023-00053-1</x:v>
      </x:c>
      <x:c r="C755" s="22" t="str">
        <x:v>공사</x:v>
      </x:c>
      <x:c r="D755" s="25" t="str">
        <x:v>우즈베키스탄 직업훈련원 및 타슈켄트 교사연수센터 건립 시공업체 선정 현지입찰</x:v>
      </x:c>
      <x:c r="E755" s="22" t="n">
        <x:v>1</x:v>
      </x:c>
      <x:c r="F755" s="22" t="str">
        <x:v>.zip</x:v>
      </x:c>
      <x:c r="G755" s="25" t="str">
        <x:v>L2023-00053-1/Urgench VTC Bid Attachment Documents/Urgench VTC Bid Attachment Documents/Section 4.  Bill of Quantities(Not-Priced)/.Urgench_CM_Comments_Arch_VTC_and_TTC_ENG_20230707.zip</x:v>
      </x:c>
      <x:c r="H755" s="28" t="n">
        <x:v>6277094</x:v>
      </x:c>
      <x:c r="I755" s="22" t="str">
        <x:v>bb0bb341fea9c97c5d1f6886bfc0e8d81bef7ec0a0005c4732279204d73f6f30</x:v>
      </x:c>
      <x:c r="J755" s="22" t="n">
        <x:v>0</x:v>
      </x:c>
      <x:c r="K755" s="22" t="n">
        <x:v>1</x:v>
      </x:c>
      <x:c r="L755" s="22" t="n">
        <x:v>1</x:v>
      </x:c>
      <x:c r="M755" s="28" t="n">
        <x:v>0</x:v>
      </x:c>
      <x:c r="N755" s="28" t="n">
        <x:v>0</x:v>
      </x:c>
      <x:c r="O755" s="28" t="n">
        <x:v>0</x:v>
      </x:c>
      <x:c r="P755" s="62" t="n">
        <x:v>0</x:v>
      </x:c>
      <x:c r="Q755" s="22" t="n">
        <x:v>0</x:v>
      </x:c>
      <x:c r="R755" s="22" t="str"/>
      <x:c r="S755" s="22" t="str"/>
      <x:c r="T755" s="22" t="str"/>
    </x:row>
    <x:row r="756">
      <x:c r="A756" s="22" t="str">
        <x:v>2020-00086</x:v>
      </x:c>
      <x:c r="B756" s="22" t="str">
        <x:v>L2023-00053-1</x:v>
      </x:c>
      <x:c r="C756" s="22" t="str">
        <x:v>공사</x:v>
      </x:c>
      <x:c r="D756" s="25" t="str">
        <x:v>우즈베키스탄 직업훈련원 및 타슈켄트 교사연수센터 건립 시공업체 선정 현지입찰</x:v>
      </x:c>
      <x:c r="E756" s="22" t="n">
        <x:v>1</x:v>
      </x:c>
      <x:c r="F756" s="22" t="str">
        <x:v>.xls</x:v>
      </x:c>
      <x:c r="G756" s="25" t="str">
        <x:v>L2023-00053-1/Urgench VTC Bid Attachment Documents/Urgench VTC Bid Attachment Documents/Section 4.  Bill of Quantities(Not-Priced)/Section 4. Bill of Quantity(Not-Priced) Summary.xls</x:v>
      </x:c>
      <x:c r="H756" s="28" t="n">
        <x:v>76800</x:v>
      </x:c>
      <x:c r="I756" s="22" t="str">
        <x:v>037a7d1fe991db0c65622821b70b45e6af52d1e48416557c86b53041692045d7</x:v>
      </x:c>
      <x:c r="J756" s="22" t="n">
        <x:v>1</x:v>
      </x:c>
      <x:c r="K756" s="22" t="n">
        <x:v>1</x:v>
      </x:c>
      <x:c r="L756" s="22" t="n">
        <x:v>1</x:v>
      </x:c>
      <x:c r="M756" s="28" t="n">
        <x:v>0</x:v>
      </x:c>
      <x:c r="N756" s="28" t="n">
        <x:v>0</x:v>
      </x:c>
      <x:c r="O756" s="28" t="n">
        <x:v>0</x:v>
      </x:c>
      <x:c r="P756" s="62" t="n">
        <x:v>0</x:v>
      </x:c>
      <x:c r="Q756" s="22" t="n">
        <x:v>0</x:v>
      </x:c>
      <x:c r="R756" s="22" t="str"/>
      <x:c r="S756" s="22" t="str"/>
      <x:c r="T756" s="22" t="str"/>
    </x:row>
    <x:row r="757">
      <x:c r="A757" s="22" t="str">
        <x:v>2020-00086</x:v>
      </x:c>
      <x:c r="B757" s="22" t="str">
        <x:v>L2023-00053-1</x:v>
      </x:c>
      <x:c r="C757" s="22" t="str">
        <x:v>공사</x:v>
      </x:c>
      <x:c r="D757" s="25" t="str">
        <x:v>우즈베키스탄 직업훈련원 및 타슈켄트 교사연수센터 건립 시공업체 선정 현지입찰</x:v>
      </x:c>
      <x:c r="E757" s="22" t="n">
        <x:v>1</x:v>
      </x:c>
      <x:c r="F757" s="22" t="str">
        <x:v>.docx</x:v>
      </x:c>
      <x:c r="G757" s="25" t="str">
        <x:v>L2023-00053-1/Urgench VTC Bid Attachment Documents/Urgench VTC Bid Attachment Documents/Section 4.  Bill of Quantities(Not-Priced)/.Urgench_CM_Comments_Arch_VTC_and_TTC_ENG_20230707/1.3.3. Urgench CM_Comments_Mech_VTC_and_TTC_Main_ENG_20230707.xlsx.docx</x:v>
      </x:c>
      <x:c r="H757" s="28" t="n">
        <x:v>16615</x:v>
      </x:c>
      <x:c r="I757" s="22" t="str">
        <x:v>29ae17bcfb236300ba73df96caa054ed9ce989b8ba57084acd00b934eb9595a3</x:v>
      </x:c>
      <x:c r="J757" s="22" t="n">
        <x:v>0</x:v>
      </x:c>
      <x:c r="K757" s="22" t="n">
        <x:v>1</x:v>
      </x:c>
      <x:c r="L757" s="22" t="n">
        <x:v>1</x:v>
      </x:c>
      <x:c r="M757" s="28" t="n">
        <x:v>0</x:v>
      </x:c>
      <x:c r="N757" s="28" t="n">
        <x:v>0</x:v>
      </x:c>
      <x:c r="O757" s="28" t="n">
        <x:v>0</x:v>
      </x:c>
      <x:c r="P757" s="62" t="n">
        <x:v>0</x:v>
      </x:c>
      <x:c r="Q757" s="22" t="n">
        <x:v>0</x:v>
      </x:c>
      <x:c r="R757" s="22" t="str"/>
      <x:c r="S757" s="22" t="str"/>
      <x:c r="T757" s="22" t="str"/>
    </x:row>
    <x:row r="758">
      <x:c r="A758" s="22" t="str">
        <x:v>2020-00086</x:v>
      </x:c>
      <x:c r="B758" s="22" t="str">
        <x:v>L2023-00053-1</x:v>
      </x:c>
      <x:c r="C758" s="22" t="str">
        <x:v>공사</x:v>
      </x:c>
      <x:c r="D758" s="25" t="str">
        <x:v>우즈베키스탄 직업훈련원 및 타슈켄트 교사연수센터 건립 시공업체 선정 현지입찰</x:v>
      </x:c>
      <x:c r="E758" s="22" t="n">
        <x:v>1</x:v>
      </x:c>
      <x:c r="F758" s="22" t="str">
        <x:v>.xlsx</x:v>
      </x:c>
      <x:c r="G758" s="25" t="str">
        <x:v>L2023-00053-1/Urgench VTC Bid Attachment Documents/Urgench VTC Bid Attachment Documents/Section 4.  Bill of Quantities(Not-Priced)/.Urgench_CM_Comments_Arch_VTC_and_TTC_ENG_20230707/1.4. Urgench CM_Comments_PMC_VTC_and_TTC_ENG_20230707.xlsx</x:v>
      </x:c>
      <x:c r="H758" s="28" t="n">
        <x:v>18240</x:v>
      </x:c>
      <x:c r="I758" s="22" t="str">
        <x:v>6267ba3be03e15ebb107a67e18bd725ae8b33e8b48c5827fa075966fde925d4a</x:v>
      </x:c>
      <x:c r="J758" s="22" t="n">
        <x:v>1</x:v>
      </x:c>
      <x:c r="K758" s="22" t="n">
        <x:v>1</x:v>
      </x:c>
      <x:c r="L758" s="22" t="n">
        <x:v>1</x:v>
      </x:c>
      <x:c r="M758" s="28" t="n">
        <x:v>0</x:v>
      </x:c>
      <x:c r="N758" s="28" t="n">
        <x:v>0</x:v>
      </x:c>
      <x:c r="O758" s="28" t="n">
        <x:v>0</x:v>
      </x:c>
      <x:c r="P758" s="62" t="n">
        <x:v>0</x:v>
      </x:c>
      <x:c r="Q758" s="22" t="n">
        <x:v>0</x:v>
      </x:c>
      <x:c r="R758" s="22" t="str"/>
      <x:c r="S758" s="22" t="str"/>
      <x:c r="T758" s="22" t="str"/>
    </x:row>
    <x:row r="759">
      <x:c r="A759" s="22" t="str">
        <x:v>2020-00086</x:v>
      </x:c>
      <x:c r="B759" s="22" t="str">
        <x:v>L2023-00053-1</x:v>
      </x:c>
      <x:c r="C759" s="22" t="str">
        <x:v>공사</x:v>
      </x:c>
      <x:c r="D759" s="25" t="str">
        <x:v>우즈베키스탄 직업훈련원 및 타슈켄트 교사연수센터 건립 시공업체 선정 현지입찰</x:v>
      </x:c>
      <x:c r="E759" s="22" t="n">
        <x:v>1</x:v>
      </x:c>
      <x:c r="F759" s="22" t="str">
        <x:v>.xlsx</x:v>
      </x:c>
      <x:c r="G759" s="25" t="str">
        <x:v>L2023-00053-1/Urgench VTC Bid Attachment Documents/Urgench VTC Bid Attachment Documents/Section 4.  Bill of Quantities(Not-Priced)/.Urgench_CM_Comments_Arch_VTC_and_TTC_ENG_20230707/1.3.1. Urgench CM Comments(Mech) VTC_20230704_R3.xlsx</x:v>
      </x:c>
      <x:c r="H759" s="28" t="n">
        <x:v>6188237</x:v>
      </x:c>
      <x:c r="I759" s="22" t="str">
        <x:v>3748d4f009cd54f2282e881d0536c882181a3e457e4d641bd2f93b9ae5b7fc3b</x:v>
      </x:c>
      <x:c r="J759" s="22" t="n">
        <x:v>1</x:v>
      </x:c>
      <x:c r="K759" s="22" t="n">
        <x:v>1</x:v>
      </x:c>
      <x:c r="L759" s="22" t="n">
        <x:v>1</x:v>
      </x:c>
      <x:c r="M759" s="28" t="n">
        <x:v>0</x:v>
      </x:c>
      <x:c r="N759" s="28" t="n">
        <x:v>0</x:v>
      </x:c>
      <x:c r="O759" s="28" t="n">
        <x:v>0</x:v>
      </x:c>
      <x:c r="P759" s="62" t="n">
        <x:v>0</x:v>
      </x:c>
      <x:c r="Q759" s="22" t="n">
        <x:v>0</x:v>
      </x:c>
      <x:c r="R759" s="22" t="str"/>
      <x:c r="S759" s="22" t="str"/>
      <x:c r="T759" s="22" t="str"/>
    </x:row>
    <x:row r="760">
      <x:c r="A760" s="22" t="str">
        <x:v>2020-00086</x:v>
      </x:c>
      <x:c r="B760" s="22" t="str">
        <x:v>L2023-00053-1</x:v>
      </x:c>
      <x:c r="C760" s="22" t="str">
        <x:v>공사</x:v>
      </x:c>
      <x:c r="D760" s="25" t="str">
        <x:v>우즈베키스탄 직업훈련원 및 타슈켄트 교사연수센터 건립 시공업체 선정 현지입찰</x:v>
      </x:c>
      <x:c r="E760" s="22" t="n">
        <x:v>1</x:v>
      </x:c>
      <x:c r="F760" s="22" t="str">
        <x:v>.xlsx</x:v>
      </x:c>
      <x:c r="G760" s="25" t="str">
        <x:v>L2023-00053-1/Urgench VTC Bid Attachment Documents/Urgench VTC Bid Attachment Documents/Section 4.  Bill of Quantities(Not-Priced)/.Urgench_CM_Comments_Arch_VTC_and_TTC_ENG_20230707/1.1.Urgench_CM_Comments_Arch_VTC_and_TTC_ENG_20230505.xlsx</x:v>
      </x:c>
      <x:c r="H760" s="28" t="n">
        <x:v>26633</x:v>
      </x:c>
      <x:c r="I760" s="22" t="str">
        <x:v>08702e1b68ae13cb4ea31105eb2d1413073365045e5def30a2c799ad087aa8e7</x:v>
      </x:c>
      <x:c r="J760" s="22" t="n">
        <x:v>1</x:v>
      </x:c>
      <x:c r="K760" s="22" t="n">
        <x:v>1</x:v>
      </x:c>
      <x:c r="L760" s="22" t="n">
        <x:v>1</x:v>
      </x:c>
      <x:c r="M760" s="28" t="n">
        <x:v>0</x:v>
      </x:c>
      <x:c r="N760" s="28" t="n">
        <x:v>0</x:v>
      </x:c>
      <x:c r="O760" s="28" t="n">
        <x:v>0</x:v>
      </x:c>
      <x:c r="P760" s="62" t="n">
        <x:v>0</x:v>
      </x:c>
      <x:c r="Q760" s="22" t="n">
        <x:v>0</x:v>
      </x:c>
      <x:c r="R760" s="22" t="str"/>
      <x:c r="S760" s="22" t="str"/>
      <x:c r="T760" s="22" t="str"/>
    </x:row>
    <x:row r="761">
      <x:c r="A761" s="22" t="str">
        <x:v>2020-00086</x:v>
      </x:c>
      <x:c r="B761" s="22" t="str">
        <x:v>L2023-00053-1</x:v>
      </x:c>
      <x:c r="C761" s="22" t="str">
        <x:v>공사</x:v>
      </x:c>
      <x:c r="D761" s="25" t="str">
        <x:v>우즈베키스탄 직업훈련원 및 타슈켄트 교사연수센터 건립 시공업체 선정 현지입찰</x:v>
      </x:c>
      <x:c r="E761" s="22" t="n">
        <x:v>1</x:v>
      </x:c>
      <x:c r="F761" s="22" t="str">
        <x:v>.xlsx</x:v>
      </x:c>
      <x:c r="G761" s="25" t="str">
        <x:v>L2023-00053-1/Urgench VTC Bid Attachment Documents/Urgench VTC Bid Attachment Documents/Section 4.  Bill of Quantities(Not-Priced)/.Urgench_CM_Comments_Arch_VTC_and_TTC_ENG_20230707/1.3.2. Urgench CM Comments(Mech)_Tashkent_TTC_Drawings_20230704.xlsx</x:v>
      </x:c>
      <x:c r="H761" s="28" t="n">
        <x:v>788369</x:v>
      </x:c>
      <x:c r="I761" s="22" t="str">
        <x:v>d6dcc478819c73e452f13add3e10ce964f21104cb779fc3b9992106eb0026c87</x:v>
      </x:c>
      <x:c r="J761" s="22" t="n">
        <x:v>1</x:v>
      </x:c>
      <x:c r="K761" s="22" t="n">
        <x:v>1</x:v>
      </x:c>
      <x:c r="L761" s="22" t="n">
        <x:v>1</x:v>
      </x:c>
      <x:c r="M761" s="28" t="n">
        <x:v>0</x:v>
      </x:c>
      <x:c r="N761" s="28" t="n">
        <x:v>0</x:v>
      </x:c>
      <x:c r="O761" s="28" t="n">
        <x:v>0</x:v>
      </x:c>
      <x:c r="P761" s="62" t="n">
        <x:v>0</x:v>
      </x:c>
      <x:c r="Q761" s="22" t="n">
        <x:v>0</x:v>
      </x:c>
      <x:c r="R761" s="22" t="str"/>
      <x:c r="S761" s="22" t="str"/>
      <x:c r="T761" s="22" t="str"/>
    </x:row>
    <x:row r="762">
      <x:c r="A762" s="22" t="str">
        <x:v>2020-00086</x:v>
      </x:c>
      <x:c r="B762" s="22" t="str">
        <x:v>L2023-00053-1</x:v>
      </x:c>
      <x:c r="C762" s="22" t="str">
        <x:v>공사</x:v>
      </x:c>
      <x:c r="D762" s="25" t="str">
        <x:v>우즈베키스탄 직업훈련원 및 타슈켄트 교사연수센터 건립 시공업체 선정 현지입찰</x:v>
      </x:c>
      <x:c r="E762" s="22" t="n">
        <x:v>1</x:v>
      </x:c>
      <x:c r="F762" s="22" t="str">
        <x:v>.xlsx</x:v>
      </x:c>
      <x:c r="G762" s="25" t="str">
        <x:v>L2023-00053-1/Urgench VTC Bid Attachment Documents/Urgench VTC Bid Attachment Documents/Section 4.  Bill of Quantities(Not-Priced)/.Urgench_CM_Comments_Arch_VTC_and_TTC_ENG_20230707/1.2. Urgench CM Comments(Elec)_VTC+TTC-(ENG)__20230707.xlsx</x:v>
      </x:c>
      <x:c r="H762" s="28" t="n">
        <x:v>18391</x:v>
      </x:c>
      <x:c r="I762" s="22" t="str">
        <x:v>97cbb7c5606fd8e13d33953e0c4258dc32df19871ad462ac80d3d9ab0de4ebe3</x:v>
      </x:c>
      <x:c r="J762" s="22" t="n">
        <x:v>1</x:v>
      </x:c>
      <x:c r="K762" s="22" t="n">
        <x:v>1</x:v>
      </x:c>
      <x:c r="L762" s="22" t="n">
        <x:v>1</x:v>
      </x:c>
      <x:c r="M762" s="28" t="n">
        <x:v>0</x:v>
      </x:c>
      <x:c r="N762" s="28" t="n">
        <x:v>0</x:v>
      </x:c>
      <x:c r="O762" s="28" t="n">
        <x:v>0</x:v>
      </x:c>
      <x:c r="P762" s="62" t="n">
        <x:v>0</x:v>
      </x:c>
      <x:c r="Q762" s="22" t="n">
        <x:v>0</x:v>
      </x:c>
      <x:c r="R762" s="22" t="str"/>
      <x:c r="S762" s="22" t="str"/>
      <x:c r="T762" s="22" t="str"/>
    </x:row>
    <x:row r="763">
      <x:c r="A763" s="22" t="str">
        <x:v>2020-00086</x:v>
      </x:c>
      <x:c r="B763" s="22" t="str">
        <x:v>L2023-00053-1</x:v>
      </x:c>
      <x:c r="C763" s="22" t="str">
        <x:v>공사</x:v>
      </x:c>
      <x:c r="D763" s="25" t="str">
        <x:v>우즈베키스탄 직업훈련원 및 타슈켄트 교사연수센터 건립 시공업체 선정 현지입찰</x:v>
      </x:c>
      <x:c r="E763" s="22" t="n">
        <x:v>1</x:v>
      </x:c>
      <x:c r="F763" s="22" t="str">
        <x:v>.xls</x:v>
      </x:c>
      <x:c r="G763" s="25" t="str">
        <x:v>L2023-00053-1/Urgench VTC Bid Attachment Documents/Urgench VTC Bid Attachment Documents/Section 4.  Bill of Quantities(Not-Priced)/공내역서/Total Table(VTC+TTC o).xls</x:v>
      </x:c>
      <x:c r="H763" s="28" t="n">
        <x:v>46592</x:v>
      </x:c>
      <x:c r="I763" s="22" t="str">
        <x:v>2b31964c93f2361fea7c845e3bb14da51759b044460b06d74d5174fc81a876a8</x:v>
      </x:c>
      <x:c r="J763" s="22" t="n">
        <x:v>1</x:v>
      </x:c>
      <x:c r="K763" s="22" t="n">
        <x:v>1</x:v>
      </x:c>
      <x:c r="L763" s="22" t="n">
        <x:v>1</x:v>
      </x:c>
      <x:c r="M763" s="28" t="n">
        <x:v>0</x:v>
      </x:c>
      <x:c r="N763" s="28" t="n">
        <x:v>0</x:v>
      </x:c>
      <x:c r="O763" s="28" t="n">
        <x:v>0</x:v>
      </x:c>
      <x:c r="P763" s="62" t="n">
        <x:v>0</x:v>
      </x:c>
      <x:c r="Q763" s="22" t="n">
        <x:v>0</x:v>
      </x:c>
      <x:c r="R763" s="22" t="str"/>
      <x:c r="S763" s="22" t="str"/>
      <x:c r="T763" s="22" t="str"/>
    </x:row>
    <x:row r="764">
      <x:c r="A764" s="22" t="str">
        <x:v>2020-00086</x:v>
      </x:c>
      <x:c r="B764" s="22" t="str">
        <x:v>L2023-00053-1</x:v>
      </x:c>
      <x:c r="C764" s="22" t="str">
        <x:v>공사</x:v>
      </x:c>
      <x:c r="D764" s="25" t="str">
        <x:v>우즈베키스탄 직업훈련원 및 타슈켄트 교사연수센터 건립 시공업체 선정 현지입찰</x:v>
      </x:c>
      <x:c r="E764" s="22" t="n">
        <x:v>1</x:v>
      </x:c>
      <x:c r="F764" s="22" t="str">
        <x:v>.docx</x:v>
      </x:c>
      <x:c r="G764" s="25" t="str">
        <x:v>L2023-00053-1/Urgench VTC Bid Attachment Documents/Urgench VTC Bid Attachment Documents/Section 4.  Bill of Quantities(Not-Priced)/공내역서/TTC견적서/Estimate Manual(VTC+TTC).docx</x:v>
      </x:c>
      <x:c r="H764" s="28" t="n">
        <x:v>61925</x:v>
      </x:c>
      <x:c r="I764" s="22" t="str">
        <x:v>45d6dcb2d563481212a18017b78a268e453685bae9d504e1f74e23b5679e21b1</x:v>
      </x:c>
      <x:c r="J764" s="22" t="n">
        <x:v>0</x:v>
      </x:c>
      <x:c r="K764" s="22" t="n">
        <x:v>1</x:v>
      </x:c>
      <x:c r="L764" s="22" t="n">
        <x:v>1</x:v>
      </x:c>
      <x:c r="M764" s="28" t="n">
        <x:v>0</x:v>
      </x:c>
      <x:c r="N764" s="28" t="n">
        <x:v>0</x:v>
      </x:c>
      <x:c r="O764" s="28" t="n">
        <x:v>0</x:v>
      </x:c>
      <x:c r="P764" s="62" t="n">
        <x:v>0</x:v>
      </x:c>
      <x:c r="Q764" s="22" t="n">
        <x:v>0</x:v>
      </x:c>
      <x:c r="R764" s="22" t="str"/>
      <x:c r="S764" s="22" t="str"/>
      <x:c r="T764" s="22" t="str"/>
    </x:row>
    <x:row r="765">
      <x:c r="A765" s="22" t="str">
        <x:v>2020-00086</x:v>
      </x:c>
      <x:c r="B765" s="22" t="str">
        <x:v>L2023-00053-1</x:v>
      </x:c>
      <x:c r="C765" s="22" t="str">
        <x:v>공사</x:v>
      </x:c>
      <x:c r="D765" s="25" t="str">
        <x:v>우즈베키스탄 직업훈련원 및 타슈켄트 교사연수센터 건립 시공업체 선정 현지입찰</x:v>
      </x:c>
      <x:c r="E765" s="22" t="n">
        <x:v>1</x:v>
      </x:c>
      <x:c r="F765" s="22" t="str">
        <x:v>.xls</x:v>
      </x:c>
      <x:c r="G765" s="25" t="str">
        <x:v>L2023-00053-1/Urgench VTC Bid Attachment Documents/Urgench VTC Bid Attachment Documents/Section 4.  Bill of Quantities(Not-Priced)/공내역서/TTC견적서/Total Table(TTC o).xls</x:v>
      </x:c>
      <x:c r="H765" s="28" t="n">
        <x:v>46080</x:v>
      </x:c>
      <x:c r="I765" s="22" t="str">
        <x:v>28d446c09dedabb50892b509edb8f58f15a29925ca0afbc015ed89632a9de30e</x:v>
      </x:c>
      <x:c r="J765" s="22" t="n">
        <x:v>1</x:v>
      </x:c>
      <x:c r="K765" s="22" t="n">
        <x:v>1</x:v>
      </x:c>
      <x:c r="L765" s="22" t="n">
        <x:v>1</x:v>
      </x:c>
      <x:c r="M765" s="28" t="n">
        <x:v>0</x:v>
      </x:c>
      <x:c r="N765" s="28" t="n">
        <x:v>0</x:v>
      </x:c>
      <x:c r="O765" s="28" t="n">
        <x:v>0</x:v>
      </x:c>
      <x:c r="P765" s="62" t="n">
        <x:v>0</x:v>
      </x:c>
      <x:c r="Q765" s="22" t="n">
        <x:v>0</x:v>
      </x:c>
      <x:c r="R765" s="22" t="str"/>
      <x:c r="S765" s="22" t="str"/>
      <x:c r="T765" s="22" t="str"/>
    </x:row>
    <x:row r="766">
      <x:c r="A766" s="22" t="str">
        <x:v>2020-00086</x:v>
      </x:c>
      <x:c r="B766" s="22" t="str">
        <x:v>L2023-00053-1</x:v>
      </x:c>
      <x:c r="C766" s="22" t="str">
        <x:v>공사</x:v>
      </x:c>
      <x:c r="D766" s="25" t="str">
        <x:v>우즈베키스탄 직업훈련원 및 타슈켄트 교사연수센터 건립 시공업체 선정 현지입찰</x:v>
      </x:c>
      <x:c r="E766" s="22" t="n">
        <x:v>1</x:v>
      </x:c>
      <x:c r="F766" s="22" t="str">
        <x:v>.docx</x:v>
      </x:c>
      <x:c r="G766" s="25" t="str">
        <x:v>L2023-00053-1/Urgench VTC Bid Attachment Documents/Urgench VTC Bid Attachment Documents/Section 4.  Bill of Quantities(Not-Priced)/공내역서/VTC견적서/Estimate Manual(VTC+TTC).docx</x:v>
      </x:c>
      <x:c r="H766" s="28" t="n">
        <x:v>61925</x:v>
      </x:c>
      <x:c r="I766" s="22" t="str">
        <x:v>45d6dcb2d563481212a18017b78a268e453685bae9d504e1f74e23b5679e21b1</x:v>
      </x:c>
      <x:c r="J766" s="22" t="n">
        <x:v>0</x:v>
      </x:c>
      <x:c r="K766" s="22" t="n">
        <x:v>1</x:v>
      </x:c>
      <x:c r="L766" s="22" t="n">
        <x:v>1</x:v>
      </x:c>
      <x:c r="M766" s="28" t="n">
        <x:v>0</x:v>
      </x:c>
      <x:c r="N766" s="28" t="n">
        <x:v>0</x:v>
      </x:c>
      <x:c r="O766" s="28" t="n">
        <x:v>0</x:v>
      </x:c>
      <x:c r="P766" s="62" t="n">
        <x:v>0</x:v>
      </x:c>
      <x:c r="Q766" s="22" t="n">
        <x:v>0</x:v>
      </x:c>
      <x:c r="R766" s="22" t="str"/>
      <x:c r="S766" s="22" t="str"/>
      <x:c r="T766" s="22" t="str"/>
    </x:row>
    <x:row r="767">
      <x:c r="A767" s="22" t="str">
        <x:v>2020-00086</x:v>
      </x:c>
      <x:c r="B767" s="22" t="str">
        <x:v>L2023-00053-1</x:v>
      </x:c>
      <x:c r="C767" s="22" t="str">
        <x:v>공사</x:v>
      </x:c>
      <x:c r="D767" s="25" t="str">
        <x:v>우즈베키스탄 직업훈련원 및 타슈켄트 교사연수센터 건립 시공업체 선정 현지입찰</x:v>
      </x:c>
      <x:c r="E767" s="22" t="n">
        <x:v>1</x:v>
      </x:c>
      <x:c r="F767" s="22" t="str">
        <x:v>.xls</x:v>
      </x:c>
      <x:c r="G767" s="25" t="str">
        <x:v>L2023-00053-1/Urgench VTC Bid Attachment Documents/Urgench VTC Bid Attachment Documents/Section 4.  Bill of Quantities(Not-Priced)/공내역서/VTC견적서/Total Table(VTC o).xls</x:v>
      </x:c>
      <x:c r="H767" s="28" t="n">
        <x:v>53248</x:v>
      </x:c>
      <x:c r="I767" s="22" t="str">
        <x:v>95215ae6e2ec160e32c5a08207e13a9f849e9f0f7420e9315a16d201c6b36283</x:v>
      </x:c>
      <x:c r="J767" s="22" t="n">
        <x:v>1</x:v>
      </x:c>
      <x:c r="K767" s="22" t="n">
        <x:v>1</x:v>
      </x:c>
      <x:c r="L767" s="22" t="n">
        <x:v>1</x:v>
      </x:c>
      <x:c r="M767" s="28" t="n">
        <x:v>0</x:v>
      </x:c>
      <x:c r="N767" s="28" t="n">
        <x:v>0</x:v>
      </x:c>
      <x:c r="O767" s="28" t="n">
        <x:v>0</x:v>
      </x:c>
      <x:c r="P767" s="62" t="n">
        <x:v>0</x:v>
      </x:c>
      <x:c r="Q767" s="22" t="n">
        <x:v>0</x:v>
      </x:c>
      <x:c r="R767" s="22" t="str"/>
      <x:c r="S767" s="22" t="str"/>
      <x:c r="T767" s="22" t="str"/>
    </x:row>
    <x:row r="768">
      <x:c r="A768" s="22" t="str">
        <x:v>2020-00086</x:v>
      </x:c>
      <x:c r="B768" s="22" t="str">
        <x:v>L2023-00053-1</x:v>
      </x:c>
      <x:c r="C768" s="22" t="str">
        <x:v>공사</x:v>
      </x:c>
      <x:c r="D768" s="25" t="str">
        <x:v>우즈베키스탄 직업훈련원 및 타슈켄트 교사연수센터 건립 시공업체 선정 현지입찰</x:v>
      </x:c>
      <x:c r="E768" s="22" t="n">
        <x:v>1</x:v>
      </x:c>
      <x:c r="F768" s="22" t="str">
        <x:v>.xls</x:v>
      </x:c>
      <x:c r="G768" s="25" t="str">
        <x:v>L2023-00053-1/Urgench VTC Bid Attachment Documents/Urgench VTC Bid Attachment Documents/Section 4.  Bill of Quantities(Not-Priced)/공내역서/VTC견적서/9 ТП(Transformers)/СВОДКА ТП o.xls</x:v>
      </x:c>
      <x:c r="H768" s="28" t="n">
        <x:v>37376</x:v>
      </x:c>
      <x:c r="I768" s="22" t="str">
        <x:v>facd6690ec26530b590132959b7d4a075ba1994b5106b4bcde8fc118b849ef8c</x:v>
      </x:c>
      <x:c r="J768" s="22" t="n">
        <x:v>1</x:v>
      </x:c>
      <x:c r="K768" s="22" t="n">
        <x:v>1</x:v>
      </x:c>
      <x:c r="L768" s="22" t="n">
        <x:v>1</x:v>
      </x:c>
      <x:c r="M768" s="28" t="n">
        <x:v>0</x:v>
      </x:c>
      <x:c r="N768" s="28" t="n">
        <x:v>0</x:v>
      </x:c>
      <x:c r="O768" s="28" t="n">
        <x:v>0</x:v>
      </x:c>
      <x:c r="P768" s="62" t="n">
        <x:v>0</x:v>
      </x:c>
      <x:c r="Q768" s="22" t="n">
        <x:v>0</x:v>
      </x:c>
      <x:c r="R768" s="22" t="str"/>
      <x:c r="S768" s="22" t="str"/>
      <x:c r="T768" s="22" t="str"/>
    </x:row>
    <x:row r="769">
      <x:c r="A769" s="22" t="str">
        <x:v>2020-00086</x:v>
      </x:c>
      <x:c r="B769" s="22" t="str">
        <x:v>L2023-00053-1</x:v>
      </x:c>
      <x:c r="C769" s="22" t="str">
        <x:v>공사</x:v>
      </x:c>
      <x:c r="D769" s="25" t="str">
        <x:v>우즈베키스탄 직업훈련원 및 타슈켄트 교사연수센터 건립 시공업체 선정 현지입찰</x:v>
      </x:c>
      <x:c r="E769" s="22" t="n">
        <x:v>1</x:v>
      </x:c>
      <x:c r="F769" s="22" t="str">
        <x:v>.doc</x:v>
      </x:c>
      <x:c r="G769" s="25" t="str">
        <x:v>L2023-00053-1/Urgench VTC Bid Attachment Documents/Urgench VTC Bid Attachment Documents/Section 4.  Bill of Quantities(Not-Priced)/공내역서/VTC견적서/9 ТП(Transformers)/Титул  ТОМ XI.doc</x:v>
      </x:c>
      <x:c r="H769" s="28" t="n">
        <x:v>31232</x:v>
      </x:c>
      <x:c r="I769" s="22" t="str">
        <x:v>562b75d717c841e3583929c3dc728976da62eae357252f326b5e55a04f1d196c</x:v>
      </x:c>
      <x:c r="J769" s="22" t="n">
        <x:v>0</x:v>
      </x:c>
      <x:c r="K769" s="22" t="n">
        <x:v>1</x:v>
      </x:c>
      <x:c r="L769" s="22" t="n">
        <x:v>1</x:v>
      </x:c>
      <x:c r="M769" s="28" t="n">
        <x:v>0</x:v>
      </x:c>
      <x:c r="N769" s="28" t="n">
        <x:v>0</x:v>
      </x:c>
      <x:c r="O769" s="28" t="n">
        <x:v>0</x:v>
      </x:c>
      <x:c r="P769" s="62" t="n">
        <x:v>0</x:v>
      </x:c>
      <x:c r="Q769" s="22" t="n">
        <x:v>0</x:v>
      </x:c>
      <x:c r="R769" s="22" t="str"/>
      <x:c r="S769" s="22" t="str"/>
      <x:c r="T769" s="22" t="str"/>
    </x:row>
    <x:row r="770">
      <x:c r="A770" s="22" t="str">
        <x:v>2020-00086</x:v>
      </x:c>
      <x:c r="B770" s="22" t="str">
        <x:v>L2023-00053-1</x:v>
      </x:c>
      <x:c r="C770" s="22" t="str">
        <x:v>공사</x:v>
      </x:c>
      <x:c r="D770" s="25" t="str">
        <x:v>우즈베키스탄 직업훈련원 및 타슈켄트 교사연수센터 건립 시공업체 선정 현지입찰</x:v>
      </x:c>
      <x:c r="E770" s="22" t="n">
        <x:v>1</x:v>
      </x:c>
      <x:c r="F770" s="22" t="str">
        <x:v>.xls</x:v>
      </x:c>
      <x:c r="G770" s="25" t="str">
        <x:v>L2023-00053-1/Urgench VTC Bid Attachment Documents/Urgench VTC Bid Attachment Documents/Section 4.  Bill of Quantities(Not-Priced)/공내역서/VTC견적서/5 МИНИКУХНЯ(Mini Cafe)/СВОДКА МИНИ-КУХНЯ o.xls</x:v>
      </x:c>
      <x:c r="H770" s="28" t="n">
        <x:v>40448</x:v>
      </x:c>
      <x:c r="I770" s="22" t="str">
        <x:v>8f914360b8e4f1fc5d8468deaf2b61af743e6873fa2b694c0fb7dbcc7a4bed51</x:v>
      </x:c>
      <x:c r="J770" s="22" t="n">
        <x:v>1</x:v>
      </x:c>
      <x:c r="K770" s="22" t="n">
        <x:v>1</x:v>
      </x:c>
      <x:c r="L770" s="22" t="n">
        <x:v>1</x:v>
      </x:c>
      <x:c r="M770" s="28" t="n">
        <x:v>0</x:v>
      </x:c>
      <x:c r="N770" s="28" t="n">
        <x:v>0</x:v>
      </x:c>
      <x:c r="O770" s="28" t="n">
        <x:v>0</x:v>
      </x:c>
      <x:c r="P770" s="62" t="n">
        <x:v>0</x:v>
      </x:c>
      <x:c r="Q770" s="22" t="n">
        <x:v>0</x:v>
      </x:c>
      <x:c r="R770" s="22" t="str"/>
      <x:c r="S770" s="22" t="str"/>
      <x:c r="T770" s="22" t="str"/>
    </x:row>
    <x:row r="771">
      <x:c r="A771" s="22" t="str">
        <x:v>2020-00086</x:v>
      </x:c>
      <x:c r="B771" s="22" t="str">
        <x:v>L2023-00053-1</x:v>
      </x:c>
      <x:c r="C771" s="22" t="str">
        <x:v>공사</x:v>
      </x:c>
      <x:c r="D771" s="25" t="str">
        <x:v>우즈베키스탄 직업훈련원 및 타슈켄트 교사연수센터 건립 시공업체 선정 현지입찰</x:v>
      </x:c>
      <x:c r="E771" s="22" t="n">
        <x:v>1</x:v>
      </x:c>
      <x:c r="F771" s="22" t="str">
        <x:v>.doc</x:v>
      </x:c>
      <x:c r="G771" s="25" t="str">
        <x:v>L2023-00053-1/Urgench VTC Bid Attachment Documents/Urgench VTC Bid Attachment Documents/Section 4.  Bill of Quantities(Not-Priced)/공내역서/VTC견적서/5 МИНИКУХНЯ(Mini Cafe)/Титул  ТОМ VI.doc</x:v>
      </x:c>
      <x:c r="H771" s="28" t="n">
        <x:v>31232</x:v>
      </x:c>
      <x:c r="I771" s="22" t="str">
        <x:v>5d3df82f7fc981a9739b9b7c058a93fee78c22081ac1c704fbb85f9f85a42c87</x:v>
      </x:c>
      <x:c r="J771" s="22" t="n">
        <x:v>0</x:v>
      </x:c>
      <x:c r="K771" s="22" t="n">
        <x:v>1</x:v>
      </x:c>
      <x:c r="L771" s="22" t="n">
        <x:v>1</x:v>
      </x:c>
      <x:c r="M771" s="28" t="n">
        <x:v>0</x:v>
      </x:c>
      <x:c r="N771" s="28" t="n">
        <x:v>0</x:v>
      </x:c>
      <x:c r="O771" s="28" t="n">
        <x:v>0</x:v>
      </x:c>
      <x:c r="P771" s="62" t="n">
        <x:v>0</x:v>
      </x:c>
      <x:c r="Q771" s="22" t="n">
        <x:v>0</x:v>
      </x:c>
      <x:c r="R771" s="22" t="str"/>
      <x:c r="S771" s="22" t="str"/>
      <x:c r="T771" s="22" t="str"/>
    </x:row>
    <x:row r="772">
      <x:c r="A772" s="22" t="str">
        <x:v>2020-00086</x:v>
      </x:c>
      <x:c r="B772" s="22" t="str">
        <x:v>L2023-00053-1</x:v>
      </x:c>
      <x:c r="C772" s="22" t="str">
        <x:v>공사</x:v>
      </x:c>
      <x:c r="D772" s="25" t="str">
        <x:v>우즈베키스탄 직업훈련원 및 타슈켄트 교사연수센터 건립 시공업체 선정 현지입찰</x:v>
      </x:c>
      <x:c r="E772" s="22" t="n">
        <x:v>1</x:v>
      </x:c>
      <x:c r="F772" s="22" t="str">
        <x:v>.xls</x:v>
      </x:c>
      <x:c r="G772" s="25" t="str">
        <x:v>L2023-00053-1/Urgench VTC Bid Attachment Documents/Urgench VTC Bid Attachment Documents/Section 4.  Bill of Quantities(Not-Priced)/공내역서/VTC견적서/1 АДМИН ЗДАНИЕ(Admin. Build)/СВОДКА АДМИН ЗДАНИЕ o.xls</x:v>
      </x:c>
      <x:c r="H772" s="28" t="n">
        <x:v>43008</x:v>
      </x:c>
      <x:c r="I772" s="22" t="str">
        <x:v>239cf320377a69c6514a677d854e57982e433342b7a55f43a6b4565f1d6e2655</x:v>
      </x:c>
      <x:c r="J772" s="22" t="n">
        <x:v>1</x:v>
      </x:c>
      <x:c r="K772" s="22" t="n">
        <x:v>1</x:v>
      </x:c>
      <x:c r="L772" s="22" t="n">
        <x:v>1</x:v>
      </x:c>
      <x:c r="M772" s="28" t="n">
        <x:v>0</x:v>
      </x:c>
      <x:c r="N772" s="28" t="n">
        <x:v>0</x:v>
      </x:c>
      <x:c r="O772" s="28" t="n">
        <x:v>0</x:v>
      </x:c>
      <x:c r="P772" s="62" t="n">
        <x:v>0</x:v>
      </x:c>
      <x:c r="Q772" s="22" t="n">
        <x:v>0</x:v>
      </x:c>
      <x:c r="R772" s="22" t="str"/>
      <x:c r="S772" s="22" t="str"/>
      <x:c r="T772" s="22" t="str"/>
    </x:row>
    <x:row r="773">
      <x:c r="A773" s="22" t="str">
        <x:v>2020-00086</x:v>
      </x:c>
      <x:c r="B773" s="22" t="str">
        <x:v>L2023-00053-1</x:v>
      </x:c>
      <x:c r="C773" s="22" t="str">
        <x:v>공사</x:v>
      </x:c>
      <x:c r="D773" s="25" t="str">
        <x:v>우즈베키스탄 직업훈련원 및 타슈켄트 교사연수센터 건립 시공업체 선정 현지입찰</x:v>
      </x:c>
      <x:c r="E773" s="22" t="n">
        <x:v>1</x:v>
      </x:c>
      <x:c r="F773" s="22" t="str">
        <x:v>.doc</x:v>
      </x:c>
      <x:c r="G773" s="25" t="str">
        <x:v>L2023-00053-1/Urgench VTC Bid Attachment Documents/Urgench VTC Bid Attachment Documents/Section 4.  Bill of Quantities(Not-Priced)/공내역서/VTC견적서/1 АДМИН ЗДАНИЕ(Admin. Build)/Титул  ТОМ II.doc</x:v>
      </x:c>
      <x:c r="H773" s="28" t="n">
        <x:v>30720</x:v>
      </x:c>
      <x:c r="I773" s="22" t="str">
        <x:v>835c98ce909b2e964c2710e36061eb15d37eb1fc6a1e589b4eb01f7a428e6ab1</x:v>
      </x:c>
      <x:c r="J773" s="22" t="n">
        <x:v>0</x:v>
      </x:c>
      <x:c r="K773" s="22" t="n">
        <x:v>1</x:v>
      </x:c>
      <x:c r="L773" s="22" t="n">
        <x:v>1</x:v>
      </x:c>
      <x:c r="M773" s="28" t="n">
        <x:v>0</x:v>
      </x:c>
      <x:c r="N773" s="28" t="n">
        <x:v>0</x:v>
      </x:c>
      <x:c r="O773" s="28" t="n">
        <x:v>0</x:v>
      </x:c>
      <x:c r="P773" s="62" t="n">
        <x:v>0</x:v>
      </x:c>
      <x:c r="Q773" s="22" t="n">
        <x:v>0</x:v>
      </x:c>
      <x:c r="R773" s="22" t="str"/>
      <x:c r="S773" s="22" t="str"/>
      <x:c r="T773" s="22" t="str"/>
    </x:row>
    <x:row r="774">
      <x:c r="A774" s="22" t="str">
        <x:v>2020-00086</x:v>
      </x:c>
      <x:c r="B774" s="22" t="str">
        <x:v>L2023-00053-1</x:v>
      </x:c>
      <x:c r="C774" s="22" t="str">
        <x:v>공사</x:v>
      </x:c>
      <x:c r="D774" s="25" t="str">
        <x:v>우즈베키스탄 직업훈련원 및 타슈켄트 교사연수센터 건립 시공업체 선정 현지입찰</x:v>
      </x:c>
      <x:c r="E774" s="22" t="n">
        <x:v>1</x:v>
      </x:c>
      <x:c r="F774" s="22" t="str">
        <x:v>.xls</x:v>
      </x:c>
      <x:c r="G774" s="25" t="str">
        <x:v>L2023-00053-1/Urgench VTC Bid Attachment Documents/Urgench VTC Bid Attachment Documents/Section 4.  Bill of Quantities(Not-Priced)/공내역서/VTC견적서/2 УПК(Practice and Education Building)/СВОДКА УНП o.xls</x:v>
      </x:c>
      <x:c r="H774" s="28" t="n">
        <x:v>41984</x:v>
      </x:c>
      <x:c r="I774" s="22" t="str">
        <x:v>4e9e4173d9aaf338992fc1a73bdba899f9b1309cc10a476fa73a616edd0c77fa</x:v>
      </x:c>
      <x:c r="J774" s="22" t="n">
        <x:v>1</x:v>
      </x:c>
      <x:c r="K774" s="22" t="n">
        <x:v>1</x:v>
      </x:c>
      <x:c r="L774" s="22" t="n">
        <x:v>1</x:v>
      </x:c>
      <x:c r="M774" s="28" t="n">
        <x:v>0</x:v>
      </x:c>
      <x:c r="N774" s="28" t="n">
        <x:v>0</x:v>
      </x:c>
      <x:c r="O774" s="28" t="n">
        <x:v>0</x:v>
      </x:c>
      <x:c r="P774" s="62" t="n">
        <x:v>0</x:v>
      </x:c>
      <x:c r="Q774" s="22" t="n">
        <x:v>0</x:v>
      </x:c>
      <x:c r="R774" s="22" t="str"/>
      <x:c r="S774" s="22" t="str"/>
      <x:c r="T774" s="22" t="str"/>
    </x:row>
    <x:row r="775">
      <x:c r="A775" s="22" t="str">
        <x:v>2020-00086</x:v>
      </x:c>
      <x:c r="B775" s="22" t="str">
        <x:v>L2023-00053-1</x:v>
      </x:c>
      <x:c r="C775" s="22" t="str">
        <x:v>공사</x:v>
      </x:c>
      <x:c r="D775" s="25" t="str">
        <x:v>우즈베키스탄 직업훈련원 및 타슈켄트 교사연수센터 건립 시공업체 선정 현지입찰</x:v>
      </x:c>
      <x:c r="E775" s="22" t="n">
        <x:v>1</x:v>
      </x:c>
      <x:c r="F775" s="22" t="str">
        <x:v>.doc</x:v>
      </x:c>
      <x:c r="G775" s="25" t="str">
        <x:v>L2023-00053-1/Urgench VTC Bid Attachment Documents/Urgench VTC Bid Attachment Documents/Section 4.  Bill of Quantities(Not-Priced)/공내역서/VTC견적서/2 УПК(Practice and Education Building)/Титул  ТОМ III.doc</x:v>
      </x:c>
      <x:c r="H775" s="28" t="n">
        <x:v>31232</x:v>
      </x:c>
      <x:c r="I775" s="22" t="str">
        <x:v>f8ec15c11cbb553ae2762ca699a90e16cd13aa1ef2cbd491e594fed4da383a69</x:v>
      </x:c>
      <x:c r="J775" s="22" t="n">
        <x:v>0</x:v>
      </x:c>
      <x:c r="K775" s="22" t="n">
        <x:v>1</x:v>
      </x:c>
      <x:c r="L775" s="22" t="n">
        <x:v>1</x:v>
      </x:c>
      <x:c r="M775" s="28" t="n">
        <x:v>0</x:v>
      </x:c>
      <x:c r="N775" s="28" t="n">
        <x:v>0</x:v>
      </x:c>
      <x:c r="O775" s="28" t="n">
        <x:v>0</x:v>
      </x:c>
      <x:c r="P775" s="62" t="n">
        <x:v>0</x:v>
      </x:c>
      <x:c r="Q775" s="22" t="n">
        <x:v>0</x:v>
      </x:c>
      <x:c r="R775" s="22" t="str"/>
      <x:c r="S775" s="22" t="str"/>
      <x:c r="T775" s="22" t="str"/>
    </x:row>
    <x:row r="776">
      <x:c r="A776" s="22" t="str">
        <x:v>2020-00086</x:v>
      </x:c>
      <x:c r="B776" s="22" t="str">
        <x:v>L2023-00053-1</x:v>
      </x:c>
      <x:c r="C776" s="22" t="str">
        <x:v>공사</x:v>
      </x:c>
      <x:c r="D776" s="25" t="str">
        <x:v>우즈베키스탄 직업훈련원 및 타슈켄트 교사연수센터 건립 시공업체 선정 현지입찰</x:v>
      </x:c>
      <x:c r="E776" s="22" t="n">
        <x:v>1</x:v>
      </x:c>
      <x:c r="F776" s="22" t="str">
        <x:v>.xls</x:v>
      </x:c>
      <x:c r="G776" s="25" t="str">
        <x:v>L2023-00053-1/Urgench VTC Bid Attachment Documents/Urgench VTC Bid Attachment Documents/Section 4.  Bill of Quantities(Not-Priced)/공내역서/VTC견적서/6 КПП(Guard House+Fence &amp; Gate)/СВОДКА КПП o.xls</x:v>
      </x:c>
      <x:c r="H776" s="28" t="n">
        <x:v>39936</x:v>
      </x:c>
      <x:c r="I776" s="22" t="str">
        <x:v>d27c5152b98d05c4e041485209c2097fc8c59879eaa9b7191d41891200560736</x:v>
      </x:c>
      <x:c r="J776" s="22" t="n">
        <x:v>1</x:v>
      </x:c>
      <x:c r="K776" s="22" t="n">
        <x:v>1</x:v>
      </x:c>
      <x:c r="L776" s="22" t="n">
        <x:v>1</x:v>
      </x:c>
      <x:c r="M776" s="28" t="n">
        <x:v>0</x:v>
      </x:c>
      <x:c r="N776" s="28" t="n">
        <x:v>0</x:v>
      </x:c>
      <x:c r="O776" s="28" t="n">
        <x:v>0</x:v>
      </x:c>
      <x:c r="P776" s="62" t="n">
        <x:v>0</x:v>
      </x:c>
      <x:c r="Q776" s="22" t="n">
        <x:v>0</x:v>
      </x:c>
      <x:c r="R776" s="22" t="str"/>
      <x:c r="S776" s="22" t="str"/>
      <x:c r="T776" s="22" t="str"/>
    </x:row>
    <x:row r="777">
      <x:c r="A777" s="22" t="str">
        <x:v>2020-00086</x:v>
      </x:c>
      <x:c r="B777" s="22" t="str">
        <x:v>L2023-00053-1</x:v>
      </x:c>
      <x:c r="C777" s="22" t="str">
        <x:v>공사</x:v>
      </x:c>
      <x:c r="D777" s="25" t="str">
        <x:v>우즈베키스탄 직업훈련원 및 타슈켄트 교사연수센터 건립 시공업체 선정 현지입찰</x:v>
      </x:c>
      <x:c r="E777" s="22" t="n">
        <x:v>1</x:v>
      </x:c>
      <x:c r="F777" s="22" t="str">
        <x:v>.doc</x:v>
      </x:c>
      <x:c r="G777" s="25" t="str">
        <x:v>L2023-00053-1/Urgench VTC Bid Attachment Documents/Urgench VTC Bid Attachment Documents/Section 4.  Bill of Quantities(Not-Priced)/공내역서/VTC견적서/6 КПП(Guard House+Fence &amp; Gate)/Титул  ТОМ VII.doc</x:v>
      </x:c>
      <x:c r="H777" s="28" t="n">
        <x:v>31232</x:v>
      </x:c>
      <x:c r="I777" s="22" t="str">
        <x:v>d3a2878206d1a5ed18bf735bd8e0e29bcf39f0f7e7908670880919bce45c4d64</x:v>
      </x:c>
      <x:c r="J777" s="22" t="n">
        <x:v>0</x:v>
      </x:c>
      <x:c r="K777" s="22" t="n">
        <x:v>1</x:v>
      </x:c>
      <x:c r="L777" s="22" t="n">
        <x:v>1</x:v>
      </x:c>
      <x:c r="M777" s="28" t="n">
        <x:v>0</x:v>
      </x:c>
      <x:c r="N777" s="28" t="n">
        <x:v>0</x:v>
      </x:c>
      <x:c r="O777" s="28" t="n">
        <x:v>0</x:v>
      </x:c>
      <x:c r="P777" s="62" t="n">
        <x:v>0</x:v>
      </x:c>
      <x:c r="Q777" s="22" t="n">
        <x:v>0</x:v>
      </x:c>
      <x:c r="R777" s="22" t="str"/>
      <x:c r="S777" s="22" t="str"/>
      <x:c r="T777" s="22" t="str"/>
    </x:row>
    <x:row r="778">
      <x:c r="A778" s="22" t="str">
        <x:v>2020-00086</x:v>
      </x:c>
      <x:c r="B778" s="22" t="str">
        <x:v>L2023-00053-1</x:v>
      </x:c>
      <x:c r="C778" s="22" t="str">
        <x:v>공사</x:v>
      </x:c>
      <x:c r="D778" s="25" t="str">
        <x:v>우즈베키스탄 직업훈련원 및 타슈켄트 교사연수센터 건립 시공업체 선정 현지입찰</x:v>
      </x:c>
      <x:c r="E778" s="22" t="n">
        <x:v>1</x:v>
      </x:c>
      <x:c r="F778" s="22" t="str">
        <x:v>.doc</x:v>
      </x:c>
      <x:c r="G778" s="25" t="str">
        <x:v>L2023-00053-1/Urgench VTC Bid Attachment Documents/Urgench VTC Bid Attachment Documents/Section 4.  Bill of Quantities(Not-Priced)/공내역서/VTC견적서/0 ГП(Site Plan &amp; Landscape+Outdoor Infra)/Титул  ГП.doc</x:v>
      </x:c>
      <x:c r="H778" s="28" t="n">
        <x:v>31232</x:v>
      </x:c>
      <x:c r="I778" s="22" t="str">
        <x:v>668b31d75f72b7e552805f9881eb1194815e756808fbb34626fafe827afacac8</x:v>
      </x:c>
      <x:c r="J778" s="22" t="n">
        <x:v>0</x:v>
      </x:c>
      <x:c r="K778" s="22" t="n">
        <x:v>1</x:v>
      </x:c>
      <x:c r="L778" s="22" t="n">
        <x:v>1</x:v>
      </x:c>
      <x:c r="M778" s="28" t="n">
        <x:v>0</x:v>
      </x:c>
      <x:c r="N778" s="28" t="n">
        <x:v>0</x:v>
      </x:c>
      <x:c r="O778" s="28" t="n">
        <x:v>0</x:v>
      </x:c>
      <x:c r="P778" s="62" t="n">
        <x:v>0</x:v>
      </x:c>
      <x:c r="Q778" s="22" t="n">
        <x:v>0</x:v>
      </x:c>
      <x:c r="R778" s="22" t="str"/>
      <x:c r="S778" s="22" t="str"/>
      <x:c r="T778" s="22" t="str"/>
    </x:row>
    <x:row r="779">
      <x:c r="A779" s="22" t="str">
        <x:v>2020-00086</x:v>
      </x:c>
      <x:c r="B779" s="22" t="str">
        <x:v>L2023-00053-1</x:v>
      </x:c>
      <x:c r="C779" s="22" t="str">
        <x:v>공사</x:v>
      </x:c>
      <x:c r="D779" s="25" t="str">
        <x:v>우즈베키스탄 직업훈련원 및 타슈켄트 교사연수센터 건립 시공업체 선정 현지입찰</x:v>
      </x:c>
      <x:c r="E779" s="22" t="n">
        <x:v>1</x:v>
      </x:c>
      <x:c r="F779" s="22" t="str">
        <x:v>.xls</x:v>
      </x:c>
      <x:c r="G779" s="25" t="str">
        <x:v>L2023-00053-1/Urgench VTC Bid Attachment Documents/Urgench VTC Bid Attachment Documents/Section 4.  Bill of Quantities(Not-Priced)/공내역서/VTC견적서/0 ГП(Site Plan &amp; Landscape+Outdoor Infra)/СВОДКА ГП o.xls</x:v>
      </x:c>
      <x:c r="H779" s="28" t="n">
        <x:v>45568</x:v>
      </x:c>
      <x:c r="I779" s="22" t="str">
        <x:v>ea3f4e528b188609521baeecebb2d8c370f0b8bcb04912b0ecc7b6f576cead23</x:v>
      </x:c>
      <x:c r="J779" s="22" t="n">
        <x:v>1</x:v>
      </x:c>
      <x:c r="K779" s="22" t="n">
        <x:v>1</x:v>
      </x:c>
      <x:c r="L779" s="22" t="n">
        <x:v>1</x:v>
      </x:c>
      <x:c r="M779" s="28" t="n">
        <x:v>0</x:v>
      </x:c>
      <x:c r="N779" s="28" t="n">
        <x:v>0</x:v>
      </x:c>
      <x:c r="O779" s="28" t="n">
        <x:v>0</x:v>
      </x:c>
      <x:c r="P779" s="62" t="n">
        <x:v>0</x:v>
      </x:c>
      <x:c r="Q779" s="22" t="n">
        <x:v>0</x:v>
      </x:c>
      <x:c r="R779" s="22" t="str"/>
      <x:c r="S779" s="22" t="str"/>
      <x:c r="T779" s="22" t="str"/>
    </x:row>
    <x:row r="780">
      <x:c r="A780" s="22" t="str">
        <x:v>2020-00086</x:v>
      </x:c>
      <x:c r="B780" s="22" t="str">
        <x:v>L2023-00053-1</x:v>
      </x:c>
      <x:c r="C780" s="22" t="str">
        <x:v>공사</x:v>
      </x:c>
      <x:c r="D780" s="25" t="str">
        <x:v>우즈베키스탄 직업훈련원 및 타슈켄트 교사연수센터 건립 시공업체 선정 현지입찰</x:v>
      </x:c>
      <x:c r="E780" s="22" t="n">
        <x:v>1</x:v>
      </x:c>
      <x:c r="F780" s="22" t="str">
        <x:v>.doc</x:v>
      </x:c>
      <x:c r="G780" s="25" t="str">
        <x:v>L2023-00053-1/Urgench VTC Bid Attachment Documents/Urgench VTC Bid Attachment Documents/Section 4.  Bill of Quantities(Not-Priced)/공내역서/VTC견적서/7 КОМПРЕССОРАНЯ(Comp.+GAS storage)/Титул  ТОМ VIII.doc</x:v>
      </x:c>
      <x:c r="H780" s="28" t="n">
        <x:v>31232</x:v>
      </x:c>
      <x:c r="I780" s="22" t="str">
        <x:v>f5cd809cdb57d6a998fcf268c2026e9e6273e70367355d3819724a2f5393a610</x:v>
      </x:c>
      <x:c r="J780" s="22" t="n">
        <x:v>0</x:v>
      </x:c>
      <x:c r="K780" s="22" t="n">
        <x:v>1</x:v>
      </x:c>
      <x:c r="L780" s="22" t="n">
        <x:v>1</x:v>
      </x:c>
      <x:c r="M780" s="28" t="n">
        <x:v>0</x:v>
      </x:c>
      <x:c r="N780" s="28" t="n">
        <x:v>0</x:v>
      </x:c>
      <x:c r="O780" s="28" t="n">
        <x:v>0</x:v>
      </x:c>
      <x:c r="P780" s="62" t="n">
        <x:v>0</x:v>
      </x:c>
      <x:c r="Q780" s="22" t="n">
        <x:v>0</x:v>
      </x:c>
      <x:c r="R780" s="22" t="str"/>
      <x:c r="S780" s="22" t="str"/>
      <x:c r="T780" s="22" t="str"/>
    </x:row>
    <x:row r="781">
      <x:c r="A781" s="22" t="str">
        <x:v>2020-00086</x:v>
      </x:c>
      <x:c r="B781" s="22" t="str">
        <x:v>L2023-00053-1</x:v>
      </x:c>
      <x:c r="C781" s="22" t="str">
        <x:v>공사</x:v>
      </x:c>
      <x:c r="D781" s="25" t="str">
        <x:v>우즈베키스탄 직업훈련원 및 타슈켄트 교사연수센터 건립 시공업체 선정 현지입찰</x:v>
      </x:c>
      <x:c r="E781" s="22" t="n">
        <x:v>1</x:v>
      </x:c>
      <x:c r="F781" s="22" t="str">
        <x:v>.xls</x:v>
      </x:c>
      <x:c r="G781" s="25" t="str">
        <x:v>L2023-00053-1/Urgench VTC Bid Attachment Documents/Urgench VTC Bid Attachment Documents/Section 4.  Bill of Quantities(Not-Priced)/공내역서/VTC견적서/7 КОМПРЕССОРАНЯ(Comp.+GAS storage)/СВОДКА КОМПРЕССОРНАЯ o.xls</x:v>
      </x:c>
      <x:c r="H781" s="28" t="n">
        <x:v>38400</x:v>
      </x:c>
      <x:c r="I781" s="22" t="str">
        <x:v>0b2724d38273defda9a531465cca025007abde2b3afdd8f53e7888f815118475</x:v>
      </x:c>
      <x:c r="J781" s="22" t="n">
        <x:v>1</x:v>
      </x:c>
      <x:c r="K781" s="22" t="n">
        <x:v>1</x:v>
      </x:c>
      <x:c r="L781" s="22" t="n">
        <x:v>1</x:v>
      </x:c>
      <x:c r="M781" s="28" t="n">
        <x:v>0</x:v>
      </x:c>
      <x:c r="N781" s="28" t="n">
        <x:v>0</x:v>
      </x:c>
      <x:c r="O781" s="28" t="n">
        <x:v>0</x:v>
      </x:c>
      <x:c r="P781" s="62" t="n">
        <x:v>0</x:v>
      </x:c>
      <x:c r="Q781" s="22" t="n">
        <x:v>0</x:v>
      </x:c>
      <x:c r="R781" s="22" t="str"/>
      <x:c r="S781" s="22" t="str"/>
      <x:c r="T781" s="22" t="str"/>
    </x:row>
    <x:row r="782">
      <x:c r="A782" s="22" t="str">
        <x:v>2020-00086</x:v>
      </x:c>
      <x:c r="B782" s="22" t="str">
        <x:v>L2023-00053-1</x:v>
      </x:c>
      <x:c r="C782" s="22" t="str">
        <x:v>공사</x:v>
      </x:c>
      <x:c r="D782" s="25" t="str">
        <x:v>우즈베키스탄 직업훈련원 및 타슈켄트 교사연수센터 건립 시공업체 선정 현지입찰</x:v>
      </x:c>
      <x:c r="E782" s="22" t="n">
        <x:v>1</x:v>
      </x:c>
      <x:c r="F782" s="22" t="str">
        <x:v>.xls</x:v>
      </x:c>
      <x:c r="G782" s="25" t="str">
        <x:v>L2023-00053-1/Urgench VTC Bid Attachment Documents/Urgench VTC Bid Attachment Documents/Section 4.  Bill of Quantities(Not-Priced)/공내역서/VTC견적서/3 ОБЩЕЖИТИЕ(Dormitory)/СВОДКА ОБЩЕЖИТИЕ o.xls</x:v>
      </x:c>
      <x:c r="H782" s="28" t="n">
        <x:v>41984</x:v>
      </x:c>
      <x:c r="I782" s="22" t="str">
        <x:v>9e450ed4764d68cf1717aec94480771f8ac30c1c153541e64da47a920e09d403</x:v>
      </x:c>
      <x:c r="J782" s="22" t="n">
        <x:v>1</x:v>
      </x:c>
      <x:c r="K782" s="22" t="n">
        <x:v>1</x:v>
      </x:c>
      <x:c r="L782" s="22" t="n">
        <x:v>1</x:v>
      </x:c>
      <x:c r="M782" s="28" t="n">
        <x:v>0</x:v>
      </x:c>
      <x:c r="N782" s="28" t="n">
        <x:v>0</x:v>
      </x:c>
      <x:c r="O782" s="28" t="n">
        <x:v>0</x:v>
      </x:c>
      <x:c r="P782" s="62" t="n">
        <x:v>0</x:v>
      </x:c>
      <x:c r="Q782" s="22" t="n">
        <x:v>0</x:v>
      </x:c>
      <x:c r="R782" s="22" t="str"/>
      <x:c r="S782" s="22" t="str"/>
      <x:c r="T782" s="22" t="str"/>
    </x:row>
    <x:row r="783">
      <x:c r="A783" s="22" t="str">
        <x:v>2020-00086</x:v>
      </x:c>
      <x:c r="B783" s="22" t="str">
        <x:v>L2023-00053-1</x:v>
      </x:c>
      <x:c r="C783" s="22" t="str">
        <x:v>공사</x:v>
      </x:c>
      <x:c r="D783" s="25" t="str">
        <x:v>우즈베키스탄 직업훈련원 및 타슈켄트 교사연수센터 건립 시공업체 선정 현지입찰</x:v>
      </x:c>
      <x:c r="E783" s="22" t="n">
        <x:v>1</x:v>
      </x:c>
      <x:c r="F783" s="22" t="str">
        <x:v>.xls</x:v>
      </x:c>
      <x:c r="G783" s="25" t="str">
        <x:v>L2023-00053-1/Urgench VTC Bid Attachment Documents/Urgench VTC Bid Attachment Documents/Section 4.  Bill of Quantities(Not-Priced)/공내역서/VTC견적서/8 ПОЖАРНАЯ ЕМЪКОСТЬ(Fire Tank)/СВОДКА НАСОСНАЯ o.xls</x:v>
      </x:c>
      <x:c r="H783" s="28" t="n">
        <x:v>36864</x:v>
      </x:c>
      <x:c r="I783" s="22" t="str">
        <x:v>8ef74923d250818b9dc846d7e1e8cf5532a3e349c007a54e4475abbae35c2b29</x:v>
      </x:c>
      <x:c r="J783" s="22" t="n">
        <x:v>1</x:v>
      </x:c>
      <x:c r="K783" s="22" t="n">
        <x:v>1</x:v>
      </x:c>
      <x:c r="L783" s="22" t="n">
        <x:v>1</x:v>
      </x:c>
      <x:c r="M783" s="28" t="n">
        <x:v>0</x:v>
      </x:c>
      <x:c r="N783" s="28" t="n">
        <x:v>0</x:v>
      </x:c>
      <x:c r="O783" s="28" t="n">
        <x:v>0</x:v>
      </x:c>
      <x:c r="P783" s="62" t="n">
        <x:v>0</x:v>
      </x:c>
      <x:c r="Q783" s="22" t="n">
        <x:v>0</x:v>
      </x:c>
      <x:c r="R783" s="22" t="str"/>
      <x:c r="S783" s="22" t="str"/>
      <x:c r="T783" s="22" t="str"/>
    </x:row>
    <x:row r="784">
      <x:c r="A784" s="22" t="str">
        <x:v>2020-00086</x:v>
      </x:c>
      <x:c r="B784" s="22" t="str">
        <x:v>L2023-00053-1</x:v>
      </x:c>
      <x:c r="C784" s="22" t="str">
        <x:v>공사</x:v>
      </x:c>
      <x:c r="D784" s="25" t="str">
        <x:v>우즈베키스탄 직업훈련원 및 타슈켄트 교사연수센터 건립 시공업체 선정 현지입찰</x:v>
      </x:c>
      <x:c r="E784" s="22" t="n">
        <x:v>1</x:v>
      </x:c>
      <x:c r="F784" s="22" t="str">
        <x:v>.doc</x:v>
      </x:c>
      <x:c r="G784" s="25" t="str">
        <x:v>L2023-00053-1/Urgench VTC Bid Attachment Documents/Urgench VTC Bid Attachment Documents/Section 4.  Bill of Quantities(Not-Priced)/공내역서/VTC견적서/8 ПОЖАРНАЯ ЕМЪКОСТЬ(Fire Tank)/Титул  ТОМ VIII.doc</x:v>
      </x:c>
      <x:c r="H784" s="28" t="n">
        <x:v>31232</x:v>
      </x:c>
      <x:c r="I784" s="22" t="str">
        <x:v>5ddb37550ef46644b2b3d4e63ede77d94e36e452ec009253911c901adac38784</x:v>
      </x:c>
      <x:c r="J784" s="22" t="n">
        <x:v>0</x:v>
      </x:c>
      <x:c r="K784" s="22" t="n">
        <x:v>1</x:v>
      </x:c>
      <x:c r="L784" s="22" t="n">
        <x:v>1</x:v>
      </x:c>
      <x:c r="M784" s="28" t="n">
        <x:v>0</x:v>
      </x:c>
      <x:c r="N784" s="28" t="n">
        <x:v>0</x:v>
      </x:c>
      <x:c r="O784" s="28" t="n">
        <x:v>0</x:v>
      </x:c>
      <x:c r="P784" s="62" t="n">
        <x:v>0</x:v>
      </x:c>
      <x:c r="Q784" s="22" t="n">
        <x:v>0</x:v>
      </x:c>
      <x:c r="R784" s="22" t="str"/>
      <x:c r="S784" s="22" t="str"/>
      <x:c r="T784" s="22" t="str"/>
    </x:row>
    <x:row r="785">
      <x:c r="A785" s="22" t="str">
        <x:v>2020-00086</x:v>
      </x:c>
      <x:c r="B785" s="22" t="str">
        <x:v>L2023-00053-1</x:v>
      </x:c>
      <x:c r="C785" s="22" t="str">
        <x:v>공사</x:v>
      </x:c>
      <x:c r="D785" s="25" t="str">
        <x:v>우즈베키스탄 직업훈련원 및 타슈켄트 교사연수센터 건립 시공업체 선정 현지입찰</x:v>
      </x:c>
      <x:c r="E785" s="22" t="n">
        <x:v>1</x:v>
      </x:c>
      <x:c r="F785" s="22" t="str">
        <x:v>.doc</x:v>
      </x:c>
      <x:c r="G785" s="25" t="str">
        <x:v>L2023-00053-1/Urgench VTC Bid Attachment Documents/Urgench VTC Bid Attachment Documents/Section 4.  Bill of Quantities(Not-Priced)/공내역서/VTC견적서/4 БУФЕТ(Cafeteria)/Титул  ТОМ V.doc</x:v>
      </x:c>
      <x:c r="H785" s="28" t="n">
        <x:v>31232</x:v>
      </x:c>
      <x:c r="I785" s="22" t="str">
        <x:v>a0409474de93963ccc2edc98b174358d13a0f332a3278a64d7054f37b8652ce2</x:v>
      </x:c>
      <x:c r="J785" s="22" t="n">
        <x:v>0</x:v>
      </x:c>
      <x:c r="K785" s="22" t="n">
        <x:v>1</x:v>
      </x:c>
      <x:c r="L785" s="22" t="n">
        <x:v>1</x:v>
      </x:c>
      <x:c r="M785" s="28" t="n">
        <x:v>0</x:v>
      </x:c>
      <x:c r="N785" s="28" t="n">
        <x:v>0</x:v>
      </x:c>
      <x:c r="O785" s="28" t="n">
        <x:v>0</x:v>
      </x:c>
      <x:c r="P785" s="62" t="n">
        <x:v>0</x:v>
      </x:c>
      <x:c r="Q785" s="22" t="n">
        <x:v>0</x:v>
      </x:c>
      <x:c r="R785" s="22" t="str"/>
      <x:c r="S785" s="22" t="str"/>
      <x:c r="T785" s="22" t="str"/>
    </x:row>
    <x:row r="786">
      <x:c r="A786" s="22" t="str">
        <x:v>2020-00086</x:v>
      </x:c>
      <x:c r="B786" s="22" t="str">
        <x:v>L2023-00053-1</x:v>
      </x:c>
      <x:c r="C786" s="22" t="str">
        <x:v>공사</x:v>
      </x:c>
      <x:c r="D786" s="25" t="str">
        <x:v>우즈베키스탄 직업훈련원 및 타슈켄트 교사연수센터 건립 시공업체 선정 현지입찰</x:v>
      </x:c>
      <x:c r="E786" s="22" t="n">
        <x:v>1</x:v>
      </x:c>
      <x:c r="F786" s="22" t="str">
        <x:v>.xls</x:v>
      </x:c>
      <x:c r="G786" s="25" t="str">
        <x:v>L2023-00053-1/Urgench VTC Bid Attachment Documents/Urgench VTC Bid Attachment Documents/Section 4.  Bill of Quantities(Not-Priced)/공내역서/VTC견적서/4 БУФЕТ(Cafeteria)/СВОДКА БУФЕТ o.xls</x:v>
      </x:c>
      <x:c r="H786" s="28" t="n">
        <x:v>41984</x:v>
      </x:c>
      <x:c r="I786" s="22" t="str">
        <x:v>4ecacaffd035763b281b2ec0f37463659ed1670d177cc1b38809ca7cbec90628</x:v>
      </x:c>
      <x:c r="J786" s="22" t="n">
        <x:v>1</x:v>
      </x:c>
      <x:c r="K786" s="22" t="n">
        <x:v>1</x:v>
      </x:c>
      <x:c r="L786" s="22" t="n">
        <x:v>1</x:v>
      </x:c>
      <x:c r="M786" s="28" t="n">
        <x:v>0</x:v>
      </x:c>
      <x:c r="N786" s="28" t="n">
        <x:v>0</x:v>
      </x:c>
      <x:c r="O786" s="28" t="n">
        <x:v>0</x:v>
      </x:c>
      <x:c r="P786" s="62" t="n">
        <x:v>0</x:v>
      </x:c>
      <x:c r="Q786" s="22" t="n">
        <x:v>0</x:v>
      </x:c>
      <x:c r="R786" s="22" t="str"/>
      <x:c r="S786" s="22" t="str"/>
      <x:c r="T786" s="22" t="str"/>
    </x:row>
    <x:row r="787">
      <x:c r="A787" s="22" t="str">
        <x:v>2020-00086</x:v>
      </x:c>
      <x:c r="B787" s="22" t="str">
        <x:v>L2023-00053-1</x:v>
      </x:c>
      <x:c r="C787" s="22" t="str">
        <x:v>공사</x:v>
      </x:c>
      <x:c r="D787" s="25" t="str">
        <x:v>우즈베키스탄 직업훈련원 및 타슈켄트 교사연수센터 건립 시공업체 선정 현지입찰</x:v>
      </x:c>
      <x:c r="E787" s="22" t="n">
        <x:v>1</x:v>
      </x:c>
      <x:c r="F787" s="22" t="str">
        <x:v>.xls</x:v>
      </x:c>
      <x:c r="G787" s="25" t="str">
        <x:v>L2023-00053-1/Urgench VTC Bid Attachment Documents/Urgench VTC Bid Attachment Documents/Section 4.  Bill of Quantities(Not-Priced)/공내역서/VTC견적서/4 БУФЕТ(Cafeteria)/4-9 ТХ/13743_vfor.xls</x:v>
      </x:c>
      <x:c r="H787" s="28" t="n">
        <x:v>33280</x:v>
      </x:c>
      <x:c r="I787" s="22" t="str">
        <x:v>c8d68a7f99bd5aa730939196a85ab57f191b2ab524c3c5bac885dcbbdbecaa69</x:v>
      </x:c>
      <x:c r="J787" s="22" t="n">
        <x:v>1</x:v>
      </x:c>
      <x:c r="K787" s="22" t="n">
        <x:v>1</x:v>
      </x:c>
      <x:c r="L787" s="22" t="n">
        <x:v>1</x:v>
      </x:c>
      <x:c r="M787" s="28" t="n">
        <x:v>0</x:v>
      </x:c>
      <x:c r="N787" s="28" t="n">
        <x:v>0</x:v>
      </x:c>
      <x:c r="O787" s="28" t="n">
        <x:v>0</x:v>
      </x:c>
      <x:c r="P787" s="62" t="n">
        <x:v>0</x:v>
      </x:c>
      <x:c r="Q787" s="22" t="n">
        <x:v>0</x:v>
      </x:c>
      <x:c r="R787" s="22" t="str"/>
      <x:c r="S787" s="22" t="str"/>
      <x:c r="T787" s="22" t="str"/>
    </x:row>
    <x:row r="788">
      <x:c r="A788" s="22" t="str">
        <x:v>2020-00086</x:v>
      </x:c>
      <x:c r="B788" s="22" t="str">
        <x:v>L2023-00053-1</x:v>
      </x:c>
      <x:c r="C788" s="22" t="str">
        <x:v>공사</x:v>
      </x:c>
      <x:c r="D788" s="25" t="str">
        <x:v>우즈베키스탄 직업훈련원 및 타슈켄트 교사연수센터 건립 시공업체 선정 현지입찰</x:v>
      </x:c>
      <x:c r="E788" s="22" t="n">
        <x:v>1</x:v>
      </x:c>
      <x:c r="F788" s="22" t="str">
        <x:v>.xls</x:v>
      </x:c>
      <x:c r="G788" s="25" t="str">
        <x:v>L2023-00053-1/Urgench VTC Bid Attachment Documents/Urgench VTC Bid Attachment Documents/Section 4.  Bill of Quantities(Not-Priced)/공내역서/VTC견적서/4 БУФЕТ(Cafeteria)/4-9 ТХ/13743_vrmu.xls</x:v>
      </x:c>
      <x:c r="H788" s="28" t="n">
        <x:v>44032</x:v>
      </x:c>
      <x:c r="I788" s="22" t="str">
        <x:v>78405bf4dba631faab9d2df8eb3c9871b3b3e6bcb3d8da1b40aa473f959fda6a</x:v>
      </x:c>
      <x:c r="J788" s="22" t="n">
        <x:v>1</x:v>
      </x:c>
      <x:c r="K788" s="22" t="n">
        <x:v>1</x:v>
      </x:c>
      <x:c r="L788" s="22" t="n">
        <x:v>1</x:v>
      </x:c>
      <x:c r="M788" s="28" t="n">
        <x:v>0</x:v>
      </x:c>
      <x:c r="N788" s="28" t="n">
        <x:v>0</x:v>
      </x:c>
      <x:c r="O788" s="28" t="n">
        <x:v>0</x:v>
      </x:c>
      <x:c r="P788" s="62" t="n">
        <x:v>0</x:v>
      </x:c>
      <x:c r="Q788" s="22" t="n">
        <x:v>0</x:v>
      </x:c>
      <x:c r="R788" s="22" t="str"/>
      <x:c r="S788" s="22" t="str"/>
      <x:c r="T788" s="22" t="str"/>
    </x:row>
    <x:row r="789">
      <x:c r="A789" s="22" t="str">
        <x:v>2020-00086</x:v>
      </x:c>
      <x:c r="B789" s="22" t="str">
        <x:v>L2023-00053-1</x:v>
      </x:c>
      <x:c r="C789" s="22" t="str">
        <x:v>공사</x:v>
      </x:c>
      <x:c r="D789" s="25" t="str">
        <x:v>우즈베키스탄 직업훈련원 및 타슈켄트 교사연수센터 건립 시공업체 선정 현지입찰</x:v>
      </x:c>
      <x:c r="E789" s="22" t="n">
        <x:v>1</x:v>
      </x:c>
      <x:c r="F789" s="22" t="str">
        <x:v>.xls</x:v>
      </x:c>
      <x:c r="G789" s="25" t="str">
        <x:v>L2023-00053-1/Urgench VTC Bid Attachment Documents/Urgench VTC Bid Attachment Documents/Section 4.  Bill of Quantities(Not-Priced)/공내역서/VTC견적서/4 БУФЕТ(Cafeteria)/4-9 ТХ/bv13740.xls</x:v>
      </x:c>
      <x:c r="H789" s="28" t="n">
        <x:v>45056</x:v>
      </x:c>
      <x:c r="I789" s="22" t="str">
        <x:v>81b3b9a2bd4d7715fcfc6a79b81680314cf0ee94a009ceab7a13cc679ca3f9a0</x:v>
      </x:c>
      <x:c r="J789" s="22" t="n">
        <x:v>1</x:v>
      </x:c>
      <x:c r="K789" s="22" t="n">
        <x:v>1</x:v>
      </x:c>
      <x:c r="L789" s="22" t="n">
        <x:v>1</x:v>
      </x:c>
      <x:c r="M789" s="28" t="n">
        <x:v>0</x:v>
      </x:c>
      <x:c r="N789" s="28" t="n">
        <x:v>0</x:v>
      </x:c>
      <x:c r="O789" s="28" t="n">
        <x:v>0</x:v>
      </x:c>
      <x:c r="P789" s="62" t="n">
        <x:v>0</x:v>
      </x:c>
      <x:c r="Q789" s="22" t="n">
        <x:v>0</x:v>
      </x:c>
      <x:c r="R789" s="22" t="str"/>
      <x:c r="S789" s="22" t="str"/>
      <x:c r="T789" s="22" t="str"/>
    </x:row>
    <x:row r="790">
      <x:c r="A790" s="22" t="str">
        <x:v>2020-00086</x:v>
      </x:c>
      <x:c r="B790" s="22" t="str">
        <x:v>L2023-00053-1</x:v>
      </x:c>
      <x:c r="C790" s="22" t="str">
        <x:v>공사</x:v>
      </x:c>
      <x:c r="D790" s="25" t="str">
        <x:v>우즈베키스탄 직업훈련원 및 타슈켄트 교사연수센터 건립 시공업체 선정 현지입찰</x:v>
      </x:c>
      <x:c r="E790" s="22" t="n">
        <x:v>1</x:v>
      </x:c>
      <x:c r="F790" s="22" t="str">
        <x:v>.xls</x:v>
      </x:c>
      <x:c r="G790" s="25" t="str">
        <x:v>L2023-00053-1/Urgench VTC Bid Attachment Documents/Urgench VTC Bid Attachment Documents/Section 4.  Bill of Quantities(Not-Priced)/공내역서/VTC견적서/4 БУФЕТ(Cafeteria)/4-7 ВН, СКС(CCTV &amp; Network)/13323_vfor.xls</x:v>
      </x:c>
      <x:c r="H790" s="28" t="n">
        <x:v>47616</x:v>
      </x:c>
      <x:c r="I790" s="22" t="str">
        <x:v>bd337520c73d4d2e111bd320f563772ebf15d04cc070a3c51c25a2f9742c00de</x:v>
      </x:c>
      <x:c r="J790" s="22" t="n">
        <x:v>1</x:v>
      </x:c>
      <x:c r="K790" s="22" t="n">
        <x:v>1</x:v>
      </x:c>
      <x:c r="L790" s="22" t="n">
        <x:v>1</x:v>
      </x:c>
      <x:c r="M790" s="28" t="n">
        <x:v>0</x:v>
      </x:c>
      <x:c r="N790" s="28" t="n">
        <x:v>0</x:v>
      </x:c>
      <x:c r="O790" s="28" t="n">
        <x:v>0</x:v>
      </x:c>
      <x:c r="P790" s="62" t="n">
        <x:v>0</x:v>
      </x:c>
      <x:c r="Q790" s="22" t="n">
        <x:v>0</x:v>
      </x:c>
      <x:c r="R790" s="22" t="str"/>
      <x:c r="S790" s="22" t="str"/>
      <x:c r="T790" s="22" t="str"/>
    </x:row>
    <x:row r="791">
      <x:c r="A791" s="22" t="str">
        <x:v>2020-00086</x:v>
      </x:c>
      <x:c r="B791" s="22" t="str">
        <x:v>L2023-00053-1</x:v>
      </x:c>
      <x:c r="C791" s="22" t="str">
        <x:v>공사</x:v>
      </x:c>
      <x:c r="D791" s="25" t="str">
        <x:v>우즈베키스탄 직업훈련원 및 타슈켄트 교사연수센터 건립 시공업체 선정 현지입찰</x:v>
      </x:c>
      <x:c r="E791" s="22" t="n">
        <x:v>1</x:v>
      </x:c>
      <x:c r="F791" s="22" t="str">
        <x:v>.xls</x:v>
      </x:c>
      <x:c r="G791" s="25" t="str">
        <x:v>L2023-00053-1/Urgench VTC Bid Attachment Documents/Urgench VTC Bid Attachment Documents/Section 4.  Bill of Quantities(Not-Priced)/공내역서/VTC견적서/4 БУФЕТ(Cafeteria)/4-7 ВН, СКС(CCTV &amp; Network)/13323_vrmu.xls</x:v>
      </x:c>
      <x:c r="H791" s="28" t="n">
        <x:v>56832</x:v>
      </x:c>
      <x:c r="I791" s="22" t="str">
        <x:v>a965a9f3d225f89ea5505676fa4b27565617d1ccd45171df72e2d792f5246df8</x:v>
      </x:c>
      <x:c r="J791" s="22" t="n">
        <x:v>1</x:v>
      </x:c>
      <x:c r="K791" s="22" t="n">
        <x:v>1</x:v>
      </x:c>
      <x:c r="L791" s="22" t="n">
        <x:v>1</x:v>
      </x:c>
      <x:c r="M791" s="28" t="n">
        <x:v>1</x:v>
      </x:c>
      <x:c r="N791" s="28" t="n">
        <x:v>85</x:v>
      </x:c>
      <x:c r="O791" s="28" t="n">
        <x:v>1</x:v>
      </x:c>
      <x:c r="P791" s="62" t="n">
        <x:v>0.011764705882352941</x:v>
      </x:c>
      <x:c r="Q791" s="22" t="n">
        <x:v>0</x:v>
      </x:c>
      <x:c r="R791" s="22" t="str">
        <x:v>Лист1</x:v>
      </x:c>
      <x:c r="S791" s="22" t="str">
        <x:v>visible</x:v>
      </x:c>
      <x:c r="T791" s="22" t="str"/>
    </x:row>
    <x:row r="792">
      <x:c r="A792" s="22" t="str">
        <x:v>2020-00086</x:v>
      </x:c>
      <x:c r="B792" s="22" t="str">
        <x:v>L2023-00053-1</x:v>
      </x:c>
      <x:c r="C792" s="22" t="str">
        <x:v>공사</x:v>
      </x:c>
      <x:c r="D792" s="25" t="str">
        <x:v>우즈베키스탄 직업훈련원 및 타슈켄트 교사연수센터 건립 시공업체 선정 현지입찰</x:v>
      </x:c>
      <x:c r="E792" s="22" t="n">
        <x:v>1</x:v>
      </x:c>
      <x:c r="F792" s="22" t="str">
        <x:v>.xls</x:v>
      </x:c>
      <x:c r="G792" s="25" t="str">
        <x:v>L2023-00053-1/Urgench VTC Bid Attachment Documents/Urgench VTC Bid Attachment Documents/Section 4.  Bill of Quantities(Not-Priced)/공내역서/VTC견적서/4 БУФЕТ(Cafeteria)/4-7 ВН, СКС(CCTV &amp; Network)/bv13320.xls</x:v>
      </x:c>
      <x:c r="H792" s="28" t="n">
        <x:v>87040</x:v>
      </x:c>
      <x:c r="I792" s="22" t="str">
        <x:v>361a226fbda147a7d7ef7fb5d8d6d1c8872c0ed1662beb04e60fbd5668ac0762</x:v>
      </x:c>
      <x:c r="J792" s="22" t="n">
        <x:v>1</x:v>
      </x:c>
      <x:c r="K792" s="22" t="n">
        <x:v>1</x:v>
      </x:c>
      <x:c r="L792" s="22" t="n">
        <x:v>1</x:v>
      </x:c>
      <x:c r="M792" s="28" t="n">
        <x:v>0</x:v>
      </x:c>
      <x:c r="N792" s="28" t="n">
        <x:v>0</x:v>
      </x:c>
      <x:c r="O792" s="28" t="n">
        <x:v>0</x:v>
      </x:c>
      <x:c r="P792" s="62" t="n">
        <x:v>0</x:v>
      </x:c>
      <x:c r="Q792" s="22" t="n">
        <x:v>0</x:v>
      </x:c>
      <x:c r="R792" s="22" t="str"/>
      <x:c r="S792" s="22" t="str"/>
      <x:c r="T792" s="22" t="str"/>
    </x:row>
    <x:row r="793">
      <x:c r="A793" s="22" t="str">
        <x:v>2020-00086</x:v>
      </x:c>
      <x:c r="B793" s="22" t="str">
        <x:v>L2023-00053-1</x:v>
      </x:c>
      <x:c r="C793" s="22" t="str">
        <x:v>공사</x:v>
      </x:c>
      <x:c r="D793" s="25" t="str">
        <x:v>우즈베키스탄 직업훈련원 및 타슈켄트 교사연수센터 건립 시공업체 선정 현지입찰</x:v>
      </x:c>
      <x:c r="E793" s="22" t="n">
        <x:v>1</x:v>
      </x:c>
      <x:c r="F793" s="22" t="str">
        <x:v>.xls</x:v>
      </x:c>
      <x:c r="G793" s="25" t="str">
        <x:v>L2023-00053-1/Urgench VTC Bid Attachment Documents/Urgench VTC Bid Attachment Documents/Section 4.  Bill of Quantities(Not-Priced)/공내역서/VTC견적서/4 БУФЕТ(Cafeteria)/4-5 ЭО(Electric)/13383_vrmu.xls</x:v>
      </x:c>
      <x:c r="H793" s="28" t="n">
        <x:v>60416</x:v>
      </x:c>
      <x:c r="I793" s="22" t="str">
        <x:v>2277aa6b32da71292f8a69faae1241528367c8c6929e15a3ba1b26669f36572d</x:v>
      </x:c>
      <x:c r="J793" s="22" t="n">
        <x:v>1</x:v>
      </x:c>
      <x:c r="K793" s="22" t="n">
        <x:v>1</x:v>
      </x:c>
      <x:c r="L793" s="22" t="n">
        <x:v>1</x:v>
      </x:c>
      <x:c r="M793" s="28" t="n">
        <x:v>1</x:v>
      </x:c>
      <x:c r="N793" s="28" t="n">
        <x:v>83</x:v>
      </x:c>
      <x:c r="O793" s="28" t="n">
        <x:v>1</x:v>
      </x:c>
      <x:c r="P793" s="62" t="n">
        <x:v>0.012048192771084338</x:v>
      </x:c>
      <x:c r="Q793" s="22" t="n">
        <x:v>0</x:v>
      </x:c>
      <x:c r="R793" s="22" t="str">
        <x:v>Лист1</x:v>
      </x:c>
      <x:c r="S793" s="22" t="str">
        <x:v>visible</x:v>
      </x:c>
      <x:c r="T793" s="22" t="str"/>
    </x:row>
    <x:row r="794">
      <x:c r="A794" s="22" t="str">
        <x:v>2020-00086</x:v>
      </x:c>
      <x:c r="B794" s="22" t="str">
        <x:v>L2023-00053-1</x:v>
      </x:c>
      <x:c r="C794" s="22" t="str">
        <x:v>공사</x:v>
      </x:c>
      <x:c r="D794" s="25" t="str">
        <x:v>우즈베키스탄 직업훈련원 및 타슈켄트 교사연수센터 건립 시공업체 선정 현지입찰</x:v>
      </x:c>
      <x:c r="E794" s="22" t="n">
        <x:v>1</x:v>
      </x:c>
      <x:c r="F794" s="22" t="str">
        <x:v>.xls</x:v>
      </x:c>
      <x:c r="G794" s="25" t="str">
        <x:v>L2023-00053-1/Urgench VTC Bid Attachment Documents/Urgench VTC Bid Attachment Documents/Section 4.  Bill of Quantities(Not-Priced)/공내역서/VTC견적서/4 БУФЕТ(Cafeteria)/4-5 ЭО(Electric)/bv13380.xls</x:v>
      </x:c>
      <x:c r="H794" s="28" t="n">
        <x:v>105984</x:v>
      </x:c>
      <x:c r="I794" s="22" t="str">
        <x:v>ca022ac74868089349f7351ccbad69acd7123e242598613111ebc50d6fe072f5</x:v>
      </x:c>
      <x:c r="J794" s="22" t="n">
        <x:v>1</x:v>
      </x:c>
      <x:c r="K794" s="22" t="n">
        <x:v>1</x:v>
      </x:c>
      <x:c r="L794" s="22" t="n">
        <x:v>1</x:v>
      </x:c>
      <x:c r="M794" s="28" t="n">
        <x:v>0</x:v>
      </x:c>
      <x:c r="N794" s="28" t="n">
        <x:v>0</x:v>
      </x:c>
      <x:c r="O794" s="28" t="n">
        <x:v>0</x:v>
      </x:c>
      <x:c r="P794" s="62" t="n">
        <x:v>0</x:v>
      </x:c>
      <x:c r="Q794" s="22" t="n">
        <x:v>0</x:v>
      </x:c>
      <x:c r="R794" s="22" t="str"/>
      <x:c r="S794" s="22" t="str"/>
      <x:c r="T794" s="22" t="str"/>
    </x:row>
    <x:row r="795">
      <x:c r="A795" s="22" t="str">
        <x:v>2020-00086</x:v>
      </x:c>
      <x:c r="B795" s="22" t="str">
        <x:v>L2023-00053-1</x:v>
      </x:c>
      <x:c r="C795" s="22" t="str">
        <x:v>공사</x:v>
      </x:c>
      <x:c r="D795" s="25" t="str">
        <x:v>우즈베키스탄 직업훈련원 및 타슈켄트 교사연수센터 건립 시공업체 선정 현지입찰</x:v>
      </x:c>
      <x:c r="E795" s="22" t="n">
        <x:v>1</x:v>
      </x:c>
      <x:c r="F795" s="22" t="str">
        <x:v>.xls</x:v>
      </x:c>
      <x:c r="G795" s="25" t="str">
        <x:v>L2023-00053-1/Urgench VTC Bid Attachment Documents/Urgench VTC Bid Attachment Documents/Section 4.  Bill of Quantities(Not-Priced)/공내역서/VTC견적서/4 БУФЕТ(Cafeteria)/4-5 ЭО(Electric)/13383_vfor.xls</x:v>
      </x:c>
      <x:c r="H795" s="28" t="n">
        <x:v>52736</x:v>
      </x:c>
      <x:c r="I795" s="22" t="str">
        <x:v>aa89940fa2c1f84aa2274538c4d5e33fe9d0802c4f52e1d9d71978122c7ca737</x:v>
      </x:c>
      <x:c r="J795" s="22" t="n">
        <x:v>1</x:v>
      </x:c>
      <x:c r="K795" s="22" t="n">
        <x:v>1</x:v>
      </x:c>
      <x:c r="L795" s="22" t="n">
        <x:v>1</x:v>
      </x:c>
      <x:c r="M795" s="28" t="n">
        <x:v>0</x:v>
      </x:c>
      <x:c r="N795" s="28" t="n">
        <x:v>0</x:v>
      </x:c>
      <x:c r="O795" s="28" t="n">
        <x:v>0</x:v>
      </x:c>
      <x:c r="P795" s="62" t="n">
        <x:v>0</x:v>
      </x:c>
      <x:c r="Q795" s="22" t="n">
        <x:v>0</x:v>
      </x:c>
      <x:c r="R795" s="22" t="str"/>
      <x:c r="S795" s="22" t="str"/>
      <x:c r="T795" s="22" t="str"/>
    </x:row>
    <x:row r="796">
      <x:c r="A796" s="22" t="str">
        <x:v>2020-00086</x:v>
      </x:c>
      <x:c r="B796" s="22" t="str">
        <x:v>L2023-00053-1</x:v>
      </x:c>
      <x:c r="C796" s="22" t="str">
        <x:v>공사</x:v>
      </x:c>
      <x:c r="D796" s="25" t="str">
        <x:v>우즈베키스탄 직업훈련원 및 타슈켄트 교사연수센터 건립 시공업체 선정 현지입찰</x:v>
      </x:c>
      <x:c r="E796" s="22" t="n">
        <x:v>1</x:v>
      </x:c>
      <x:c r="F796" s="22" t="str">
        <x:v>.xls</x:v>
      </x:c>
      <x:c r="G796" s="25" t="str">
        <x:v>L2023-00053-1/Urgench VTC Bid Attachment Documents/Urgench VTC Bid Attachment Documents/Section 4.  Bill of Quantities(Not-Priced)/공내역서/VTC견적서/4 БУФЕТ(Cafeteria)/4-3 ОВ(Heating &amp; Ventilation)/bv13570.xls</x:v>
      </x:c>
      <x:c r="H796" s="28" t="n">
        <x:v>122368</x:v>
      </x:c>
      <x:c r="I796" s="22" t="str">
        <x:v>60e01915d1915446e6fbcf0c477ec5ae0ee632ec951cf92acae51a0c7039940e</x:v>
      </x:c>
      <x:c r="J796" s="22" t="n">
        <x:v>1</x:v>
      </x:c>
      <x:c r="K796" s="22" t="n">
        <x:v>1</x:v>
      </x:c>
      <x:c r="L796" s="22" t="n">
        <x:v>1</x:v>
      </x:c>
      <x:c r="M796" s="28" t="n">
        <x:v>0</x:v>
      </x:c>
      <x:c r="N796" s="28" t="n">
        <x:v>0</x:v>
      </x:c>
      <x:c r="O796" s="28" t="n">
        <x:v>0</x:v>
      </x:c>
      <x:c r="P796" s="62" t="n">
        <x:v>0</x:v>
      </x:c>
      <x:c r="Q796" s="22" t="n">
        <x:v>0</x:v>
      </x:c>
      <x:c r="R796" s="22" t="str"/>
      <x:c r="S796" s="22" t="str"/>
      <x:c r="T796" s="22" t="str"/>
    </x:row>
    <x:row r="797">
      <x:c r="A797" s="22" t="str">
        <x:v>2020-00086</x:v>
      </x:c>
      <x:c r="B797" s="22" t="str">
        <x:v>L2023-00053-1</x:v>
      </x:c>
      <x:c r="C797" s="22" t="str">
        <x:v>공사</x:v>
      </x:c>
      <x:c r="D797" s="25" t="str">
        <x:v>우즈베키스탄 직업훈련원 및 타슈켄트 교사연수센터 건립 시공업체 선정 현지입찰</x:v>
      </x:c>
      <x:c r="E797" s="22" t="n">
        <x:v>1</x:v>
      </x:c>
      <x:c r="F797" s="22" t="str">
        <x:v>.xls</x:v>
      </x:c>
      <x:c r="G797" s="25" t="str">
        <x:v>L2023-00053-1/Urgench VTC Bid Attachment Documents/Urgench VTC Bid Attachment Documents/Section 4.  Bill of Quantities(Not-Priced)/공내역서/VTC견적서/4 БУФЕТ(Cafeteria)/4-3 ОВ(Heating &amp; Ventilation)/13573_vfor.xls</x:v>
      </x:c>
      <x:c r="H797" s="28" t="n">
        <x:v>51200</x:v>
      </x:c>
      <x:c r="I797" s="22" t="str">
        <x:v>d5904d9daa78238ff69eaa06732493e5c87423d6e508d7e7e0b3f03109494c34</x:v>
      </x:c>
      <x:c r="J797" s="22" t="n">
        <x:v>1</x:v>
      </x:c>
      <x:c r="K797" s="22" t="n">
        <x:v>1</x:v>
      </x:c>
      <x:c r="L797" s="22" t="n">
        <x:v>1</x:v>
      </x:c>
      <x:c r="M797" s="28" t="n">
        <x:v>0</x:v>
      </x:c>
      <x:c r="N797" s="28" t="n">
        <x:v>0</x:v>
      </x:c>
      <x:c r="O797" s="28" t="n">
        <x:v>0</x:v>
      </x:c>
      <x:c r="P797" s="62" t="n">
        <x:v>0</x:v>
      </x:c>
      <x:c r="Q797" s="22" t="n">
        <x:v>0</x:v>
      </x:c>
      <x:c r="R797" s="22" t="str"/>
      <x:c r="S797" s="22" t="str"/>
      <x:c r="T797" s="22" t="str"/>
    </x:row>
    <x:row r="798">
      <x:c r="A798" s="22" t="str">
        <x:v>2020-00086</x:v>
      </x:c>
      <x:c r="B798" s="22" t="str">
        <x:v>L2023-00053-1</x:v>
      </x:c>
      <x:c r="C798" s="22" t="str">
        <x:v>공사</x:v>
      </x:c>
      <x:c r="D798" s="25" t="str">
        <x:v>우즈베키스탄 직업훈련원 및 타슈켄트 교사연수센터 건립 시공업체 선정 현지입찰</x:v>
      </x:c>
      <x:c r="E798" s="22" t="n">
        <x:v>1</x:v>
      </x:c>
      <x:c r="F798" s="22" t="str">
        <x:v>.xls</x:v>
      </x:c>
      <x:c r="G798" s="25" t="str">
        <x:v>L2023-00053-1/Urgench VTC Bid Attachment Documents/Urgench VTC Bid Attachment Documents/Section 4.  Bill of Quantities(Not-Priced)/공내역서/VTC견적서/4 БУФЕТ(Cafeteria)/4-3 ОВ(Heating &amp; Ventilation)/13573_vrmu.xls</x:v>
      </x:c>
      <x:c r="H798" s="28" t="n">
        <x:v>60928</x:v>
      </x:c>
      <x:c r="I798" s="22" t="str">
        <x:v>a5a7bba5cee708cae574407190c4325ce23010e6102a49546438bd114ab4ad90</x:v>
      </x:c>
      <x:c r="J798" s="22" t="n">
        <x:v>1</x:v>
      </x:c>
      <x:c r="K798" s="22" t="n">
        <x:v>1</x:v>
      </x:c>
      <x:c r="L798" s="22" t="n">
        <x:v>1</x:v>
      </x:c>
      <x:c r="M798" s="28" t="n">
        <x:v>1</x:v>
      </x:c>
      <x:c r="N798" s="28" t="n">
        <x:v>101</x:v>
      </x:c>
      <x:c r="O798" s="28" t="n">
        <x:v>1</x:v>
      </x:c>
      <x:c r="P798" s="62" t="n">
        <x:v>0.009900990099009901</x:v>
      </x:c>
      <x:c r="Q798" s="22" t="n">
        <x:v>0</x:v>
      </x:c>
      <x:c r="R798" s="22" t="str">
        <x:v>Лист1</x:v>
      </x:c>
      <x:c r="S798" s="22" t="str">
        <x:v>visible</x:v>
      </x:c>
      <x:c r="T798" s="22" t="str"/>
    </x:row>
    <x:row r="799">
      <x:c r="A799" s="22" t="str">
        <x:v>2020-00086</x:v>
      </x:c>
      <x:c r="B799" s="22" t="str">
        <x:v>L2023-00053-1</x:v>
      </x:c>
      <x:c r="C799" s="22" t="str">
        <x:v>공사</x:v>
      </x:c>
      <x:c r="D799" s="25" t="str">
        <x:v>우즈베키스탄 직업훈련원 및 타슈켄트 교사연수센터 건립 시공업체 선정 현지입찰</x:v>
      </x:c>
      <x:c r="E799" s="22" t="n">
        <x:v>1</x:v>
      </x:c>
      <x:c r="F799" s="22" t="str">
        <x:v>.xls</x:v>
      </x:c>
      <x:c r="G799" s="25" t="str">
        <x:v>L2023-00053-1/Urgench VTC Bid Attachment Documents/Urgench VTC Bid Attachment Documents/Section 4.  Bill of Quantities(Not-Priced)/공내역서/VTC견적서/4 БУФЕТ(Cafeteria)/4-2 АР(Architecture)/13173_vfor.xls</x:v>
      </x:c>
      <x:c r="H799" s="28" t="n">
        <x:v>46080</x:v>
      </x:c>
      <x:c r="I799" s="22" t="str">
        <x:v>c8b6f0c18efd3eccb7d44d4f282da38be8bd7c5687a2b12e1320ea9b2d445a18</x:v>
      </x:c>
      <x:c r="J799" s="22" t="n">
        <x:v>1</x:v>
      </x:c>
      <x:c r="K799" s="22" t="n">
        <x:v>1</x:v>
      </x:c>
      <x:c r="L799" s="22" t="n">
        <x:v>1</x:v>
      </x:c>
      <x:c r="M799" s="28" t="n">
        <x:v>0</x:v>
      </x:c>
      <x:c r="N799" s="28" t="n">
        <x:v>0</x:v>
      </x:c>
      <x:c r="O799" s="28" t="n">
        <x:v>0</x:v>
      </x:c>
      <x:c r="P799" s="62" t="n">
        <x:v>0</x:v>
      </x:c>
      <x:c r="Q799" s="22" t="n">
        <x:v>0</x:v>
      </x:c>
      <x:c r="R799" s="22" t="str"/>
      <x:c r="S799" s="22" t="str"/>
      <x:c r="T799" s="22" t="str"/>
    </x:row>
    <x:row r="800">
      <x:c r="A800" s="22" t="str">
        <x:v>2020-00086</x:v>
      </x:c>
      <x:c r="B800" s="22" t="str">
        <x:v>L2023-00053-1</x:v>
      </x:c>
      <x:c r="C800" s="22" t="str">
        <x:v>공사</x:v>
      </x:c>
      <x:c r="D800" s="25" t="str">
        <x:v>우즈베키스탄 직업훈련원 및 타슈켄트 교사연수센터 건립 시공업체 선정 현지입찰</x:v>
      </x:c>
      <x:c r="E800" s="22" t="n">
        <x:v>1</x:v>
      </x:c>
      <x:c r="F800" s="22" t="str">
        <x:v>.xls</x:v>
      </x:c>
      <x:c r="G800" s="25" t="str">
        <x:v>L2023-00053-1/Urgench VTC Bid Attachment Documents/Urgench VTC Bid Attachment Documents/Section 4.  Bill of Quantities(Not-Priced)/공내역서/VTC견적서/4 БУФЕТ(Cafeteria)/4-2 АР(Architecture)/bv13170.xls</x:v>
      </x:c>
      <x:c r="H800" s="28" t="n">
        <x:v>115200</x:v>
      </x:c>
      <x:c r="I800" s="22" t="str">
        <x:v>90d2bed5ebcd297c0fb0bd22fc2a056d950d9a2b3cc977b05f9c01dfd7e4410e</x:v>
      </x:c>
      <x:c r="J800" s="22" t="n">
        <x:v>1</x:v>
      </x:c>
      <x:c r="K800" s="22" t="n">
        <x:v>1</x:v>
      </x:c>
      <x:c r="L800" s="22" t="n">
        <x:v>1</x:v>
      </x:c>
      <x:c r="M800" s="28" t="n">
        <x:v>0</x:v>
      </x:c>
      <x:c r="N800" s="28" t="n">
        <x:v>0</x:v>
      </x:c>
      <x:c r="O800" s="28" t="n">
        <x:v>0</x:v>
      </x:c>
      <x:c r="P800" s="62" t="n">
        <x:v>0</x:v>
      </x:c>
      <x:c r="Q800" s="22" t="n">
        <x:v>0</x:v>
      </x:c>
      <x:c r="R800" s="22" t="str"/>
      <x:c r="S800" s="22" t="str"/>
      <x:c r="T800" s="22" t="str"/>
    </x:row>
    <x:row r="801">
      <x:c r="A801" s="22" t="str">
        <x:v>2020-00086</x:v>
      </x:c>
      <x:c r="B801" s="22" t="str">
        <x:v>L2023-00053-1</x:v>
      </x:c>
      <x:c r="C801" s="22" t="str">
        <x:v>공사</x:v>
      </x:c>
      <x:c r="D801" s="25" t="str">
        <x:v>우즈베키스탄 직업훈련원 및 타슈켄트 교사연수센터 건립 시공업체 선정 현지입찰</x:v>
      </x:c>
      <x:c r="E801" s="22" t="n">
        <x:v>1</x:v>
      </x:c>
      <x:c r="F801" s="22" t="str">
        <x:v>.xls</x:v>
      </x:c>
      <x:c r="G801" s="25" t="str">
        <x:v>L2023-00053-1/Urgench VTC Bid Attachment Documents/Urgench VTC Bid Attachment Documents/Section 4.  Bill of Quantities(Not-Priced)/공내역서/VTC견적서/4 БУФЕТ(Cafeteria)/4-2 АР(Architecture)/13173_vrmu.xls</x:v>
      </x:c>
      <x:c r="H801" s="28" t="n">
        <x:v>57344</x:v>
      </x:c>
      <x:c r="I801" s="22" t="str">
        <x:v>41f2d0b5bfa1724a0a6f25b395a07b6a4bbfa2179ab0651f1ac22066c407f406</x:v>
      </x:c>
      <x:c r="J801" s="22" t="n">
        <x:v>1</x:v>
      </x:c>
      <x:c r="K801" s="22" t="n">
        <x:v>1</x:v>
      </x:c>
      <x:c r="L801" s="22" t="n">
        <x:v>1</x:v>
      </x:c>
      <x:c r="M801" s="28" t="n">
        <x:v>1</x:v>
      </x:c>
      <x:c r="N801" s="28" t="n">
        <x:v>97</x:v>
      </x:c>
      <x:c r="O801" s="28" t="n">
        <x:v>1</x:v>
      </x:c>
      <x:c r="P801" s="62" t="n">
        <x:v>0.010309278350515464</x:v>
      </x:c>
      <x:c r="Q801" s="22" t="n">
        <x:v>0</x:v>
      </x:c>
      <x:c r="R801" s="22" t="str">
        <x:v>Лист1</x:v>
      </x:c>
      <x:c r="S801" s="22" t="str">
        <x:v>visible</x:v>
      </x:c>
      <x:c r="T801" s="22" t="str"/>
    </x:row>
    <x:row r="802">
      <x:c r="A802" s="22" t="str">
        <x:v>2020-00086</x:v>
      </x:c>
      <x:c r="B802" s="22" t="str">
        <x:v>L2023-00053-1</x:v>
      </x:c>
      <x:c r="C802" s="22" t="str">
        <x:v>공사</x:v>
      </x:c>
      <x:c r="D802" s="25" t="str">
        <x:v>우즈베키스탄 직업훈련원 및 타슈켄트 교사연수센터 건립 시공업체 선정 현지입찰</x:v>
      </x:c>
      <x:c r="E802" s="22" t="n">
        <x:v>1</x:v>
      </x:c>
      <x:c r="F802" s="22" t="str">
        <x:v>.xls</x:v>
      </x:c>
      <x:c r="G802" s="25" t="str">
        <x:v>L2023-00053-1/Urgench VTC Bid Attachment Documents/Urgench VTC Bid Attachment Documents/Section 4.  Bill of Quantities(Not-Priced)/공내역서/VTC견적서/4 БУФЕТ(Cafeteria)/4-4 ВК(Water &amp; Sewer &amp; Fireplug)/13143_vrmu.xls</x:v>
      </x:c>
      <x:c r="H802" s="28" t="n">
        <x:v>58880</x:v>
      </x:c>
      <x:c r="I802" s="22" t="str">
        <x:v>027d687c679bf6e9cdeb0a54bacb5e7bb8bbeb103807f88b0bfeb421b7cf4c55</x:v>
      </x:c>
      <x:c r="J802" s="22" t="n">
        <x:v>1</x:v>
      </x:c>
      <x:c r="K802" s="22" t="n">
        <x:v>1</x:v>
      </x:c>
      <x:c r="L802" s="22" t="n">
        <x:v>1</x:v>
      </x:c>
      <x:c r="M802" s="28" t="n">
        <x:v>1</x:v>
      </x:c>
      <x:c r="N802" s="28" t="n">
        <x:v>92</x:v>
      </x:c>
      <x:c r="O802" s="28" t="n">
        <x:v>1</x:v>
      </x:c>
      <x:c r="P802" s="62" t="n">
        <x:v>0.010869565217391304</x:v>
      </x:c>
      <x:c r="Q802" s="22" t="n">
        <x:v>0</x:v>
      </x:c>
      <x:c r="R802" s="22" t="str">
        <x:v>Лист1</x:v>
      </x:c>
      <x:c r="S802" s="22" t="str">
        <x:v>visible</x:v>
      </x:c>
      <x:c r="T802" s="22" t="str"/>
    </x:row>
    <x:row r="803">
      <x:c r="A803" s="22" t="str">
        <x:v>2020-00086</x:v>
      </x:c>
      <x:c r="B803" s="22" t="str">
        <x:v>L2023-00053-1</x:v>
      </x:c>
      <x:c r="C803" s="22" t="str">
        <x:v>공사</x:v>
      </x:c>
      <x:c r="D803" s="25" t="str">
        <x:v>우즈베키스탄 직업훈련원 및 타슈켄트 교사연수센터 건립 시공업체 선정 현지입찰</x:v>
      </x:c>
      <x:c r="E803" s="22" t="n">
        <x:v>1</x:v>
      </x:c>
      <x:c r="F803" s="22" t="str">
        <x:v>.xls</x:v>
      </x:c>
      <x:c r="G803" s="25" t="str">
        <x:v>L2023-00053-1/Urgench VTC Bid Attachment Documents/Urgench VTC Bid Attachment Documents/Section 4.  Bill of Quantities(Not-Priced)/공내역서/VTC견적서/4 БУФЕТ(Cafeteria)/4-4 ВК(Water &amp; Sewer &amp; Fireplug)/bv13140.xls</x:v>
      </x:c>
      <x:c r="H803" s="28" t="n">
        <x:v>101376</x:v>
      </x:c>
      <x:c r="I803" s="22" t="str">
        <x:v>30d7129e70a2f8c02e76abae0bdc44883ba9865a77d3abb89c0c70e00a6481d7</x:v>
      </x:c>
      <x:c r="J803" s="22" t="n">
        <x:v>1</x:v>
      </x:c>
      <x:c r="K803" s="22" t="n">
        <x:v>1</x:v>
      </x:c>
      <x:c r="L803" s="22" t="n">
        <x:v>1</x:v>
      </x:c>
      <x:c r="M803" s="28" t="n">
        <x:v>0</x:v>
      </x:c>
      <x:c r="N803" s="28" t="n">
        <x:v>0</x:v>
      </x:c>
      <x:c r="O803" s="28" t="n">
        <x:v>0</x:v>
      </x:c>
      <x:c r="P803" s="62" t="n">
        <x:v>0</x:v>
      </x:c>
      <x:c r="Q803" s="22" t="n">
        <x:v>0</x:v>
      </x:c>
      <x:c r="R803" s="22" t="str"/>
      <x:c r="S803" s="22" t="str"/>
      <x:c r="T803" s="22" t="str"/>
    </x:row>
    <x:row r="804">
      <x:c r="A804" s="22" t="str">
        <x:v>2020-00086</x:v>
      </x:c>
      <x:c r="B804" s="22" t="str">
        <x:v>L2023-00053-1</x:v>
      </x:c>
      <x:c r="C804" s="22" t="str">
        <x:v>공사</x:v>
      </x:c>
      <x:c r="D804" s="25" t="str">
        <x:v>우즈베키스탄 직업훈련원 및 타슈켄트 교사연수센터 건립 시공업체 선정 현지입찰</x:v>
      </x:c>
      <x:c r="E804" s="22" t="n">
        <x:v>1</x:v>
      </x:c>
      <x:c r="F804" s="22" t="str">
        <x:v>.xls</x:v>
      </x:c>
      <x:c r="G804" s="25" t="str">
        <x:v>L2023-00053-1/Urgench VTC Bid Attachment Documents/Urgench VTC Bid Attachment Documents/Section 4.  Bill of Quantities(Not-Priced)/공내역서/VTC견적서/4 БУФЕТ(Cafeteria)/4-4 ВК(Water &amp; Sewer &amp; Fireplug)/13143_vfor.xls</x:v>
      </x:c>
      <x:c r="H804" s="28" t="n">
        <x:v>44544</x:v>
      </x:c>
      <x:c r="I804" s="22" t="str">
        <x:v>98b13878ef8ab7c9d3cae5fa8b44fee5f5ee24bd74d0cf10dc4c1be4092da457</x:v>
      </x:c>
      <x:c r="J804" s="22" t="n">
        <x:v>1</x:v>
      </x:c>
      <x:c r="K804" s="22" t="n">
        <x:v>1</x:v>
      </x:c>
      <x:c r="L804" s="22" t="n">
        <x:v>1</x:v>
      </x:c>
      <x:c r="M804" s="28" t="n">
        <x:v>0</x:v>
      </x:c>
      <x:c r="N804" s="28" t="n">
        <x:v>0</x:v>
      </x:c>
      <x:c r="O804" s="28" t="n">
        <x:v>0</x:v>
      </x:c>
      <x:c r="P804" s="62" t="n">
        <x:v>0</x:v>
      </x:c>
      <x:c r="Q804" s="22" t="n">
        <x:v>0</x:v>
      </x:c>
      <x:c r="R804" s="22" t="str"/>
      <x:c r="S804" s="22" t="str"/>
      <x:c r="T804" s="22" t="str"/>
    </x:row>
    <x:row r="805">
      <x:c r="A805" s="22" t="str">
        <x:v>2020-00086</x:v>
      </x:c>
      <x:c r="B805" s="22" t="str">
        <x:v>L2023-00053-1</x:v>
      </x:c>
      <x:c r="C805" s="22" t="str">
        <x:v>공사</x:v>
      </x:c>
      <x:c r="D805" s="25" t="str">
        <x:v>우즈베키스탄 직업훈련원 및 타슈켄트 교사연수센터 건립 시공업체 선정 현지입찰</x:v>
      </x:c>
      <x:c r="E805" s="22" t="n">
        <x:v>1</x:v>
      </x:c>
      <x:c r="F805" s="22" t="str">
        <x:v>.xls</x:v>
      </x:c>
      <x:c r="G805" s="25" t="str">
        <x:v>L2023-00053-1/Urgench VTC Bid Attachment Documents/Urgench VTC Bid Attachment Documents/Section 4.  Bill of Quantities(Not-Priced)/공내역서/VTC견적서/4 БУФЕТ(Cafeteria)/4-1 КЖ(Structure)/bv13000.xls</x:v>
      </x:c>
      <x:c r="H805" s="28" t="n">
        <x:v>156672</x:v>
      </x:c>
      <x:c r="I805" s="22" t="str">
        <x:v>e49a76056dacf893c3d8796df531ea37b5095b5abc0a8b4162cbcaa36a253bf9</x:v>
      </x:c>
      <x:c r="J805" s="22" t="n">
        <x:v>1</x:v>
      </x:c>
      <x:c r="K805" s="22" t="n">
        <x:v>1</x:v>
      </x:c>
      <x:c r="L805" s="22" t="n">
        <x:v>1</x:v>
      </x:c>
      <x:c r="M805" s="28" t="n">
        <x:v>0</x:v>
      </x:c>
      <x:c r="N805" s="28" t="n">
        <x:v>0</x:v>
      </x:c>
      <x:c r="O805" s="28" t="n">
        <x:v>0</x:v>
      </x:c>
      <x:c r="P805" s="62" t="n">
        <x:v>0</x:v>
      </x:c>
      <x:c r="Q805" s="22" t="n">
        <x:v>0</x:v>
      </x:c>
      <x:c r="R805" s="22" t="str"/>
      <x:c r="S805" s="22" t="str"/>
      <x:c r="T805" s="22" t="str"/>
    </x:row>
    <x:row r="806">
      <x:c r="A806" s="22" t="str">
        <x:v>2020-00086</x:v>
      </x:c>
      <x:c r="B806" s="22" t="str">
        <x:v>L2023-00053-1</x:v>
      </x:c>
      <x:c r="C806" s="22" t="str">
        <x:v>공사</x:v>
      </x:c>
      <x:c r="D806" s="25" t="str">
        <x:v>우즈베키스탄 직업훈련원 및 타슈켄트 교사연수센터 건립 시공업체 선정 현지입찰</x:v>
      </x:c>
      <x:c r="E806" s="22" t="n">
        <x:v>1</x:v>
      </x:c>
      <x:c r="F806" s="22" t="str">
        <x:v>.xls</x:v>
      </x:c>
      <x:c r="G806" s="25" t="str">
        <x:v>L2023-00053-1/Urgench VTC Bid Attachment Documents/Urgench VTC Bid Attachment Documents/Section 4.  Bill of Quantities(Not-Priced)/공내역서/VTC견적서/4 БУФЕТ(Cafeteria)/4-1 КЖ(Structure)/13003_vrmu.xls</x:v>
      </x:c>
      <x:c r="H806" s="28" t="n">
        <x:v>62464</x:v>
      </x:c>
      <x:c r="I806" s="22" t="str">
        <x:v>d72b64907d7daa57e525829fef7b974213dd612efc93728136b1f9a32ba64193</x:v>
      </x:c>
      <x:c r="J806" s="22" t="n">
        <x:v>1</x:v>
      </x:c>
      <x:c r="K806" s="22" t="n">
        <x:v>1</x:v>
      </x:c>
      <x:c r="L806" s="22" t="n">
        <x:v>1</x:v>
      </x:c>
      <x:c r="M806" s="28" t="n">
        <x:v>1</x:v>
      </x:c>
      <x:c r="N806" s="28" t="n">
        <x:v>101</x:v>
      </x:c>
      <x:c r="O806" s="28" t="n">
        <x:v>1</x:v>
      </x:c>
      <x:c r="P806" s="62" t="n">
        <x:v>0.009900990099009901</x:v>
      </x:c>
      <x:c r="Q806" s="22" t="n">
        <x:v>0</x:v>
      </x:c>
      <x:c r="R806" s="22" t="str">
        <x:v>Лист1</x:v>
      </x:c>
      <x:c r="S806" s="22" t="str">
        <x:v>visible</x:v>
      </x:c>
      <x:c r="T806" s="22" t="str"/>
    </x:row>
    <x:row r="807">
      <x:c r="A807" s="22" t="str">
        <x:v>2020-00086</x:v>
      </x:c>
      <x:c r="B807" s="22" t="str">
        <x:v>L2023-00053-1</x:v>
      </x:c>
      <x:c r="C807" s="22" t="str">
        <x:v>공사</x:v>
      </x:c>
      <x:c r="D807" s="25" t="str">
        <x:v>우즈베키스탄 직업훈련원 및 타슈켄트 교사연수센터 건립 시공업체 선정 현지입찰</x:v>
      </x:c>
      <x:c r="E807" s="22" t="n">
        <x:v>1</x:v>
      </x:c>
      <x:c r="F807" s="22" t="str">
        <x:v>.xls</x:v>
      </x:c>
      <x:c r="G807" s="25" t="str">
        <x:v>L2023-00053-1/Urgench VTC Bid Attachment Documents/Urgench VTC Bid Attachment Documents/Section 4.  Bill of Quantities(Not-Priced)/공내역서/VTC견적서/4 БУФЕТ(Cafeteria)/4-1 КЖ(Structure)/13003_vfor.xls</x:v>
      </x:c>
      <x:c r="H807" s="28" t="n">
        <x:v>50688</x:v>
      </x:c>
      <x:c r="I807" s="22" t="str">
        <x:v>3b1e98bbc6de0c72870866ac1c0c8db81940cd52c11496ff73a104140e3b986b</x:v>
      </x:c>
      <x:c r="J807" s="22" t="n">
        <x:v>1</x:v>
      </x:c>
      <x:c r="K807" s="22" t="n">
        <x:v>1</x:v>
      </x:c>
      <x:c r="L807" s="22" t="n">
        <x:v>1</x:v>
      </x:c>
      <x:c r="M807" s="28" t="n">
        <x:v>0</x:v>
      </x:c>
      <x:c r="N807" s="28" t="n">
        <x:v>0</x:v>
      </x:c>
      <x:c r="O807" s="28" t="n">
        <x:v>0</x:v>
      </x:c>
      <x:c r="P807" s="62" t="n">
        <x:v>0</x:v>
      </x:c>
      <x:c r="Q807" s="22" t="n">
        <x:v>0</x:v>
      </x:c>
      <x:c r="R807" s="22" t="str"/>
      <x:c r="S807" s="22" t="str"/>
      <x:c r="T807" s="22" t="str"/>
    </x:row>
    <x:row r="808">
      <x:c r="A808" s="22" t="str">
        <x:v>2020-00086</x:v>
      </x:c>
      <x:c r="B808" s="22" t="str">
        <x:v>L2023-00053-1</x:v>
      </x:c>
      <x:c r="C808" s="22" t="str">
        <x:v>공사</x:v>
      </x:c>
      <x:c r="D808" s="25" t="str">
        <x:v>우즈베키스탄 직업훈련원 및 타슈켄트 교사연수센터 건립 시공업체 선정 현지입찰</x:v>
      </x:c>
      <x:c r="E808" s="22" t="n">
        <x:v>1</x:v>
      </x:c>
      <x:c r="F808" s="22" t="str">
        <x:v>.xls</x:v>
      </x:c>
      <x:c r="G808" s="25" t="str">
        <x:v>L2023-00053-1/Urgench VTC Bid Attachment Documents/Urgench VTC Bid Attachment Documents/Section 4.  Bill of Quantities(Not-Priced)/공내역서/VTC견적서/4 БУФЕТ(Cafeteria)/4-6 ПС(Fire Alarm)/bv13310.xls</x:v>
      </x:c>
      <x:c r="H808" s="28" t="n">
        <x:v>69120</x:v>
      </x:c>
      <x:c r="I808" s="22" t="str">
        <x:v>81809811b78a8dd144fece047c059af1fd7e7d922ba4e5f2d70343d6a2180b31</x:v>
      </x:c>
      <x:c r="J808" s="22" t="n">
        <x:v>1</x:v>
      </x:c>
      <x:c r="K808" s="22" t="n">
        <x:v>1</x:v>
      </x:c>
      <x:c r="L808" s="22" t="n">
        <x:v>1</x:v>
      </x:c>
      <x:c r="M808" s="28" t="n">
        <x:v>0</x:v>
      </x:c>
      <x:c r="N808" s="28" t="n">
        <x:v>0</x:v>
      </x:c>
      <x:c r="O808" s="28" t="n">
        <x:v>0</x:v>
      </x:c>
      <x:c r="P808" s="62" t="n">
        <x:v>0</x:v>
      </x:c>
      <x:c r="Q808" s="22" t="n">
        <x:v>0</x:v>
      </x:c>
      <x:c r="R808" s="22" t="str"/>
      <x:c r="S808" s="22" t="str"/>
      <x:c r="T808" s="22" t="str"/>
    </x:row>
    <x:row r="809">
      <x:c r="A809" s="22" t="str">
        <x:v>2020-00086</x:v>
      </x:c>
      <x:c r="B809" s="22" t="str">
        <x:v>L2023-00053-1</x:v>
      </x:c>
      <x:c r="C809" s="22" t="str">
        <x:v>공사</x:v>
      </x:c>
      <x:c r="D809" s="25" t="str">
        <x:v>우즈베키스탄 직업훈련원 및 타슈켄트 교사연수센터 건립 시공업체 선정 현지입찰</x:v>
      </x:c>
      <x:c r="E809" s="22" t="n">
        <x:v>1</x:v>
      </x:c>
      <x:c r="F809" s="22" t="str">
        <x:v>.xls</x:v>
      </x:c>
      <x:c r="G809" s="25" t="str">
        <x:v>L2023-00053-1/Urgench VTC Bid Attachment Documents/Urgench VTC Bid Attachment Documents/Section 4.  Bill of Quantities(Not-Priced)/공내역서/VTC견적서/4 БУФЕТ(Cafeteria)/4-6 ПС(Fire Alarm)/13313_vrmu.xls</x:v>
      </x:c>
      <x:c r="H809" s="28" t="n">
        <x:v>46080</x:v>
      </x:c>
      <x:c r="I809" s="22" t="str">
        <x:v>01d43896faa9af4d2e70ba503954aaa3dc7c7ca5760cd23fc5cb4b35df1973d8</x:v>
      </x:c>
      <x:c r="J809" s="22" t="n">
        <x:v>1</x:v>
      </x:c>
      <x:c r="K809" s="22" t="n">
        <x:v>1</x:v>
      </x:c>
      <x:c r="L809" s="22" t="n">
        <x:v>1</x:v>
      </x:c>
      <x:c r="M809" s="28" t="n">
        <x:v>1</x:v>
      </x:c>
      <x:c r="N809" s="28" t="n">
        <x:v>46</x:v>
      </x:c>
      <x:c r="O809" s="28" t="n">
        <x:v>1</x:v>
      </x:c>
      <x:c r="P809" s="62" t="n">
        <x:v>0.021739130434782608</x:v>
      </x:c>
      <x:c r="Q809" s="22" t="n">
        <x:v>0</x:v>
      </x:c>
      <x:c r="R809" s="22" t="str">
        <x:v>Лист1</x:v>
      </x:c>
      <x:c r="S809" s="22" t="str">
        <x:v>visible</x:v>
      </x:c>
      <x:c r="T809" s="22" t="str"/>
    </x:row>
    <x:row r="810">
      <x:c r="A810" s="22" t="str">
        <x:v>2020-00086</x:v>
      </x:c>
      <x:c r="B810" s="22" t="str">
        <x:v>L2023-00053-1</x:v>
      </x:c>
      <x:c r="C810" s="22" t="str">
        <x:v>공사</x:v>
      </x:c>
      <x:c r="D810" s="25" t="str">
        <x:v>우즈베키스탄 직업훈련원 및 타슈켄트 교사연수센터 건립 시공업체 선정 현지입찰</x:v>
      </x:c>
      <x:c r="E810" s="22" t="n">
        <x:v>1</x:v>
      </x:c>
      <x:c r="F810" s="22" t="str">
        <x:v>.xls</x:v>
      </x:c>
      <x:c r="G810" s="25" t="str">
        <x:v>L2023-00053-1/Urgench VTC Bid Attachment Documents/Urgench VTC Bid Attachment Documents/Section 4.  Bill of Quantities(Not-Priced)/공내역서/VTC견적서/4 БУФЕТ(Cafeteria)/4-6 ПС(Fire Alarm)/13313_vfor.xls</x:v>
      </x:c>
      <x:c r="H810" s="28" t="n">
        <x:v>40960</x:v>
      </x:c>
      <x:c r="I810" s="22" t="str">
        <x:v>3a4adfa8a2b2159255f5e5fc7479802f38be4f2cb149beebcf59d780125a0c16</x:v>
      </x:c>
      <x:c r="J810" s="22" t="n">
        <x:v>1</x:v>
      </x:c>
      <x:c r="K810" s="22" t="n">
        <x:v>1</x:v>
      </x:c>
      <x:c r="L810" s="22" t="n">
        <x:v>1</x:v>
      </x:c>
      <x:c r="M810" s="28" t="n">
        <x:v>0</x:v>
      </x:c>
      <x:c r="N810" s="28" t="n">
        <x:v>0</x:v>
      </x:c>
      <x:c r="O810" s="28" t="n">
        <x:v>0</x:v>
      </x:c>
      <x:c r="P810" s="62" t="n">
        <x:v>0</x:v>
      </x:c>
      <x:c r="Q810" s="22" t="n">
        <x:v>0</x:v>
      </x:c>
      <x:c r="R810" s="22" t="str"/>
      <x:c r="S810" s="22" t="str"/>
      <x:c r="T810" s="22" t="str"/>
    </x:row>
    <x:row r="811">
      <x:c r="A811" s="22" t="str">
        <x:v>2020-00086</x:v>
      </x:c>
      <x:c r="B811" s="22" t="str">
        <x:v>L2023-00053-1</x:v>
      </x:c>
      <x:c r="C811" s="22" t="str">
        <x:v>공사</x:v>
      </x:c>
      <x:c r="D811" s="25" t="str">
        <x:v>우즈베키스탄 직업훈련원 및 타슈켄트 교사연수센터 건립 시공업체 선정 현지입찰</x:v>
      </x:c>
      <x:c r="E811" s="22" t="n">
        <x:v>1</x:v>
      </x:c>
      <x:c r="F811" s="22" t="str">
        <x:v>.xls</x:v>
      </x:c>
      <x:c r="G811" s="25" t="str">
        <x:v>L2023-00053-1/Urgench VTC Bid Attachment Documents/Urgench VTC Bid Attachment Documents/Section 4.  Bill of Quantities(Not-Priced)/공내역서/VTC견적서/4 БУФЕТ(Cafeteria)/4-8 ГСВ(Gas)/13473_vfor.xls</x:v>
      </x:c>
      <x:c r="H811" s="28" t="n">
        <x:v>43008</x:v>
      </x:c>
      <x:c r="I811" s="22" t="str">
        <x:v>5d603195cdfc413bea2240ef38ba9f4d3adfd29a3e4a64767494df660b2149df</x:v>
      </x:c>
      <x:c r="J811" s="22" t="n">
        <x:v>1</x:v>
      </x:c>
      <x:c r="K811" s="22" t="n">
        <x:v>1</x:v>
      </x:c>
      <x:c r="L811" s="22" t="n">
        <x:v>1</x:v>
      </x:c>
      <x:c r="M811" s="28" t="n">
        <x:v>0</x:v>
      </x:c>
      <x:c r="N811" s="28" t="n">
        <x:v>0</x:v>
      </x:c>
      <x:c r="O811" s="28" t="n">
        <x:v>0</x:v>
      </x:c>
      <x:c r="P811" s="62" t="n">
        <x:v>0</x:v>
      </x:c>
      <x:c r="Q811" s="22" t="n">
        <x:v>0</x:v>
      </x:c>
      <x:c r="R811" s="22" t="str"/>
      <x:c r="S811" s="22" t="str"/>
      <x:c r="T811" s="22" t="str"/>
    </x:row>
    <x:row r="812">
      <x:c r="A812" s="22" t="str">
        <x:v>2020-00086</x:v>
      </x:c>
      <x:c r="B812" s="22" t="str">
        <x:v>L2023-00053-1</x:v>
      </x:c>
      <x:c r="C812" s="22" t="str">
        <x:v>공사</x:v>
      </x:c>
      <x:c r="D812" s="25" t="str">
        <x:v>우즈베키스탄 직업훈련원 및 타슈켄트 교사연수센터 건립 시공업체 선정 현지입찰</x:v>
      </x:c>
      <x:c r="E812" s="22" t="n">
        <x:v>1</x:v>
      </x:c>
      <x:c r="F812" s="22" t="str">
        <x:v>.xls</x:v>
      </x:c>
      <x:c r="G812" s="25" t="str">
        <x:v>L2023-00053-1/Urgench VTC Bid Attachment Documents/Urgench VTC Bid Attachment Documents/Section 4.  Bill of Quantities(Not-Priced)/공내역서/VTC견적서/4 БУФЕТ(Cafeteria)/4-8 ГСВ(Gas)/bv13470.xls</x:v>
      </x:c>
      <x:c r="H812" s="28" t="n">
        <x:v>86528</x:v>
      </x:c>
      <x:c r="I812" s="22" t="str">
        <x:v>9089df465dcf44624bcfa1339c6394342f5633ca53765547ae3967955305ecea</x:v>
      </x:c>
      <x:c r="J812" s="22" t="n">
        <x:v>1</x:v>
      </x:c>
      <x:c r="K812" s="22" t="n">
        <x:v>1</x:v>
      </x:c>
      <x:c r="L812" s="22" t="n">
        <x:v>1</x:v>
      </x:c>
      <x:c r="M812" s="28" t="n">
        <x:v>0</x:v>
      </x:c>
      <x:c r="N812" s="28" t="n">
        <x:v>0</x:v>
      </x:c>
      <x:c r="O812" s="28" t="n">
        <x:v>0</x:v>
      </x:c>
      <x:c r="P812" s="62" t="n">
        <x:v>0</x:v>
      </x:c>
      <x:c r="Q812" s="22" t="n">
        <x:v>0</x:v>
      </x:c>
      <x:c r="R812" s="22" t="str"/>
      <x:c r="S812" s="22" t="str"/>
      <x:c r="T812" s="22" t="str"/>
    </x:row>
    <x:row r="813">
      <x:c r="A813" s="22" t="str">
        <x:v>2020-00086</x:v>
      </x:c>
      <x:c r="B813" s="22" t="str">
        <x:v>L2023-00053-1</x:v>
      </x:c>
      <x:c r="C813" s="22" t="str">
        <x:v>공사</x:v>
      </x:c>
      <x:c r="D813" s="25" t="str">
        <x:v>우즈베키스탄 직업훈련원 및 타슈켄트 교사연수센터 건립 시공업체 선정 현지입찰</x:v>
      </x:c>
      <x:c r="E813" s="22" t="n">
        <x:v>1</x:v>
      </x:c>
      <x:c r="F813" s="22" t="str">
        <x:v>.xls</x:v>
      </x:c>
      <x:c r="G813" s="25" t="str">
        <x:v>L2023-00053-1/Urgench VTC Bid Attachment Documents/Urgench VTC Bid Attachment Documents/Section 4.  Bill of Quantities(Not-Priced)/공내역서/VTC견적서/4 БУФЕТ(Cafeteria)/4-8 ГСВ(Gas)/13473_vrmu.xls</x:v>
      </x:c>
      <x:c r="H813" s="28" t="n">
        <x:v>51712</x:v>
      </x:c>
      <x:c r="I813" s="22" t="str">
        <x:v>7895280f53f85a8490bd3a4cba8955f4e0267d7828d7adaca5eac514a87c8039</x:v>
      </x:c>
      <x:c r="J813" s="22" t="n">
        <x:v>1</x:v>
      </x:c>
      <x:c r="K813" s="22" t="n">
        <x:v>1</x:v>
      </x:c>
      <x:c r="L813" s="22" t="n">
        <x:v>1</x:v>
      </x:c>
      <x:c r="M813" s="28" t="n">
        <x:v>1</x:v>
      </x:c>
      <x:c r="N813" s="28" t="n">
        <x:v>58</x:v>
      </x:c>
      <x:c r="O813" s="28" t="n">
        <x:v>1</x:v>
      </x:c>
      <x:c r="P813" s="62" t="n">
        <x:v>0.017241379310344827</x:v>
      </x:c>
      <x:c r="Q813" s="22" t="n">
        <x:v>0</x:v>
      </x:c>
      <x:c r="R813" s="22" t="str">
        <x:v>Лист1</x:v>
      </x:c>
      <x:c r="S813" s="22" t="str">
        <x:v>visible</x:v>
      </x:c>
      <x:c r="T813" s="22" t="str"/>
    </x:row>
    <x:row r="814">
      <x:c r="A814" s="22" t="str">
        <x:v>2020-00086</x:v>
      </x:c>
      <x:c r="B814" s="22" t="str">
        <x:v>L2023-00053-1</x:v>
      </x:c>
      <x:c r="C814" s="22" t="str">
        <x:v>공사</x:v>
      </x:c>
      <x:c r="D814" s="25" t="str">
        <x:v>우즈베키스탄 직업훈련원 및 타슈켄트 교사연수센터 건립 시공업체 선정 현지입찰</x:v>
      </x:c>
      <x:c r="E814" s="22" t="n">
        <x:v>1</x:v>
      </x:c>
      <x:c r="F814" s="22" t="str">
        <x:v>.xls</x:v>
      </x:c>
      <x:c r="G814" s="25" t="str">
        <x:v>L2023-00053-1/Urgench VTC Bid Attachment Documents/Urgench VTC Bid Attachment Documents/Section 4.  Bill of Quantities(Not-Priced)/공내역서/VTC견적서/8 ПОЖАРНАЯ ЕМЪКОСТЬ(Fire Tank)/8-3 ЭО(Electric)/13733_vrmu.xls</x:v>
      </x:c>
      <x:c r="H814" s="28" t="n">
        <x:v>55296</x:v>
      </x:c>
      <x:c r="I814" s="22" t="str">
        <x:v>dd26635add3df12c3c1ffa6d858087ee72aad2c51664c8f5af2ad5b1a0b3cbf1</x:v>
      </x:c>
      <x:c r="J814" s="22" t="n">
        <x:v>1</x:v>
      </x:c>
      <x:c r="K814" s="22" t="n">
        <x:v>1</x:v>
      </x:c>
      <x:c r="L814" s="22" t="n">
        <x:v>1</x:v>
      </x:c>
      <x:c r="M814" s="28" t="n">
        <x:v>1</x:v>
      </x:c>
      <x:c r="N814" s="28" t="n">
        <x:v>76</x:v>
      </x:c>
      <x:c r="O814" s="28" t="n">
        <x:v>1</x:v>
      </x:c>
      <x:c r="P814" s="62" t="n">
        <x:v>0.013157894736842105</x:v>
      </x:c>
      <x:c r="Q814" s="22" t="n">
        <x:v>0</x:v>
      </x:c>
      <x:c r="R814" s="22" t="str">
        <x:v>Лист1</x:v>
      </x:c>
      <x:c r="S814" s="22" t="str">
        <x:v>visible</x:v>
      </x:c>
      <x:c r="T814" s="22" t="str"/>
    </x:row>
    <x:row r="815">
      <x:c r="A815" s="22" t="str">
        <x:v>2020-00086</x:v>
      </x:c>
      <x:c r="B815" s="22" t="str">
        <x:v>L2023-00053-1</x:v>
      </x:c>
      <x:c r="C815" s="22" t="str">
        <x:v>공사</x:v>
      </x:c>
      <x:c r="D815" s="25" t="str">
        <x:v>우즈베키스탄 직업훈련원 및 타슈켄트 교사연수센터 건립 시공업체 선정 현지입찰</x:v>
      </x:c>
      <x:c r="E815" s="22" t="n">
        <x:v>1</x:v>
      </x:c>
      <x:c r="F815" s="22" t="str">
        <x:v>.xls</x:v>
      </x:c>
      <x:c r="G815" s="25" t="str">
        <x:v>L2023-00053-1/Urgench VTC Bid Attachment Documents/Urgench VTC Bid Attachment Documents/Section 4.  Bill of Quantities(Not-Priced)/공내역서/VTC견적서/8 ПОЖАРНАЯ ЕМЪКОСТЬ(Fire Tank)/8-3 ЭО(Electric)/13733_vfor.xls</x:v>
      </x:c>
      <x:c r="H815" s="28" t="n">
        <x:v>40448</x:v>
      </x:c>
      <x:c r="I815" s="22" t="str">
        <x:v>4b7ecea42e8e01f81fbf69ffbe105611f8e47711cbfac29373ac28d50d40fd4b</x:v>
      </x:c>
      <x:c r="J815" s="22" t="n">
        <x:v>1</x:v>
      </x:c>
      <x:c r="K815" s="22" t="n">
        <x:v>1</x:v>
      </x:c>
      <x:c r="L815" s="22" t="n">
        <x:v>1</x:v>
      </x:c>
      <x:c r="M815" s="28" t="n">
        <x:v>0</x:v>
      </x:c>
      <x:c r="N815" s="28" t="n">
        <x:v>0</x:v>
      </x:c>
      <x:c r="O815" s="28" t="n">
        <x:v>0</x:v>
      </x:c>
      <x:c r="P815" s="62" t="n">
        <x:v>0</x:v>
      </x:c>
      <x:c r="Q815" s="22" t="n">
        <x:v>0</x:v>
      </x:c>
      <x:c r="R815" s="22" t="str"/>
      <x:c r="S815" s="22" t="str"/>
      <x:c r="T815" s="22" t="str"/>
    </x:row>
    <x:row r="816">
      <x:c r="A816" s="22" t="str">
        <x:v>2020-00086</x:v>
      </x:c>
      <x:c r="B816" s="22" t="str">
        <x:v>L2023-00053-1</x:v>
      </x:c>
      <x:c r="C816" s="22" t="str">
        <x:v>공사</x:v>
      </x:c>
      <x:c r="D816" s="25" t="str">
        <x:v>우즈베키스탄 직업훈련원 및 타슈켄트 교사연수센터 건립 시공업체 선정 현지입찰</x:v>
      </x:c>
      <x:c r="E816" s="22" t="n">
        <x:v>1</x:v>
      </x:c>
      <x:c r="F816" s="22" t="str">
        <x:v>.xls</x:v>
      </x:c>
      <x:c r="G816" s="25" t="str">
        <x:v>L2023-00053-1/Urgench VTC Bid Attachment Documents/Urgench VTC Bid Attachment Documents/Section 4.  Bill of Quantities(Not-Priced)/공내역서/VTC견적서/8 ПОЖАРНАЯ ЕМЪКОСТЬ(Fire Tank)/8-3 ЭО(Electric)/bv13730.xls</x:v>
      </x:c>
      <x:c r="H816" s="28" t="n">
        <x:v>90112</x:v>
      </x:c>
      <x:c r="I816" s="22" t="str">
        <x:v>a6ce3182f24e613f5aae906cca546b8467389ab8803175c900c5edc80050bdb9</x:v>
      </x:c>
      <x:c r="J816" s="22" t="n">
        <x:v>1</x:v>
      </x:c>
      <x:c r="K816" s="22" t="n">
        <x:v>1</x:v>
      </x:c>
      <x:c r="L816" s="22" t="n">
        <x:v>1</x:v>
      </x:c>
      <x:c r="M816" s="28" t="n">
        <x:v>0</x:v>
      </x:c>
      <x:c r="N816" s="28" t="n">
        <x:v>0</x:v>
      </x:c>
      <x:c r="O816" s="28" t="n">
        <x:v>0</x:v>
      </x:c>
      <x:c r="P816" s="62" t="n">
        <x:v>0</x:v>
      </x:c>
      <x:c r="Q816" s="22" t="n">
        <x:v>0</x:v>
      </x:c>
      <x:c r="R816" s="22" t="str"/>
      <x:c r="S816" s="22" t="str"/>
      <x:c r="T816" s="22" t="str"/>
    </x:row>
    <x:row r="817">
      <x:c r="A817" s="22" t="str">
        <x:v>2020-00086</x:v>
      </x:c>
      <x:c r="B817" s="22" t="str">
        <x:v>L2023-00053-1</x:v>
      </x:c>
      <x:c r="C817" s="22" t="str">
        <x:v>공사</x:v>
      </x:c>
      <x:c r="D817" s="25" t="str">
        <x:v>우즈베키스탄 직업훈련원 및 타슈켄트 교사연수센터 건립 시공업체 선정 현지입찰</x:v>
      </x:c>
      <x:c r="E817" s="22" t="n">
        <x:v>1</x:v>
      </x:c>
      <x:c r="F817" s="22" t="str">
        <x:v>.xls</x:v>
      </x:c>
      <x:c r="G817" s="25" t="str">
        <x:v>L2023-00053-1/Urgench VTC Bid Attachment Documents/Urgench VTC Bid Attachment Documents/Section 4.  Bill of Quantities(Not-Priced)/공내역서/VTC견적서/8 ПОЖАРНАЯ ЕМЪКОСТЬ(Fire Tank)/8-2 ТХ(Technology Plan)/13603_vfor.xls</x:v>
      </x:c>
      <x:c r="H817" s="28" t="n">
        <x:v>35840</x:v>
      </x:c>
      <x:c r="I817" s="22" t="str">
        <x:v>aef3e1723acd7e063007694bdea3257d0d9172d1dfd94eea0adef60ffec47c04</x:v>
      </x:c>
      <x:c r="J817" s="22" t="n">
        <x:v>1</x:v>
      </x:c>
      <x:c r="K817" s="22" t="n">
        <x:v>1</x:v>
      </x:c>
      <x:c r="L817" s="22" t="n">
        <x:v>1</x:v>
      </x:c>
      <x:c r="M817" s="28" t="n">
        <x:v>0</x:v>
      </x:c>
      <x:c r="N817" s="28" t="n">
        <x:v>0</x:v>
      </x:c>
      <x:c r="O817" s="28" t="n">
        <x:v>0</x:v>
      </x:c>
      <x:c r="P817" s="62" t="n">
        <x:v>0</x:v>
      </x:c>
      <x:c r="Q817" s="22" t="n">
        <x:v>0</x:v>
      </x:c>
      <x:c r="R817" s="22" t="str"/>
      <x:c r="S817" s="22" t="str"/>
      <x:c r="T817" s="22" t="str"/>
    </x:row>
    <x:row r="818">
      <x:c r="A818" s="22" t="str">
        <x:v>2020-00086</x:v>
      </x:c>
      <x:c r="B818" s="22" t="str">
        <x:v>L2023-00053-1</x:v>
      </x:c>
      <x:c r="C818" s="22" t="str">
        <x:v>공사</x:v>
      </x:c>
      <x:c r="D818" s="25" t="str">
        <x:v>우즈베키스탄 직업훈련원 및 타슈켄트 교사연수센터 건립 시공업체 선정 현지입찰</x:v>
      </x:c>
      <x:c r="E818" s="22" t="n">
        <x:v>1</x:v>
      </x:c>
      <x:c r="F818" s="22" t="str">
        <x:v>.xls</x:v>
      </x:c>
      <x:c r="G818" s="25" t="str">
        <x:v>L2023-00053-1/Urgench VTC Bid Attachment Documents/Urgench VTC Bid Attachment Documents/Section 4.  Bill of Quantities(Not-Priced)/공내역서/VTC견적서/8 ПОЖАРНАЯ ЕМЪКОСТЬ(Fire Tank)/8-2 ТХ(Technology Plan)/bv13600.xls</x:v>
      </x:c>
      <x:c r="H818" s="28" t="n">
        <x:v>80896</x:v>
      </x:c>
      <x:c r="I818" s="22" t="str">
        <x:v>c8b47be5d6000bcdfeef410c167b93e50c2f883be060652b37ff38542a97986f</x:v>
      </x:c>
      <x:c r="J818" s="22" t="n">
        <x:v>1</x:v>
      </x:c>
      <x:c r="K818" s="22" t="n">
        <x:v>1</x:v>
      </x:c>
      <x:c r="L818" s="22" t="n">
        <x:v>1</x:v>
      </x:c>
      <x:c r="M818" s="28" t="n">
        <x:v>0</x:v>
      </x:c>
      <x:c r="N818" s="28" t="n">
        <x:v>0</x:v>
      </x:c>
      <x:c r="O818" s="28" t="n">
        <x:v>0</x:v>
      </x:c>
      <x:c r="P818" s="62" t="n">
        <x:v>0</x:v>
      </x:c>
      <x:c r="Q818" s="22" t="n">
        <x:v>0</x:v>
      </x:c>
      <x:c r="R818" s="22" t="str"/>
      <x:c r="S818" s="22" t="str"/>
      <x:c r="T818" s="22" t="str"/>
    </x:row>
    <x:row r="819">
      <x:c r="A819" s="22" t="str">
        <x:v>2020-00086</x:v>
      </x:c>
      <x:c r="B819" s="22" t="str">
        <x:v>L2023-00053-1</x:v>
      </x:c>
      <x:c r="C819" s="22" t="str">
        <x:v>공사</x:v>
      </x:c>
      <x:c r="D819" s="25" t="str">
        <x:v>우즈베키스탄 직업훈련원 및 타슈켄트 교사연수센터 건립 시공업체 선정 현지입찰</x:v>
      </x:c>
      <x:c r="E819" s="22" t="n">
        <x:v>1</x:v>
      </x:c>
      <x:c r="F819" s="22" t="str">
        <x:v>.xls</x:v>
      </x:c>
      <x:c r="G819" s="25" t="str">
        <x:v>L2023-00053-1/Urgench VTC Bid Attachment Documents/Urgench VTC Bid Attachment Documents/Section 4.  Bill of Quantities(Not-Priced)/공내역서/VTC견적서/8 ПОЖАРНАЯ ЕМЪКОСТЬ(Fire Tank)/8-2 ТХ(Technology Plan)/13603_vrmu.xls</x:v>
      </x:c>
      <x:c r="H819" s="28" t="n">
        <x:v>53248</x:v>
      </x:c>
      <x:c r="I819" s="22" t="str">
        <x:v>59e7c73eb0916c52e8edb0dc9f78a1ba785db1d8b39138ad6aae1b088f8c61f6</x:v>
      </x:c>
      <x:c r="J819" s="22" t="n">
        <x:v>1</x:v>
      </x:c>
      <x:c r="K819" s="22" t="n">
        <x:v>1</x:v>
      </x:c>
      <x:c r="L819" s="22" t="n">
        <x:v>1</x:v>
      </x:c>
      <x:c r="M819" s="28" t="n">
        <x:v>1</x:v>
      </x:c>
      <x:c r="N819" s="28" t="n">
        <x:v>59</x:v>
      </x:c>
      <x:c r="O819" s="28" t="n">
        <x:v>1</x:v>
      </x:c>
      <x:c r="P819" s="62" t="n">
        <x:v>0.01694915254237288</x:v>
      </x:c>
      <x:c r="Q819" s="22" t="n">
        <x:v>0</x:v>
      </x:c>
      <x:c r="R819" s="22" t="str">
        <x:v>Лист1</x:v>
      </x:c>
      <x:c r="S819" s="22" t="str">
        <x:v>visible</x:v>
      </x:c>
      <x:c r="T819" s="22" t="str"/>
    </x:row>
    <x:row r="820">
      <x:c r="A820" s="22" t="str">
        <x:v>2020-00086</x:v>
      </x:c>
      <x:c r="B820" s="22" t="str">
        <x:v>L2023-00053-1</x:v>
      </x:c>
      <x:c r="C820" s="22" t="str">
        <x:v>공사</x:v>
      </x:c>
      <x:c r="D820" s="25" t="str">
        <x:v>우즈베키스탄 직업훈련원 및 타슈켄트 교사연수센터 건립 시공업체 선정 현지입찰</x:v>
      </x:c>
      <x:c r="E820" s="22" t="n">
        <x:v>1</x:v>
      </x:c>
      <x:c r="F820" s="22" t="str">
        <x:v>.xls</x:v>
      </x:c>
      <x:c r="G820" s="25" t="str">
        <x:v>L2023-00053-1/Urgench VTC Bid Attachment Documents/Urgench VTC Bid Attachment Documents/Section 4.  Bill of Quantities(Not-Priced)/공내역서/VTC견적서/8 ПОЖАРНАЯ ЕМЪКОСТЬ(Fire Tank)/8-1 АС(Architecture+Structure)/bv13560.xls</x:v>
      </x:c>
      <x:c r="H820" s="28" t="n">
        <x:v>143360</x:v>
      </x:c>
      <x:c r="I820" s="22" t="str">
        <x:v>c0c38b80f51c65331020314872a4530efa2890a349a0bbfbe7546f3d325f3c4c</x:v>
      </x:c>
      <x:c r="J820" s="22" t="n">
        <x:v>1</x:v>
      </x:c>
      <x:c r="K820" s="22" t="n">
        <x:v>1</x:v>
      </x:c>
      <x:c r="L820" s="22" t="n">
        <x:v>1</x:v>
      </x:c>
      <x:c r="M820" s="28" t="n">
        <x:v>0</x:v>
      </x:c>
      <x:c r="N820" s="28" t="n">
        <x:v>0</x:v>
      </x:c>
      <x:c r="O820" s="28" t="n">
        <x:v>0</x:v>
      </x:c>
      <x:c r="P820" s="62" t="n">
        <x:v>0</x:v>
      </x:c>
      <x:c r="Q820" s="22" t="n">
        <x:v>0</x:v>
      </x:c>
      <x:c r="R820" s="22" t="str"/>
      <x:c r="S820" s="22" t="str"/>
      <x:c r="T820" s="22" t="str"/>
    </x:row>
    <x:row r="821">
      <x:c r="A821" s="22" t="str">
        <x:v>2020-00086</x:v>
      </x:c>
      <x:c r="B821" s="22" t="str">
        <x:v>L2023-00053-1</x:v>
      </x:c>
      <x:c r="C821" s="22" t="str">
        <x:v>공사</x:v>
      </x:c>
      <x:c r="D821" s="25" t="str">
        <x:v>우즈베키스탄 직업훈련원 및 타슈켄트 교사연수센터 건립 시공업체 선정 현지입찰</x:v>
      </x:c>
      <x:c r="E821" s="22" t="n">
        <x:v>1</x:v>
      </x:c>
      <x:c r="F821" s="22" t="str">
        <x:v>.xls</x:v>
      </x:c>
      <x:c r="G821" s="25" t="str">
        <x:v>L2023-00053-1/Urgench VTC Bid Attachment Documents/Urgench VTC Bid Attachment Documents/Section 4.  Bill of Quantities(Not-Priced)/공내역서/VTC견적서/8 ПОЖАРНАЯ ЕМЪКОСТЬ(Fire Tank)/8-1 АС(Architecture+Structure)/13563_vrmu.xls</x:v>
      </x:c>
      <x:c r="H821" s="28" t="n">
        <x:v>56832</x:v>
      </x:c>
      <x:c r="I821" s="22" t="str">
        <x:v>79e14b24c7df19631df2b8c58f12863b08e7aa7d66983b2990f8ef0923fe886f</x:v>
      </x:c>
      <x:c r="J821" s="22" t="n">
        <x:v>1</x:v>
      </x:c>
      <x:c r="K821" s="22" t="n">
        <x:v>1</x:v>
      </x:c>
      <x:c r="L821" s="22" t="n">
        <x:v>1</x:v>
      </x:c>
      <x:c r="M821" s="28" t="n">
        <x:v>1</x:v>
      </x:c>
      <x:c r="N821" s="28" t="n">
        <x:v>80</x:v>
      </x:c>
      <x:c r="O821" s="28" t="n">
        <x:v>1</x:v>
      </x:c>
      <x:c r="P821" s="62" t="n">
        <x:v>0.0125</x:v>
      </x:c>
      <x:c r="Q821" s="22" t="n">
        <x:v>0</x:v>
      </x:c>
      <x:c r="R821" s="22" t="str">
        <x:v>Лист1</x:v>
      </x:c>
      <x:c r="S821" s="22" t="str">
        <x:v>visible</x:v>
      </x:c>
      <x:c r="T821" s="22" t="str"/>
    </x:row>
    <x:row r="822">
      <x:c r="A822" s="22" t="str">
        <x:v>2020-00086</x:v>
      </x:c>
      <x:c r="B822" s="22" t="str">
        <x:v>L2023-00053-1</x:v>
      </x:c>
      <x:c r="C822" s="22" t="str">
        <x:v>공사</x:v>
      </x:c>
      <x:c r="D822" s="25" t="str">
        <x:v>우즈베키스탄 직업훈련원 및 타슈켄트 교사연수센터 건립 시공업체 선정 현지입찰</x:v>
      </x:c>
      <x:c r="E822" s="22" t="n">
        <x:v>1</x:v>
      </x:c>
      <x:c r="F822" s="22" t="str">
        <x:v>.xls</x:v>
      </x:c>
      <x:c r="G822" s="25" t="str">
        <x:v>L2023-00053-1/Urgench VTC Bid Attachment Documents/Urgench VTC Bid Attachment Documents/Section 4.  Bill of Quantities(Not-Priced)/공내역서/VTC견적서/8 ПОЖАРНАЯ ЕМЪКОСТЬ(Fire Tank)/8-1 АС(Architecture+Structure)/13563_vfor.xls</x:v>
      </x:c>
      <x:c r="H822" s="28" t="n">
        <x:v>48128</x:v>
      </x:c>
      <x:c r="I822" s="22" t="str">
        <x:v>be5b745b940f05f1f41e44ed150503de2709f71b2406a43b2625fbeb73d92ced</x:v>
      </x:c>
      <x:c r="J822" s="22" t="n">
        <x:v>1</x:v>
      </x:c>
      <x:c r="K822" s="22" t="n">
        <x:v>1</x:v>
      </x:c>
      <x:c r="L822" s="22" t="n">
        <x:v>1</x:v>
      </x:c>
      <x:c r="M822" s="28" t="n">
        <x:v>0</x:v>
      </x:c>
      <x:c r="N822" s="28" t="n">
        <x:v>0</x:v>
      </x:c>
      <x:c r="O822" s="28" t="n">
        <x:v>0</x:v>
      </x:c>
      <x:c r="P822" s="62" t="n">
        <x:v>0</x:v>
      </x:c>
      <x:c r="Q822" s="22" t="n">
        <x:v>0</x:v>
      </x:c>
      <x:c r="R822" s="22" t="str"/>
      <x:c r="S822" s="22" t="str"/>
      <x:c r="T822" s="22" t="str"/>
    </x:row>
    <x:row r="823">
      <x:c r="A823" s="22" t="str">
        <x:v>2020-00086</x:v>
      </x:c>
      <x:c r="B823" s="22" t="str">
        <x:v>L2023-00053-1</x:v>
      </x:c>
      <x:c r="C823" s="22" t="str">
        <x:v>공사</x:v>
      </x:c>
      <x:c r="D823" s="25" t="str">
        <x:v>우즈베키스탄 직업훈련원 및 타슈켄트 교사연수센터 건립 시공업체 선정 현지입찰</x:v>
      </x:c>
      <x:c r="E823" s="22" t="n">
        <x:v>1</x:v>
      </x:c>
      <x:c r="F823" s="22" t="str">
        <x:v>.xls</x:v>
      </x:c>
      <x:c r="G823" s="25" t="str">
        <x:v>L2023-00053-1/Urgench VTC Bid Attachment Documents/Urgench VTC Bid Attachment Documents/Section 4.  Bill of Quantities(Not-Priced)/공내역서/VTC견적서/3 ОБЩЕЖИТИЕ(Dormitory)/3-7 ВН, СКС(CCTV &amp; Network)/13303_vfor.xls</x:v>
      </x:c>
      <x:c r="H823" s="28" t="n">
        <x:v>48640</x:v>
      </x:c>
      <x:c r="I823" s="22" t="str">
        <x:v>5a18635d72aa11084ea9ace6f157b8628ca9366276bd4b01f0389389eb69dd15</x:v>
      </x:c>
      <x:c r="J823" s="22" t="n">
        <x:v>1</x:v>
      </x:c>
      <x:c r="K823" s="22" t="n">
        <x:v>1</x:v>
      </x:c>
      <x:c r="L823" s="22" t="n">
        <x:v>1</x:v>
      </x:c>
      <x:c r="M823" s="28" t="n">
        <x:v>0</x:v>
      </x:c>
      <x:c r="N823" s="28" t="n">
        <x:v>0</x:v>
      </x:c>
      <x:c r="O823" s="28" t="n">
        <x:v>0</x:v>
      </x:c>
      <x:c r="P823" s="62" t="n">
        <x:v>0</x:v>
      </x:c>
      <x:c r="Q823" s="22" t="n">
        <x:v>0</x:v>
      </x:c>
      <x:c r="R823" s="22" t="str"/>
      <x:c r="S823" s="22" t="str"/>
      <x:c r="T823" s="22" t="str"/>
    </x:row>
    <x:row r="824">
      <x:c r="A824" s="22" t="str">
        <x:v>2020-00086</x:v>
      </x:c>
      <x:c r="B824" s="22" t="str">
        <x:v>L2023-00053-1</x:v>
      </x:c>
      <x:c r="C824" s="22" t="str">
        <x:v>공사</x:v>
      </x:c>
      <x:c r="D824" s="25" t="str">
        <x:v>우즈베키스탄 직업훈련원 및 타슈켄트 교사연수센터 건립 시공업체 선정 현지입찰</x:v>
      </x:c>
      <x:c r="E824" s="22" t="n">
        <x:v>1</x:v>
      </x:c>
      <x:c r="F824" s="22" t="str">
        <x:v>.xls</x:v>
      </x:c>
      <x:c r="G824" s="25" t="str">
        <x:v>L2023-00053-1/Urgench VTC Bid Attachment Documents/Urgench VTC Bid Attachment Documents/Section 4.  Bill of Quantities(Not-Priced)/공내역서/VTC견적서/3 ОБЩЕЖИТИЕ(Dormitory)/3-7 ВН, СКС(CCTV &amp; Network)/bv13300.xls</x:v>
      </x:c>
      <x:c r="H824" s="28" t="n">
        <x:v>91136</x:v>
      </x:c>
      <x:c r="I824" s="22" t="str">
        <x:v>eabe1189fd53fa553a7256019fdcd183629f090a5817c504e1c9f65e297f4127</x:v>
      </x:c>
      <x:c r="J824" s="22" t="n">
        <x:v>1</x:v>
      </x:c>
      <x:c r="K824" s="22" t="n">
        <x:v>1</x:v>
      </x:c>
      <x:c r="L824" s="22" t="n">
        <x:v>1</x:v>
      </x:c>
      <x:c r="M824" s="28" t="n">
        <x:v>0</x:v>
      </x:c>
      <x:c r="N824" s="28" t="n">
        <x:v>0</x:v>
      </x:c>
      <x:c r="O824" s="28" t="n">
        <x:v>0</x:v>
      </x:c>
      <x:c r="P824" s="62" t="n">
        <x:v>0</x:v>
      </x:c>
      <x:c r="Q824" s="22" t="n">
        <x:v>0</x:v>
      </x:c>
      <x:c r="R824" s="22" t="str"/>
      <x:c r="S824" s="22" t="str"/>
      <x:c r="T824" s="22" t="str"/>
    </x:row>
    <x:row r="825">
      <x:c r="A825" s="22" t="str">
        <x:v>2020-00086</x:v>
      </x:c>
      <x:c r="B825" s="22" t="str">
        <x:v>L2023-00053-1</x:v>
      </x:c>
      <x:c r="C825" s="22" t="str">
        <x:v>공사</x:v>
      </x:c>
      <x:c r="D825" s="25" t="str">
        <x:v>우즈베키스탄 직업훈련원 및 타슈켄트 교사연수센터 건립 시공업체 선정 현지입찰</x:v>
      </x:c>
      <x:c r="E825" s="22" t="n">
        <x:v>1</x:v>
      </x:c>
      <x:c r="F825" s="22" t="str">
        <x:v>.xls</x:v>
      </x:c>
      <x:c r="G825" s="25" t="str">
        <x:v>L2023-00053-1/Urgench VTC Bid Attachment Documents/Urgench VTC Bid Attachment Documents/Section 4.  Bill of Quantities(Not-Priced)/공내역서/VTC견적서/3 ОБЩЕЖИТИЕ(Dormitory)/3-7 ВН, СКС(CCTV &amp; Network)/13303_vrmu.xls</x:v>
      </x:c>
      <x:c r="H825" s="28" t="n">
        <x:v>55808</x:v>
      </x:c>
      <x:c r="I825" s="22" t="str">
        <x:v>1446b4e9d4ca55f00683876eb3b47e8dfe2d96fd5f8331a988ddeb69272efd21</x:v>
      </x:c>
      <x:c r="J825" s="22" t="n">
        <x:v>1</x:v>
      </x:c>
      <x:c r="K825" s="22" t="n">
        <x:v>1</x:v>
      </x:c>
      <x:c r="L825" s="22" t="n">
        <x:v>1</x:v>
      </x:c>
      <x:c r="M825" s="28" t="n">
        <x:v>1</x:v>
      </x:c>
      <x:c r="N825" s="28" t="n">
        <x:v>81</x:v>
      </x:c>
      <x:c r="O825" s="28" t="n">
        <x:v>1</x:v>
      </x:c>
      <x:c r="P825" s="62" t="n">
        <x:v>0.012345679012345678</x:v>
      </x:c>
      <x:c r="Q825" s="22" t="n">
        <x:v>0</x:v>
      </x:c>
      <x:c r="R825" s="22" t="str">
        <x:v>Лист1</x:v>
      </x:c>
      <x:c r="S825" s="22" t="str">
        <x:v>visible</x:v>
      </x:c>
      <x:c r="T825" s="22" t="str"/>
    </x:row>
    <x:row r="826">
      <x:c r="A826" s="22" t="str">
        <x:v>2020-00086</x:v>
      </x:c>
      <x:c r="B826" s="22" t="str">
        <x:v>L2023-00053-1</x:v>
      </x:c>
      <x:c r="C826" s="22" t="str">
        <x:v>공사</x:v>
      </x:c>
      <x:c r="D826" s="25" t="str">
        <x:v>우즈베키스탄 직업훈련원 및 타슈켄트 교사연수센터 건립 시공업체 선정 현지입찰</x:v>
      </x:c>
      <x:c r="E826" s="22" t="n">
        <x:v>1</x:v>
      </x:c>
      <x:c r="F826" s="22" t="str">
        <x:v>.xls</x:v>
      </x:c>
      <x:c r="G826" s="25" t="str">
        <x:v>L2023-00053-1/Urgench VTC Bid Attachment Documents/Urgench VTC Bid Attachment Documents/Section 4.  Bill of Quantities(Not-Priced)/공내역서/VTC견적서/3 ОБЩЕЖИТИЕ(Dormitory)/3-6 ПС(Fire Alarm)/13293_vfor.xls</x:v>
      </x:c>
      <x:c r="H826" s="28" t="n">
        <x:v>47616</x:v>
      </x:c>
      <x:c r="I826" s="22" t="str">
        <x:v>13504304f6bbd4c322400660e78166be924c5a8a3f7a3d2fa32ea8eaabd6d151</x:v>
      </x:c>
      <x:c r="J826" s="22" t="n">
        <x:v>1</x:v>
      </x:c>
      <x:c r="K826" s="22" t="n">
        <x:v>1</x:v>
      </x:c>
      <x:c r="L826" s="22" t="n">
        <x:v>1</x:v>
      </x:c>
      <x:c r="M826" s="28" t="n">
        <x:v>0</x:v>
      </x:c>
      <x:c r="N826" s="28" t="n">
        <x:v>0</x:v>
      </x:c>
      <x:c r="O826" s="28" t="n">
        <x:v>0</x:v>
      </x:c>
      <x:c r="P826" s="62" t="n">
        <x:v>0</x:v>
      </x:c>
      <x:c r="Q826" s="22" t="n">
        <x:v>0</x:v>
      </x:c>
      <x:c r="R826" s="22" t="str"/>
      <x:c r="S826" s="22" t="str"/>
      <x:c r="T826" s="22" t="str"/>
    </x:row>
    <x:row r="827">
      <x:c r="A827" s="22" t="str">
        <x:v>2020-00086</x:v>
      </x:c>
      <x:c r="B827" s="22" t="str">
        <x:v>L2023-00053-1</x:v>
      </x:c>
      <x:c r="C827" s="22" t="str">
        <x:v>공사</x:v>
      </x:c>
      <x:c r="D827" s="25" t="str">
        <x:v>우즈베키스탄 직업훈련원 및 타슈켄트 교사연수센터 건립 시공업체 선정 현지입찰</x:v>
      </x:c>
      <x:c r="E827" s="22" t="n">
        <x:v>1</x:v>
      </x:c>
      <x:c r="F827" s="22" t="str">
        <x:v>.xls</x:v>
      </x:c>
      <x:c r="G827" s="25" t="str">
        <x:v>L2023-00053-1/Urgench VTC Bid Attachment Documents/Urgench VTC Bid Attachment Documents/Section 4.  Bill of Quantities(Not-Priced)/공내역서/VTC견적서/3 ОБЩЕЖИТИЕ(Dormitory)/3-6 ПС(Fire Alarm)/13293_vrmu.xls</x:v>
      </x:c>
      <x:c r="H827" s="28" t="n">
        <x:v>52736</x:v>
      </x:c>
      <x:c r="I827" s="22" t="str">
        <x:v>d247ad0533474b0b1cedc26fffab2c9b866c1246de159a021e5b366aabc19286</x:v>
      </x:c>
      <x:c r="J827" s="22" t="n">
        <x:v>1</x:v>
      </x:c>
      <x:c r="K827" s="22" t="n">
        <x:v>1</x:v>
      </x:c>
      <x:c r="L827" s="22" t="n">
        <x:v>1</x:v>
      </x:c>
      <x:c r="M827" s="28" t="n">
        <x:v>1</x:v>
      </x:c>
      <x:c r="N827" s="28" t="n">
        <x:v>62</x:v>
      </x:c>
      <x:c r="O827" s="28" t="n">
        <x:v>1</x:v>
      </x:c>
      <x:c r="P827" s="62" t="n">
        <x:v>0.016129032258064516</x:v>
      </x:c>
      <x:c r="Q827" s="22" t="n">
        <x:v>0</x:v>
      </x:c>
      <x:c r="R827" s="22" t="str">
        <x:v>Лист1</x:v>
      </x:c>
      <x:c r="S827" s="22" t="str">
        <x:v>visible</x:v>
      </x:c>
      <x:c r="T827" s="22" t="str"/>
    </x:row>
    <x:row r="828">
      <x:c r="A828" s="22" t="str">
        <x:v>2020-00086</x:v>
      </x:c>
      <x:c r="B828" s="22" t="str">
        <x:v>L2023-00053-1</x:v>
      </x:c>
      <x:c r="C828" s="22" t="str">
        <x:v>공사</x:v>
      </x:c>
      <x:c r="D828" s="25" t="str">
        <x:v>우즈베키스탄 직업훈련원 및 타슈켄트 교사연수센터 건립 시공업체 선정 현지입찰</x:v>
      </x:c>
      <x:c r="E828" s="22" t="n">
        <x:v>1</x:v>
      </x:c>
      <x:c r="F828" s="22" t="str">
        <x:v>.xls</x:v>
      </x:c>
      <x:c r="G828" s="25" t="str">
        <x:v>L2023-00053-1/Urgench VTC Bid Attachment Documents/Urgench VTC Bid Attachment Documents/Section 4.  Bill of Quantities(Not-Priced)/공내역서/VTC견적서/3 ОБЩЕЖИТИЕ(Dormitory)/3-6 ПС(Fire Alarm)/bv13290.xls</x:v>
      </x:c>
      <x:c r="H828" s="28" t="n">
        <x:v>86016</x:v>
      </x:c>
      <x:c r="I828" s="22" t="str">
        <x:v>e18ef7fec05891daaad5066075ed8900b09d1ea1449184f0063fbb372759596e</x:v>
      </x:c>
      <x:c r="J828" s="22" t="n">
        <x:v>1</x:v>
      </x:c>
      <x:c r="K828" s="22" t="n">
        <x:v>1</x:v>
      </x:c>
      <x:c r="L828" s="22" t="n">
        <x:v>1</x:v>
      </x:c>
      <x:c r="M828" s="28" t="n">
        <x:v>0</x:v>
      </x:c>
      <x:c r="N828" s="28" t="n">
        <x:v>0</x:v>
      </x:c>
      <x:c r="O828" s="28" t="n">
        <x:v>0</x:v>
      </x:c>
      <x:c r="P828" s="62" t="n">
        <x:v>0</x:v>
      </x:c>
      <x:c r="Q828" s="22" t="n">
        <x:v>0</x:v>
      </x:c>
      <x:c r="R828" s="22" t="str"/>
      <x:c r="S828" s="22" t="str"/>
      <x:c r="T828" s="22" t="str"/>
    </x:row>
    <x:row r="829">
      <x:c r="A829" s="22" t="str">
        <x:v>2020-00086</x:v>
      </x:c>
      <x:c r="B829" s="22" t="str">
        <x:v>L2023-00053-1</x:v>
      </x:c>
      <x:c r="C829" s="22" t="str">
        <x:v>공사</x:v>
      </x:c>
      <x:c r="D829" s="25" t="str">
        <x:v>우즈베키스탄 직업훈련원 및 타슈켄트 교사연수센터 건립 시공업체 선정 현지입찰</x:v>
      </x:c>
      <x:c r="E829" s="22" t="n">
        <x:v>1</x:v>
      </x:c>
      <x:c r="F829" s="22" t="str">
        <x:v>.xls</x:v>
      </x:c>
      <x:c r="G829" s="25" t="str">
        <x:v>L2023-00053-1/Urgench VTC Bid Attachment Documents/Urgench VTC Bid Attachment Documents/Section 4.  Bill of Quantities(Not-Priced)/공내역서/VTC견적서/3 ОБЩЕЖИТИЕ(Dormitory)/3-2 АР(Architecture)/13093_vrmu.xls</x:v>
      </x:c>
      <x:c r="H829" s="28" t="n">
        <x:v>71168</x:v>
      </x:c>
      <x:c r="I829" s="22" t="str">
        <x:v>e74ff7123038365d8a0bdcd1c7b2209df8480aa897b3fc0679910a92028a4f3e</x:v>
      </x:c>
      <x:c r="J829" s="22" t="n">
        <x:v>1</x:v>
      </x:c>
      <x:c r="K829" s="22" t="n">
        <x:v>1</x:v>
      </x:c>
      <x:c r="L829" s="22" t="n">
        <x:v>1</x:v>
      </x:c>
      <x:c r="M829" s="28" t="n">
        <x:v>1</x:v>
      </x:c>
      <x:c r="N829" s="28" t="n">
        <x:v>145</x:v>
      </x:c>
      <x:c r="O829" s="28" t="n">
        <x:v>1</x:v>
      </x:c>
      <x:c r="P829" s="62" t="n">
        <x:v>0.006896551724137931</x:v>
      </x:c>
      <x:c r="Q829" s="22" t="n">
        <x:v>0</x:v>
      </x:c>
      <x:c r="R829" s="22" t="str">
        <x:v>Лист1</x:v>
      </x:c>
      <x:c r="S829" s="22" t="str">
        <x:v>visible</x:v>
      </x:c>
      <x:c r="T829" s="22" t="str"/>
    </x:row>
    <x:row r="830">
      <x:c r="A830" s="22" t="str">
        <x:v>2020-00086</x:v>
      </x:c>
      <x:c r="B830" s="22" t="str">
        <x:v>L2023-00053-1</x:v>
      </x:c>
      <x:c r="C830" s="22" t="str">
        <x:v>공사</x:v>
      </x:c>
      <x:c r="D830" s="25" t="str">
        <x:v>우즈베키스탄 직업훈련원 및 타슈켄트 교사연수센터 건립 시공업체 선정 현지입찰</x:v>
      </x:c>
      <x:c r="E830" s="22" t="n">
        <x:v>1</x:v>
      </x:c>
      <x:c r="F830" s="22" t="str">
        <x:v>.xls</x:v>
      </x:c>
      <x:c r="G830" s="25" t="str">
        <x:v>L2023-00053-1/Urgench VTC Bid Attachment Documents/Urgench VTC Bid Attachment Documents/Section 4.  Bill of Quantities(Not-Priced)/공내역서/VTC견적서/3 ОБЩЕЖИТИЕ(Dormitory)/3-2 АР(Architecture)/13093_vfor.xls</x:v>
      </x:c>
      <x:c r="H830" s="28" t="n">
        <x:v>60928</x:v>
      </x:c>
      <x:c r="I830" s="22" t="str">
        <x:v>4d47568603d5e187d1e4c7fb6f4d61f9bbfd00c2e5ce279aa4cbc3e286009fda</x:v>
      </x:c>
      <x:c r="J830" s="22" t="n">
        <x:v>1</x:v>
      </x:c>
      <x:c r="K830" s="22" t="n">
        <x:v>1</x:v>
      </x:c>
      <x:c r="L830" s="22" t="n">
        <x:v>1</x:v>
      </x:c>
      <x:c r="M830" s="28" t="n">
        <x:v>0</x:v>
      </x:c>
      <x:c r="N830" s="28" t="n">
        <x:v>0</x:v>
      </x:c>
      <x:c r="O830" s="28" t="n">
        <x:v>0</x:v>
      </x:c>
      <x:c r="P830" s="62" t="n">
        <x:v>0</x:v>
      </x:c>
      <x:c r="Q830" s="22" t="n">
        <x:v>0</x:v>
      </x:c>
      <x:c r="R830" s="22" t="str"/>
      <x:c r="S830" s="22" t="str"/>
      <x:c r="T830" s="22" t="str"/>
    </x:row>
    <x:row r="831">
      <x:c r="A831" s="22" t="str">
        <x:v>2020-00086</x:v>
      </x:c>
      <x:c r="B831" s="22" t="str">
        <x:v>L2023-00053-1</x:v>
      </x:c>
      <x:c r="C831" s="22" t="str">
        <x:v>공사</x:v>
      </x:c>
      <x:c r="D831" s="25" t="str">
        <x:v>우즈베키스탄 직업훈련원 및 타슈켄트 교사연수센터 건립 시공업체 선정 현지입찰</x:v>
      </x:c>
      <x:c r="E831" s="22" t="n">
        <x:v>1</x:v>
      </x:c>
      <x:c r="F831" s="22" t="str">
        <x:v>.xls</x:v>
      </x:c>
      <x:c r="G831" s="25" t="str">
        <x:v>L2023-00053-1/Urgench VTC Bid Attachment Documents/Urgench VTC Bid Attachment Documents/Section 4.  Bill of Quantities(Not-Priced)/공내역서/VTC견적서/3 ОБЩЕЖИТИЕ(Dormitory)/3-2 АР(Architecture)/bv13090.xls</x:v>
      </x:c>
      <x:c r="H831" s="28" t="n">
        <x:v>209920</x:v>
      </x:c>
      <x:c r="I831" s="22" t="str">
        <x:v>1685986296491a91628263cbf83b83623c64d74dd57af717e61f8666ff120e05</x:v>
      </x:c>
      <x:c r="J831" s="22" t="n">
        <x:v>1</x:v>
      </x:c>
      <x:c r="K831" s="22" t="n">
        <x:v>1</x:v>
      </x:c>
      <x:c r="L831" s="22" t="n">
        <x:v>1</x:v>
      </x:c>
      <x:c r="M831" s="28" t="n">
        <x:v>0</x:v>
      </x:c>
      <x:c r="N831" s="28" t="n">
        <x:v>0</x:v>
      </x:c>
      <x:c r="O831" s="28" t="n">
        <x:v>0</x:v>
      </x:c>
      <x:c r="P831" s="62" t="n">
        <x:v>0</x:v>
      </x:c>
      <x:c r="Q831" s="22" t="n">
        <x:v>0</x:v>
      </x:c>
      <x:c r="R831" s="22" t="str"/>
      <x:c r="S831" s="22" t="str"/>
      <x:c r="T831" s="22" t="str"/>
    </x:row>
    <x:row r="832">
      <x:c r="A832" s="22" t="str">
        <x:v>2020-00086</x:v>
      </x:c>
      <x:c r="B832" s="22" t="str">
        <x:v>L2023-00053-1</x:v>
      </x:c>
      <x:c r="C832" s="22" t="str">
        <x:v>공사</x:v>
      </x:c>
      <x:c r="D832" s="25" t="str">
        <x:v>우즈베키스탄 직업훈련원 및 타슈켄트 교사연수센터 건립 시공업체 선정 현지입찰</x:v>
      </x:c>
      <x:c r="E832" s="22" t="n">
        <x:v>1</x:v>
      </x:c>
      <x:c r="F832" s="22" t="str">
        <x:v>.xls</x:v>
      </x:c>
      <x:c r="G832" s="25" t="str">
        <x:v>L2023-00053-1/Urgench VTC Bid Attachment Documents/Urgench VTC Bid Attachment Documents/Section 4.  Bill of Quantities(Not-Priced)/공내역서/VTC견적서/3 ОБЩЕЖИТИЕ(Dormitory)/3-5 ЭО(Electric)/bv13390.xls</x:v>
      </x:c>
      <x:c r="H832" s="28" t="n">
        <x:v>160768</x:v>
      </x:c>
      <x:c r="I832" s="22" t="str">
        <x:v>f253090ffac6492dc866ebd21e5932b06eb5866828914246cdec489ba998f2e4</x:v>
      </x:c>
      <x:c r="J832" s="22" t="n">
        <x:v>1</x:v>
      </x:c>
      <x:c r="K832" s="22" t="n">
        <x:v>1</x:v>
      </x:c>
      <x:c r="L832" s="22" t="n">
        <x:v>1</x:v>
      </x:c>
      <x:c r="M832" s="28" t="n">
        <x:v>0</x:v>
      </x:c>
      <x:c r="N832" s="28" t="n">
        <x:v>0</x:v>
      </x:c>
      <x:c r="O832" s="28" t="n">
        <x:v>0</x:v>
      </x:c>
      <x:c r="P832" s="62" t="n">
        <x:v>0</x:v>
      </x:c>
      <x:c r="Q832" s="22" t="n">
        <x:v>0</x:v>
      </x:c>
      <x:c r="R832" s="22" t="str"/>
      <x:c r="S832" s="22" t="str"/>
      <x:c r="T832" s="22" t="str"/>
    </x:row>
    <x:row r="833">
      <x:c r="A833" s="22" t="str">
        <x:v>2020-00086</x:v>
      </x:c>
      <x:c r="B833" s="22" t="str">
        <x:v>L2023-00053-1</x:v>
      </x:c>
      <x:c r="C833" s="22" t="str">
        <x:v>공사</x:v>
      </x:c>
      <x:c r="D833" s="25" t="str">
        <x:v>우즈베키스탄 직업훈련원 및 타슈켄트 교사연수센터 건립 시공업체 선정 현지입찰</x:v>
      </x:c>
      <x:c r="E833" s="22" t="n">
        <x:v>1</x:v>
      </x:c>
      <x:c r="F833" s="22" t="str">
        <x:v>.xls</x:v>
      </x:c>
      <x:c r="G833" s="25" t="str">
        <x:v>L2023-00053-1/Urgench VTC Bid Attachment Documents/Urgench VTC Bid Attachment Documents/Section 4.  Bill of Quantities(Not-Priced)/공내역서/VTC견적서/3 ОБЩЕЖИТИЕ(Dormitory)/3-5 ЭО(Electric)/13393_vfor.xls</x:v>
      </x:c>
      <x:c r="H833" s="28" t="n">
        <x:v>74752</x:v>
      </x:c>
      <x:c r="I833" s="22" t="str">
        <x:v>c57faedafd23f56233bfb4c2b31f065e2adce41022cc4128bd3c30ee9cca34fb</x:v>
      </x:c>
      <x:c r="J833" s="22" t="n">
        <x:v>1</x:v>
      </x:c>
      <x:c r="K833" s="22" t="n">
        <x:v>1</x:v>
      </x:c>
      <x:c r="L833" s="22" t="n">
        <x:v>1</x:v>
      </x:c>
      <x:c r="M833" s="28" t="n">
        <x:v>0</x:v>
      </x:c>
      <x:c r="N833" s="28" t="n">
        <x:v>0</x:v>
      </x:c>
      <x:c r="O833" s="28" t="n">
        <x:v>0</x:v>
      </x:c>
      <x:c r="P833" s="62" t="n">
        <x:v>0</x:v>
      </x:c>
      <x:c r="Q833" s="22" t="n">
        <x:v>0</x:v>
      </x:c>
      <x:c r="R833" s="22" t="str"/>
      <x:c r="S833" s="22" t="str"/>
      <x:c r="T833" s="22" t="str"/>
    </x:row>
    <x:row r="834">
      <x:c r="A834" s="22" t="str">
        <x:v>2020-00086</x:v>
      </x:c>
      <x:c r="B834" s="22" t="str">
        <x:v>L2023-00053-1</x:v>
      </x:c>
      <x:c r="C834" s="22" t="str">
        <x:v>공사</x:v>
      </x:c>
      <x:c r="D834" s="25" t="str">
        <x:v>우즈베키스탄 직업훈련원 및 타슈켄트 교사연수센터 건립 시공업체 선정 현지입찰</x:v>
      </x:c>
      <x:c r="E834" s="22" t="n">
        <x:v>1</x:v>
      </x:c>
      <x:c r="F834" s="22" t="str">
        <x:v>.xls</x:v>
      </x:c>
      <x:c r="G834" s="25" t="str">
        <x:v>L2023-00053-1/Urgench VTC Bid Attachment Documents/Urgench VTC Bid Attachment Documents/Section 4.  Bill of Quantities(Not-Priced)/공내역서/VTC견적서/3 ОБЩЕЖИТИЕ(Dormitory)/3-5 ЭО(Electric)/13393_vrmu.xls</x:v>
      </x:c>
      <x:c r="H834" s="28" t="n">
        <x:v>78336</x:v>
      </x:c>
      <x:c r="I834" s="22" t="str">
        <x:v>7add88d19ffe23920e0d357509a9de1536402bfcbd3a0ea5b119baa189db15ee</x:v>
      </x:c>
      <x:c r="J834" s="22" t="n">
        <x:v>1</x:v>
      </x:c>
      <x:c r="K834" s="22" t="n">
        <x:v>1</x:v>
      </x:c>
      <x:c r="L834" s="22" t="n">
        <x:v>1</x:v>
      </x:c>
      <x:c r="M834" s="28" t="n">
        <x:v>0</x:v>
      </x:c>
      <x:c r="N834" s="28" t="n">
        <x:v>0</x:v>
      </x:c>
      <x:c r="O834" s="28" t="n">
        <x:v>0</x:v>
      </x:c>
      <x:c r="P834" s="62" t="n">
        <x:v>0</x:v>
      </x:c>
      <x:c r="Q834" s="22" t="n">
        <x:v>0</x:v>
      </x:c>
      <x:c r="R834" s="22" t="str"/>
      <x:c r="S834" s="22" t="str"/>
      <x:c r="T834" s="22" t="str"/>
    </x:row>
    <x:row r="835">
      <x:c r="A835" s="22" t="str">
        <x:v>2020-00086</x:v>
      </x:c>
      <x:c r="B835" s="22" t="str">
        <x:v>L2023-00053-1</x:v>
      </x:c>
      <x:c r="C835" s="22" t="str">
        <x:v>공사</x:v>
      </x:c>
      <x:c r="D835" s="25" t="str">
        <x:v>우즈베키스탄 직업훈련원 및 타슈켄트 교사연수센터 건립 시공업체 선정 현지입찰</x:v>
      </x:c>
      <x:c r="E835" s="22" t="n">
        <x:v>1</x:v>
      </x:c>
      <x:c r="F835" s="22" t="str">
        <x:v>.xls</x:v>
      </x:c>
      <x:c r="G835" s="25" t="str">
        <x:v>L2023-00053-1/Urgench VTC Bid Attachment Documents/Urgench VTC Bid Attachment Documents/Section 4.  Bill of Quantities(Not-Priced)/공내역서/VTC견적서/3 ОБЩЕЖИТИЕ(Dormitory)/3-9 ГСВ(Gas)/13453_vfor.xls</x:v>
      </x:c>
      <x:c r="H835" s="28" t="n">
        <x:v>44544</x:v>
      </x:c>
      <x:c r="I835" s="22" t="str">
        <x:v>b2b073542fbb835fe4e72757b8f29fa046145334ce54790769524e09e869dc87</x:v>
      </x:c>
      <x:c r="J835" s="22" t="n">
        <x:v>1</x:v>
      </x:c>
      <x:c r="K835" s="22" t="n">
        <x:v>1</x:v>
      </x:c>
      <x:c r="L835" s="22" t="n">
        <x:v>1</x:v>
      </x:c>
      <x:c r="M835" s="28" t="n">
        <x:v>0</x:v>
      </x:c>
      <x:c r="N835" s="28" t="n">
        <x:v>0</x:v>
      </x:c>
      <x:c r="O835" s="28" t="n">
        <x:v>0</x:v>
      </x:c>
      <x:c r="P835" s="62" t="n">
        <x:v>0</x:v>
      </x:c>
      <x:c r="Q835" s="22" t="n">
        <x:v>0</x:v>
      </x:c>
      <x:c r="R835" s="22" t="str"/>
      <x:c r="S835" s="22" t="str"/>
      <x:c r="T835" s="22" t="str"/>
    </x:row>
    <x:row r="836">
      <x:c r="A836" s="22" t="str">
        <x:v>2020-00086</x:v>
      </x:c>
      <x:c r="B836" s="22" t="str">
        <x:v>L2023-00053-1</x:v>
      </x:c>
      <x:c r="C836" s="22" t="str">
        <x:v>공사</x:v>
      </x:c>
      <x:c r="D836" s="25" t="str">
        <x:v>우즈베키스탄 직업훈련원 및 타슈켄트 교사연수센터 건립 시공업체 선정 현지입찰</x:v>
      </x:c>
      <x:c r="E836" s="22" t="n">
        <x:v>1</x:v>
      </x:c>
      <x:c r="F836" s="22" t="str">
        <x:v>.xls</x:v>
      </x:c>
      <x:c r="G836" s="25" t="str">
        <x:v>L2023-00053-1/Urgench VTC Bid Attachment Documents/Urgench VTC Bid Attachment Documents/Section 4.  Bill of Quantities(Not-Priced)/공내역서/VTC견적서/3 ОБЩЕЖИТИЕ(Dormitory)/3-9 ГСВ(Gas)/13453_vrmu.xls</x:v>
      </x:c>
      <x:c r="H836" s="28" t="n">
        <x:v>54272</x:v>
      </x:c>
      <x:c r="I836" s="22" t="str">
        <x:v>3d2cb67c9a0dde2603871acfa78f9950ff40dd7781efbc8177d683b0c6dcf091</x:v>
      </x:c>
      <x:c r="J836" s="22" t="n">
        <x:v>1</x:v>
      </x:c>
      <x:c r="K836" s="22" t="n">
        <x:v>1</x:v>
      </x:c>
      <x:c r="L836" s="22" t="n">
        <x:v>1</x:v>
      </x:c>
      <x:c r="M836" s="28" t="n">
        <x:v>1</x:v>
      </x:c>
      <x:c r="N836" s="28" t="n">
        <x:v>71</x:v>
      </x:c>
      <x:c r="O836" s="28" t="n">
        <x:v>1</x:v>
      </x:c>
      <x:c r="P836" s="62" t="n">
        <x:v>0.014084507042253521</x:v>
      </x:c>
      <x:c r="Q836" s="22" t="n">
        <x:v>0</x:v>
      </x:c>
      <x:c r="R836" s="22" t="str">
        <x:v>Лист1</x:v>
      </x:c>
      <x:c r="S836" s="22" t="str">
        <x:v>visible</x:v>
      </x:c>
      <x:c r="T836" s="22" t="str"/>
    </x:row>
    <x:row r="837">
      <x:c r="A837" s="22" t="str">
        <x:v>2020-00086</x:v>
      </x:c>
      <x:c r="B837" s="22" t="str">
        <x:v>L2023-00053-1</x:v>
      </x:c>
      <x:c r="C837" s="22" t="str">
        <x:v>공사</x:v>
      </x:c>
      <x:c r="D837" s="25" t="str">
        <x:v>우즈베키스탄 직업훈련원 및 타슈켄트 교사연수센터 건립 시공업체 선정 현지입찰</x:v>
      </x:c>
      <x:c r="E837" s="22" t="n">
        <x:v>1</x:v>
      </x:c>
      <x:c r="F837" s="22" t="str">
        <x:v>.xls</x:v>
      </x:c>
      <x:c r="G837" s="25" t="str">
        <x:v>L2023-00053-1/Urgench VTC Bid Attachment Documents/Urgench VTC Bid Attachment Documents/Section 4.  Bill of Quantities(Not-Priced)/공내역서/VTC견적서/3 ОБЩЕЖИТИЕ(Dormitory)/3-9 ГСВ(Gas)/bv13450.xls</x:v>
      </x:c>
      <x:c r="H837" s="28" t="n">
        <x:v>101888</x:v>
      </x:c>
      <x:c r="I837" s="22" t="str">
        <x:v>5f4deb4ba0c0096f69c68e61171f182e5ed846594ec98a23e310f3970c06fa71</x:v>
      </x:c>
      <x:c r="J837" s="22" t="n">
        <x:v>1</x:v>
      </x:c>
      <x:c r="K837" s="22" t="n">
        <x:v>1</x:v>
      </x:c>
      <x:c r="L837" s="22" t="n">
        <x:v>1</x:v>
      </x:c>
      <x:c r="M837" s="28" t="n">
        <x:v>0</x:v>
      </x:c>
      <x:c r="N837" s="28" t="n">
        <x:v>0</x:v>
      </x:c>
      <x:c r="O837" s="28" t="n">
        <x:v>0</x:v>
      </x:c>
      <x:c r="P837" s="62" t="n">
        <x:v>0</x:v>
      </x:c>
      <x:c r="Q837" s="22" t="n">
        <x:v>0</x:v>
      </x:c>
      <x:c r="R837" s="22" t="str"/>
      <x:c r="S837" s="22" t="str"/>
      <x:c r="T837" s="22" t="str"/>
    </x:row>
    <x:row r="838">
      <x:c r="A838" s="22" t="str">
        <x:v>2020-00086</x:v>
      </x:c>
      <x:c r="B838" s="22" t="str">
        <x:v>L2023-00053-1</x:v>
      </x:c>
      <x:c r="C838" s="22" t="str">
        <x:v>공사</x:v>
      </x:c>
      <x:c r="D838" s="25" t="str">
        <x:v>우즈베키스탄 직업훈련원 및 타슈켄트 교사연수센터 건립 시공업체 선정 현지입찰</x:v>
      </x:c>
      <x:c r="E838" s="22" t="n">
        <x:v>1</x:v>
      </x:c>
      <x:c r="F838" s="22" t="str">
        <x:v>.xls</x:v>
      </x:c>
      <x:c r="G838" s="25" t="str">
        <x:v>L2023-00053-1/Urgench VTC Bid Attachment Documents/Urgench VTC Bid Attachment Documents/Section 4.  Bill of Quantities(Not-Priced)/공내역서/VTC견적서/3 ОБЩЕЖИТИЕ(Dormitory)/3-8 ТМ(Boiler &amp; Solar heating)/13443_vrmu.xls</x:v>
      </x:c>
      <x:c r="H838" s="28" t="n">
        <x:v>86528</x:v>
      </x:c>
      <x:c r="I838" s="22" t="str">
        <x:v>d3c0a88886331817cb71e9575b7bdf7dcfbffd63454a29c052460c96407dc642</x:v>
      </x:c>
      <x:c r="J838" s="22" t="n">
        <x:v>1</x:v>
      </x:c>
      <x:c r="K838" s="22" t="n">
        <x:v>1</x:v>
      </x:c>
      <x:c r="L838" s="22" t="n">
        <x:v>1</x:v>
      </x:c>
      <x:c r="M838" s="28" t="n">
        <x:v>1</x:v>
      </x:c>
      <x:c r="N838" s="28" t="n">
        <x:v>174</x:v>
      </x:c>
      <x:c r="O838" s="28" t="n">
        <x:v>1</x:v>
      </x:c>
      <x:c r="P838" s="62" t="n">
        <x:v>0.005747126436781609</x:v>
      </x:c>
      <x:c r="Q838" s="22" t="n">
        <x:v>0</x:v>
      </x:c>
      <x:c r="R838" s="22" t="str">
        <x:v>Лист1</x:v>
      </x:c>
      <x:c r="S838" s="22" t="str">
        <x:v>visible</x:v>
      </x:c>
      <x:c r="T838" s="22" t="str"/>
    </x:row>
    <x:row r="839">
      <x:c r="A839" s="22" t="str">
        <x:v>2020-00086</x:v>
      </x:c>
      <x:c r="B839" s="22" t="str">
        <x:v>L2023-00053-1</x:v>
      </x:c>
      <x:c r="C839" s="22" t="str">
        <x:v>공사</x:v>
      </x:c>
      <x:c r="D839" s="25" t="str">
        <x:v>우즈베키스탄 직업훈련원 및 타슈켄트 교사연수센터 건립 시공업체 선정 현지입찰</x:v>
      </x:c>
      <x:c r="E839" s="22" t="n">
        <x:v>1</x:v>
      </x:c>
      <x:c r="F839" s="22" t="str">
        <x:v>.xls</x:v>
      </x:c>
      <x:c r="G839" s="25" t="str">
        <x:v>L2023-00053-1/Urgench VTC Bid Attachment Documents/Urgench VTC Bid Attachment Documents/Section 4.  Bill of Quantities(Not-Priced)/공내역서/VTC견적서/3 ОБЩЕЖИТИЕ(Dormitory)/3-8 ТМ(Boiler &amp; Solar heating)/bv13440.xls</x:v>
      </x:c>
      <x:c r="H839" s="28" t="n">
        <x:v>176128</x:v>
      </x:c>
      <x:c r="I839" s="22" t="str">
        <x:v>8f851a4587465612841b0497ea7ac0167998ac563b5dd9f8fd3cf937c6d20e25</x:v>
      </x:c>
      <x:c r="J839" s="22" t="n">
        <x:v>1</x:v>
      </x:c>
      <x:c r="K839" s="22" t="n">
        <x:v>1</x:v>
      </x:c>
      <x:c r="L839" s="22" t="n">
        <x:v>1</x:v>
      </x:c>
      <x:c r="M839" s="28" t="n">
        <x:v>0</x:v>
      </x:c>
      <x:c r="N839" s="28" t="n">
        <x:v>0</x:v>
      </x:c>
      <x:c r="O839" s="28" t="n">
        <x:v>0</x:v>
      </x:c>
      <x:c r="P839" s="62" t="n">
        <x:v>0</x:v>
      </x:c>
      <x:c r="Q839" s="22" t="n">
        <x:v>0</x:v>
      </x:c>
      <x:c r="R839" s="22" t="str"/>
      <x:c r="S839" s="22" t="str"/>
      <x:c r="T839" s="22" t="str"/>
    </x:row>
    <x:row r="840">
      <x:c r="A840" s="22" t="str">
        <x:v>2020-00086</x:v>
      </x:c>
      <x:c r="B840" s="22" t="str">
        <x:v>L2023-00053-1</x:v>
      </x:c>
      <x:c r="C840" s="22" t="str">
        <x:v>공사</x:v>
      </x:c>
      <x:c r="D840" s="25" t="str">
        <x:v>우즈베키스탄 직업훈련원 및 타슈켄트 교사연수센터 건립 시공업체 선정 현지입찰</x:v>
      </x:c>
      <x:c r="E840" s="22" t="n">
        <x:v>1</x:v>
      </x:c>
      <x:c r="F840" s="22" t="str">
        <x:v>.xls</x:v>
      </x:c>
      <x:c r="G840" s="25" t="str">
        <x:v>L2023-00053-1/Urgench VTC Bid Attachment Documents/Urgench VTC Bid Attachment Documents/Section 4.  Bill of Quantities(Not-Priced)/공내역서/VTC견적서/3 ОБЩЕЖИТИЕ(Dormitory)/3-8 ТМ(Boiler &amp; Solar heating)/13443_vfor.xls</x:v>
      </x:c>
      <x:c r="H840" s="28" t="n">
        <x:v>70144</x:v>
      </x:c>
      <x:c r="I840" s="22" t="str">
        <x:v>95536513d6bf3158fb4d65daa1a681e30df8970af4be141270aaa7b89bb0d95a</x:v>
      </x:c>
      <x:c r="J840" s="22" t="n">
        <x:v>1</x:v>
      </x:c>
      <x:c r="K840" s="22" t="n">
        <x:v>1</x:v>
      </x:c>
      <x:c r="L840" s="22" t="n">
        <x:v>1</x:v>
      </x:c>
      <x:c r="M840" s="28" t="n">
        <x:v>0</x:v>
      </x:c>
      <x:c r="N840" s="28" t="n">
        <x:v>0</x:v>
      </x:c>
      <x:c r="O840" s="28" t="n">
        <x:v>0</x:v>
      </x:c>
      <x:c r="P840" s="62" t="n">
        <x:v>0</x:v>
      </x:c>
      <x:c r="Q840" s="22" t="n">
        <x:v>0</x:v>
      </x:c>
      <x:c r="R840" s="22" t="str"/>
      <x:c r="S840" s="22" t="str"/>
      <x:c r="T840" s="22" t="str"/>
    </x:row>
    <x:row r="841">
      <x:c r="A841" s="22" t="str">
        <x:v>2020-00086</x:v>
      </x:c>
      <x:c r="B841" s="22" t="str">
        <x:v>L2023-00053-1</x:v>
      </x:c>
      <x:c r="C841" s="22" t="str">
        <x:v>공사</x:v>
      </x:c>
      <x:c r="D841" s="25" t="str">
        <x:v>우즈베키스탄 직업훈련원 및 타슈켄트 교사연수센터 건립 시공업체 선정 현지입찰</x:v>
      </x:c>
      <x:c r="E841" s="22" t="n">
        <x:v>1</x:v>
      </x:c>
      <x:c r="F841" s="22" t="str">
        <x:v>.xls</x:v>
      </x:c>
      <x:c r="G841" s="25" t="str">
        <x:v>L2023-00053-1/Urgench VTC Bid Attachment Documents/Urgench VTC Bid Attachment Documents/Section 4.  Bill of Quantities(Not-Priced)/공내역서/VTC견적서/3 ОБЩЕЖИТИЕ(Dormitory)/3-3 ОВ(Heating &amp; Ventilation)/13103_vrmu.xls</x:v>
      </x:c>
      <x:c r="H841" s="28" t="n">
        <x:v>61440</x:v>
      </x:c>
      <x:c r="I841" s="22" t="str">
        <x:v>1e94bb5552421589790c2b57554f506b5f1f0d69289ff4eee0eadf0c4411484b</x:v>
      </x:c>
      <x:c r="J841" s="22" t="n">
        <x:v>1</x:v>
      </x:c>
      <x:c r="K841" s="22" t="n">
        <x:v>1</x:v>
      </x:c>
      <x:c r="L841" s="22" t="n">
        <x:v>1</x:v>
      </x:c>
      <x:c r="M841" s="28" t="n">
        <x:v>1</x:v>
      </x:c>
      <x:c r="N841" s="28" t="n">
        <x:v>87</x:v>
      </x:c>
      <x:c r="O841" s="28" t="n">
        <x:v>1</x:v>
      </x:c>
      <x:c r="P841" s="62" t="n">
        <x:v>0.011494252873563218</x:v>
      </x:c>
      <x:c r="Q841" s="22" t="n">
        <x:v>0</x:v>
      </x:c>
      <x:c r="R841" s="22" t="str">
        <x:v>Лист1</x:v>
      </x:c>
      <x:c r="S841" s="22" t="str">
        <x:v>visible</x:v>
      </x:c>
      <x:c r="T841" s="22" t="str"/>
    </x:row>
    <x:row r="842">
      <x:c r="A842" s="22" t="str">
        <x:v>2020-00086</x:v>
      </x:c>
      <x:c r="B842" s="22" t="str">
        <x:v>L2023-00053-1</x:v>
      </x:c>
      <x:c r="C842" s="22" t="str">
        <x:v>공사</x:v>
      </x:c>
      <x:c r="D842" s="25" t="str">
        <x:v>우즈베키스탄 직업훈련원 및 타슈켄트 교사연수센터 건립 시공업체 선정 현지입찰</x:v>
      </x:c>
      <x:c r="E842" s="22" t="n">
        <x:v>1</x:v>
      </x:c>
      <x:c r="F842" s="22" t="str">
        <x:v>.xls</x:v>
      </x:c>
      <x:c r="G842" s="25" t="str">
        <x:v>L2023-00053-1/Urgench VTC Bid Attachment Documents/Urgench VTC Bid Attachment Documents/Section 4.  Bill of Quantities(Not-Priced)/공내역서/VTC견적서/3 ОБЩЕЖИТИЕ(Dormitory)/3-3 ОВ(Heating &amp; Ventilation)/bv13100.xls</x:v>
      </x:c>
      <x:c r="H842" s="28" t="n">
        <x:v>118784</x:v>
      </x:c>
      <x:c r="I842" s="22" t="str">
        <x:v>7a6af10e951e5b9fb0bc177d931c4ff15c4ecb1ebe83088b80ad66656bcd9ec6</x:v>
      </x:c>
      <x:c r="J842" s="22" t="n">
        <x:v>1</x:v>
      </x:c>
      <x:c r="K842" s="22" t="n">
        <x:v>1</x:v>
      </x:c>
      <x:c r="L842" s="22" t="n">
        <x:v>1</x:v>
      </x:c>
      <x:c r="M842" s="28" t="n">
        <x:v>0</x:v>
      </x:c>
      <x:c r="N842" s="28" t="n">
        <x:v>0</x:v>
      </x:c>
      <x:c r="O842" s="28" t="n">
        <x:v>0</x:v>
      </x:c>
      <x:c r="P842" s="62" t="n">
        <x:v>0</x:v>
      </x:c>
      <x:c r="Q842" s="22" t="n">
        <x:v>0</x:v>
      </x:c>
      <x:c r="R842" s="22" t="str"/>
      <x:c r="S842" s="22" t="str"/>
      <x:c r="T842" s="22" t="str"/>
    </x:row>
    <x:row r="843">
      <x:c r="A843" s="22" t="str">
        <x:v>2020-00086</x:v>
      </x:c>
      <x:c r="B843" s="22" t="str">
        <x:v>L2023-00053-1</x:v>
      </x:c>
      <x:c r="C843" s="22" t="str">
        <x:v>공사</x:v>
      </x:c>
      <x:c r="D843" s="25" t="str">
        <x:v>우즈베키스탄 직업훈련원 및 타슈켄트 교사연수센터 건립 시공업체 선정 현지입찰</x:v>
      </x:c>
      <x:c r="E843" s="22" t="n">
        <x:v>1</x:v>
      </x:c>
      <x:c r="F843" s="22" t="str">
        <x:v>.xls</x:v>
      </x:c>
      <x:c r="G843" s="25" t="str">
        <x:v>L2023-00053-1/Urgench VTC Bid Attachment Documents/Urgench VTC Bid Attachment Documents/Section 4.  Bill of Quantities(Not-Priced)/공내역서/VTC견적서/3 ОБЩЕЖИТИЕ(Dormitory)/3-3 ОВ(Heating &amp; Ventilation)/13103_vfor.xls</x:v>
      </x:c>
      <x:c r="H843" s="28" t="n">
        <x:v>51712</x:v>
      </x:c>
      <x:c r="I843" s="22" t="str">
        <x:v>fc72408b079aa86e3fe987541b5e7735bf43a368e9fe333d8ae13603fde2a81f</x:v>
      </x:c>
      <x:c r="J843" s="22" t="n">
        <x:v>1</x:v>
      </x:c>
      <x:c r="K843" s="22" t="n">
        <x:v>1</x:v>
      </x:c>
      <x:c r="L843" s="22" t="n">
        <x:v>1</x:v>
      </x:c>
      <x:c r="M843" s="28" t="n">
        <x:v>0</x:v>
      </x:c>
      <x:c r="N843" s="28" t="n">
        <x:v>0</x:v>
      </x:c>
      <x:c r="O843" s="28" t="n">
        <x:v>0</x:v>
      </x:c>
      <x:c r="P843" s="62" t="n">
        <x:v>0</x:v>
      </x:c>
      <x:c r="Q843" s="22" t="n">
        <x:v>0</x:v>
      </x:c>
      <x:c r="R843" s="22" t="str"/>
      <x:c r="S843" s="22" t="str"/>
      <x:c r="T843" s="22" t="str"/>
    </x:row>
    <x:row r="844">
      <x:c r="A844" s="22" t="str">
        <x:v>2020-00086</x:v>
      </x:c>
      <x:c r="B844" s="22" t="str">
        <x:v>L2023-00053-1</x:v>
      </x:c>
      <x:c r="C844" s="22" t="str">
        <x:v>공사</x:v>
      </x:c>
      <x:c r="D844" s="25" t="str">
        <x:v>우즈베키스탄 직업훈련원 및 타슈켄트 교사연수센터 건립 시공업체 선정 현지입찰</x:v>
      </x:c>
      <x:c r="E844" s="22" t="n">
        <x:v>1</x:v>
      </x:c>
      <x:c r="F844" s="22" t="str">
        <x:v>.xls</x:v>
      </x:c>
      <x:c r="G844" s="25" t="str">
        <x:v>L2023-00053-1/Urgench VTC Bid Attachment Documents/Urgench VTC Bid Attachment Documents/Section 4.  Bill of Quantities(Not-Priced)/공내역서/VTC견적서/3 ОБЩЕЖИТИЕ(Dormitory)/3-4 ВК(Water &amp; Sewer &amp; Fireplug)/13113_vfor.xls</x:v>
      </x:c>
      <x:c r="H844" s="28" t="n">
        <x:v>62464</x:v>
      </x:c>
      <x:c r="I844" s="22" t="str">
        <x:v>73e6dd7aa52e8cf03b392cc81de31620bc3e272e464fc12dbcafaed5d7906cd7</x:v>
      </x:c>
      <x:c r="J844" s="22" t="n">
        <x:v>1</x:v>
      </x:c>
      <x:c r="K844" s="22" t="n">
        <x:v>1</x:v>
      </x:c>
      <x:c r="L844" s="22" t="n">
        <x:v>1</x:v>
      </x:c>
      <x:c r="M844" s="28" t="n">
        <x:v>0</x:v>
      </x:c>
      <x:c r="N844" s="28" t="n">
        <x:v>0</x:v>
      </x:c>
      <x:c r="O844" s="28" t="n">
        <x:v>0</x:v>
      </x:c>
      <x:c r="P844" s="62" t="n">
        <x:v>0</x:v>
      </x:c>
      <x:c r="Q844" s="22" t="n">
        <x:v>0</x:v>
      </x:c>
      <x:c r="R844" s="22" t="str"/>
      <x:c r="S844" s="22" t="str"/>
      <x:c r="T844" s="22" t="str"/>
    </x:row>
    <x:row r="845">
      <x:c r="A845" s="22" t="str">
        <x:v>2020-00086</x:v>
      </x:c>
      <x:c r="B845" s="22" t="str">
        <x:v>L2023-00053-1</x:v>
      </x:c>
      <x:c r="C845" s="22" t="str">
        <x:v>공사</x:v>
      </x:c>
      <x:c r="D845" s="25" t="str">
        <x:v>우즈베키스탄 직업훈련원 및 타슈켄트 교사연수센터 건립 시공업체 선정 현지입찰</x:v>
      </x:c>
      <x:c r="E845" s="22" t="n">
        <x:v>1</x:v>
      </x:c>
      <x:c r="F845" s="22" t="str">
        <x:v>.xls</x:v>
      </x:c>
      <x:c r="G845" s="25" t="str">
        <x:v>L2023-00053-1/Urgench VTC Bid Attachment Documents/Urgench VTC Bid Attachment Documents/Section 4.  Bill of Quantities(Not-Priced)/공내역서/VTC견적서/3 ОБЩЕЖИТИЕ(Dormitory)/3-4 ВК(Water &amp; Sewer &amp; Fireplug)/bv13110.xls</x:v>
      </x:c>
      <x:c r="H845" s="28" t="n">
        <x:v>162816</x:v>
      </x:c>
      <x:c r="I845" s="22" t="str">
        <x:v>88307ab28fb3650d960a3f58562bd7c34d3a46f3916c3f9c302c8d91b33946f4</x:v>
      </x:c>
      <x:c r="J845" s="22" t="n">
        <x:v>1</x:v>
      </x:c>
      <x:c r="K845" s="22" t="n">
        <x:v>1</x:v>
      </x:c>
      <x:c r="L845" s="22" t="n">
        <x:v>1</x:v>
      </x:c>
      <x:c r="M845" s="28" t="n">
        <x:v>0</x:v>
      </x:c>
      <x:c r="N845" s="28" t="n">
        <x:v>0</x:v>
      </x:c>
      <x:c r="O845" s="28" t="n">
        <x:v>0</x:v>
      </x:c>
      <x:c r="P845" s="62" t="n">
        <x:v>0</x:v>
      </x:c>
      <x:c r="Q845" s="22" t="n">
        <x:v>0</x:v>
      </x:c>
      <x:c r="R845" s="22" t="str"/>
      <x:c r="S845" s="22" t="str"/>
      <x:c r="T845" s="22" t="str"/>
    </x:row>
    <x:row r="846">
      <x:c r="A846" s="22" t="str">
        <x:v>2020-00086</x:v>
      </x:c>
      <x:c r="B846" s="22" t="str">
        <x:v>L2023-00053-1</x:v>
      </x:c>
      <x:c r="C846" s="22" t="str">
        <x:v>공사</x:v>
      </x:c>
      <x:c r="D846" s="25" t="str">
        <x:v>우즈베키스탄 직업훈련원 및 타슈켄트 교사연수센터 건립 시공업체 선정 현지입찰</x:v>
      </x:c>
      <x:c r="E846" s="22" t="n">
        <x:v>1</x:v>
      </x:c>
      <x:c r="F846" s="22" t="str">
        <x:v>.xls</x:v>
      </x:c>
      <x:c r="G846" s="25" t="str">
        <x:v>L2023-00053-1/Urgench VTC Bid Attachment Documents/Urgench VTC Bid Attachment Documents/Section 4.  Bill of Quantities(Not-Priced)/공내역서/VTC견적서/3 ОБЩЕЖИТИЕ(Dormitory)/3-4 ВК(Water &amp; Sewer &amp; Fireplug)/13113_vrmu.xls</x:v>
      </x:c>
      <x:c r="H846" s="28" t="n">
        <x:v>78336</x:v>
      </x:c>
      <x:c r="I846" s="22" t="str">
        <x:v>23bb6dcb0e3ca3d9e11440aeecc7927f87168d16d5a2fb32594cc8f7c510f911</x:v>
      </x:c>
      <x:c r="J846" s="22" t="n">
        <x:v>1</x:v>
      </x:c>
      <x:c r="K846" s="22" t="n">
        <x:v>1</x:v>
      </x:c>
      <x:c r="L846" s="22" t="n">
        <x:v>1</x:v>
      </x:c>
      <x:c r="M846" s="28" t="n">
        <x:v>0</x:v>
      </x:c>
      <x:c r="N846" s="28" t="n">
        <x:v>0</x:v>
      </x:c>
      <x:c r="O846" s="28" t="n">
        <x:v>0</x:v>
      </x:c>
      <x:c r="P846" s="62" t="n">
        <x:v>0</x:v>
      </x:c>
      <x:c r="Q846" s="22" t="n">
        <x:v>0</x:v>
      </x:c>
      <x:c r="R846" s="22" t="str"/>
      <x:c r="S846" s="22" t="str"/>
      <x:c r="T846" s="22" t="str"/>
    </x:row>
    <x:row r="847">
      <x:c r="A847" s="22" t="str">
        <x:v>2020-00086</x:v>
      </x:c>
      <x:c r="B847" s="22" t="str">
        <x:v>L2023-00053-1</x:v>
      </x:c>
      <x:c r="C847" s="22" t="str">
        <x:v>공사</x:v>
      </x:c>
      <x:c r="D847" s="25" t="str">
        <x:v>우즈베키스탄 직업훈련원 및 타슈켄트 교사연수센터 건립 시공업체 선정 현지입찰</x:v>
      </x:c>
      <x:c r="E847" s="22" t="n">
        <x:v>1</x:v>
      </x:c>
      <x:c r="F847" s="22" t="str">
        <x:v>.xls</x:v>
      </x:c>
      <x:c r="G847" s="25" t="str">
        <x:v>L2023-00053-1/Urgench VTC Bid Attachment Documents/Urgench VTC Bid Attachment Documents/Section 4.  Bill of Quantities(Not-Priced)/공내역서/VTC견적서/3 ОБЩЕЖИТИЕ(Dormitory)/3-1 КЖ(Structure)/13023_vrmu.xls</x:v>
      </x:c>
      <x:c r="H847" s="28" t="n">
        <x:v>71168</x:v>
      </x:c>
      <x:c r="I847" s="22" t="str">
        <x:v>1cd9211b72104c9dc7f6eee96daa2851e9bdb7ba1e1883dd402b4f613cca8d8f</x:v>
      </x:c>
      <x:c r="J847" s="22" t="n">
        <x:v>1</x:v>
      </x:c>
      <x:c r="K847" s="22" t="n">
        <x:v>1</x:v>
      </x:c>
      <x:c r="L847" s="22" t="n">
        <x:v>1</x:v>
      </x:c>
      <x:c r="M847" s="28" t="n">
        <x:v>1</x:v>
      </x:c>
      <x:c r="N847" s="28" t="n">
        <x:v>130</x:v>
      </x:c>
      <x:c r="O847" s="28" t="n">
        <x:v>1</x:v>
      </x:c>
      <x:c r="P847" s="62" t="n">
        <x:v>0.007692307692307693</x:v>
      </x:c>
      <x:c r="Q847" s="22" t="n">
        <x:v>0</x:v>
      </x:c>
      <x:c r="R847" s="22" t="str">
        <x:v>Лист1</x:v>
      </x:c>
      <x:c r="S847" s="22" t="str">
        <x:v>visible</x:v>
      </x:c>
      <x:c r="T847" s="22" t="str"/>
    </x:row>
    <x:row r="848">
      <x:c r="A848" s="22" t="str">
        <x:v>2020-00086</x:v>
      </x:c>
      <x:c r="B848" s="22" t="str">
        <x:v>L2023-00053-1</x:v>
      </x:c>
      <x:c r="C848" s="22" t="str">
        <x:v>공사</x:v>
      </x:c>
      <x:c r="D848" s="25" t="str">
        <x:v>우즈베키스탄 직업훈련원 및 타슈켄트 교사연수센터 건립 시공업체 선정 현지입찰</x:v>
      </x:c>
      <x:c r="E848" s="22" t="n">
        <x:v>1</x:v>
      </x:c>
      <x:c r="F848" s="22" t="str">
        <x:v>.xls</x:v>
      </x:c>
      <x:c r="G848" s="25" t="str">
        <x:v>L2023-00053-1/Urgench VTC Bid Attachment Documents/Urgench VTC Bid Attachment Documents/Section 4.  Bill of Quantities(Not-Priced)/공내역서/VTC견적서/3 ОБЩЕЖИТИЕ(Dormitory)/3-1 КЖ(Structure)/13023_vfor.xls</x:v>
      </x:c>
      <x:c r="H848" s="28" t="n">
        <x:v>71168</x:v>
      </x:c>
      <x:c r="I848" s="22" t="str">
        <x:v>673a85f5a1e9b6b7350bf66f3c67c715335e2cd418a95188f312dcbd098d438a</x:v>
      </x:c>
      <x:c r="J848" s="22" t="n">
        <x:v>1</x:v>
      </x:c>
      <x:c r="K848" s="22" t="n">
        <x:v>1</x:v>
      </x:c>
      <x:c r="L848" s="22" t="n">
        <x:v>1</x:v>
      </x:c>
      <x:c r="M848" s="28" t="n">
        <x:v>1</x:v>
      </x:c>
      <x:c r="N848" s="28" t="n">
        <x:v>219</x:v>
      </x:c>
      <x:c r="O848" s="28" t="n">
        <x:v>0</x:v>
      </x:c>
      <x:c r="P848" s="62" t="n">
        <x:v>0</x:v>
      </x:c>
      <x:c r="Q848" s="22" t="n">
        <x:v>0</x:v>
      </x:c>
      <x:c r="R848" s="22" t="str">
        <x:v>Лист1</x:v>
      </x:c>
      <x:c r="S848" s="22" t="str">
        <x:v>visible</x:v>
      </x:c>
      <x:c r="T848" s="22" t="str"/>
    </x:row>
    <x:row r="849">
      <x:c r="A849" s="22" t="str">
        <x:v>2020-00086</x:v>
      </x:c>
      <x:c r="B849" s="22" t="str">
        <x:v>L2023-00053-1</x:v>
      </x:c>
      <x:c r="C849" s="22" t="str">
        <x:v>공사</x:v>
      </x:c>
      <x:c r="D849" s="25" t="str">
        <x:v>우즈베키스탄 직업훈련원 및 타슈켄트 교사연수센터 건립 시공업체 선정 현지입찰</x:v>
      </x:c>
      <x:c r="E849" s="22" t="n">
        <x:v>1</x:v>
      </x:c>
      <x:c r="F849" s="22" t="str">
        <x:v>.xls</x:v>
      </x:c>
      <x:c r="G849" s="25" t="str">
        <x:v>L2023-00053-1/Urgench VTC Bid Attachment Documents/Urgench VTC Bid Attachment Documents/Section 4.  Bill of Quantities(Not-Priced)/공내역서/VTC견적서/3 ОБЩЕЖИТИЕ(Dormitory)/3-1 КЖ(Structure)/bv13020.xls</x:v>
      </x:c>
      <x:c r="H849" s="28" t="n">
        <x:v>286208</x:v>
      </x:c>
      <x:c r="I849" s="22" t="str">
        <x:v>aee487d6db0fed682c28fabba84e56d3b2d993351976b6197fbf6df4e3bc0506</x:v>
      </x:c>
      <x:c r="J849" s="22" t="n">
        <x:v>1</x:v>
      </x:c>
      <x:c r="K849" s="22" t="n">
        <x:v>1</x:v>
      </x:c>
      <x:c r="L849" s="22" t="n">
        <x:v>1</x:v>
      </x:c>
      <x:c r="M849" s="28" t="n">
        <x:v>1</x:v>
      </x:c>
      <x:c r="N849" s="28" t="n">
        <x:v>1374</x:v>
      </x:c>
      <x:c r="O849" s="28" t="n">
        <x:v>0</x:v>
      </x:c>
      <x:c r="P849" s="62" t="n">
        <x:v>0</x:v>
      </x:c>
      <x:c r="Q849" s="22" t="n">
        <x:v>0</x:v>
      </x:c>
      <x:c r="R849" s="22" t="str">
        <x:v>3-1_ЛРВ</x:v>
      </x:c>
      <x:c r="S849" s="22" t="str">
        <x:v>visible</x:v>
      </x:c>
      <x:c r="T849" s="22" t="str"/>
    </x:row>
    <x:row r="850">
      <x:c r="A850" s="22" t="str">
        <x:v>2020-00086</x:v>
      </x:c>
      <x:c r="B850" s="22" t="str">
        <x:v>L2023-00053-1</x:v>
      </x:c>
      <x:c r="C850" s="22" t="str">
        <x:v>공사</x:v>
      </x:c>
      <x:c r="D850" s="25" t="str">
        <x:v>우즈베키스탄 직업훈련원 및 타슈켄트 교사연수센터 건립 시공업체 선정 현지입찰</x:v>
      </x:c>
      <x:c r="E850" s="22" t="n">
        <x:v>1</x:v>
      </x:c>
      <x:c r="F850" s="22" t="str">
        <x:v>.xls</x:v>
      </x:c>
      <x:c r="G850" s="25" t="str">
        <x:v>L2023-00053-1/Urgench VTC Bid Attachment Documents/Urgench VTC Bid Attachment Documents/Section 4.  Bill of Quantities(Not-Priced)/공내역서/VTC견적서/7 КОМПРЕССОРАНЯ(Comp.+GAS storage)/7-3 ЭО(Electric)/bv13500.xls</x:v>
      </x:c>
      <x:c r="H850" s="28" t="n">
        <x:v>76800</x:v>
      </x:c>
      <x:c r="I850" s="22" t="str">
        <x:v>774c07e5846d462fcc00eda8f335b28050758f61dee53d10a4a56e44d829b2bb</x:v>
      </x:c>
      <x:c r="J850" s="22" t="n">
        <x:v>1</x:v>
      </x:c>
      <x:c r="K850" s="22" t="n">
        <x:v>1</x:v>
      </x:c>
      <x:c r="L850" s="22" t="n">
        <x:v>1</x:v>
      </x:c>
      <x:c r="M850" s="28" t="n">
        <x:v>0</x:v>
      </x:c>
      <x:c r="N850" s="28" t="n">
        <x:v>0</x:v>
      </x:c>
      <x:c r="O850" s="28" t="n">
        <x:v>0</x:v>
      </x:c>
      <x:c r="P850" s="62" t="n">
        <x:v>0</x:v>
      </x:c>
      <x:c r="Q850" s="22" t="n">
        <x:v>0</x:v>
      </x:c>
      <x:c r="R850" s="22" t="str"/>
      <x:c r="S850" s="22" t="str"/>
      <x:c r="T850" s="22" t="str"/>
    </x:row>
    <x:row r="851">
      <x:c r="A851" s="22" t="str">
        <x:v>2020-00086</x:v>
      </x:c>
      <x:c r="B851" s="22" t="str">
        <x:v>L2023-00053-1</x:v>
      </x:c>
      <x:c r="C851" s="22" t="str">
        <x:v>공사</x:v>
      </x:c>
      <x:c r="D851" s="25" t="str">
        <x:v>우즈베키스탄 직업훈련원 및 타슈켄트 교사연수센터 건립 시공업체 선정 현지입찰</x:v>
      </x:c>
      <x:c r="E851" s="22" t="n">
        <x:v>1</x:v>
      </x:c>
      <x:c r="F851" s="22" t="str">
        <x:v>.xls</x:v>
      </x:c>
      <x:c r="G851" s="25" t="str">
        <x:v>L2023-00053-1/Urgench VTC Bid Attachment Documents/Urgench VTC Bid Attachment Documents/Section 4.  Bill of Quantities(Not-Priced)/공내역서/VTC견적서/7 КОМПРЕССОРАНЯ(Comp.+GAS storage)/7-3 ЭО(Electric)/13503_vrmu.xls</x:v>
      </x:c>
      <x:c r="H851" s="28" t="n">
        <x:v>51200</x:v>
      </x:c>
      <x:c r="I851" s="22" t="str">
        <x:v>557a980a68981d94391b523dccdccf4e876c9d6dcae8e97a692aa94929ddbec5</x:v>
      </x:c>
      <x:c r="J851" s="22" t="n">
        <x:v>1</x:v>
      </x:c>
      <x:c r="K851" s="22" t="n">
        <x:v>1</x:v>
      </x:c>
      <x:c r="L851" s="22" t="n">
        <x:v>1</x:v>
      </x:c>
      <x:c r="M851" s="28" t="n">
        <x:v>1</x:v>
      </x:c>
      <x:c r="N851" s="28" t="n">
        <x:v>51</x:v>
      </x:c>
      <x:c r="O851" s="28" t="n">
        <x:v>1</x:v>
      </x:c>
      <x:c r="P851" s="62" t="n">
        <x:v>0.0196078431372549</x:v>
      </x:c>
      <x:c r="Q851" s="22" t="n">
        <x:v>0</x:v>
      </x:c>
      <x:c r="R851" s="22" t="str">
        <x:v>Лист1</x:v>
      </x:c>
      <x:c r="S851" s="22" t="str">
        <x:v>visible</x:v>
      </x:c>
      <x:c r="T851" s="22" t="str"/>
    </x:row>
    <x:row r="852">
      <x:c r="A852" s="22" t="str">
        <x:v>2020-00086</x:v>
      </x:c>
      <x:c r="B852" s="22" t="str">
        <x:v>L2023-00053-1</x:v>
      </x:c>
      <x:c r="C852" s="22" t="str">
        <x:v>공사</x:v>
      </x:c>
      <x:c r="D852" s="25" t="str">
        <x:v>우즈베키스탄 직업훈련원 및 타슈켄트 교사연수센터 건립 시공업체 선정 현지입찰</x:v>
      </x:c>
      <x:c r="E852" s="22" t="n">
        <x:v>1</x:v>
      </x:c>
      <x:c r="F852" s="22" t="str">
        <x:v>.xls</x:v>
      </x:c>
      <x:c r="G852" s="25" t="str">
        <x:v>L2023-00053-1/Urgench VTC Bid Attachment Documents/Urgench VTC Bid Attachment Documents/Section 4.  Bill of Quantities(Not-Priced)/공내역서/VTC견적서/7 КОМПРЕССОРАНЯ(Comp.+GAS storage)/7-3 ЭО(Electric)/13503_vfor.xls</x:v>
      </x:c>
      <x:c r="H852" s="28" t="n">
        <x:v>44544</x:v>
      </x:c>
      <x:c r="I852" s="22" t="str">
        <x:v>fba80ba25d76993629553bd43cccae9188ce442e97030bea9bec4d66366073e1</x:v>
      </x:c>
      <x:c r="J852" s="22" t="n">
        <x:v>1</x:v>
      </x:c>
      <x:c r="K852" s="22" t="n">
        <x:v>1</x:v>
      </x:c>
      <x:c r="L852" s="22" t="n">
        <x:v>1</x:v>
      </x:c>
      <x:c r="M852" s="28" t="n">
        <x:v>0</x:v>
      </x:c>
      <x:c r="N852" s="28" t="n">
        <x:v>0</x:v>
      </x:c>
      <x:c r="O852" s="28" t="n">
        <x:v>0</x:v>
      </x:c>
      <x:c r="P852" s="62" t="n">
        <x:v>0</x:v>
      </x:c>
      <x:c r="Q852" s="22" t="n">
        <x:v>0</x:v>
      </x:c>
      <x:c r="R852" s="22" t="str"/>
      <x:c r="S852" s="22" t="str"/>
      <x:c r="T852" s="22" t="str"/>
    </x:row>
    <x:row r="853">
      <x:c r="A853" s="22" t="str">
        <x:v>2020-00086</x:v>
      </x:c>
      <x:c r="B853" s="22" t="str">
        <x:v>L2023-00053-1</x:v>
      </x:c>
      <x:c r="C853" s="22" t="str">
        <x:v>공사</x:v>
      </x:c>
      <x:c r="D853" s="25" t="str">
        <x:v>우즈베키스탄 직업훈련원 및 타슈켄트 교사연수센터 건립 시공업체 선정 현지입찰</x:v>
      </x:c>
      <x:c r="E853" s="22" t="n">
        <x:v>1</x:v>
      </x:c>
      <x:c r="F853" s="22" t="str">
        <x:v>.xls</x:v>
      </x:c>
      <x:c r="G853" s="25" t="str">
        <x:v>L2023-00053-1/Urgench VTC Bid Attachment Documents/Urgench VTC Bid Attachment Documents/Section 4.  Bill of Quantities(Not-Priced)/공내역서/VTC견적서/7 КОМПРЕССОРАНЯ(Comp.+GAS storage)/7-1 КЖ(Structure)/bv13070.xls</x:v>
      </x:c>
      <x:c r="H853" s="28" t="n">
        <x:v>126464</x:v>
      </x:c>
      <x:c r="I853" s="22" t="str">
        <x:v>9d15fc0b7e8c4ef335b01731a25fd915a06431f5b409d64ed8e75bdf471e8c99</x:v>
      </x:c>
      <x:c r="J853" s="22" t="n">
        <x:v>1</x:v>
      </x:c>
      <x:c r="K853" s="22" t="n">
        <x:v>1</x:v>
      </x:c>
      <x:c r="L853" s="22" t="n">
        <x:v>1</x:v>
      </x:c>
      <x:c r="M853" s="28" t="n">
        <x:v>0</x:v>
      </x:c>
      <x:c r="N853" s="28" t="n">
        <x:v>0</x:v>
      </x:c>
      <x:c r="O853" s="28" t="n">
        <x:v>0</x:v>
      </x:c>
      <x:c r="P853" s="62" t="n">
        <x:v>0</x:v>
      </x:c>
      <x:c r="Q853" s="22" t="n">
        <x:v>0</x:v>
      </x:c>
      <x:c r="R853" s="22" t="str"/>
      <x:c r="S853" s="22" t="str"/>
      <x:c r="T853" s="22" t="str"/>
    </x:row>
    <x:row r="854">
      <x:c r="A854" s="22" t="str">
        <x:v>2020-00086</x:v>
      </x:c>
      <x:c r="B854" s="22" t="str">
        <x:v>L2023-00053-1</x:v>
      </x:c>
      <x:c r="C854" s="22" t="str">
        <x:v>공사</x:v>
      </x:c>
      <x:c r="D854" s="25" t="str">
        <x:v>우즈베키스탄 직업훈련원 및 타슈켄트 교사연수센터 건립 시공업체 선정 현지입찰</x:v>
      </x:c>
      <x:c r="E854" s="22" t="n">
        <x:v>1</x:v>
      </x:c>
      <x:c r="F854" s="22" t="str">
        <x:v>.xls</x:v>
      </x:c>
      <x:c r="G854" s="25" t="str">
        <x:v>L2023-00053-1/Urgench VTC Bid Attachment Documents/Urgench VTC Bid Attachment Documents/Section 4.  Bill of Quantities(Not-Priced)/공내역서/VTC견적서/7 КОМПРЕССОРАНЯ(Comp.+GAS storage)/7-1 КЖ(Structure)/13073_vfor.xls</x:v>
      </x:c>
      <x:c r="H854" s="28" t="n">
        <x:v>45056</x:v>
      </x:c>
      <x:c r="I854" s="22" t="str">
        <x:v>d4075fede6ca06f6e076cc3a33d9c66485d394bc84c4f6204421ee0751c41c29</x:v>
      </x:c>
      <x:c r="J854" s="22" t="n">
        <x:v>1</x:v>
      </x:c>
      <x:c r="K854" s="22" t="n">
        <x:v>1</x:v>
      </x:c>
      <x:c r="L854" s="22" t="n">
        <x:v>1</x:v>
      </x:c>
      <x:c r="M854" s="28" t="n">
        <x:v>0</x:v>
      </x:c>
      <x:c r="N854" s="28" t="n">
        <x:v>0</x:v>
      </x:c>
      <x:c r="O854" s="28" t="n">
        <x:v>0</x:v>
      </x:c>
      <x:c r="P854" s="62" t="n">
        <x:v>0</x:v>
      </x:c>
      <x:c r="Q854" s="22" t="n">
        <x:v>0</x:v>
      </x:c>
      <x:c r="R854" s="22" t="str"/>
      <x:c r="S854" s="22" t="str"/>
      <x:c r="T854" s="22" t="str"/>
    </x:row>
    <x:row r="855">
      <x:c r="A855" s="22" t="str">
        <x:v>2020-00086</x:v>
      </x:c>
      <x:c r="B855" s="22" t="str">
        <x:v>L2023-00053-1</x:v>
      </x:c>
      <x:c r="C855" s="22" t="str">
        <x:v>공사</x:v>
      </x:c>
      <x:c r="D855" s="25" t="str">
        <x:v>우즈베키스탄 직업훈련원 및 타슈켄트 교사연수센터 건립 시공업체 선정 현지입찰</x:v>
      </x:c>
      <x:c r="E855" s="22" t="n">
        <x:v>1</x:v>
      </x:c>
      <x:c r="F855" s="22" t="str">
        <x:v>.xls</x:v>
      </x:c>
      <x:c r="G855" s="25" t="str">
        <x:v>L2023-00053-1/Urgench VTC Bid Attachment Documents/Urgench VTC Bid Attachment Documents/Section 4.  Bill of Quantities(Not-Priced)/공내역서/VTC견적서/7 КОМПРЕССОРАНЯ(Comp.+GAS storage)/7-1 КЖ(Structure)/13073_vrmu.xls</x:v>
      </x:c>
      <x:c r="H855" s="28" t="n">
        <x:v>57344</x:v>
      </x:c>
      <x:c r="I855" s="22" t="str">
        <x:v>b2b87877d1df201ff70c4fded29e0c808c0cf38b05ea0ef976abf05e5e3bb3f1</x:v>
      </x:c>
      <x:c r="J855" s="22" t="n">
        <x:v>1</x:v>
      </x:c>
      <x:c r="K855" s="22" t="n">
        <x:v>1</x:v>
      </x:c>
      <x:c r="L855" s="22" t="n">
        <x:v>1</x:v>
      </x:c>
      <x:c r="M855" s="28" t="n">
        <x:v>1</x:v>
      </x:c>
      <x:c r="N855" s="28" t="n">
        <x:v>85</x:v>
      </x:c>
      <x:c r="O855" s="28" t="n">
        <x:v>1</x:v>
      </x:c>
      <x:c r="P855" s="62" t="n">
        <x:v>0.011764705882352941</x:v>
      </x:c>
      <x:c r="Q855" s="22" t="n">
        <x:v>0</x:v>
      </x:c>
      <x:c r="R855" s="22" t="str">
        <x:v>Лист1</x:v>
      </x:c>
      <x:c r="S855" s="22" t="str">
        <x:v>visible</x:v>
      </x:c>
      <x:c r="T855" s="22" t="str"/>
    </x:row>
    <x:row r="856">
      <x:c r="A856" s="22" t="str">
        <x:v>2020-00086</x:v>
      </x:c>
      <x:c r="B856" s="22" t="str">
        <x:v>L2023-00053-1</x:v>
      </x:c>
      <x:c r="C856" s="22" t="str">
        <x:v>공사</x:v>
      </x:c>
      <x:c r="D856" s="25" t="str">
        <x:v>우즈베키스탄 직업훈련원 및 타슈켄트 교사연수센터 건립 시공업체 선정 현지입찰</x:v>
      </x:c>
      <x:c r="E856" s="22" t="n">
        <x:v>1</x:v>
      </x:c>
      <x:c r="F856" s="22" t="str">
        <x:v>.xls</x:v>
      </x:c>
      <x:c r="G856" s="25" t="str">
        <x:v>L2023-00053-1/Urgench VTC Bid Attachment Documents/Urgench VTC Bid Attachment Documents/Section 4.  Bill of Quantities(Not-Priced)/공내역서/VTC견적서/7 КОМПРЕССОРАНЯ(Comp.+GAS storage)/7-2 АР(Architecture)/13083_vfor.xls</x:v>
      </x:c>
      <x:c r="H856" s="28" t="n">
        <x:v>37888</x:v>
      </x:c>
      <x:c r="I856" s="22" t="str">
        <x:v>0d0641098aaf99e56a206db663b79287befbb026eb9ae10d31713fe26751af88</x:v>
      </x:c>
      <x:c r="J856" s="22" t="n">
        <x:v>1</x:v>
      </x:c>
      <x:c r="K856" s="22" t="n">
        <x:v>1</x:v>
      </x:c>
      <x:c r="L856" s="22" t="n">
        <x:v>1</x:v>
      </x:c>
      <x:c r="M856" s="28" t="n">
        <x:v>0</x:v>
      </x:c>
      <x:c r="N856" s="28" t="n">
        <x:v>0</x:v>
      </x:c>
      <x:c r="O856" s="28" t="n">
        <x:v>0</x:v>
      </x:c>
      <x:c r="P856" s="62" t="n">
        <x:v>0</x:v>
      </x:c>
      <x:c r="Q856" s="22" t="n">
        <x:v>0</x:v>
      </x:c>
      <x:c r="R856" s="22" t="str"/>
      <x:c r="S856" s="22" t="str"/>
      <x:c r="T856" s="22" t="str"/>
    </x:row>
    <x:row r="857">
      <x:c r="A857" s="22" t="str">
        <x:v>2020-00086</x:v>
      </x:c>
      <x:c r="B857" s="22" t="str">
        <x:v>L2023-00053-1</x:v>
      </x:c>
      <x:c r="C857" s="22" t="str">
        <x:v>공사</x:v>
      </x:c>
      <x:c r="D857" s="25" t="str">
        <x:v>우즈베키스탄 직업훈련원 및 타슈켄트 교사연수센터 건립 시공업체 선정 현지입찰</x:v>
      </x:c>
      <x:c r="E857" s="22" t="n">
        <x:v>1</x:v>
      </x:c>
      <x:c r="F857" s="22" t="str">
        <x:v>.xls</x:v>
      </x:c>
      <x:c r="G857" s="25" t="str">
        <x:v>L2023-00053-1/Urgench VTC Bid Attachment Documents/Urgench VTC Bid Attachment Documents/Section 4.  Bill of Quantities(Not-Priced)/공내역서/VTC견적서/7 КОМПРЕССОРАНЯ(Comp.+GAS storage)/7-2 АР(Architecture)/13083_vrmu.xls</x:v>
      </x:c>
      <x:c r="H857" s="28" t="n">
        <x:v>48128</x:v>
      </x:c>
      <x:c r="I857" s="22" t="str">
        <x:v>69688f446686a4d38925437ff702119b6f61b5ee8d3b5ed975f2c10dfc6291a5</x:v>
      </x:c>
      <x:c r="J857" s="22" t="n">
        <x:v>1</x:v>
      </x:c>
      <x:c r="K857" s="22" t="n">
        <x:v>1</x:v>
      </x:c>
      <x:c r="L857" s="22" t="n">
        <x:v>1</x:v>
      </x:c>
      <x:c r="M857" s="28" t="n">
        <x:v>1</x:v>
      </x:c>
      <x:c r="N857" s="28" t="n">
        <x:v>48</x:v>
      </x:c>
      <x:c r="O857" s="28" t="n">
        <x:v>1</x:v>
      </x:c>
      <x:c r="P857" s="62" t="n">
        <x:v>0.020833333333333332</x:v>
      </x:c>
      <x:c r="Q857" s="22" t="n">
        <x:v>0</x:v>
      </x:c>
      <x:c r="R857" s="22" t="str">
        <x:v>Лист1</x:v>
      </x:c>
      <x:c r="S857" s="22" t="str">
        <x:v>visible</x:v>
      </x:c>
      <x:c r="T857" s="22" t="str"/>
    </x:row>
    <x:row r="858">
      <x:c r="A858" s="22" t="str">
        <x:v>2020-00086</x:v>
      </x:c>
      <x:c r="B858" s="22" t="str">
        <x:v>L2023-00053-1</x:v>
      </x:c>
      <x:c r="C858" s="22" t="str">
        <x:v>공사</x:v>
      </x:c>
      <x:c r="D858" s="25" t="str">
        <x:v>우즈베키스탄 직업훈련원 및 타슈켄트 교사연수센터 건립 시공업체 선정 현지입찰</x:v>
      </x:c>
      <x:c r="E858" s="22" t="n">
        <x:v>1</x:v>
      </x:c>
      <x:c r="F858" s="22" t="str">
        <x:v>.xls</x:v>
      </x:c>
      <x:c r="G858" s="25" t="str">
        <x:v>L2023-00053-1/Urgench VTC Bid Attachment Documents/Urgench VTC Bid Attachment Documents/Section 4.  Bill of Quantities(Not-Priced)/공내역서/VTC견적서/7 КОМПРЕССОРАНЯ(Comp.+GAS storage)/7-2 АР(Architecture)/bv13080.xls</x:v>
      </x:c>
      <x:c r="H858" s="28" t="n">
        <x:v>76800</x:v>
      </x:c>
      <x:c r="I858" s="22" t="str">
        <x:v>49259d752c40853e7e634831a6035f4fc055b29c0dc905b007f082fffb42211e</x:v>
      </x:c>
      <x:c r="J858" s="22" t="n">
        <x:v>1</x:v>
      </x:c>
      <x:c r="K858" s="22" t="n">
        <x:v>1</x:v>
      </x:c>
      <x:c r="L858" s="22" t="n">
        <x:v>1</x:v>
      </x:c>
      <x:c r="M858" s="28" t="n">
        <x:v>0</x:v>
      </x:c>
      <x:c r="N858" s="28" t="n">
        <x:v>0</x:v>
      </x:c>
      <x:c r="O858" s="28" t="n">
        <x:v>0</x:v>
      </x:c>
      <x:c r="P858" s="62" t="n">
        <x:v>0</x:v>
      </x:c>
      <x:c r="Q858" s="22" t="n">
        <x:v>0</x:v>
      </x:c>
      <x:c r="R858" s="22" t="str"/>
      <x:c r="S858" s="22" t="str"/>
      <x:c r="T858" s="22" t="str"/>
    </x:row>
    <x:row r="859">
      <x:c r="A859" s="22" t="str">
        <x:v>2020-00086</x:v>
      </x:c>
      <x:c r="B859" s="22" t="str">
        <x:v>L2023-00053-1</x:v>
      </x:c>
      <x:c r="C859" s="22" t="str">
        <x:v>공사</x:v>
      </x:c>
      <x:c r="D859" s="25" t="str">
        <x:v>우즈베키스탄 직업훈련원 및 타슈켄트 교사연수센터 건립 시공업체 선정 현지입찰</x:v>
      </x:c>
      <x:c r="E859" s="22" t="n">
        <x:v>1</x:v>
      </x:c>
      <x:c r="F859" s="22" t="str">
        <x:v>.xls</x:v>
      </x:c>
      <x:c r="G859" s="25" t="str">
        <x:v>L2023-00053-1/Urgench VTC Bid Attachment Documents/Urgench VTC Bid Attachment Documents/Section 4.  Bill of Quantities(Not-Priced)/공내역서/VTC견적서/0 ГП(Site Plan &amp; Landscape+Outdoor Infra)/0-4 ФЛАГШТОК(Flog pole)/13643_vfor.xls</x:v>
      </x:c>
      <x:c r="H859" s="28" t="n">
        <x:v>36352</x:v>
      </x:c>
      <x:c r="I859" s="22" t="str">
        <x:v>67966ce0d47aa65517abf1ac5bf4144c07e48cd2eaba531279ab70cb9dfbf6a2</x:v>
      </x:c>
      <x:c r="J859" s="22" t="n">
        <x:v>1</x:v>
      </x:c>
      <x:c r="K859" s="22" t="n">
        <x:v>1</x:v>
      </x:c>
      <x:c r="L859" s="22" t="n">
        <x:v>1</x:v>
      </x:c>
      <x:c r="M859" s="28" t="n">
        <x:v>0</x:v>
      </x:c>
      <x:c r="N859" s="28" t="n">
        <x:v>0</x:v>
      </x:c>
      <x:c r="O859" s="28" t="n">
        <x:v>0</x:v>
      </x:c>
      <x:c r="P859" s="62" t="n">
        <x:v>0</x:v>
      </x:c>
      <x:c r="Q859" s="22" t="n">
        <x:v>0</x:v>
      </x:c>
      <x:c r="R859" s="22" t="str"/>
      <x:c r="S859" s="22" t="str"/>
      <x:c r="T859" s="22" t="str"/>
    </x:row>
    <x:row r="860">
      <x:c r="A860" s="22" t="str">
        <x:v>2020-00086</x:v>
      </x:c>
      <x:c r="B860" s="22" t="str">
        <x:v>L2023-00053-1</x:v>
      </x:c>
      <x:c r="C860" s="22" t="str">
        <x:v>공사</x:v>
      </x:c>
      <x:c r="D860" s="25" t="str">
        <x:v>우즈베키스탄 직업훈련원 및 타슈켄트 교사연수센터 건립 시공업체 선정 현지입찰</x:v>
      </x:c>
      <x:c r="E860" s="22" t="n">
        <x:v>1</x:v>
      </x:c>
      <x:c r="F860" s="22" t="str">
        <x:v>.xls</x:v>
      </x:c>
      <x:c r="G860" s="25" t="str">
        <x:v>L2023-00053-1/Urgench VTC Bid Attachment Documents/Urgench VTC Bid Attachment Documents/Section 4.  Bill of Quantities(Not-Priced)/공내역서/VTC견적서/0 ГП(Site Plan &amp; Landscape+Outdoor Infra)/0-4 ФЛАГШТОК(Flog pole)/bv13640.xls</x:v>
      </x:c>
      <x:c r="H860" s="28" t="n">
        <x:v>79872</x:v>
      </x:c>
      <x:c r="I860" s="22" t="str">
        <x:v>c2bccc679e99fec40afa6d24486761ae70a294b045dc7ac6cac4d9f7e61c164e</x:v>
      </x:c>
      <x:c r="J860" s="22" t="n">
        <x:v>1</x:v>
      </x:c>
      <x:c r="K860" s="22" t="n">
        <x:v>1</x:v>
      </x:c>
      <x:c r="L860" s="22" t="n">
        <x:v>1</x:v>
      </x:c>
      <x:c r="M860" s="28" t="n">
        <x:v>0</x:v>
      </x:c>
      <x:c r="N860" s="28" t="n">
        <x:v>0</x:v>
      </x:c>
      <x:c r="O860" s="28" t="n">
        <x:v>0</x:v>
      </x:c>
      <x:c r="P860" s="62" t="n">
        <x:v>0</x:v>
      </x:c>
      <x:c r="Q860" s="22" t="n">
        <x:v>0</x:v>
      </x:c>
      <x:c r="R860" s="22" t="str"/>
      <x:c r="S860" s="22" t="str"/>
      <x:c r="T860" s="22" t="str"/>
    </x:row>
    <x:row r="861">
      <x:c r="A861" s="22" t="str">
        <x:v>2020-00086</x:v>
      </x:c>
      <x:c r="B861" s="22" t="str">
        <x:v>L2023-00053-1</x:v>
      </x:c>
      <x:c r="C861" s="22" t="str">
        <x:v>공사</x:v>
      </x:c>
      <x:c r="D861" s="25" t="str">
        <x:v>우즈베키스탄 직업훈련원 및 타슈켄트 교사연수센터 건립 시공업체 선정 현지입찰</x:v>
      </x:c>
      <x:c r="E861" s="22" t="n">
        <x:v>1</x:v>
      </x:c>
      <x:c r="F861" s="22" t="str">
        <x:v>.xls</x:v>
      </x:c>
      <x:c r="G861" s="25" t="str">
        <x:v>L2023-00053-1/Urgench VTC Bid Attachment Documents/Urgench VTC Bid Attachment Documents/Section 4.  Bill of Quantities(Not-Priced)/공내역서/VTC견적서/0 ГП(Site Plan &amp; Landscape+Outdoor Infra)/0-4 ФЛАГШТОК(Flog pole)/13643_vrmu.xls</x:v>
      </x:c>
      <x:c r="H861" s="28" t="n">
        <x:v>55808</x:v>
      </x:c>
      <x:c r="I861" s="22" t="str">
        <x:v>0f5b9d6f0d88cc8062fa6c5a0843bc51ec0ce77b9910f927cd9e6825241e7974</x:v>
      </x:c>
      <x:c r="J861" s="22" t="n">
        <x:v>1</x:v>
      </x:c>
      <x:c r="K861" s="22" t="n">
        <x:v>1</x:v>
      </x:c>
      <x:c r="L861" s="22" t="n">
        <x:v>1</x:v>
      </x:c>
      <x:c r="M861" s="28" t="n">
        <x:v>1</x:v>
      </x:c>
      <x:c r="N861" s="28" t="n">
        <x:v>79</x:v>
      </x:c>
      <x:c r="O861" s="28" t="n">
        <x:v>1</x:v>
      </x:c>
      <x:c r="P861" s="62" t="n">
        <x:v>0.012658227848101266</x:v>
      </x:c>
      <x:c r="Q861" s="22" t="n">
        <x:v>0</x:v>
      </x:c>
      <x:c r="R861" s="22" t="str">
        <x:v>Лист1</x:v>
      </x:c>
      <x:c r="S861" s="22" t="str">
        <x:v>visible</x:v>
      </x:c>
      <x:c r="T861" s="22" t="str"/>
    </x:row>
    <x:row r="862">
      <x:c r="A862" s="22" t="str">
        <x:v>2020-00086</x:v>
      </x:c>
      <x:c r="B862" s="22" t="str">
        <x:v>L2023-00053-1</x:v>
      </x:c>
      <x:c r="C862" s="22" t="str">
        <x:v>공사</x:v>
      </x:c>
      <x:c r="D862" s="25" t="str">
        <x:v>우즈베키스탄 직업훈련원 및 타슈켄트 교사연수센터 건립 시공업체 선정 현지입찰</x:v>
      </x:c>
      <x:c r="E862" s="22" t="n">
        <x:v>1</x:v>
      </x:c>
      <x:c r="F862" s="22" t="str">
        <x:v>.xls</x:v>
      </x:c>
      <x:c r="G862" s="25" t="str">
        <x:v>L2023-00053-1/Urgench VTC Bid Attachment Documents/Urgench VTC Bid Attachment Documents/Section 4.  Bill of Quantities(Not-Priced)/공내역서/VTC견적서/0 ГП(Site Plan &amp; Landscape+Outdoor Infra)/0-10 ПВ(Landscape Water Piping)/bv13700.xls</x:v>
      </x:c>
      <x:c r="H862" s="28" t="n">
        <x:v>108032</x:v>
      </x:c>
      <x:c r="I862" s="22" t="str">
        <x:v>7fce9c3406ee12ced99948fe837cc6e8d07c7892479efffdac7037793b89f75d</x:v>
      </x:c>
      <x:c r="J862" s="22" t="n">
        <x:v>1</x:v>
      </x:c>
      <x:c r="K862" s="22" t="n">
        <x:v>1</x:v>
      </x:c>
      <x:c r="L862" s="22" t="n">
        <x:v>1</x:v>
      </x:c>
      <x:c r="M862" s="28" t="n">
        <x:v>0</x:v>
      </x:c>
      <x:c r="N862" s="28" t="n">
        <x:v>0</x:v>
      </x:c>
      <x:c r="O862" s="28" t="n">
        <x:v>0</x:v>
      </x:c>
      <x:c r="P862" s="62" t="n">
        <x:v>0</x:v>
      </x:c>
      <x:c r="Q862" s="22" t="n">
        <x:v>0</x:v>
      </x:c>
      <x:c r="R862" s="22" t="str"/>
      <x:c r="S862" s="22" t="str"/>
      <x:c r="T862" s="22" t="str"/>
    </x:row>
    <x:row r="863">
      <x:c r="A863" s="22" t="str">
        <x:v>2020-00086</x:v>
      </x:c>
      <x:c r="B863" s="22" t="str">
        <x:v>L2023-00053-1</x:v>
      </x:c>
      <x:c r="C863" s="22" t="str">
        <x:v>공사</x:v>
      </x:c>
      <x:c r="D863" s="25" t="str">
        <x:v>우즈베키스탄 직업훈련원 및 타슈켄트 교사연수센터 건립 시공업체 선정 현지입찰</x:v>
      </x:c>
      <x:c r="E863" s="22" t="n">
        <x:v>1</x:v>
      </x:c>
      <x:c r="F863" s="22" t="str">
        <x:v>.xls</x:v>
      </x:c>
      <x:c r="G863" s="25" t="str">
        <x:v>L2023-00053-1/Urgench VTC Bid Attachment Documents/Urgench VTC Bid Attachment Documents/Section 4.  Bill of Quantities(Not-Priced)/공내역서/VTC견적서/0 ГП(Site Plan &amp; Landscape+Outdoor Infra)/0-10 ПВ(Landscape Water Piping)/13703_vfor.xls</x:v>
      </x:c>
      <x:c r="H863" s="28" t="n">
        <x:v>44544</x:v>
      </x:c>
      <x:c r="I863" s="22" t="str">
        <x:v>223b6a365f4c188df7b71ab432b3cf0fb70ab37141f6befdb4176e797d1219a7</x:v>
      </x:c>
      <x:c r="J863" s="22" t="n">
        <x:v>1</x:v>
      </x:c>
      <x:c r="K863" s="22" t="n">
        <x:v>1</x:v>
      </x:c>
      <x:c r="L863" s="22" t="n">
        <x:v>1</x:v>
      </x:c>
      <x:c r="M863" s="28" t="n">
        <x:v>0</x:v>
      </x:c>
      <x:c r="N863" s="28" t="n">
        <x:v>0</x:v>
      </x:c>
      <x:c r="O863" s="28" t="n">
        <x:v>0</x:v>
      </x:c>
      <x:c r="P863" s="62" t="n">
        <x:v>0</x:v>
      </x:c>
      <x:c r="Q863" s="22" t="n">
        <x:v>0</x:v>
      </x:c>
      <x:c r="R863" s="22" t="str"/>
      <x:c r="S863" s="22" t="str"/>
      <x:c r="T863" s="22" t="str"/>
    </x:row>
    <x:row r="864">
      <x:c r="A864" s="22" t="str">
        <x:v>2020-00086</x:v>
      </x:c>
      <x:c r="B864" s="22" t="str">
        <x:v>L2023-00053-1</x:v>
      </x:c>
      <x:c r="C864" s="22" t="str">
        <x:v>공사</x:v>
      </x:c>
      <x:c r="D864" s="25" t="str">
        <x:v>우즈베키스탄 직업훈련원 및 타슈켄트 교사연수센터 건립 시공업체 선정 현지입찰</x:v>
      </x:c>
      <x:c r="E864" s="22" t="n">
        <x:v>1</x:v>
      </x:c>
      <x:c r="F864" s="22" t="str">
        <x:v>.xls</x:v>
      </x:c>
      <x:c r="G864" s="25" t="str">
        <x:v>L2023-00053-1/Urgench VTC Bid Attachment Documents/Urgench VTC Bid Attachment Documents/Section 4.  Bill of Quantities(Not-Priced)/공내역서/VTC견적서/0 ГП(Site Plan &amp; Landscape+Outdoor Infra)/0-10 ПВ(Landscape Water Piping)/13703_vrmu.xls</x:v>
      </x:c>
      <x:c r="H864" s="28" t="n">
        <x:v>67584</x:v>
      </x:c>
      <x:c r="I864" s="22" t="str">
        <x:v>340757e0a5f7ca107ff9763eb6e78032fa52480ae47709f5c93d4b4d8acb1301</x:v>
      </x:c>
      <x:c r="J864" s="22" t="n">
        <x:v>1</x:v>
      </x:c>
      <x:c r="K864" s="22" t="n">
        <x:v>1</x:v>
      </x:c>
      <x:c r="L864" s="22" t="n">
        <x:v>1</x:v>
      </x:c>
      <x:c r="M864" s="28" t="n">
        <x:v>1</x:v>
      </x:c>
      <x:c r="N864" s="28" t="n">
        <x:v>112</x:v>
      </x:c>
      <x:c r="O864" s="28" t="n">
        <x:v>1</x:v>
      </x:c>
      <x:c r="P864" s="62" t="n">
        <x:v>0.008928571428571428</x:v>
      </x:c>
      <x:c r="Q864" s="22" t="n">
        <x:v>0</x:v>
      </x:c>
      <x:c r="R864" s="22" t="str">
        <x:v>Лист1</x:v>
      </x:c>
      <x:c r="S864" s="22" t="str">
        <x:v>visible</x:v>
      </x:c>
      <x:c r="T864" s="22" t="str"/>
    </x:row>
    <x:row r="865">
      <x:c r="A865" s="22" t="str">
        <x:v>2020-00086</x:v>
      </x:c>
      <x:c r="B865" s="22" t="str">
        <x:v>L2023-00053-1</x:v>
      </x:c>
      <x:c r="C865" s="22" t="str">
        <x:v>공사</x:v>
      </x:c>
      <x:c r="D865" s="25" t="str">
        <x:v>우즈베키스탄 직업훈련원 및 타슈켄트 교사연수센터 건립 시공업체 선정 현지입찰</x:v>
      </x:c>
      <x:c r="E865" s="22" t="n">
        <x:v>1</x:v>
      </x:c>
      <x:c r="F865" s="22" t="str">
        <x:v>.xls</x:v>
      </x:c>
      <x:c r="G865" s="25" t="str">
        <x:v>L2023-00053-1/Urgench VTC Bid Attachment Documents/Urgench VTC Bid Attachment Documents/Section 4.  Bill of Quantities(Not-Priced)/공내역서/VTC견적서/0 ГП(Site Plan &amp; Landscape+Outdoor Infra)/0-6 ЭС(Outdoor Electric Infra)/bv13660.xls</x:v>
      </x:c>
      <x:c r="H865" s="28" t="n">
        <x:v>85504</x:v>
      </x:c>
      <x:c r="I865" s="22" t="str">
        <x:v>00539b077799596b299656474c20d1f2bce4a015e4e5986c8ec3ef060d1c92be</x:v>
      </x:c>
      <x:c r="J865" s="22" t="n">
        <x:v>1</x:v>
      </x:c>
      <x:c r="K865" s="22" t="n">
        <x:v>1</x:v>
      </x:c>
      <x:c r="L865" s="22" t="n">
        <x:v>1</x:v>
      </x:c>
      <x:c r="M865" s="28" t="n">
        <x:v>0</x:v>
      </x:c>
      <x:c r="N865" s="28" t="n">
        <x:v>0</x:v>
      </x:c>
      <x:c r="O865" s="28" t="n">
        <x:v>0</x:v>
      </x:c>
      <x:c r="P865" s="62" t="n">
        <x:v>0</x:v>
      </x:c>
      <x:c r="Q865" s="22" t="n">
        <x:v>0</x:v>
      </x:c>
      <x:c r="R865" s="22" t="str"/>
      <x:c r="S865" s="22" t="str"/>
      <x:c r="T865" s="22" t="str"/>
    </x:row>
    <x:row r="866">
      <x:c r="A866" s="22" t="str">
        <x:v>2020-00086</x:v>
      </x:c>
      <x:c r="B866" s="22" t="str">
        <x:v>L2023-00053-1</x:v>
      </x:c>
      <x:c r="C866" s="22" t="str">
        <x:v>공사</x:v>
      </x:c>
      <x:c r="D866" s="25" t="str">
        <x:v>우즈베키스탄 직업훈련원 및 타슈켄트 교사연수센터 건립 시공업체 선정 현지입찰</x:v>
      </x:c>
      <x:c r="E866" s="22" t="n">
        <x:v>1</x:v>
      </x:c>
      <x:c r="F866" s="22" t="str">
        <x:v>.xls</x:v>
      </x:c>
      <x:c r="G866" s="25" t="str">
        <x:v>L2023-00053-1/Urgench VTC Bid Attachment Documents/Urgench VTC Bid Attachment Documents/Section 4.  Bill of Quantities(Not-Priced)/공내역서/VTC견적서/0 ГП(Site Plan &amp; Landscape+Outdoor Infra)/0-6 ЭС(Outdoor Electric Infra)/13663_vfor.xls</x:v>
      </x:c>
      <x:c r="H866" s="28" t="n">
        <x:v>37888</x:v>
      </x:c>
      <x:c r="I866" s="22" t="str">
        <x:v>d6e264bc982e8ff16cc0d3f02f24b4bad1d12dac0c5106696da5050f02d894e3</x:v>
      </x:c>
      <x:c r="J866" s="22" t="n">
        <x:v>1</x:v>
      </x:c>
      <x:c r="K866" s="22" t="n">
        <x:v>1</x:v>
      </x:c>
      <x:c r="L866" s="22" t="n">
        <x:v>1</x:v>
      </x:c>
      <x:c r="M866" s="28" t="n">
        <x:v>0</x:v>
      </x:c>
      <x:c r="N866" s="28" t="n">
        <x:v>0</x:v>
      </x:c>
      <x:c r="O866" s="28" t="n">
        <x:v>0</x:v>
      </x:c>
      <x:c r="P866" s="62" t="n">
        <x:v>0</x:v>
      </x:c>
      <x:c r="Q866" s="22" t="n">
        <x:v>0</x:v>
      </x:c>
      <x:c r="R866" s="22" t="str"/>
      <x:c r="S866" s="22" t="str"/>
      <x:c r="T866" s="22" t="str"/>
    </x:row>
    <x:row r="867">
      <x:c r="A867" s="22" t="str">
        <x:v>2020-00086</x:v>
      </x:c>
      <x:c r="B867" s="22" t="str">
        <x:v>L2023-00053-1</x:v>
      </x:c>
      <x:c r="C867" s="22" t="str">
        <x:v>공사</x:v>
      </x:c>
      <x:c r="D867" s="25" t="str">
        <x:v>우즈베키스탄 직업훈련원 및 타슈켄트 교사연수센터 건립 시공업체 선정 현지입찰</x:v>
      </x:c>
      <x:c r="E867" s="22" t="n">
        <x:v>1</x:v>
      </x:c>
      <x:c r="F867" s="22" t="str">
        <x:v>.xls</x:v>
      </x:c>
      <x:c r="G867" s="25" t="str">
        <x:v>L2023-00053-1/Urgench VTC Bid Attachment Documents/Urgench VTC Bid Attachment Documents/Section 4.  Bill of Quantities(Not-Priced)/공내역서/VTC견적서/0 ГП(Site Plan &amp; Landscape+Outdoor Infra)/0-6 ЭС(Outdoor Electric Infra)/13663_vrmu.xls</x:v>
      </x:c>
      <x:c r="H867" s="28" t="n">
        <x:v>55296</x:v>
      </x:c>
      <x:c r="I867" s="22" t="str">
        <x:v>5211f233ecc117ba1086040ece1ad8ce7323d32f4a4e8d1cdd6e35537116f52f</x:v>
      </x:c>
      <x:c r="J867" s="22" t="n">
        <x:v>1</x:v>
      </x:c>
      <x:c r="K867" s="22" t="n">
        <x:v>1</x:v>
      </x:c>
      <x:c r="L867" s="22" t="n">
        <x:v>1</x:v>
      </x:c>
      <x:c r="M867" s="28" t="n">
        <x:v>1</x:v>
      </x:c>
      <x:c r="N867" s="28" t="n">
        <x:v>69</x:v>
      </x:c>
      <x:c r="O867" s="28" t="n">
        <x:v>1</x:v>
      </x:c>
      <x:c r="P867" s="62" t="n">
        <x:v>0.014492753623188406</x:v>
      </x:c>
      <x:c r="Q867" s="22" t="n">
        <x:v>0</x:v>
      </x:c>
      <x:c r="R867" s="22" t="str">
        <x:v>Лист1</x:v>
      </x:c>
      <x:c r="S867" s="22" t="str">
        <x:v>visible</x:v>
      </x:c>
      <x:c r="T867" s="22" t="str"/>
    </x:row>
    <x:row r="868">
      <x:c r="A868" s="22" t="str">
        <x:v>2020-00086</x:v>
      </x:c>
      <x:c r="B868" s="22" t="str">
        <x:v>L2023-00053-1</x:v>
      </x:c>
      <x:c r="C868" s="22" t="str">
        <x:v>공사</x:v>
      </x:c>
      <x:c r="D868" s="25" t="str">
        <x:v>우즈베키스탄 직업훈련원 및 타슈켄트 교사연수센터 건립 시공업체 선정 현지입찰</x:v>
      </x:c>
      <x:c r="E868" s="22" t="n">
        <x:v>1</x:v>
      </x:c>
      <x:c r="F868" s="22" t="str">
        <x:v>.xls</x:v>
      </x:c>
      <x:c r="G868" s="25" t="str">
        <x:v>L2023-00053-1/Urgench VTC Bid Attachment Documents/Urgench VTC Bid Attachment Documents/Section 4.  Bill of Quantities(Not-Priced)/공내역서/VTC견적서/0 ГП(Site Plan &amp; Landscape+Outdoor Infra)/0-3 БЕСЕДКА 5 ШТ(Pargola)/bv13630.xls</x:v>
      </x:c>
      <x:c r="H868" s="28" t="n">
        <x:v>86016</x:v>
      </x:c>
      <x:c r="I868" s="22" t="str">
        <x:v>89900deeb95cc6c3d44955a4322c7d0b36aa7b7469220c2d8969211de3a71e9f</x:v>
      </x:c>
      <x:c r="J868" s="22" t="n">
        <x:v>1</x:v>
      </x:c>
      <x:c r="K868" s="22" t="n">
        <x:v>1</x:v>
      </x:c>
      <x:c r="L868" s="22" t="n">
        <x:v>1</x:v>
      </x:c>
      <x:c r="M868" s="28" t="n">
        <x:v>0</x:v>
      </x:c>
      <x:c r="N868" s="28" t="n">
        <x:v>0</x:v>
      </x:c>
      <x:c r="O868" s="28" t="n">
        <x:v>0</x:v>
      </x:c>
      <x:c r="P868" s="62" t="n">
        <x:v>0</x:v>
      </x:c>
      <x:c r="Q868" s="22" t="n">
        <x:v>0</x:v>
      </x:c>
      <x:c r="R868" s="22" t="str"/>
      <x:c r="S868" s="22" t="str"/>
      <x:c r="T868" s="22" t="str"/>
    </x:row>
    <x:row r="869">
      <x:c r="A869" s="22" t="str">
        <x:v>2020-00086</x:v>
      </x:c>
      <x:c r="B869" s="22" t="str">
        <x:v>L2023-00053-1</x:v>
      </x:c>
      <x:c r="C869" s="22" t="str">
        <x:v>공사</x:v>
      </x:c>
      <x:c r="D869" s="25" t="str">
        <x:v>우즈베키스탄 직업훈련원 및 타슈켄트 교사연수센터 건립 시공업체 선정 현지입찰</x:v>
      </x:c>
      <x:c r="E869" s="22" t="n">
        <x:v>1</x:v>
      </x:c>
      <x:c r="F869" s="22" t="str">
        <x:v>.xls</x:v>
      </x:c>
      <x:c r="G869" s="25" t="str">
        <x:v>L2023-00053-1/Urgench VTC Bid Attachment Documents/Urgench VTC Bid Attachment Documents/Section 4.  Bill of Quantities(Not-Priced)/공내역서/VTC견적서/0 ГП(Site Plan &amp; Landscape+Outdoor Infra)/0-3 БЕСЕДКА 5 ШТ(Pargola)/13633_vrmu.xls</x:v>
      </x:c>
      <x:c r="H869" s="28" t="n">
        <x:v>54784</x:v>
      </x:c>
      <x:c r="I869" s="22" t="str">
        <x:v>91cd41b13250e518545986d37e21277c42f67ff63baa4fc5aa5bd8526a10da10</x:v>
      </x:c>
      <x:c r="J869" s="22" t="n">
        <x:v>1</x:v>
      </x:c>
      <x:c r="K869" s="22" t="n">
        <x:v>1</x:v>
      </x:c>
      <x:c r="L869" s="22" t="n">
        <x:v>1</x:v>
      </x:c>
      <x:c r="M869" s="28" t="n">
        <x:v>1</x:v>
      </x:c>
      <x:c r="N869" s="28" t="n">
        <x:v>71</x:v>
      </x:c>
      <x:c r="O869" s="28" t="n">
        <x:v>1</x:v>
      </x:c>
      <x:c r="P869" s="62" t="n">
        <x:v>0.014084507042253521</x:v>
      </x:c>
      <x:c r="Q869" s="22" t="n">
        <x:v>0</x:v>
      </x:c>
      <x:c r="R869" s="22" t="str">
        <x:v>Лист1</x:v>
      </x:c>
      <x:c r="S869" s="22" t="str">
        <x:v>visible</x:v>
      </x:c>
      <x:c r="T869" s="22" t="str"/>
    </x:row>
    <x:row r="870">
      <x:c r="A870" s="22" t="str">
        <x:v>2020-00086</x:v>
      </x:c>
      <x:c r="B870" s="22" t="str">
        <x:v>L2023-00053-1</x:v>
      </x:c>
      <x:c r="C870" s="22" t="str">
        <x:v>공사</x:v>
      </x:c>
      <x:c r="D870" s="25" t="str">
        <x:v>우즈베키스탄 직업훈련원 및 타슈켄트 교사연수센터 건립 시공업체 선정 현지입찰</x:v>
      </x:c>
      <x:c r="E870" s="22" t="n">
        <x:v>1</x:v>
      </x:c>
      <x:c r="F870" s="22" t="str">
        <x:v>.xls</x:v>
      </x:c>
      <x:c r="G870" s="25" t="str">
        <x:v>L2023-00053-1/Urgench VTC Bid Attachment Documents/Urgench VTC Bid Attachment Documents/Section 4.  Bill of Quantities(Not-Priced)/공내역서/VTC견적서/0 ГП(Site Plan &amp; Landscape+Outdoor Infra)/0-3 БЕСЕДКА 5 ШТ(Pargola)/13633_vfor.xls</x:v>
      </x:c>
      <x:c r="H870" s="28" t="n">
        <x:v>34304</x:v>
      </x:c>
      <x:c r="I870" s="22" t="str">
        <x:v>a4de5c64037addc65a3a0ea858a58150461f31b07ec98eb3374f87a100be5518</x:v>
      </x:c>
      <x:c r="J870" s="22" t="n">
        <x:v>1</x:v>
      </x:c>
      <x:c r="K870" s="22" t="n">
        <x:v>1</x:v>
      </x:c>
      <x:c r="L870" s="22" t="n">
        <x:v>1</x:v>
      </x:c>
      <x:c r="M870" s="28" t="n">
        <x:v>0</x:v>
      </x:c>
      <x:c r="N870" s="28" t="n">
        <x:v>0</x:v>
      </x:c>
      <x:c r="O870" s="28" t="n">
        <x:v>0</x:v>
      </x:c>
      <x:c r="P870" s="62" t="n">
        <x:v>0</x:v>
      </x:c>
      <x:c r="Q870" s="22" t="n">
        <x:v>0</x:v>
      </x:c>
      <x:c r="R870" s="22" t="str"/>
      <x:c r="S870" s="22" t="str"/>
      <x:c r="T870" s="22" t="str"/>
    </x:row>
    <x:row r="871">
      <x:c r="A871" s="22" t="str">
        <x:v>2020-00086</x:v>
      </x:c>
      <x:c r="B871" s="22" t="str">
        <x:v>L2023-00053-1</x:v>
      </x:c>
      <x:c r="C871" s="22" t="str">
        <x:v>공사</x:v>
      </x:c>
      <x:c r="D871" s="25" t="str">
        <x:v>우즈베키스탄 직업훈련원 및 타슈켄트 교사연수센터 건립 시공업체 선정 현지입찰</x:v>
      </x:c>
      <x:c r="E871" s="22" t="n">
        <x:v>1</x:v>
      </x:c>
      <x:c r="F871" s="22" t="str">
        <x:v>.xls</x:v>
      </x:c>
      <x:c r="G871" s="25" t="str">
        <x:v>L2023-00053-1/Urgench VTC Bid Attachment Documents/Urgench VTC Bid Attachment Documents/Section 4.  Bill of Quantities(Not-Priced)/공내역서/VTC견적서/0 ГП(Site Plan &amp; Landscape+Outdoor Infra)/0-12 АСКУЭ((Automatic Pump system)/13723_vfor.xls</x:v>
      </x:c>
      <x:c r="H871" s="28" t="n">
        <x:v>33792</x:v>
      </x:c>
      <x:c r="I871" s="22" t="str">
        <x:v>eb99c1117217bd159b2705fd3fdba4dca427dbfee616518108fed741a867e4a9</x:v>
      </x:c>
      <x:c r="J871" s="22" t="n">
        <x:v>1</x:v>
      </x:c>
      <x:c r="K871" s="22" t="n">
        <x:v>1</x:v>
      </x:c>
      <x:c r="L871" s="22" t="n">
        <x:v>1</x:v>
      </x:c>
      <x:c r="M871" s="28" t="n">
        <x:v>0</x:v>
      </x:c>
      <x:c r="N871" s="28" t="n">
        <x:v>0</x:v>
      </x:c>
      <x:c r="O871" s="28" t="n">
        <x:v>0</x:v>
      </x:c>
      <x:c r="P871" s="62" t="n">
        <x:v>0</x:v>
      </x:c>
      <x:c r="Q871" s="22" t="n">
        <x:v>0</x:v>
      </x:c>
      <x:c r="R871" s="22" t="str"/>
      <x:c r="S871" s="22" t="str"/>
      <x:c r="T871" s="22" t="str"/>
    </x:row>
    <x:row r="872">
      <x:c r="A872" s="22" t="str">
        <x:v>2020-00086</x:v>
      </x:c>
      <x:c r="B872" s="22" t="str">
        <x:v>L2023-00053-1</x:v>
      </x:c>
      <x:c r="C872" s="22" t="str">
        <x:v>공사</x:v>
      </x:c>
      <x:c r="D872" s="25" t="str">
        <x:v>우즈베키스탄 직업훈련원 및 타슈켄트 교사연수센터 건립 시공업체 선정 현지입찰</x:v>
      </x:c>
      <x:c r="E872" s="22" t="n">
        <x:v>1</x:v>
      </x:c>
      <x:c r="F872" s="22" t="str">
        <x:v>.xls</x:v>
      </x:c>
      <x:c r="G872" s="25" t="str">
        <x:v>L2023-00053-1/Urgench VTC Bid Attachment Documents/Urgench VTC Bid Attachment Documents/Section 4.  Bill of Quantities(Not-Priced)/공내역서/VTC견적서/0 ГП(Site Plan &amp; Landscape+Outdoor Infra)/0-12 АСКУЭ((Automatic Pump system)/13723_vrmu.xls</x:v>
      </x:c>
      <x:c r="H872" s="28" t="n">
        <x:v>49152</x:v>
      </x:c>
      <x:c r="I872" s="22" t="str">
        <x:v>748258beac5d82e7c3a847666f17f9ad1601ab24563b52999aa8e5d1b3e7ff6a</x:v>
      </x:c>
      <x:c r="J872" s="22" t="n">
        <x:v>1</x:v>
      </x:c>
      <x:c r="K872" s="22" t="n">
        <x:v>1</x:v>
      </x:c>
      <x:c r="L872" s="22" t="n">
        <x:v>1</x:v>
      </x:c>
      <x:c r="M872" s="28" t="n">
        <x:v>1</x:v>
      </x:c>
      <x:c r="N872" s="28" t="n">
        <x:v>48</x:v>
      </x:c>
      <x:c r="O872" s="28" t="n">
        <x:v>1</x:v>
      </x:c>
      <x:c r="P872" s="62" t="n">
        <x:v>0.020833333333333332</x:v>
      </x:c>
      <x:c r="Q872" s="22" t="n">
        <x:v>0</x:v>
      </x:c>
      <x:c r="R872" s="22" t="str">
        <x:v>Лист1</x:v>
      </x:c>
      <x:c r="S872" s="22" t="str">
        <x:v>visible</x:v>
      </x:c>
      <x:c r="T872" s="22" t="str"/>
    </x:row>
    <x:row r="873">
      <x:c r="A873" s="22" t="str">
        <x:v>2020-00086</x:v>
      </x:c>
      <x:c r="B873" s="22" t="str">
        <x:v>L2023-00053-1</x:v>
      </x:c>
      <x:c r="C873" s="22" t="str">
        <x:v>공사</x:v>
      </x:c>
      <x:c r="D873" s="25" t="str">
        <x:v>우즈베키스탄 직업훈련원 및 타슈켄트 교사연수센터 건립 시공업체 선정 현지입찰</x:v>
      </x:c>
      <x:c r="E873" s="22" t="n">
        <x:v>1</x:v>
      </x:c>
      <x:c r="F873" s="22" t="str">
        <x:v>.xls</x:v>
      </x:c>
      <x:c r="G873" s="25" t="str">
        <x:v>L2023-00053-1/Urgench VTC Bid Attachment Documents/Urgench VTC Bid Attachment Documents/Section 4.  Bill of Quantities(Not-Priced)/공내역서/VTC견적서/0 ГП(Site Plan &amp; Landscape+Outdoor Infra)/0-12 АСКУЭ((Automatic Pump system)/bv13720.xls</x:v>
      </x:c>
      <x:c r="H873" s="28" t="n">
        <x:v>54784</x:v>
      </x:c>
      <x:c r="I873" s="22" t="str">
        <x:v>73d4b495f41c4c5e62abe918e52313703f29267f7bda2774066dc0e5ffd96095</x:v>
      </x:c>
      <x:c r="J873" s="22" t="n">
        <x:v>1</x:v>
      </x:c>
      <x:c r="K873" s="22" t="n">
        <x:v>1</x:v>
      </x:c>
      <x:c r="L873" s="22" t="n">
        <x:v>1</x:v>
      </x:c>
      <x:c r="M873" s="28" t="n">
        <x:v>0</x:v>
      </x:c>
      <x:c r="N873" s="28" t="n">
        <x:v>0</x:v>
      </x:c>
      <x:c r="O873" s="28" t="n">
        <x:v>0</x:v>
      </x:c>
      <x:c r="P873" s="62" t="n">
        <x:v>0</x:v>
      </x:c>
      <x:c r="Q873" s="22" t="n">
        <x:v>0</x:v>
      </x:c>
      <x:c r="R873" s="22" t="str"/>
      <x:c r="S873" s="22" t="str"/>
      <x:c r="T873" s="22" t="str"/>
    </x:row>
    <x:row r="874">
      <x:c r="A874" s="22" t="str">
        <x:v>2020-00086</x:v>
      </x:c>
      <x:c r="B874" s="22" t="str">
        <x:v>L2023-00053-1</x:v>
      </x:c>
      <x:c r="C874" s="22" t="str">
        <x:v>공사</x:v>
      </x:c>
      <x:c r="D874" s="25" t="str">
        <x:v>우즈베키스탄 직업훈련원 및 타슈켄트 교사연수센터 건립 시공업체 선정 현지입찰</x:v>
      </x:c>
      <x:c r="E874" s="22" t="n">
        <x:v>1</x:v>
      </x:c>
      <x:c r="F874" s="22" t="str">
        <x:v>.xls</x:v>
      </x:c>
      <x:c r="G874" s="25" t="str">
        <x:v>L2023-00053-1/Urgench VTC Bid Attachment Documents/Urgench VTC Bid Attachment Documents/Section 4.  Bill of Quantities(Not-Priced)/공내역서/VTC견적서/0 ГП(Site Plan &amp; Landscape+Outdoor Infra)/0-2 ФУТБОЛНОЕ ПОЛЕ(Football)/13413_vfor.xls</x:v>
      </x:c>
      <x:c r="H874" s="28" t="n">
        <x:v>35840</x:v>
      </x:c>
      <x:c r="I874" s="22" t="str">
        <x:v>b524a9fc3353cae7e72ebf771994c561b251158e684f12846f7be3e853e9b094</x:v>
      </x:c>
      <x:c r="J874" s="22" t="n">
        <x:v>1</x:v>
      </x:c>
      <x:c r="K874" s="22" t="n">
        <x:v>1</x:v>
      </x:c>
      <x:c r="L874" s="22" t="n">
        <x:v>1</x:v>
      </x:c>
      <x:c r="M874" s="28" t="n">
        <x:v>0</x:v>
      </x:c>
      <x:c r="N874" s="28" t="n">
        <x:v>0</x:v>
      </x:c>
      <x:c r="O874" s="28" t="n">
        <x:v>0</x:v>
      </x:c>
      <x:c r="P874" s="62" t="n">
        <x:v>0</x:v>
      </x:c>
      <x:c r="Q874" s="22" t="n">
        <x:v>0</x:v>
      </x:c>
      <x:c r="R874" s="22" t="str"/>
      <x:c r="S874" s="22" t="str"/>
      <x:c r="T874" s="22" t="str"/>
    </x:row>
    <x:row r="875">
      <x:c r="A875" s="22" t="str">
        <x:v>2020-00086</x:v>
      </x:c>
      <x:c r="B875" s="22" t="str">
        <x:v>L2023-00053-1</x:v>
      </x:c>
      <x:c r="C875" s="22" t="str">
        <x:v>공사</x:v>
      </x:c>
      <x:c r="D875" s="25" t="str">
        <x:v>우즈베키스탄 직업훈련원 및 타슈켄트 교사연수센터 건립 시공업체 선정 현지입찰</x:v>
      </x:c>
      <x:c r="E875" s="22" t="n">
        <x:v>1</x:v>
      </x:c>
      <x:c r="F875" s="22" t="str">
        <x:v>.xls</x:v>
      </x:c>
      <x:c r="G875" s="25" t="str">
        <x:v>L2023-00053-1/Urgench VTC Bid Attachment Documents/Urgench VTC Bid Attachment Documents/Section 4.  Bill of Quantities(Not-Priced)/공내역서/VTC견적서/0 ГП(Site Plan &amp; Landscape+Outdoor Infra)/0-2 ФУТБОЛНОЕ ПОЛЕ(Football)/13413_vrmu.xls</x:v>
      </x:c>
      <x:c r="H875" s="28" t="n">
        <x:v>54784</x:v>
      </x:c>
      <x:c r="I875" s="22" t="str">
        <x:v>656fd24a77c94039bb6a228c6d395e89e1304637aa470a5b06fd4b70f791c7d3</x:v>
      </x:c>
      <x:c r="J875" s="22" t="n">
        <x:v>1</x:v>
      </x:c>
      <x:c r="K875" s="22" t="n">
        <x:v>1</x:v>
      </x:c>
      <x:c r="L875" s="22" t="n">
        <x:v>1</x:v>
      </x:c>
      <x:c r="M875" s="28" t="n">
        <x:v>1</x:v>
      </x:c>
      <x:c r="N875" s="28" t="n">
        <x:v>69</x:v>
      </x:c>
      <x:c r="O875" s="28" t="n">
        <x:v>1</x:v>
      </x:c>
      <x:c r="P875" s="62" t="n">
        <x:v>0.014492753623188406</x:v>
      </x:c>
      <x:c r="Q875" s="22" t="n">
        <x:v>0</x:v>
      </x:c>
      <x:c r="R875" s="22" t="str">
        <x:v>Лист1</x:v>
      </x:c>
      <x:c r="S875" s="22" t="str">
        <x:v>visible</x:v>
      </x:c>
      <x:c r="T875" s="22" t="str"/>
    </x:row>
    <x:row r="876">
      <x:c r="A876" s="22" t="str">
        <x:v>2020-00086</x:v>
      </x:c>
      <x:c r="B876" s="22" t="str">
        <x:v>L2023-00053-1</x:v>
      </x:c>
      <x:c r="C876" s="22" t="str">
        <x:v>공사</x:v>
      </x:c>
      <x:c r="D876" s="25" t="str">
        <x:v>우즈베키스탄 직업훈련원 및 타슈켄트 교사연수센터 건립 시공업체 선정 현지입찰</x:v>
      </x:c>
      <x:c r="E876" s="22" t="n">
        <x:v>1</x:v>
      </x:c>
      <x:c r="F876" s="22" t="str">
        <x:v>.xls</x:v>
      </x:c>
      <x:c r="G876" s="25" t="str">
        <x:v>L2023-00053-1/Urgench VTC Bid Attachment Documents/Urgench VTC Bid Attachment Documents/Section 4.  Bill of Quantities(Not-Priced)/공내역서/VTC견적서/0 ГП(Site Plan &amp; Landscape+Outdoor Infra)/0-2 ФУТБОЛНОЕ ПОЛЕ(Football)/bv13410.xls</x:v>
      </x:c>
      <x:c r="H876" s="28" t="n">
        <x:v>82432</x:v>
      </x:c>
      <x:c r="I876" s="22" t="str">
        <x:v>2749f4b67fbce5b996b82719eb992ca5140d514c5c3e0b6a254cbe8991a461ba</x:v>
      </x:c>
      <x:c r="J876" s="22" t="n">
        <x:v>1</x:v>
      </x:c>
      <x:c r="K876" s="22" t="n">
        <x:v>1</x:v>
      </x:c>
      <x:c r="L876" s="22" t="n">
        <x:v>1</x:v>
      </x:c>
      <x:c r="M876" s="28" t="n">
        <x:v>0</x:v>
      </x:c>
      <x:c r="N876" s="28" t="n">
        <x:v>0</x:v>
      </x:c>
      <x:c r="O876" s="28" t="n">
        <x:v>0</x:v>
      </x:c>
      <x:c r="P876" s="62" t="n">
        <x:v>0</x:v>
      </x:c>
      <x:c r="Q876" s="22" t="n">
        <x:v>0</x:v>
      </x:c>
      <x:c r="R876" s="22" t="str"/>
      <x:c r="S876" s="22" t="str"/>
      <x:c r="T876" s="22" t="str"/>
    </x:row>
    <x:row r="877">
      <x:c r="A877" s="22" t="str">
        <x:v>2020-00086</x:v>
      </x:c>
      <x:c r="B877" s="22" t="str">
        <x:v>L2023-00053-1</x:v>
      </x:c>
      <x:c r="C877" s="22" t="str">
        <x:v>공사</x:v>
      </x:c>
      <x:c r="D877" s="25" t="str">
        <x:v>우즈베키스탄 직업훈련원 및 타슈켄트 교사연수센터 건립 시공업체 선정 현지입찰</x:v>
      </x:c>
      <x:c r="E877" s="22" t="n">
        <x:v>1</x:v>
      </x:c>
      <x:c r="F877" s="22" t="str">
        <x:v>.xls</x:v>
      </x:c>
      <x:c r="G877" s="25" t="str">
        <x:v>L2023-00053-1/Urgench VTC Bid Attachment Documents/Urgench VTC Bid Attachment Documents/Section 4.  Bill of Quantities(Not-Priced)/공내역서/VTC견적서/0 ГП(Site Plan &amp; Landscape+Outdoor Infra)/0-7 НЭО(Outdoor Lighting)/13673_vrmu.xls</x:v>
      </x:c>
      <x:c r="H877" s="28" t="n">
        <x:v>59904</x:v>
      </x:c>
      <x:c r="I877" s="22" t="str">
        <x:v>ff62cd8285dbfe8a4cd93911394279299b8c03d2069749850cffc7a2107aef50</x:v>
      </x:c>
      <x:c r="J877" s="22" t="n">
        <x:v>1</x:v>
      </x:c>
      <x:c r="K877" s="22" t="n">
        <x:v>1</x:v>
      </x:c>
      <x:c r="L877" s="22" t="n">
        <x:v>1</x:v>
      </x:c>
      <x:c r="M877" s="28" t="n">
        <x:v>1</x:v>
      </x:c>
      <x:c r="N877" s="28" t="n">
        <x:v>88</x:v>
      </x:c>
      <x:c r="O877" s="28" t="n">
        <x:v>1</x:v>
      </x:c>
      <x:c r="P877" s="62" t="n">
        <x:v>0.011363636363636364</x:v>
      </x:c>
      <x:c r="Q877" s="22" t="n">
        <x:v>0</x:v>
      </x:c>
      <x:c r="R877" s="22" t="str">
        <x:v>Лист1</x:v>
      </x:c>
      <x:c r="S877" s="22" t="str">
        <x:v>visible</x:v>
      </x:c>
      <x:c r="T877" s="22" t="str"/>
    </x:row>
    <x:row r="878">
      <x:c r="A878" s="22" t="str">
        <x:v>2020-00086</x:v>
      </x:c>
      <x:c r="B878" s="22" t="str">
        <x:v>L2023-00053-1</x:v>
      </x:c>
      <x:c r="C878" s="22" t="str">
        <x:v>공사</x:v>
      </x:c>
      <x:c r="D878" s="25" t="str">
        <x:v>우즈베키스탄 직업훈련원 및 타슈켄트 교사연수센터 건립 시공업체 선정 현지입찰</x:v>
      </x:c>
      <x:c r="E878" s="22" t="n">
        <x:v>1</x:v>
      </x:c>
      <x:c r="F878" s="22" t="str">
        <x:v>.xls</x:v>
      </x:c>
      <x:c r="G878" s="25" t="str">
        <x:v>L2023-00053-1/Urgench VTC Bid Attachment Documents/Urgench VTC Bid Attachment Documents/Section 4.  Bill of Quantities(Not-Priced)/공내역서/VTC견적서/0 ГП(Site Plan &amp; Landscape+Outdoor Infra)/0-7 НЭО(Outdoor Lighting)/bv13670.xls</x:v>
      </x:c>
      <x:c r="H878" s="28" t="n">
        <x:v>88576</x:v>
      </x:c>
      <x:c r="I878" s="22" t="str">
        <x:v>9ceeee982353f80a2bdb6f54623ab653597f61763c8bf5d6ff51e5212e6720af</x:v>
      </x:c>
      <x:c r="J878" s="22" t="n">
        <x:v>1</x:v>
      </x:c>
      <x:c r="K878" s="22" t="n">
        <x:v>1</x:v>
      </x:c>
      <x:c r="L878" s="22" t="n">
        <x:v>1</x:v>
      </x:c>
      <x:c r="M878" s="28" t="n">
        <x:v>0</x:v>
      </x:c>
      <x:c r="N878" s="28" t="n">
        <x:v>0</x:v>
      </x:c>
      <x:c r="O878" s="28" t="n">
        <x:v>0</x:v>
      </x:c>
      <x:c r="P878" s="62" t="n">
        <x:v>0</x:v>
      </x:c>
      <x:c r="Q878" s="22" t="n">
        <x:v>0</x:v>
      </x:c>
      <x:c r="R878" s="22" t="str"/>
      <x:c r="S878" s="22" t="str"/>
      <x:c r="T878" s="22" t="str"/>
    </x:row>
    <x:row r="879">
      <x:c r="A879" s="22" t="str">
        <x:v>2020-00086</x:v>
      </x:c>
      <x:c r="B879" s="22" t="str">
        <x:v>L2023-00053-1</x:v>
      </x:c>
      <x:c r="C879" s="22" t="str">
        <x:v>공사</x:v>
      </x:c>
      <x:c r="D879" s="25" t="str">
        <x:v>우즈베키스탄 직업훈련원 및 타슈켄트 교사연수센터 건립 시공업체 선정 현지입찰</x:v>
      </x:c>
      <x:c r="E879" s="22" t="n">
        <x:v>1</x:v>
      </x:c>
      <x:c r="F879" s="22" t="str">
        <x:v>.xls</x:v>
      </x:c>
      <x:c r="G879" s="25" t="str">
        <x:v>L2023-00053-1/Urgench VTC Bid Attachment Documents/Urgench VTC Bid Attachment Documents/Section 4.  Bill of Quantities(Not-Priced)/공내역서/VTC견적서/0 ГП(Site Plan &amp; Landscape+Outdoor Infra)/0-7 НЭО(Outdoor Lighting)/13673_vfor.xls</x:v>
      </x:c>
      <x:c r="H879" s="28" t="n">
        <x:v>39936</x:v>
      </x:c>
      <x:c r="I879" s="22" t="str">
        <x:v>60eb4c1ec6baefd78c2277da9cc0f32f1a655aa123b894a0438e4580ed6b8ecc</x:v>
      </x:c>
      <x:c r="J879" s="22" t="n">
        <x:v>1</x:v>
      </x:c>
      <x:c r="K879" s="22" t="n">
        <x:v>1</x:v>
      </x:c>
      <x:c r="L879" s="22" t="n">
        <x:v>1</x:v>
      </x:c>
      <x:c r="M879" s="28" t="n">
        <x:v>0</x:v>
      </x:c>
      <x:c r="N879" s="28" t="n">
        <x:v>0</x:v>
      </x:c>
      <x:c r="O879" s="28" t="n">
        <x:v>0</x:v>
      </x:c>
      <x:c r="P879" s="62" t="n">
        <x:v>0</x:v>
      </x:c>
      <x:c r="Q879" s="22" t="n">
        <x:v>0</x:v>
      </x:c>
      <x:c r="R879" s="22" t="str"/>
      <x:c r="S879" s="22" t="str"/>
      <x:c r="T879" s="22" t="str"/>
    </x:row>
    <x:row r="880">
      <x:c r="A880" s="22" t="str">
        <x:v>2020-00086</x:v>
      </x:c>
      <x:c r="B880" s="22" t="str">
        <x:v>L2023-00053-1</x:v>
      </x:c>
      <x:c r="C880" s="22" t="str">
        <x:v>공사</x:v>
      </x:c>
      <x:c r="D880" s="25" t="str">
        <x:v>우즈베키스탄 직업훈련원 및 타슈켄트 교사연수센터 건립 시공업체 선정 현지입찰</x:v>
      </x:c>
      <x:c r="E880" s="22" t="n">
        <x:v>1</x:v>
      </x:c>
      <x:c r="F880" s="22" t="str">
        <x:v>.xls</x:v>
      </x:c>
      <x:c r="G880" s="25" t="str">
        <x:v>L2023-00053-1/Urgench VTC Bid Attachment Documents/Urgench VTC Bid Attachment Documents/Section 4.  Bill of Quantities(Not-Priced)/공내역서/VTC견적서/0 ГП(Site Plan &amp; Landscape+Outdoor Infra)/0-8 НСС(Outside CCTV)/13683_vrmu.xls</x:v>
      </x:c>
      <x:c r="H880" s="28" t="n">
        <x:v>58880</x:v>
      </x:c>
      <x:c r="I880" s="22" t="str">
        <x:v>dec38e2426a3423e4a2628c92e9b35bce22644a2d4568e883cac23bda9af639f</x:v>
      </x:c>
      <x:c r="J880" s="22" t="n">
        <x:v>1</x:v>
      </x:c>
      <x:c r="K880" s="22" t="n">
        <x:v>1</x:v>
      </x:c>
      <x:c r="L880" s="22" t="n">
        <x:v>1</x:v>
      </x:c>
      <x:c r="M880" s="28" t="n">
        <x:v>1</x:v>
      </x:c>
      <x:c r="N880" s="28" t="n">
        <x:v>87</x:v>
      </x:c>
      <x:c r="O880" s="28" t="n">
        <x:v>1</x:v>
      </x:c>
      <x:c r="P880" s="62" t="n">
        <x:v>0.011494252873563218</x:v>
      </x:c>
      <x:c r="Q880" s="22" t="n">
        <x:v>0</x:v>
      </x:c>
      <x:c r="R880" s="22" t="str">
        <x:v>Лист1</x:v>
      </x:c>
      <x:c r="S880" s="22" t="str">
        <x:v>visible</x:v>
      </x:c>
      <x:c r="T880" s="22" t="str"/>
    </x:row>
    <x:row r="881">
      <x:c r="A881" s="22" t="str">
        <x:v>2020-00086</x:v>
      </x:c>
      <x:c r="B881" s="22" t="str">
        <x:v>L2023-00053-1</x:v>
      </x:c>
      <x:c r="C881" s="22" t="str">
        <x:v>공사</x:v>
      </x:c>
      <x:c r="D881" s="25" t="str">
        <x:v>우즈베키스탄 직업훈련원 및 타슈켄트 교사연수센터 건립 시공업체 선정 현지입찰</x:v>
      </x:c>
      <x:c r="E881" s="22" t="n">
        <x:v>1</x:v>
      </x:c>
      <x:c r="F881" s="22" t="str">
        <x:v>.xls</x:v>
      </x:c>
      <x:c r="G881" s="25" t="str">
        <x:v>L2023-00053-1/Urgench VTC Bid Attachment Documents/Urgench VTC Bid Attachment Documents/Section 4.  Bill of Quantities(Not-Priced)/공내역서/VTC견적서/0 ГП(Site Plan &amp; Landscape+Outdoor Infra)/0-8 НСС(Outside CCTV)/13683_vfor.xls</x:v>
      </x:c>
      <x:c r="H881" s="28" t="n">
        <x:v>43008</x:v>
      </x:c>
      <x:c r="I881" s="22" t="str">
        <x:v>1d07c8de41f0bc89f5bb0d45ff6b58a77c316e057c58e0078e76db334b69bcbb</x:v>
      </x:c>
      <x:c r="J881" s="22" t="n">
        <x:v>1</x:v>
      </x:c>
      <x:c r="K881" s="22" t="n">
        <x:v>1</x:v>
      </x:c>
      <x:c r="L881" s="22" t="n">
        <x:v>1</x:v>
      </x:c>
      <x:c r="M881" s="28" t="n">
        <x:v>0</x:v>
      </x:c>
      <x:c r="N881" s="28" t="n">
        <x:v>0</x:v>
      </x:c>
      <x:c r="O881" s="28" t="n">
        <x:v>0</x:v>
      </x:c>
      <x:c r="P881" s="62" t="n">
        <x:v>0</x:v>
      </x:c>
      <x:c r="Q881" s="22" t="n">
        <x:v>0</x:v>
      </x:c>
      <x:c r="R881" s="22" t="str"/>
      <x:c r="S881" s="22" t="str"/>
      <x:c r="T881" s="22" t="str"/>
    </x:row>
    <x:row r="882">
      <x:c r="A882" s="22" t="str">
        <x:v>2020-00086</x:v>
      </x:c>
      <x:c r="B882" s="22" t="str">
        <x:v>L2023-00053-1</x:v>
      </x:c>
      <x:c r="C882" s="22" t="str">
        <x:v>공사</x:v>
      </x:c>
      <x:c r="D882" s="25" t="str">
        <x:v>우즈베키스탄 직업훈련원 및 타슈켄트 교사연수센터 건립 시공업체 선정 현지입찰</x:v>
      </x:c>
      <x:c r="E882" s="22" t="n">
        <x:v>1</x:v>
      </x:c>
      <x:c r="F882" s="22" t="str">
        <x:v>.xls</x:v>
      </x:c>
      <x:c r="G882" s="25" t="str">
        <x:v>L2023-00053-1/Urgench VTC Bid Attachment Documents/Urgench VTC Bid Attachment Documents/Section 4.  Bill of Quantities(Not-Priced)/공내역서/VTC견적서/0 ГП(Site Plan &amp; Landscape+Outdoor Infra)/0-8 НСС(Outside CCTV)/bv13680.xls</x:v>
      </x:c>
      <x:c r="H882" s="28" t="n">
        <x:v>90624</x:v>
      </x:c>
      <x:c r="I882" s="22" t="str">
        <x:v>ee1cb2dde73307bbbe1f35435c8c23142d9e8947f28e461d2ce3ddabd61afd05</x:v>
      </x:c>
      <x:c r="J882" s="22" t="n">
        <x:v>1</x:v>
      </x:c>
      <x:c r="K882" s="22" t="n">
        <x:v>1</x:v>
      </x:c>
      <x:c r="L882" s="22" t="n">
        <x:v>1</x:v>
      </x:c>
      <x:c r="M882" s="28" t="n">
        <x:v>0</x:v>
      </x:c>
      <x:c r="N882" s="28" t="n">
        <x:v>0</x:v>
      </x:c>
      <x:c r="O882" s="28" t="n">
        <x:v>0</x:v>
      </x:c>
      <x:c r="P882" s="62" t="n">
        <x:v>0</x:v>
      </x:c>
      <x:c r="Q882" s="22" t="n">
        <x:v>0</x:v>
      </x:c>
      <x:c r="R882" s="22" t="str"/>
      <x:c r="S882" s="22" t="str"/>
      <x:c r="T882" s="22" t="str"/>
    </x:row>
    <x:row r="883">
      <x:c r="A883" s="22" t="str">
        <x:v>2020-00086</x:v>
      </x:c>
      <x:c r="B883" s="22" t="str">
        <x:v>L2023-00053-1</x:v>
      </x:c>
      <x:c r="C883" s="22" t="str">
        <x:v>공사</x:v>
      </x:c>
      <x:c r="D883" s="25" t="str">
        <x:v>우즈베키스탄 직업훈련원 및 타슈켄트 교사연수센터 건립 시공업체 선정 현지입찰</x:v>
      </x:c>
      <x:c r="E883" s="22" t="n">
        <x:v>1</x:v>
      </x:c>
      <x:c r="F883" s="22" t="str">
        <x:v>.xls</x:v>
      </x:c>
      <x:c r="G883" s="25" t="str">
        <x:v>L2023-00053-1/Urgench VTC Bid Attachment Documents/Urgench VTC Bid Attachment Documents/Section 4.  Bill of Quantities(Not-Priced)/공내역서/VTC견적서/0 ГП(Site Plan &amp; Landscape+Outdoor Infra)/0-9 НВК(Outside Water Piping)/13693_vfor.xls</x:v>
      </x:c>
      <x:c r="H883" s="28" t="n">
        <x:v>50688</x:v>
      </x:c>
      <x:c r="I883" s="22" t="str">
        <x:v>40205bc1eaad85a3c4553624b01d8e2e15cb4fbb02e2385cc4c618c196421564</x:v>
      </x:c>
      <x:c r="J883" s="22" t="n">
        <x:v>1</x:v>
      </x:c>
      <x:c r="K883" s="22" t="n">
        <x:v>1</x:v>
      </x:c>
      <x:c r="L883" s="22" t="n">
        <x:v>1</x:v>
      </x:c>
      <x:c r="M883" s="28" t="n">
        <x:v>0</x:v>
      </x:c>
      <x:c r="N883" s="28" t="n">
        <x:v>0</x:v>
      </x:c>
      <x:c r="O883" s="28" t="n">
        <x:v>0</x:v>
      </x:c>
      <x:c r="P883" s="62" t="n">
        <x:v>0</x:v>
      </x:c>
      <x:c r="Q883" s="22" t="n">
        <x:v>0</x:v>
      </x:c>
      <x:c r="R883" s="22" t="str"/>
      <x:c r="S883" s="22" t="str"/>
      <x:c r="T883" s="22" t="str"/>
    </x:row>
    <x:row r="884">
      <x:c r="A884" s="22" t="str">
        <x:v>2020-00086</x:v>
      </x:c>
      <x:c r="B884" s="22" t="str">
        <x:v>L2023-00053-1</x:v>
      </x:c>
      <x:c r="C884" s="22" t="str">
        <x:v>공사</x:v>
      </x:c>
      <x:c r="D884" s="25" t="str">
        <x:v>우즈베키스탄 직업훈련원 및 타슈켄트 교사연수센터 건립 시공업체 선정 현지입찰</x:v>
      </x:c>
      <x:c r="E884" s="22" t="n">
        <x:v>1</x:v>
      </x:c>
      <x:c r="F884" s="22" t="str">
        <x:v>.xls</x:v>
      </x:c>
      <x:c r="G884" s="25" t="str">
        <x:v>L2023-00053-1/Urgench VTC Bid Attachment Documents/Urgench VTC Bid Attachment Documents/Section 4.  Bill of Quantities(Not-Priced)/공내역서/VTC견적서/0 ГП(Site Plan &amp; Landscape+Outdoor Infra)/0-9 НВК(Outside Water Piping)/13693_vrmu.xls</x:v>
      </x:c>
      <x:c r="H884" s="28" t="n">
        <x:v>73728</x:v>
      </x:c>
      <x:c r="I884" s="22" t="str">
        <x:v>7f90477cfd26b71bef664a93e1ccef28539b5f685b7d63c2d2a8a20c834c4893</x:v>
      </x:c>
      <x:c r="J884" s="22" t="n">
        <x:v>1</x:v>
      </x:c>
      <x:c r="K884" s="22" t="n">
        <x:v>1</x:v>
      </x:c>
      <x:c r="L884" s="22" t="n">
        <x:v>1</x:v>
      </x:c>
      <x:c r="M884" s="28" t="n">
        <x:v>1</x:v>
      </x:c>
      <x:c r="N884" s="28" t="n">
        <x:v>123</x:v>
      </x:c>
      <x:c r="O884" s="28" t="n">
        <x:v>1</x:v>
      </x:c>
      <x:c r="P884" s="62" t="n">
        <x:v>0.008130081300813009</x:v>
      </x:c>
      <x:c r="Q884" s="22" t="n">
        <x:v>0</x:v>
      </x:c>
      <x:c r="R884" s="22" t="str">
        <x:v>Лист1</x:v>
      </x:c>
      <x:c r="S884" s="22" t="str">
        <x:v>visible</x:v>
      </x:c>
      <x:c r="T884" s="22" t="str"/>
    </x:row>
    <x:row r="885">
      <x:c r="A885" s="22" t="str">
        <x:v>2020-00086</x:v>
      </x:c>
      <x:c r="B885" s="22" t="str">
        <x:v>L2023-00053-1</x:v>
      </x:c>
      <x:c r="C885" s="22" t="str">
        <x:v>공사</x:v>
      </x:c>
      <x:c r="D885" s="25" t="str">
        <x:v>우즈베키스탄 직업훈련원 및 타슈켄트 교사연수센터 건립 시공업체 선정 현지입찰</x:v>
      </x:c>
      <x:c r="E885" s="22" t="n">
        <x:v>1</x:v>
      </x:c>
      <x:c r="F885" s="22" t="str">
        <x:v>.xls</x:v>
      </x:c>
      <x:c r="G885" s="25" t="str">
        <x:v>L2023-00053-1/Urgench VTC Bid Attachment Documents/Urgench VTC Bid Attachment Documents/Section 4.  Bill of Quantities(Not-Priced)/공내역서/VTC견적서/0 ГП(Site Plan &amp; Landscape+Outdoor Infra)/0-9 НВК(Outside Water Piping)/bv13690.xls</x:v>
      </x:c>
      <x:c r="H885" s="28" t="n">
        <x:v>160256</x:v>
      </x:c>
      <x:c r="I885" s="22" t="str">
        <x:v>1cd6324bf7a0eaec27cb7142830672e0985ab1482b721a78911144c1c4a4cbef</x:v>
      </x:c>
      <x:c r="J885" s="22" t="n">
        <x:v>1</x:v>
      </x:c>
      <x:c r="K885" s="22" t="n">
        <x:v>1</x:v>
      </x:c>
      <x:c r="L885" s="22" t="n">
        <x:v>1</x:v>
      </x:c>
      <x:c r="M885" s="28" t="n">
        <x:v>0</x:v>
      </x:c>
      <x:c r="N885" s="28" t="n">
        <x:v>0</x:v>
      </x:c>
      <x:c r="O885" s="28" t="n">
        <x:v>0</x:v>
      </x:c>
      <x:c r="P885" s="62" t="n">
        <x:v>0</x:v>
      </x:c>
      <x:c r="Q885" s="22" t="n">
        <x:v>0</x:v>
      </x:c>
      <x:c r="R885" s="22" t="str"/>
      <x:c r="S885" s="22" t="str"/>
      <x:c r="T885" s="22" t="str"/>
    </x:row>
    <x:row r="886">
      <x:c r="A886" s="22" t="str">
        <x:v>2020-00086</x:v>
      </x:c>
      <x:c r="B886" s="22" t="str">
        <x:v>L2023-00053-1</x:v>
      </x:c>
      <x:c r="C886" s="22" t="str">
        <x:v>공사</x:v>
      </x:c>
      <x:c r="D886" s="25" t="str">
        <x:v>우즈베키스탄 직업훈련원 및 타슈켄트 교사연수센터 건립 시공업체 선정 현지입찰</x:v>
      </x:c>
      <x:c r="E886" s="22" t="n">
        <x:v>1</x:v>
      </x:c>
      <x:c r="F886" s="22" t="str">
        <x:v>.xls</x:v>
      </x:c>
      <x:c r="G886" s="25" t="str">
        <x:v>L2023-00053-1/Urgench VTC Bid Attachment Documents/Urgench VTC Bid Attachment Documents/Section 4.  Bill of Quantities(Not-Priced)/공내역서/VTC견적서/0 ГП(Site Plan &amp; Landscape+Outdoor Infra)/0-11 СВ(Underground Water Pumping)/bv13710.xls</x:v>
      </x:c>
      <x:c r="H886" s="28" t="n">
        <x:v>108544</x:v>
      </x:c>
      <x:c r="I886" s="22" t="str">
        <x:v>78a4e1c483aad218148c44031dc0dbe4b3d4be6d9d60c09536a5798bd508b8f7</x:v>
      </x:c>
      <x:c r="J886" s="22" t="n">
        <x:v>1</x:v>
      </x:c>
      <x:c r="K886" s="22" t="n">
        <x:v>1</x:v>
      </x:c>
      <x:c r="L886" s="22" t="n">
        <x:v>1</x:v>
      </x:c>
      <x:c r="M886" s="28" t="n">
        <x:v>0</x:v>
      </x:c>
      <x:c r="N886" s="28" t="n">
        <x:v>0</x:v>
      </x:c>
      <x:c r="O886" s="28" t="n">
        <x:v>0</x:v>
      </x:c>
      <x:c r="P886" s="62" t="n">
        <x:v>0</x:v>
      </x:c>
      <x:c r="Q886" s="22" t="n">
        <x:v>0</x:v>
      </x:c>
      <x:c r="R886" s="22" t="str"/>
      <x:c r="S886" s="22" t="str"/>
      <x:c r="T886" s="22" t="str"/>
    </x:row>
    <x:row r="887">
      <x:c r="A887" s="22" t="str">
        <x:v>2020-00086</x:v>
      </x:c>
      <x:c r="B887" s="22" t="str">
        <x:v>L2023-00053-1</x:v>
      </x:c>
      <x:c r="C887" s="22" t="str">
        <x:v>공사</x:v>
      </x:c>
      <x:c r="D887" s="25" t="str">
        <x:v>우즈베키스탄 직업훈련원 및 타슈켄트 교사연수센터 건립 시공업체 선정 현지입찰</x:v>
      </x:c>
      <x:c r="E887" s="22" t="n">
        <x:v>1</x:v>
      </x:c>
      <x:c r="F887" s="22" t="str">
        <x:v>.xls</x:v>
      </x:c>
      <x:c r="G887" s="25" t="str">
        <x:v>L2023-00053-1/Urgench VTC Bid Attachment Documents/Urgench VTC Bid Attachment Documents/Section 4.  Bill of Quantities(Not-Priced)/공내역서/VTC견적서/0 ГП(Site Plan &amp; Landscape+Outdoor Infra)/0-11 СВ(Underground Water Pumping)/13713_vrmu.xls</x:v>
      </x:c>
      <x:c r="H887" s="28" t="n">
        <x:v>67072</x:v>
      </x:c>
      <x:c r="I887" s="22" t="str">
        <x:v>9e59430416fb626364f3a259cffd4886e2e1573ee703ed00f728dac814d9f4da</x:v>
      </x:c>
      <x:c r="J887" s="22" t="n">
        <x:v>1</x:v>
      </x:c>
      <x:c r="K887" s="22" t="n">
        <x:v>1</x:v>
      </x:c>
      <x:c r="L887" s="22" t="n">
        <x:v>1</x:v>
      </x:c>
      <x:c r="M887" s="28" t="n">
        <x:v>1</x:v>
      </x:c>
      <x:c r="N887" s="28" t="n">
        <x:v>101</x:v>
      </x:c>
      <x:c r="O887" s="28" t="n">
        <x:v>1</x:v>
      </x:c>
      <x:c r="P887" s="62" t="n">
        <x:v>0.009900990099009901</x:v>
      </x:c>
      <x:c r="Q887" s="22" t="n">
        <x:v>0</x:v>
      </x:c>
      <x:c r="R887" s="22" t="str">
        <x:v>Лист1</x:v>
      </x:c>
      <x:c r="S887" s="22" t="str">
        <x:v>visible</x:v>
      </x:c>
      <x:c r="T887" s="22" t="str"/>
    </x:row>
    <x:row r="888">
      <x:c r="A888" s="22" t="str">
        <x:v>2020-00086</x:v>
      </x:c>
      <x:c r="B888" s="22" t="str">
        <x:v>L2023-00053-1</x:v>
      </x:c>
      <x:c r="C888" s="22" t="str">
        <x:v>공사</x:v>
      </x:c>
      <x:c r="D888" s="25" t="str">
        <x:v>우즈베키스탄 직업훈련원 및 타슈켄트 교사연수센터 건립 시공업체 선정 현지입찰</x:v>
      </x:c>
      <x:c r="E888" s="22" t="n">
        <x:v>1</x:v>
      </x:c>
      <x:c r="F888" s="22" t="str">
        <x:v>.xls</x:v>
      </x:c>
      <x:c r="G888" s="25" t="str">
        <x:v>L2023-00053-1/Urgench VTC Bid Attachment Documents/Urgench VTC Bid Attachment Documents/Section 4.  Bill of Quantities(Not-Priced)/공내역서/VTC견적서/0 ГП(Site Plan &amp; Landscape+Outdoor Infra)/0-11 СВ(Underground Water Pumping)/13713_vfor.xls</x:v>
      </x:c>
      <x:c r="H888" s="28" t="n">
        <x:v>40448</x:v>
      </x:c>
      <x:c r="I888" s="22" t="str">
        <x:v>b907108bac749dae0b04900b731d9c1a0b43fea8b519995542662c26c338b56c</x:v>
      </x:c>
      <x:c r="J888" s="22" t="n">
        <x:v>1</x:v>
      </x:c>
      <x:c r="K888" s="22" t="n">
        <x:v>1</x:v>
      </x:c>
      <x:c r="L888" s="22" t="n">
        <x:v>1</x:v>
      </x:c>
      <x:c r="M888" s="28" t="n">
        <x:v>0</x:v>
      </x:c>
      <x:c r="N888" s="28" t="n">
        <x:v>0</x:v>
      </x:c>
      <x:c r="O888" s="28" t="n">
        <x:v>0</x:v>
      </x:c>
      <x:c r="P888" s="62" t="n">
        <x:v>0</x:v>
      </x:c>
      <x:c r="Q888" s="22" t="n">
        <x:v>0</x:v>
      </x:c>
      <x:c r="R888" s="22" t="str"/>
      <x:c r="S888" s="22" t="str"/>
      <x:c r="T888" s="22" t="str"/>
    </x:row>
    <x:row r="889">
      <x:c r="A889" s="22" t="str">
        <x:v>2020-00086</x:v>
      </x:c>
      <x:c r="B889" s="22" t="str">
        <x:v>L2023-00053-1</x:v>
      </x:c>
      <x:c r="C889" s="22" t="str">
        <x:v>공사</x:v>
      </x:c>
      <x:c r="D889" s="25" t="str">
        <x:v>우즈베키스탄 직업훈련원 및 타슈켄트 교사연수센터 건립 시공업체 선정 현지입찰</x:v>
      </x:c>
      <x:c r="E889" s="22" t="n">
        <x:v>1</x:v>
      </x:c>
      <x:c r="F889" s="22" t="str">
        <x:v>.xls</x:v>
      </x:c>
      <x:c r="G889" s="25" t="str">
        <x:v>L2023-00053-1/Urgench VTC Bid Attachment Documents/Urgench VTC Bid Attachment Documents/Section 4.  Bill of Quantities(Not-Priced)/공내역서/VTC견적서/0 ГП(Site Plan &amp; Landscape+Outdoor Infra)/0-5 ГСН(Outdoor Gas Infra)/13653_vrmu.xls</x:v>
      </x:c>
      <x:c r="H889" s="28" t="n">
        <x:v>83968</x:v>
      </x:c>
      <x:c r="I889" s="22" t="str">
        <x:v>73cdcf6c26608fd6ed09727e2837da02b88671e6e4a9cf14ce3d854ea7a831f7</x:v>
      </x:c>
      <x:c r="J889" s="22" t="n">
        <x:v>1</x:v>
      </x:c>
      <x:c r="K889" s="22" t="n">
        <x:v>1</x:v>
      </x:c>
      <x:c r="L889" s="22" t="n">
        <x:v>1</x:v>
      </x:c>
      <x:c r="M889" s="28" t="n">
        <x:v>1</x:v>
      </x:c>
      <x:c r="N889" s="28" t="n">
        <x:v>158</x:v>
      </x:c>
      <x:c r="O889" s="28" t="n">
        <x:v>1</x:v>
      </x:c>
      <x:c r="P889" s="62" t="n">
        <x:v>0.006329113924050633</x:v>
      </x:c>
      <x:c r="Q889" s="22" t="n">
        <x:v>0</x:v>
      </x:c>
      <x:c r="R889" s="22" t="str">
        <x:v>Лист1</x:v>
      </x:c>
      <x:c r="S889" s="22" t="str">
        <x:v>visible</x:v>
      </x:c>
      <x:c r="T889" s="22" t="str"/>
    </x:row>
    <x:row r="890">
      <x:c r="A890" s="22" t="str">
        <x:v>2020-00086</x:v>
      </x:c>
      <x:c r="B890" s="22" t="str">
        <x:v>L2023-00053-1</x:v>
      </x:c>
      <x:c r="C890" s="22" t="str">
        <x:v>공사</x:v>
      </x:c>
      <x:c r="D890" s="25" t="str">
        <x:v>우즈베키스탄 직업훈련원 및 타슈켄트 교사연수센터 건립 시공업체 선정 현지입찰</x:v>
      </x:c>
      <x:c r="E890" s="22" t="n">
        <x:v>1</x:v>
      </x:c>
      <x:c r="F890" s="22" t="str">
        <x:v>.xls</x:v>
      </x:c>
      <x:c r="G890" s="25" t="str">
        <x:v>L2023-00053-1/Urgench VTC Bid Attachment Documents/Urgench VTC Bid Attachment Documents/Section 4.  Bill of Quantities(Not-Priced)/공내역서/VTC견적서/0 ГП(Site Plan &amp; Landscape+Outdoor Infra)/0-5 ГСН(Outdoor Gas Infra)/13653_vfor.xls</x:v>
      </x:c>
      <x:c r="H890" s="28" t="n">
        <x:v>50176</x:v>
      </x:c>
      <x:c r="I890" s="22" t="str">
        <x:v>567efd592c487f7ff0d0c59fb9c7d182601f503045ac37195ca1d7619476918a</x:v>
      </x:c>
      <x:c r="J890" s="22" t="n">
        <x:v>1</x:v>
      </x:c>
      <x:c r="K890" s="22" t="n">
        <x:v>1</x:v>
      </x:c>
      <x:c r="L890" s="22" t="n">
        <x:v>1</x:v>
      </x:c>
      <x:c r="M890" s="28" t="n">
        <x:v>0</x:v>
      </x:c>
      <x:c r="N890" s="28" t="n">
        <x:v>0</x:v>
      </x:c>
      <x:c r="O890" s="28" t="n">
        <x:v>0</x:v>
      </x:c>
      <x:c r="P890" s="62" t="n">
        <x:v>0</x:v>
      </x:c>
      <x:c r="Q890" s="22" t="n">
        <x:v>0</x:v>
      </x:c>
      <x:c r="R890" s="22" t="str"/>
      <x:c r="S890" s="22" t="str"/>
      <x:c r="T890" s="22" t="str"/>
    </x:row>
    <x:row r="891">
      <x:c r="A891" s="22" t="str">
        <x:v>2020-00086</x:v>
      </x:c>
      <x:c r="B891" s="22" t="str">
        <x:v>L2023-00053-1</x:v>
      </x:c>
      <x:c r="C891" s="22" t="str">
        <x:v>공사</x:v>
      </x:c>
      <x:c r="D891" s="25" t="str">
        <x:v>우즈베키스탄 직업훈련원 및 타슈켄트 교사연수센터 건립 시공업체 선정 현지입찰</x:v>
      </x:c>
      <x:c r="E891" s="22" t="n">
        <x:v>1</x:v>
      </x:c>
      <x:c r="F891" s="22" t="str">
        <x:v>.xls</x:v>
      </x:c>
      <x:c r="G891" s="25" t="str">
        <x:v>L2023-00053-1/Urgench VTC Bid Attachment Documents/Urgench VTC Bid Attachment Documents/Section 4.  Bill of Quantities(Not-Priced)/공내역서/VTC견적서/0 ГП(Site Plan &amp; Landscape+Outdoor Infra)/0-5 ГСН(Outdoor Gas Infra)/bv13650.xls</x:v>
      </x:c>
      <x:c r="H891" s="28" t="n">
        <x:v>158208</x:v>
      </x:c>
      <x:c r="I891" s="22" t="str">
        <x:v>5a395510c961855d96159b216312e8884d10e3b4d57bafd7a4326ad596851fb7</x:v>
      </x:c>
      <x:c r="J891" s="22" t="n">
        <x:v>1</x:v>
      </x:c>
      <x:c r="K891" s="22" t="n">
        <x:v>1</x:v>
      </x:c>
      <x:c r="L891" s="22" t="n">
        <x:v>1</x:v>
      </x:c>
      <x:c r="M891" s="28" t="n">
        <x:v>0</x:v>
      </x:c>
      <x:c r="N891" s="28" t="n">
        <x:v>0</x:v>
      </x:c>
      <x:c r="O891" s="28" t="n">
        <x:v>0</x:v>
      </x:c>
      <x:c r="P891" s="62" t="n">
        <x:v>0</x:v>
      </x:c>
      <x:c r="Q891" s="22" t="n">
        <x:v>0</x:v>
      </x:c>
      <x:c r="R891" s="22" t="str"/>
      <x:c r="S891" s="22" t="str"/>
      <x:c r="T891" s="22" t="str"/>
    </x:row>
    <x:row r="892">
      <x:c r="A892" s="22" t="str">
        <x:v>2020-00086</x:v>
      </x:c>
      <x:c r="B892" s="22" t="str">
        <x:v>L2023-00053-1</x:v>
      </x:c>
      <x:c r="C892" s="22" t="str">
        <x:v>공사</x:v>
      </x:c>
      <x:c r="D892" s="25" t="str">
        <x:v>우즈베키스탄 직업훈련원 및 타슈켄트 교사연수센터 건립 시공업체 선정 현지입찰</x:v>
      </x:c>
      <x:c r="E892" s="22" t="n">
        <x:v>1</x:v>
      </x:c>
      <x:c r="F892" s="22" t="str">
        <x:v>.xls</x:v>
      </x:c>
      <x:c r="G892" s="25" t="str">
        <x:v>L2023-00053-1/Urgench VTC Bid Attachment Documents/Urgench VTC Bid Attachment Documents/Section 4.  Bill of Quantities(Not-Priced)/공내역서/VTC견적서/0 ГП(Site Plan &amp; Landscape+Outdoor Infra)/0-1 ГП(Site Plan+Landscape)/13403_vrmu.xls</x:v>
      </x:c>
      <x:c r="H892" s="28" t="n">
        <x:v>57344</x:v>
      </x:c>
      <x:c r="I892" s="22" t="str">
        <x:v>9e93c17fb83cb754c8b2b889d7c88e9d56b7b5e94ef2f36d2c7b96356a99bf8b</x:v>
      </x:c>
      <x:c r="J892" s="22" t="n">
        <x:v>1</x:v>
      </x:c>
      <x:c r="K892" s="22" t="n">
        <x:v>1</x:v>
      </x:c>
      <x:c r="L892" s="22" t="n">
        <x:v>1</x:v>
      </x:c>
      <x:c r="M892" s="28" t="n">
        <x:v>1</x:v>
      </x:c>
      <x:c r="N892" s="28" t="n">
        <x:v>85</x:v>
      </x:c>
      <x:c r="O892" s="28" t="n">
        <x:v>1</x:v>
      </x:c>
      <x:c r="P892" s="62" t="n">
        <x:v>0.011764705882352941</x:v>
      </x:c>
      <x:c r="Q892" s="22" t="n">
        <x:v>0</x:v>
      </x:c>
      <x:c r="R892" s="22" t="str">
        <x:v>Лист1</x:v>
      </x:c>
      <x:c r="S892" s="22" t="str">
        <x:v>visible</x:v>
      </x:c>
      <x:c r="T892" s="22" t="str"/>
    </x:row>
    <x:row r="893">
      <x:c r="A893" s="22" t="str">
        <x:v>2020-00086</x:v>
      </x:c>
      <x:c r="B893" s="22" t="str">
        <x:v>L2023-00053-1</x:v>
      </x:c>
      <x:c r="C893" s="22" t="str">
        <x:v>공사</x:v>
      </x:c>
      <x:c r="D893" s="25" t="str">
        <x:v>우즈베키스탄 직업훈련원 및 타슈켄트 교사연수센터 건립 시공업체 선정 현지입찰</x:v>
      </x:c>
      <x:c r="E893" s="22" t="n">
        <x:v>1</x:v>
      </x:c>
      <x:c r="F893" s="22" t="str">
        <x:v>.xls</x:v>
      </x:c>
      <x:c r="G893" s="25" t="str">
        <x:v>L2023-00053-1/Urgench VTC Bid Attachment Documents/Urgench VTC Bid Attachment Documents/Section 4.  Bill of Quantities(Not-Priced)/공내역서/VTC견적서/0 ГП(Site Plan &amp; Landscape+Outdoor Infra)/0-1 ГП(Site Plan+Landscape)/bv13400.xls</x:v>
      </x:c>
      <x:c r="H893" s="28" t="n">
        <x:v>100864</x:v>
      </x:c>
      <x:c r="I893" s="22" t="str">
        <x:v>c237827588a1b89c4b31b984ef80299ed0268e63e35039a34093895646b82cb6</x:v>
      </x:c>
      <x:c r="J893" s="22" t="n">
        <x:v>1</x:v>
      </x:c>
      <x:c r="K893" s="22" t="n">
        <x:v>1</x:v>
      </x:c>
      <x:c r="L893" s="22" t="n">
        <x:v>1</x:v>
      </x:c>
      <x:c r="M893" s="28" t="n">
        <x:v>0</x:v>
      </x:c>
      <x:c r="N893" s="28" t="n">
        <x:v>0</x:v>
      </x:c>
      <x:c r="O893" s="28" t="n">
        <x:v>0</x:v>
      </x:c>
      <x:c r="P893" s="62" t="n">
        <x:v>0</x:v>
      </x:c>
      <x:c r="Q893" s="22" t="n">
        <x:v>0</x:v>
      </x:c>
      <x:c r="R893" s="22" t="str"/>
      <x:c r="S893" s="22" t="str"/>
      <x:c r="T893" s="22" t="str"/>
    </x:row>
    <x:row r="894">
      <x:c r="A894" s="22" t="str">
        <x:v>2020-00086</x:v>
      </x:c>
      <x:c r="B894" s="22" t="str">
        <x:v>L2023-00053-1</x:v>
      </x:c>
      <x:c r="C894" s="22" t="str">
        <x:v>공사</x:v>
      </x:c>
      <x:c r="D894" s="25" t="str">
        <x:v>우즈베키스탄 직업훈련원 및 타슈켄트 교사연수센터 건립 시공업체 선정 현지입찰</x:v>
      </x:c>
      <x:c r="E894" s="22" t="n">
        <x:v>1</x:v>
      </x:c>
      <x:c r="F894" s="22" t="str">
        <x:v>.xls</x:v>
      </x:c>
      <x:c r="G894" s="25" t="str">
        <x:v>L2023-00053-1/Urgench VTC Bid Attachment Documents/Urgench VTC Bid Attachment Documents/Section 4.  Bill of Quantities(Not-Priced)/공내역서/VTC견적서/0 ГП(Site Plan &amp; Landscape+Outdoor Infra)/0-1 ГП(Site Plan+Landscape)/13403_vfor.xls</x:v>
      </x:c>
      <x:c r="H894" s="28" t="n">
        <x:v>40960</x:v>
      </x:c>
      <x:c r="I894" s="22" t="str">
        <x:v>3f220fc5a5b364271bb7c01e7b3a9ffa53b430c77dd7e2b8da559aac8af53508</x:v>
      </x:c>
      <x:c r="J894" s="22" t="n">
        <x:v>1</x:v>
      </x:c>
      <x:c r="K894" s="22" t="n">
        <x:v>1</x:v>
      </x:c>
      <x:c r="L894" s="22" t="n">
        <x:v>1</x:v>
      </x:c>
      <x:c r="M894" s="28" t="n">
        <x:v>0</x:v>
      </x:c>
      <x:c r="N894" s="28" t="n">
        <x:v>0</x:v>
      </x:c>
      <x:c r="O894" s="28" t="n">
        <x:v>0</x:v>
      </x:c>
      <x:c r="P894" s="62" t="n">
        <x:v>0</x:v>
      </x:c>
      <x:c r="Q894" s="22" t="n">
        <x:v>0</x:v>
      </x:c>
      <x:c r="R894" s="22" t="str"/>
      <x:c r="S894" s="22" t="str"/>
      <x:c r="T894" s="22" t="str"/>
    </x:row>
    <x:row r="895">
      <x:c r="A895" s="22" t="str">
        <x:v>2020-00086</x:v>
      </x:c>
      <x:c r="B895" s="22" t="str">
        <x:v>L2023-00053-1</x:v>
      </x:c>
      <x:c r="C895" s="22" t="str">
        <x:v>공사</x:v>
      </x:c>
      <x:c r="D895" s="25" t="str">
        <x:v>우즈베키스탄 직업훈련원 및 타슈켄트 교사연수센터 건립 시공업체 선정 현지입찰</x:v>
      </x:c>
      <x:c r="E895" s="22" t="n">
        <x:v>1</x:v>
      </x:c>
      <x:c r="F895" s="22" t="str">
        <x:v>.xls</x:v>
      </x:c>
      <x:c r="G895" s="25" t="str">
        <x:v>L2023-00053-1/Urgench VTC Bid Attachment Documents/Urgench VTC Bid Attachment Documents/Section 4.  Bill of Quantities(Not-Priced)/공내역서/VTC견적서/6 КПП(Guard House+Fence &amp; Gate)/6-1 КЖ(Structure)/13053_vfor.xls</x:v>
      </x:c>
      <x:c r="H895" s="28" t="n">
        <x:v>57856</x:v>
      </x:c>
      <x:c r="I895" s="22" t="str">
        <x:v>4b6138cf061524a28704b118bd7c9f47aac9302aca4030b86c5a714c09dbe871</x:v>
      </x:c>
      <x:c r="J895" s="22" t="n">
        <x:v>1</x:v>
      </x:c>
      <x:c r="K895" s="22" t="n">
        <x:v>1</x:v>
      </x:c>
      <x:c r="L895" s="22" t="n">
        <x:v>1</x:v>
      </x:c>
      <x:c r="M895" s="28" t="n">
        <x:v>0</x:v>
      </x:c>
      <x:c r="N895" s="28" t="n">
        <x:v>0</x:v>
      </x:c>
      <x:c r="O895" s="28" t="n">
        <x:v>0</x:v>
      </x:c>
      <x:c r="P895" s="62" t="n">
        <x:v>0</x:v>
      </x:c>
      <x:c r="Q895" s="22" t="n">
        <x:v>0</x:v>
      </x:c>
      <x:c r="R895" s="22" t="str"/>
      <x:c r="S895" s="22" t="str"/>
      <x:c r="T895" s="22" t="str"/>
    </x:row>
    <x:row r="896">
      <x:c r="A896" s="22" t="str">
        <x:v>2020-00086</x:v>
      </x:c>
      <x:c r="B896" s="22" t="str">
        <x:v>L2023-00053-1</x:v>
      </x:c>
      <x:c r="C896" s="22" t="str">
        <x:v>공사</x:v>
      </x:c>
      <x:c r="D896" s="25" t="str">
        <x:v>우즈베키스탄 직업훈련원 및 타슈켄트 교사연수센터 건립 시공업체 선정 현지입찰</x:v>
      </x:c>
      <x:c r="E896" s="22" t="n">
        <x:v>1</x:v>
      </x:c>
      <x:c r="F896" s="22" t="str">
        <x:v>.xls</x:v>
      </x:c>
      <x:c r="G896" s="25" t="str">
        <x:v>L2023-00053-1/Urgench VTC Bid Attachment Documents/Urgench VTC Bid Attachment Documents/Section 4.  Bill of Quantities(Not-Priced)/공내역서/VTC견적서/6 КПП(Guard House+Fence &amp; Gate)/6-1 КЖ(Structure)/13053_vrmu.xls</x:v>
      </x:c>
      <x:c r="H896" s="28" t="n">
        <x:v>72704</x:v>
      </x:c>
      <x:c r="I896" s="22" t="str">
        <x:v>dcc0b7139d1a295111335bacbfa1dec0eb5c4d8fd84c4550f6c49f5003c87115</x:v>
      </x:c>
      <x:c r="J896" s="22" t="n">
        <x:v>1</x:v>
      </x:c>
      <x:c r="K896" s="22" t="n">
        <x:v>1</x:v>
      </x:c>
      <x:c r="L896" s="22" t="n">
        <x:v>1</x:v>
      </x:c>
      <x:c r="M896" s="28" t="n">
        <x:v>1</x:v>
      </x:c>
      <x:c r="N896" s="28" t="n">
        <x:v>120</x:v>
      </x:c>
      <x:c r="O896" s="28" t="n">
        <x:v>1</x:v>
      </x:c>
      <x:c r="P896" s="62" t="n">
        <x:v>0.008333333333333333</x:v>
      </x:c>
      <x:c r="Q896" s="22" t="n">
        <x:v>0</x:v>
      </x:c>
      <x:c r="R896" s="22" t="str">
        <x:v>Лист1</x:v>
      </x:c>
      <x:c r="S896" s="22" t="str">
        <x:v>visible</x:v>
      </x:c>
      <x:c r="T896" s="22" t="str"/>
    </x:row>
    <x:row r="897">
      <x:c r="A897" s="22" t="str">
        <x:v>2020-00086</x:v>
      </x:c>
      <x:c r="B897" s="22" t="str">
        <x:v>L2023-00053-1</x:v>
      </x:c>
      <x:c r="C897" s="22" t="str">
        <x:v>공사</x:v>
      </x:c>
      <x:c r="D897" s="25" t="str">
        <x:v>우즈베키스탄 직업훈련원 및 타슈켄트 교사연수센터 건립 시공업체 선정 현지입찰</x:v>
      </x:c>
      <x:c r="E897" s="22" t="n">
        <x:v>1</x:v>
      </x:c>
      <x:c r="F897" s="22" t="str">
        <x:v>.xls</x:v>
      </x:c>
      <x:c r="G897" s="25" t="str">
        <x:v>L2023-00053-1/Urgench VTC Bid Attachment Documents/Urgench VTC Bid Attachment Documents/Section 4.  Bill of Quantities(Not-Priced)/공내역서/VTC견적서/6 КПП(Guard House+Fence &amp; Gate)/6-1 КЖ(Structure)/bv13050.xls</x:v>
      </x:c>
      <x:c r="H897" s="28" t="n">
        <x:v>186368</x:v>
      </x:c>
      <x:c r="I897" s="22" t="str">
        <x:v>ecb8d5c1397c5c50289b9fbd88481d3cee7bb833c0a9a712edc967ee65d8af3f</x:v>
      </x:c>
      <x:c r="J897" s="22" t="n">
        <x:v>1</x:v>
      </x:c>
      <x:c r="K897" s="22" t="n">
        <x:v>1</x:v>
      </x:c>
      <x:c r="L897" s="22" t="n">
        <x:v>1</x:v>
      </x:c>
      <x:c r="M897" s="28" t="n">
        <x:v>0</x:v>
      </x:c>
      <x:c r="N897" s="28" t="n">
        <x:v>0</x:v>
      </x:c>
      <x:c r="O897" s="28" t="n">
        <x:v>0</x:v>
      </x:c>
      <x:c r="P897" s="62" t="n">
        <x:v>0</x:v>
      </x:c>
      <x:c r="Q897" s="22" t="n">
        <x:v>0</x:v>
      </x:c>
      <x:c r="R897" s="22" t="str"/>
      <x:c r="S897" s="22" t="str"/>
      <x:c r="T897" s="22" t="str"/>
    </x:row>
    <x:row r="898">
      <x:c r="A898" s="22" t="str">
        <x:v>2020-00086</x:v>
      </x:c>
      <x:c r="B898" s="22" t="str">
        <x:v>L2023-00053-1</x:v>
      </x:c>
      <x:c r="C898" s="22" t="str">
        <x:v>공사</x:v>
      </x:c>
      <x:c r="D898" s="25" t="str">
        <x:v>우즈베키스탄 직업훈련원 및 타슈켄트 교사연수센터 건립 시공업체 선정 현지입찰</x:v>
      </x:c>
      <x:c r="E898" s="22" t="n">
        <x:v>1</x:v>
      </x:c>
      <x:c r="F898" s="22" t="str">
        <x:v>.xls</x:v>
      </x:c>
      <x:c r="G898" s="25" t="str">
        <x:v>L2023-00053-1/Urgench VTC Bid Attachment Documents/Urgench VTC Bid Attachment Documents/Section 4.  Bill of Quantities(Not-Priced)/공내역서/VTC견적서/6 КПП(Guard House+Fence &amp; Gate)/6-5 ЭО(Electric)/13533_vfor.xls</x:v>
      </x:c>
      <x:c r="H898" s="28" t="n">
        <x:v>45568</x:v>
      </x:c>
      <x:c r="I898" s="22" t="str">
        <x:v>a8c797c5c49f18bcd37916401194d6111b33f4cd1c1431c0bc17678dc1ef7507</x:v>
      </x:c>
      <x:c r="J898" s="22" t="n">
        <x:v>1</x:v>
      </x:c>
      <x:c r="K898" s="22" t="n">
        <x:v>1</x:v>
      </x:c>
      <x:c r="L898" s="22" t="n">
        <x:v>1</x:v>
      </x:c>
      <x:c r="M898" s="28" t="n">
        <x:v>1</x:v>
      </x:c>
      <x:c r="N898" s="28" t="n">
        <x:v>28</x:v>
      </x:c>
      <x:c r="O898" s="28" t="n">
        <x:v>0</x:v>
      </x:c>
      <x:c r="P898" s="62" t="n">
        <x:v>0</x:v>
      </x:c>
      <x:c r="Q898" s="22" t="n">
        <x:v>0</x:v>
      </x:c>
      <x:c r="R898" s="22" t="str">
        <x:v>Лист1</x:v>
      </x:c>
      <x:c r="S898" s="22" t="str">
        <x:v>visible</x:v>
      </x:c>
      <x:c r="T898" s="22" t="str"/>
    </x:row>
    <x:row r="899">
      <x:c r="A899" s="22" t="str">
        <x:v>2020-00086</x:v>
      </x:c>
      <x:c r="B899" s="22" t="str">
        <x:v>L2023-00053-1</x:v>
      </x:c>
      <x:c r="C899" s="22" t="str">
        <x:v>공사</x:v>
      </x:c>
      <x:c r="D899" s="25" t="str">
        <x:v>우즈베키스탄 직업훈련원 및 타슈켄트 교사연수센터 건립 시공업체 선정 현지입찰</x:v>
      </x:c>
      <x:c r="E899" s="22" t="n">
        <x:v>1</x:v>
      </x:c>
      <x:c r="F899" s="22" t="str">
        <x:v>.xls</x:v>
      </x:c>
      <x:c r="G899" s="25" t="str">
        <x:v>L2023-00053-1/Urgench VTC Bid Attachment Documents/Urgench VTC Bid Attachment Documents/Section 4.  Bill of Quantities(Not-Priced)/공내역서/VTC견적서/6 КПП(Guard House+Fence &amp; Gate)/6-5 ЭО(Electric)/13533_vrmu.xls</x:v>
      </x:c>
      <x:c r="H899" s="28" t="n">
        <x:v>51712</x:v>
      </x:c>
      <x:c r="I899" s="22" t="str">
        <x:v>adc4d0090b25860f05ae432980f8a84532193b463acbd300f4d5fa3acf31929d</x:v>
      </x:c>
      <x:c r="J899" s="22" t="n">
        <x:v>1</x:v>
      </x:c>
      <x:c r="K899" s="22" t="n">
        <x:v>1</x:v>
      </x:c>
      <x:c r="L899" s="22" t="n">
        <x:v>1</x:v>
      </x:c>
      <x:c r="M899" s="28" t="n">
        <x:v>1</x:v>
      </x:c>
      <x:c r="N899" s="28" t="n">
        <x:v>51</x:v>
      </x:c>
      <x:c r="O899" s="28" t="n">
        <x:v>1</x:v>
      </x:c>
      <x:c r="P899" s="62" t="n">
        <x:v>0.0196078431372549</x:v>
      </x:c>
      <x:c r="Q899" s="22" t="n">
        <x:v>0</x:v>
      </x:c>
      <x:c r="R899" s="22" t="str">
        <x:v>Лист1</x:v>
      </x:c>
      <x:c r="S899" s="22" t="str">
        <x:v>visible</x:v>
      </x:c>
      <x:c r="T899" s="22" t="str"/>
    </x:row>
    <x:row r="900">
      <x:c r="A900" s="22" t="str">
        <x:v>2020-00086</x:v>
      </x:c>
      <x:c r="B900" s="22" t="str">
        <x:v>L2023-00053-1</x:v>
      </x:c>
      <x:c r="C900" s="22" t="str">
        <x:v>공사</x:v>
      </x:c>
      <x:c r="D900" s="25" t="str">
        <x:v>우즈베키스탄 직업훈련원 및 타슈켄트 교사연수센터 건립 시공업체 선정 현지입찰</x:v>
      </x:c>
      <x:c r="E900" s="22" t="n">
        <x:v>1</x:v>
      </x:c>
      <x:c r="F900" s="22" t="str">
        <x:v>.xls</x:v>
      </x:c>
      <x:c r="G900" s="25" t="str">
        <x:v>L2023-00053-1/Urgench VTC Bid Attachment Documents/Urgench VTC Bid Attachment Documents/Section 4.  Bill of Quantities(Not-Priced)/공내역서/VTC견적서/6 КПП(Guard House+Fence &amp; Gate)/6-5 ЭО(Electric)/bv13530.xls</x:v>
      </x:c>
      <x:c r="H900" s="28" t="n">
        <x:v>77824</x:v>
      </x:c>
      <x:c r="I900" s="22" t="str">
        <x:v>245b723563475e969548ffaaf40bf6267f9670b17170e37180d848a6826ae285</x:v>
      </x:c>
      <x:c r="J900" s="22" t="n">
        <x:v>1</x:v>
      </x:c>
      <x:c r="K900" s="22" t="n">
        <x:v>1</x:v>
      </x:c>
      <x:c r="L900" s="22" t="n">
        <x:v>1</x:v>
      </x:c>
      <x:c r="M900" s="28" t="n">
        <x:v>1</x:v>
      </x:c>
      <x:c r="N900" s="28" t="n">
        <x:v>123</x:v>
      </x:c>
      <x:c r="O900" s="28" t="n">
        <x:v>0</x:v>
      </x:c>
      <x:c r="P900" s="62" t="n">
        <x:v>0</x:v>
      </x:c>
      <x:c r="Q900" s="22" t="n">
        <x:v>0</x:v>
      </x:c>
      <x:c r="R900" s="22" t="str">
        <x:v>6-5_ЛРВ</x:v>
      </x:c>
      <x:c r="S900" s="22" t="str">
        <x:v>visible</x:v>
      </x:c>
      <x:c r="T900" s="22" t="str"/>
    </x:row>
    <x:row r="901">
      <x:c r="A901" s="22" t="str">
        <x:v>2020-00086</x:v>
      </x:c>
      <x:c r="B901" s="22" t="str">
        <x:v>L2023-00053-1</x:v>
      </x:c>
      <x:c r="C901" s="22" t="str">
        <x:v>공사</x:v>
      </x:c>
      <x:c r="D901" s="25" t="str">
        <x:v>우즈베키스탄 직업훈련원 및 타슈켄트 교사연수센터 건립 시공업체 선정 현지입찰</x:v>
      </x:c>
      <x:c r="E901" s="22" t="n">
        <x:v>1</x:v>
      </x:c>
      <x:c r="F901" s="22" t="str">
        <x:v>.xls</x:v>
      </x:c>
      <x:c r="G901" s="25" t="str">
        <x:v>L2023-00053-1/Urgench VTC Bid Attachment Documents/Urgench VTC Bid Attachment Documents/Section 4.  Bill of Quantities(Not-Priced)/공내역서/VTC견적서/6 КПП(Guard House+Fence &amp; Gate)/6-4 ВК(Water &amp; Sewer &amp; Fire plug)/13163_vrmu.xls</x:v>
      </x:c>
      <x:c r="H901" s="28" t="n">
        <x:v>51712</x:v>
      </x:c>
      <x:c r="I901" s="22" t="str">
        <x:v>02996d3aeb403f16f777614300c531dffc91202f13226adbc63fdcd4170cf27b</x:v>
      </x:c>
      <x:c r="J901" s="22" t="n">
        <x:v>1</x:v>
      </x:c>
      <x:c r="K901" s="22" t="n">
        <x:v>1</x:v>
      </x:c>
      <x:c r="L901" s="22" t="n">
        <x:v>1</x:v>
      </x:c>
      <x:c r="M901" s="28" t="n">
        <x:v>1</x:v>
      </x:c>
      <x:c r="N901" s="28" t="n">
        <x:v>69</x:v>
      </x:c>
      <x:c r="O901" s="28" t="n">
        <x:v>1</x:v>
      </x:c>
      <x:c r="P901" s="62" t="n">
        <x:v>0.014492753623188406</x:v>
      </x:c>
      <x:c r="Q901" s="22" t="n">
        <x:v>0</x:v>
      </x:c>
      <x:c r="R901" s="22" t="str">
        <x:v>Лист1</x:v>
      </x:c>
      <x:c r="S901" s="22" t="str">
        <x:v>visible</x:v>
      </x:c>
      <x:c r="T901" s="22" t="str"/>
    </x:row>
    <x:row r="902">
      <x:c r="A902" s="22" t="str">
        <x:v>2020-00086</x:v>
      </x:c>
      <x:c r="B902" s="22" t="str">
        <x:v>L2023-00053-1</x:v>
      </x:c>
      <x:c r="C902" s="22" t="str">
        <x:v>공사</x:v>
      </x:c>
      <x:c r="D902" s="25" t="str">
        <x:v>우즈베키스탄 직업훈련원 및 타슈켄트 교사연수센터 건립 시공업체 선정 현지입찰</x:v>
      </x:c>
      <x:c r="E902" s="22" t="n">
        <x:v>1</x:v>
      </x:c>
      <x:c r="F902" s="22" t="str">
        <x:v>.xls</x:v>
      </x:c>
      <x:c r="G902" s="25" t="str">
        <x:v>L2023-00053-1/Urgench VTC Bid Attachment Documents/Urgench VTC Bid Attachment Documents/Section 4.  Bill of Quantities(Not-Priced)/공내역서/VTC견적서/6 КПП(Guard House+Fence &amp; Gate)/6-4 ВК(Water &amp; Sewer &amp; Fire plug)/13163_vfor.xls</x:v>
      </x:c>
      <x:c r="H902" s="28" t="n">
        <x:v>42496</x:v>
      </x:c>
      <x:c r="I902" s="22" t="str">
        <x:v>df6220b225173aa488bd8d4a23eb05263619cbf4e888bbe98ea36c01265e50fc</x:v>
      </x:c>
      <x:c r="J902" s="22" t="n">
        <x:v>1</x:v>
      </x:c>
      <x:c r="K902" s="22" t="n">
        <x:v>1</x:v>
      </x:c>
      <x:c r="L902" s="22" t="n">
        <x:v>1</x:v>
      </x:c>
      <x:c r="M902" s="28" t="n">
        <x:v>1</x:v>
      </x:c>
      <x:c r="N902" s="28" t="n">
        <x:v>34</x:v>
      </x:c>
      <x:c r="O902" s="28" t="n">
        <x:v>0</x:v>
      </x:c>
      <x:c r="P902" s="62" t="n">
        <x:v>0</x:v>
      </x:c>
      <x:c r="Q902" s="22" t="n">
        <x:v>0</x:v>
      </x:c>
      <x:c r="R902" s="22" t="str">
        <x:v>Лист1</x:v>
      </x:c>
      <x:c r="S902" s="22" t="str">
        <x:v>visible</x:v>
      </x:c>
      <x:c r="T902" s="22" t="str"/>
    </x:row>
    <x:row r="903">
      <x:c r="A903" s="22" t="str">
        <x:v>2020-00086</x:v>
      </x:c>
      <x:c r="B903" s="22" t="str">
        <x:v>L2023-00053-1</x:v>
      </x:c>
      <x:c r="C903" s="22" t="str">
        <x:v>공사</x:v>
      </x:c>
      <x:c r="D903" s="25" t="str">
        <x:v>우즈베키스탄 직업훈련원 및 타슈켄트 교사연수센터 건립 시공업체 선정 현지입찰</x:v>
      </x:c>
      <x:c r="E903" s="22" t="n">
        <x:v>1</x:v>
      </x:c>
      <x:c r="F903" s="22" t="str">
        <x:v>.xls</x:v>
      </x:c>
      <x:c r="G903" s="25" t="str">
        <x:v>L2023-00053-1/Urgench VTC Bid Attachment Documents/Urgench VTC Bid Attachment Documents/Section 4.  Bill of Quantities(Not-Priced)/공내역서/VTC견적서/6 КПП(Guard House+Fence &amp; Gate)/6-4 ВК(Water &amp; Sewer &amp; Fire plug)/bv13160.xls</x:v>
      </x:c>
      <x:c r="H903" s="28" t="n">
        <x:v>81408</x:v>
      </x:c>
      <x:c r="I903" s="22" t="str">
        <x:v>0da398eedf5f2bce997092265a779da29c1e9aad374c13682effe71359e455e6</x:v>
      </x:c>
      <x:c r="J903" s="22" t="n">
        <x:v>1</x:v>
      </x:c>
      <x:c r="K903" s="22" t="n">
        <x:v>1</x:v>
      </x:c>
      <x:c r="L903" s="22" t="n">
        <x:v>1</x:v>
      </x:c>
      <x:c r="M903" s="28" t="n">
        <x:v>1</x:v>
      </x:c>
      <x:c r="N903" s="28" t="n">
        <x:v>127</x:v>
      </x:c>
      <x:c r="O903" s="28" t="n">
        <x:v>0</x:v>
      </x:c>
      <x:c r="P903" s="62" t="n">
        <x:v>0</x:v>
      </x:c>
      <x:c r="Q903" s="22" t="n">
        <x:v>0</x:v>
      </x:c>
      <x:c r="R903" s="22" t="str">
        <x:v>6-4_ЛРВ</x:v>
      </x:c>
      <x:c r="S903" s="22" t="str">
        <x:v>visible</x:v>
      </x:c>
      <x:c r="T903" s="22" t="str"/>
    </x:row>
    <x:row r="904">
      <x:c r="A904" s="22" t="str">
        <x:v>2020-00086</x:v>
      </x:c>
      <x:c r="B904" s="22" t="str">
        <x:v>L2023-00053-1</x:v>
      </x:c>
      <x:c r="C904" s="22" t="str">
        <x:v>공사</x:v>
      </x:c>
      <x:c r="D904" s="25" t="str">
        <x:v>우즈베키스탄 직업훈련원 및 타슈켄트 교사연수센터 건립 시공업체 선정 현지입찰</x:v>
      </x:c>
      <x:c r="E904" s="22" t="n">
        <x:v>1</x:v>
      </x:c>
      <x:c r="F904" s="22" t="str">
        <x:v>.xls</x:v>
      </x:c>
      <x:c r="G904" s="25" t="str">
        <x:v>L2023-00053-1/Urgench VTC Bid Attachment Documents/Urgench VTC Bid Attachment Documents/Section 4.  Bill of Quantities(Not-Priced)/공내역서/VTC견적서/6 КПП(Guard House+Fence &amp; Gate)/6-2 АР(Architecture)/bv13200.xls</x:v>
      </x:c>
      <x:c r="H904" s="28" t="n">
        <x:v>129024</x:v>
      </x:c>
      <x:c r="I904" s="22" t="str">
        <x:v>438cdab323bc3e1f71d5b490c7094683b5141f8e682754558baf8ad56fb493b6</x:v>
      </x:c>
      <x:c r="J904" s="22" t="n">
        <x:v>1</x:v>
      </x:c>
      <x:c r="K904" s="22" t="n">
        <x:v>1</x:v>
      </x:c>
      <x:c r="L904" s="22" t="n">
        <x:v>1</x:v>
      </x:c>
      <x:c r="M904" s="28" t="n">
        <x:v>1</x:v>
      </x:c>
      <x:c r="N904" s="28" t="n">
        <x:v>336</x:v>
      </x:c>
      <x:c r="O904" s="28" t="n">
        <x:v>0</x:v>
      </x:c>
      <x:c r="P904" s="62" t="n">
        <x:v>0</x:v>
      </x:c>
      <x:c r="Q904" s="22" t="n">
        <x:v>0</x:v>
      </x:c>
      <x:c r="R904" s="22" t="str">
        <x:v>6-2_ЛРВ</x:v>
      </x:c>
      <x:c r="S904" s="22" t="str">
        <x:v>visible</x:v>
      </x:c>
      <x:c r="T904" s="22" t="str"/>
    </x:row>
    <x:row r="905">
      <x:c r="A905" s="22" t="str">
        <x:v>2020-00086</x:v>
      </x:c>
      <x:c r="B905" s="22" t="str">
        <x:v>L2023-00053-1</x:v>
      </x:c>
      <x:c r="C905" s="22" t="str">
        <x:v>공사</x:v>
      </x:c>
      <x:c r="D905" s="25" t="str">
        <x:v>우즈베키스탄 직업훈련원 및 타슈켄트 교사연수센터 건립 시공업체 선정 현지입찰</x:v>
      </x:c>
      <x:c r="E905" s="22" t="n">
        <x:v>1</x:v>
      </x:c>
      <x:c r="F905" s="22" t="str">
        <x:v>.xls</x:v>
      </x:c>
      <x:c r="G905" s="25" t="str">
        <x:v>L2023-00053-1/Urgench VTC Bid Attachment Documents/Urgench VTC Bid Attachment Documents/Section 4.  Bill of Quantities(Not-Priced)/공내역서/VTC견적서/6 КПП(Guard House+Fence &amp; Gate)/6-2 АР(Architecture)/13203_vfor.xls</x:v>
      </x:c>
      <x:c r="H905" s="28" t="n">
        <x:v>48640</x:v>
      </x:c>
      <x:c r="I905" s="22" t="str">
        <x:v>21fa111c58e5d02f90ed6d5bf2e47e5fc93e3e0b70ff150c2a2bfd5f7ce512f3</x:v>
      </x:c>
      <x:c r="J905" s="22" t="n">
        <x:v>1</x:v>
      </x:c>
      <x:c r="K905" s="22" t="n">
        <x:v>1</x:v>
      </x:c>
      <x:c r="L905" s="22" t="n">
        <x:v>1</x:v>
      </x:c>
      <x:c r="M905" s="28" t="n">
        <x:v>0</x:v>
      </x:c>
      <x:c r="N905" s="28" t="n">
        <x:v>0</x:v>
      </x:c>
      <x:c r="O905" s="28" t="n">
        <x:v>0</x:v>
      </x:c>
      <x:c r="P905" s="62" t="n">
        <x:v>0</x:v>
      </x:c>
      <x:c r="Q905" s="22" t="n">
        <x:v>0</x:v>
      </x:c>
      <x:c r="R905" s="22" t="str"/>
      <x:c r="S905" s="22" t="str"/>
      <x:c r="T905" s="22" t="str"/>
    </x:row>
    <x:row r="906">
      <x:c r="A906" s="22" t="str">
        <x:v>2020-00086</x:v>
      </x:c>
      <x:c r="B906" s="22" t="str">
        <x:v>L2023-00053-1</x:v>
      </x:c>
      <x:c r="C906" s="22" t="str">
        <x:v>공사</x:v>
      </x:c>
      <x:c r="D906" s="25" t="str">
        <x:v>우즈베키스탄 직업훈련원 및 타슈켄트 교사연수센터 건립 시공업체 선정 현지입찰</x:v>
      </x:c>
      <x:c r="E906" s="22" t="n">
        <x:v>1</x:v>
      </x:c>
      <x:c r="F906" s="22" t="str">
        <x:v>.xls</x:v>
      </x:c>
      <x:c r="G906" s="25" t="str">
        <x:v>L2023-00053-1/Urgench VTC Bid Attachment Documents/Urgench VTC Bid Attachment Documents/Section 4.  Bill of Quantities(Not-Priced)/공내역서/VTC견적서/6 КПП(Guard House+Fence &amp; Gate)/6-2 АР(Architecture)/13203_vrmu.xls</x:v>
      </x:c>
      <x:c r="H906" s="28" t="n">
        <x:v>61440</x:v>
      </x:c>
      <x:c r="I906" s="22" t="str">
        <x:v>cdc00d62f8cb153c9478d025a81ca7bcec02338d395b64066ecdb866f099a689</x:v>
      </x:c>
      <x:c r="J906" s="22" t="n">
        <x:v>1</x:v>
      </x:c>
      <x:c r="K906" s="22" t="n">
        <x:v>1</x:v>
      </x:c>
      <x:c r="L906" s="22" t="n">
        <x:v>1</x:v>
      </x:c>
      <x:c r="M906" s="28" t="n">
        <x:v>1</x:v>
      </x:c>
      <x:c r="N906" s="28" t="n">
        <x:v>112</x:v>
      </x:c>
      <x:c r="O906" s="28" t="n">
        <x:v>1</x:v>
      </x:c>
      <x:c r="P906" s="62" t="n">
        <x:v>0.008928571428571428</x:v>
      </x:c>
      <x:c r="Q906" s="22" t="n">
        <x:v>0</x:v>
      </x:c>
      <x:c r="R906" s="22" t="str">
        <x:v>Лист1</x:v>
      </x:c>
      <x:c r="S906" s="22" t="str">
        <x:v>visible</x:v>
      </x:c>
      <x:c r="T906" s="22" t="str"/>
    </x:row>
    <x:row r="907">
      <x:c r="A907" s="22" t="str">
        <x:v>2020-00086</x:v>
      </x:c>
      <x:c r="B907" s="22" t="str">
        <x:v>L2023-00053-1</x:v>
      </x:c>
      <x:c r="C907" s="22" t="str">
        <x:v>공사</x:v>
      </x:c>
      <x:c r="D907" s="25" t="str">
        <x:v>우즈베키스탄 직업훈련원 및 타슈켄트 교사연수센터 건립 시공업체 선정 현지입찰</x:v>
      </x:c>
      <x:c r="E907" s="22" t="n">
        <x:v>1</x:v>
      </x:c>
      <x:c r="F907" s="22" t="str">
        <x:v>.xls</x:v>
      </x:c>
      <x:c r="G907" s="25" t="str">
        <x:v>L2023-00053-1/Urgench VTC Bid Attachment Documents/Urgench VTC Bid Attachment Documents/Section 4.  Bill of Quantities(Not-Priced)/공내역서/VTC견적서/6 КПП(Guard House+Fence &amp; Gate)/6-7 ВН, СКС(CCTV &amp; Network)/13363_vfor.xls</x:v>
      </x:c>
      <x:c r="H907" s="28" t="n">
        <x:v>48128</x:v>
      </x:c>
      <x:c r="I907" s="22" t="str">
        <x:v>36c9333a99d57c47105b911fbcb3486700e28e5017f87607868f0f75926dffa2</x:v>
      </x:c>
      <x:c r="J907" s="22" t="n">
        <x:v>1</x:v>
      </x:c>
      <x:c r="K907" s="22" t="n">
        <x:v>1</x:v>
      </x:c>
      <x:c r="L907" s="22" t="n">
        <x:v>1</x:v>
      </x:c>
      <x:c r="M907" s="28" t="n">
        <x:v>1</x:v>
      </x:c>
      <x:c r="N907" s="28" t="n">
        <x:v>46</x:v>
      </x:c>
      <x:c r="O907" s="28" t="n">
        <x:v>0</x:v>
      </x:c>
      <x:c r="P907" s="62" t="n">
        <x:v>0</x:v>
      </x:c>
      <x:c r="Q907" s="22" t="n">
        <x:v>0</x:v>
      </x:c>
      <x:c r="R907" s="22" t="str">
        <x:v>Лист1</x:v>
      </x:c>
      <x:c r="S907" s="22" t="str">
        <x:v>visible</x:v>
      </x:c>
      <x:c r="T907" s="22" t="str"/>
    </x:row>
    <x:row r="908">
      <x:c r="A908" s="22" t="str">
        <x:v>2020-00086</x:v>
      </x:c>
      <x:c r="B908" s="22" t="str">
        <x:v>L2023-00053-1</x:v>
      </x:c>
      <x:c r="C908" s="22" t="str">
        <x:v>공사</x:v>
      </x:c>
      <x:c r="D908" s="25" t="str">
        <x:v>우즈베키스탄 직업훈련원 및 타슈켄트 교사연수센터 건립 시공업체 선정 현지입찰</x:v>
      </x:c>
      <x:c r="E908" s="22" t="n">
        <x:v>1</x:v>
      </x:c>
      <x:c r="F908" s="22" t="str">
        <x:v>.xls</x:v>
      </x:c>
      <x:c r="G908" s="25" t="str">
        <x:v>L2023-00053-1/Urgench VTC Bid Attachment Documents/Urgench VTC Bid Attachment Documents/Section 4.  Bill of Quantities(Not-Priced)/공내역서/VTC견적서/6 КПП(Guard House+Fence &amp; Gate)/6-7 ВН, СКС(CCTV &amp; Network)/bv13360.xls</x:v>
      </x:c>
      <x:c r="H908" s="28" t="n">
        <x:v>88576</x:v>
      </x:c>
      <x:c r="I908" s="22" t="str">
        <x:v>74bc8b533c92a35d0c29c637a7feab7f5b9a68290b45af8b0e0690bf0416adab</x:v>
      </x:c>
      <x:c r="J908" s="22" t="n">
        <x:v>1</x:v>
      </x:c>
      <x:c r="K908" s="22" t="n">
        <x:v>1</x:v>
      </x:c>
      <x:c r="L908" s="22" t="n">
        <x:v>1</x:v>
      </x:c>
      <x:c r="M908" s="28" t="n">
        <x:v>1</x:v>
      </x:c>
      <x:c r="N908" s="28" t="n">
        <x:v>157</x:v>
      </x:c>
      <x:c r="O908" s="28" t="n">
        <x:v>0</x:v>
      </x:c>
      <x:c r="P908" s="62" t="n">
        <x:v>0</x:v>
      </x:c>
      <x:c r="Q908" s="22" t="n">
        <x:v>0</x:v>
      </x:c>
      <x:c r="R908" s="22" t="str">
        <x:v>6-7_ЛРВ</x:v>
      </x:c>
      <x:c r="S908" s="22" t="str">
        <x:v>visible</x:v>
      </x:c>
      <x:c r="T908" s="22" t="str"/>
    </x:row>
    <x:row r="909">
      <x:c r="A909" s="22" t="str">
        <x:v>2020-00086</x:v>
      </x:c>
      <x:c r="B909" s="22" t="str">
        <x:v>L2023-00053-1</x:v>
      </x:c>
      <x:c r="C909" s="22" t="str">
        <x:v>공사</x:v>
      </x:c>
      <x:c r="D909" s="25" t="str">
        <x:v>우즈베키스탄 직업훈련원 및 타슈켄트 교사연수센터 건립 시공업체 선정 현지입찰</x:v>
      </x:c>
      <x:c r="E909" s="22" t="n">
        <x:v>1</x:v>
      </x:c>
      <x:c r="F909" s="22" t="str">
        <x:v>.xls</x:v>
      </x:c>
      <x:c r="G909" s="25" t="str">
        <x:v>L2023-00053-1/Urgench VTC Bid Attachment Documents/Urgench VTC Bid Attachment Documents/Section 4.  Bill of Quantities(Not-Priced)/공내역서/VTC견적서/6 КПП(Guard House+Fence &amp; Gate)/6-7 ВН, СКС(CCTV &amp; Network)/13363_vrmu.xls</x:v>
      </x:c>
      <x:c r="H909" s="28" t="n">
        <x:v>57344</x:v>
      </x:c>
      <x:c r="I909" s="22" t="str">
        <x:v>bb45d8fce2bdc88caf7c66fd7cb3a7b238228ed5926d5e1cd6c17d10d95924ee</x:v>
      </x:c>
      <x:c r="J909" s="22" t="n">
        <x:v>1</x:v>
      </x:c>
      <x:c r="K909" s="22" t="n">
        <x:v>1</x:v>
      </x:c>
      <x:c r="L909" s="22" t="n">
        <x:v>1</x:v>
      </x:c>
      <x:c r="M909" s="28" t="n">
        <x:v>1</x:v>
      </x:c>
      <x:c r="N909" s="28" t="n">
        <x:v>79</x:v>
      </x:c>
      <x:c r="O909" s="28" t="n">
        <x:v>1</x:v>
      </x:c>
      <x:c r="P909" s="62" t="n">
        <x:v>0.012658227848101266</x:v>
      </x:c>
      <x:c r="Q909" s="22" t="n">
        <x:v>0</x:v>
      </x:c>
      <x:c r="R909" s="22" t="str">
        <x:v>Лист1</x:v>
      </x:c>
      <x:c r="S909" s="22" t="str">
        <x:v>visible</x:v>
      </x:c>
      <x:c r="T909" s="22" t="str"/>
    </x:row>
    <x:row r="910">
      <x:c r="A910" s="22" t="str">
        <x:v>2020-00086</x:v>
      </x:c>
      <x:c r="B910" s="22" t="str">
        <x:v>L2023-00053-1</x:v>
      </x:c>
      <x:c r="C910" s="22" t="str">
        <x:v>공사</x:v>
      </x:c>
      <x:c r="D910" s="25" t="str">
        <x:v>우즈베키스탄 직업훈련원 및 타슈켄트 교사연수센터 건립 시공업체 선정 현지입찰</x:v>
      </x:c>
      <x:c r="E910" s="22" t="n">
        <x:v>1</x:v>
      </x:c>
      <x:c r="F910" s="22" t="str">
        <x:v>.xls</x:v>
      </x:c>
      <x:c r="G910" s="25" t="str">
        <x:v>L2023-00053-1/Urgench VTC Bid Attachment Documents/Urgench VTC Bid Attachment Documents/Section 4.  Bill of Quantities(Not-Priced)/공내역서/VTC견적서/6 КПП(Guard House+Fence &amp; Gate)/6-6 ПС(Fire Alarm)/bv13350.xls</x:v>
      </x:c>
      <x:c r="H910" s="28" t="n">
        <x:v>68608</x:v>
      </x:c>
      <x:c r="I910" s="22" t="str">
        <x:v>3fedac4c69065bad31ff8ef486ec7a572c6b66408b084530fddeb99286af3107</x:v>
      </x:c>
      <x:c r="J910" s="22" t="n">
        <x:v>1</x:v>
      </x:c>
      <x:c r="K910" s="22" t="n">
        <x:v>1</x:v>
      </x:c>
      <x:c r="L910" s="22" t="n">
        <x:v>1</x:v>
      </x:c>
      <x:c r="M910" s="28" t="n">
        <x:v>0</x:v>
      </x:c>
      <x:c r="N910" s="28" t="n">
        <x:v>0</x:v>
      </x:c>
      <x:c r="O910" s="28" t="n">
        <x:v>0</x:v>
      </x:c>
      <x:c r="P910" s="62" t="n">
        <x:v>0</x:v>
      </x:c>
      <x:c r="Q910" s="22" t="n">
        <x:v>0</x:v>
      </x:c>
      <x:c r="R910" s="22" t="str"/>
      <x:c r="S910" s="22" t="str"/>
      <x:c r="T910" s="22" t="str"/>
    </x:row>
    <x:row r="911">
      <x:c r="A911" s="22" t="str">
        <x:v>2020-00086</x:v>
      </x:c>
      <x:c r="B911" s="22" t="str">
        <x:v>L2023-00053-1</x:v>
      </x:c>
      <x:c r="C911" s="22" t="str">
        <x:v>공사</x:v>
      </x:c>
      <x:c r="D911" s="25" t="str">
        <x:v>우즈베키스탄 직업훈련원 및 타슈켄트 교사연수센터 건립 시공업체 선정 현지입찰</x:v>
      </x:c>
      <x:c r="E911" s="22" t="n">
        <x:v>1</x:v>
      </x:c>
      <x:c r="F911" s="22" t="str">
        <x:v>.xls</x:v>
      </x:c>
      <x:c r="G911" s="25" t="str">
        <x:v>L2023-00053-1/Urgench VTC Bid Attachment Documents/Urgench VTC Bid Attachment Documents/Section 4.  Bill of Quantities(Not-Priced)/공내역서/VTC견적서/6 КПП(Guard House+Fence &amp; Gate)/6-6 ПС(Fire Alarm)/13353_vrmu.xls</x:v>
      </x:c>
      <x:c r="H911" s="28" t="n">
        <x:v>45568</x:v>
      </x:c>
      <x:c r="I911" s="22" t="str">
        <x:v>1042a9e9f47e2df7996e894c927dd8ac8c3cc20fef3dfd2e0469d34176fb67a4</x:v>
      </x:c>
      <x:c r="J911" s="22" t="n">
        <x:v>1</x:v>
      </x:c>
      <x:c r="K911" s="22" t="n">
        <x:v>1</x:v>
      </x:c>
      <x:c r="L911" s="22" t="n">
        <x:v>1</x:v>
      </x:c>
      <x:c r="M911" s="28" t="n">
        <x:v>0</x:v>
      </x:c>
      <x:c r="N911" s="28" t="n">
        <x:v>0</x:v>
      </x:c>
      <x:c r="O911" s="28" t="n">
        <x:v>0</x:v>
      </x:c>
      <x:c r="P911" s="62" t="n">
        <x:v>0</x:v>
      </x:c>
      <x:c r="Q911" s="22" t="n">
        <x:v>0</x:v>
      </x:c>
      <x:c r="R911" s="22" t="str"/>
      <x:c r="S911" s="22" t="str"/>
      <x:c r="T911" s="22" t="str"/>
    </x:row>
    <x:row r="912">
      <x:c r="A912" s="22" t="str">
        <x:v>2020-00086</x:v>
      </x:c>
      <x:c r="B912" s="22" t="str">
        <x:v>L2023-00053-1</x:v>
      </x:c>
      <x:c r="C912" s="22" t="str">
        <x:v>공사</x:v>
      </x:c>
      <x:c r="D912" s="25" t="str">
        <x:v>우즈베키스탄 직업훈련원 및 타슈켄트 교사연수센터 건립 시공업체 선정 현지입찰</x:v>
      </x:c>
      <x:c r="E912" s="22" t="n">
        <x:v>1</x:v>
      </x:c>
      <x:c r="F912" s="22" t="str">
        <x:v>.xls</x:v>
      </x:c>
      <x:c r="G912" s="25" t="str">
        <x:v>L2023-00053-1/Urgench VTC Bid Attachment Documents/Urgench VTC Bid Attachment Documents/Section 4.  Bill of Quantities(Not-Priced)/공내역서/VTC견적서/6 КПП(Guard House+Fence &amp; Gate)/6-6 ПС(Fire Alarm)/13353_vfor.xls</x:v>
      </x:c>
      <x:c r="H912" s="28" t="n">
        <x:v>39936</x:v>
      </x:c>
      <x:c r="I912" s="22" t="str">
        <x:v>ada6a09861b75baeced88918213281f646dd23f8d179cda036079e272dedf6d9</x:v>
      </x:c>
      <x:c r="J912" s="22" t="n">
        <x:v>1</x:v>
      </x:c>
      <x:c r="K912" s="22" t="n">
        <x:v>1</x:v>
      </x:c>
      <x:c r="L912" s="22" t="n">
        <x:v>1</x:v>
      </x:c>
      <x:c r="M912" s="28" t="n">
        <x:v>1</x:v>
      </x:c>
      <x:c r="N912" s="28" t="n">
        <x:v>25</x:v>
      </x:c>
      <x:c r="O912" s="28" t="n">
        <x:v>0</x:v>
      </x:c>
      <x:c r="P912" s="62" t="n">
        <x:v>0</x:v>
      </x:c>
      <x:c r="Q912" s="22" t="n">
        <x:v>0</x:v>
      </x:c>
      <x:c r="R912" s="22" t="str">
        <x:v>Лист1</x:v>
      </x:c>
      <x:c r="S912" s="22" t="str">
        <x:v>visible</x:v>
      </x:c>
      <x:c r="T912" s="22" t="str"/>
    </x:row>
    <x:row r="913">
      <x:c r="A913" s="22" t="str">
        <x:v>2020-00086</x:v>
      </x:c>
      <x:c r="B913" s="22" t="str">
        <x:v>L2023-00053-1</x:v>
      </x:c>
      <x:c r="C913" s="22" t="str">
        <x:v>공사</x:v>
      </x:c>
      <x:c r="D913" s="25" t="str">
        <x:v>우즈베키스탄 직업훈련원 및 타슈켄트 교사연수센터 건립 시공업체 선정 현지입찰</x:v>
      </x:c>
      <x:c r="E913" s="22" t="n">
        <x:v>1</x:v>
      </x:c>
      <x:c r="F913" s="22" t="str">
        <x:v>.xls</x:v>
      </x:c>
      <x:c r="G913" s="25" t="str">
        <x:v>L2023-00053-1/Urgench VTC Bid Attachment Documents/Urgench VTC Bid Attachment Documents/Section 4.  Bill of Quantities(Not-Priced)/공내역서/VTC견적서/6 КПП(Guard House+Fence &amp; Gate)/6-3 ОВ(Heating &amp; Ventilation)/13553_vfor.xls</x:v>
      </x:c>
      <x:c r="H913" s="28" t="n">
        <x:v>39424</x:v>
      </x:c>
      <x:c r="I913" s="22" t="str">
        <x:v>221afcc766216a2167659cd706b07c07df791349f680a06ec88931f4e140e87d</x:v>
      </x:c>
      <x:c r="J913" s="22" t="n">
        <x:v>1</x:v>
      </x:c>
      <x:c r="K913" s="22" t="n">
        <x:v>1</x:v>
      </x:c>
      <x:c r="L913" s="22" t="n">
        <x:v>1</x:v>
      </x:c>
      <x:c r="M913" s="28" t="n">
        <x:v>1</x:v>
      </x:c>
      <x:c r="N913" s="28" t="n">
        <x:v>10</x:v>
      </x:c>
      <x:c r="O913" s="28" t="n">
        <x:v>0</x:v>
      </x:c>
      <x:c r="P913" s="62" t="n">
        <x:v>0</x:v>
      </x:c>
      <x:c r="Q913" s="22" t="n">
        <x:v>0</x:v>
      </x:c>
      <x:c r="R913" s="22" t="str">
        <x:v>Лист1</x:v>
      </x:c>
      <x:c r="S913" s="22" t="str">
        <x:v>visible</x:v>
      </x:c>
      <x:c r="T913" s="22" t="str"/>
    </x:row>
    <x:row r="914">
      <x:c r="A914" s="22" t="str">
        <x:v>2020-00086</x:v>
      </x:c>
      <x:c r="B914" s="22" t="str">
        <x:v>L2023-00053-1</x:v>
      </x:c>
      <x:c r="C914" s="22" t="str">
        <x:v>공사</x:v>
      </x:c>
      <x:c r="D914" s="25" t="str">
        <x:v>우즈베키스탄 직업훈련원 및 타슈켄트 교사연수센터 건립 시공업체 선정 현지입찰</x:v>
      </x:c>
      <x:c r="E914" s="22" t="n">
        <x:v>1</x:v>
      </x:c>
      <x:c r="F914" s="22" t="str">
        <x:v>.xls</x:v>
      </x:c>
      <x:c r="G914" s="25" t="str">
        <x:v>L2023-00053-1/Urgench VTC Bid Attachment Documents/Urgench VTC Bid Attachment Documents/Section 4.  Bill of Quantities(Not-Priced)/공내역서/VTC견적서/6 КПП(Guard House+Fence &amp; Gate)/6-3 ОВ(Heating &amp; Ventilation)/13553_vrmu.xls</x:v>
      </x:c>
      <x:c r="H914" s="28" t="n">
        <x:v>47104</x:v>
      </x:c>
      <x:c r="I914" s="22" t="str">
        <x:v>7c9d9051925373dc66d2ca05fefd5ea839554e87b692910a8f4c2f7831d68277</x:v>
      </x:c>
      <x:c r="J914" s="22" t="n">
        <x:v>1</x:v>
      </x:c>
      <x:c r="K914" s="22" t="n">
        <x:v>1</x:v>
      </x:c>
      <x:c r="L914" s="22" t="n">
        <x:v>1</x:v>
      </x:c>
      <x:c r="M914" s="28" t="n">
        <x:v>1</x:v>
      </x:c>
      <x:c r="N914" s="28" t="n">
        <x:v>43</x:v>
      </x:c>
      <x:c r="O914" s="28" t="n">
        <x:v>1</x:v>
      </x:c>
      <x:c r="P914" s="62" t="n">
        <x:v>0.023255813953488372</x:v>
      </x:c>
      <x:c r="Q914" s="22" t="n">
        <x:v>0</x:v>
      </x:c>
      <x:c r="R914" s="22" t="str">
        <x:v>Лист1</x:v>
      </x:c>
      <x:c r="S914" s="22" t="str">
        <x:v>visible</x:v>
      </x:c>
      <x:c r="T914" s="22" t="str"/>
    </x:row>
    <x:row r="915">
      <x:c r="A915" s="22" t="str">
        <x:v>2020-00086</x:v>
      </x:c>
      <x:c r="B915" s="22" t="str">
        <x:v>L2023-00053-1</x:v>
      </x:c>
      <x:c r="C915" s="22" t="str">
        <x:v>공사</x:v>
      </x:c>
      <x:c r="D915" s="25" t="str">
        <x:v>우즈베키스탄 직업훈련원 및 타슈켄트 교사연수센터 건립 시공업체 선정 현지입찰</x:v>
      </x:c>
      <x:c r="E915" s="22" t="n">
        <x:v>1</x:v>
      </x:c>
      <x:c r="F915" s="22" t="str">
        <x:v>.xls</x:v>
      </x:c>
      <x:c r="G915" s="25" t="str">
        <x:v>L2023-00053-1/Urgench VTC Bid Attachment Documents/Urgench VTC Bid Attachment Documents/Section 4.  Bill of Quantities(Not-Priced)/공내역서/VTC견적서/6 КПП(Guard House+Fence &amp; Gate)/6-3 ОВ(Heating &amp; Ventilation)/bv13550.xls</x:v>
      </x:c>
      <x:c r="H915" s="28" t="n">
        <x:v>64000</x:v>
      </x:c>
      <x:c r="I915" s="22" t="str">
        <x:v>028f57741a7980eb9293cf32591884faf6ce3b4531076bbbf2f780cc5aeb3c5c</x:v>
      </x:c>
      <x:c r="J915" s="22" t="n">
        <x:v>1</x:v>
      </x:c>
      <x:c r="K915" s="22" t="n">
        <x:v>1</x:v>
      </x:c>
      <x:c r="L915" s="22" t="n">
        <x:v>1</x:v>
      </x:c>
      <x:c r="M915" s="28" t="n">
        <x:v>1</x:v>
      </x:c>
      <x:c r="N915" s="28" t="n">
        <x:v>58</x:v>
      </x:c>
      <x:c r="O915" s="28" t="n">
        <x:v>0</x:v>
      </x:c>
      <x:c r="P915" s="62" t="n">
        <x:v>0</x:v>
      </x:c>
      <x:c r="Q915" s="22" t="n">
        <x:v>0</x:v>
      </x:c>
      <x:c r="R915" s="22" t="str">
        <x:v>6-3_ЛРВ</x:v>
      </x:c>
      <x:c r="S915" s="22" t="str">
        <x:v>visible</x:v>
      </x:c>
      <x:c r="T915" s="22" t="str"/>
    </x:row>
    <x:row r="916">
      <x:c r="A916" s="22" t="str">
        <x:v>2020-00086</x:v>
      </x:c>
      <x:c r="B916" s="22" t="str">
        <x:v>L2023-00053-1</x:v>
      </x:c>
      <x:c r="C916" s="22" t="str">
        <x:v>공사</x:v>
      </x:c>
      <x:c r="D916" s="25" t="str">
        <x:v>우즈베키스탄 직업훈련원 및 타슈켄트 교사연수센터 건립 시공업체 선정 현지입찰</x:v>
      </x:c>
      <x:c r="E916" s="22" t="n">
        <x:v>1</x:v>
      </x:c>
      <x:c r="F916" s="22" t="str">
        <x:v>.xls</x:v>
      </x:c>
      <x:c r="G916" s="25" t="str">
        <x:v>L2023-00053-1/Urgench VTC Bid Attachment Documents/Urgench VTC Bid Attachment Documents/Section 4.  Bill of Quantities(Not-Priced)/공내역서/VTC견적서/2 УПК(Practice and Education Building)/2-9 ГСВ(Gas)/13583_vfor.xls</x:v>
      </x:c>
      <x:c r="H916" s="28" t="n">
        <x:v>38400</x:v>
      </x:c>
      <x:c r="I916" s="22" t="str">
        <x:v>ec378189ec8e3fc423efb9636e24d6a2214a259d2af40c14f92b5626a47a4b53</x:v>
      </x:c>
      <x:c r="J916" s="22" t="n">
        <x:v>1</x:v>
      </x:c>
      <x:c r="K916" s="22" t="n">
        <x:v>1</x:v>
      </x:c>
      <x:c r="L916" s="22" t="n">
        <x:v>1</x:v>
      </x:c>
      <x:c r="M916" s="28" t="n">
        <x:v>0</x:v>
      </x:c>
      <x:c r="N916" s="28" t="n">
        <x:v>0</x:v>
      </x:c>
      <x:c r="O916" s="28" t="n">
        <x:v>0</x:v>
      </x:c>
      <x:c r="P916" s="62" t="n">
        <x:v>0</x:v>
      </x:c>
      <x:c r="Q916" s="22" t="n">
        <x:v>0</x:v>
      </x:c>
      <x:c r="R916" s="22" t="str"/>
      <x:c r="S916" s="22" t="str"/>
      <x:c r="T916" s="22" t="str"/>
    </x:row>
    <x:row r="917">
      <x:c r="A917" s="22" t="str">
        <x:v>2020-00086</x:v>
      </x:c>
      <x:c r="B917" s="22" t="str">
        <x:v>L2023-00053-1</x:v>
      </x:c>
      <x:c r="C917" s="22" t="str">
        <x:v>공사</x:v>
      </x:c>
      <x:c r="D917" s="25" t="str">
        <x:v>우즈베키스탄 직업훈련원 및 타슈켄트 교사연수센터 건립 시공업체 선정 현지입찰</x:v>
      </x:c>
      <x:c r="E917" s="22" t="n">
        <x:v>1</x:v>
      </x:c>
      <x:c r="F917" s="22" t="str">
        <x:v>.xls</x:v>
      </x:c>
      <x:c r="G917" s="25" t="str">
        <x:v>L2023-00053-1/Urgench VTC Bid Attachment Documents/Urgench VTC Bid Attachment Documents/Section 4.  Bill of Quantities(Not-Priced)/공내역서/VTC견적서/2 УПК(Practice and Education Building)/2-9 ГСВ(Gas)/13583_vrmu.xls</x:v>
      </x:c>
      <x:c r="H917" s="28" t="n">
        <x:v>58368</x:v>
      </x:c>
      <x:c r="I917" s="22" t="str">
        <x:v>79c0d45acad111aa632a5123591aee7f4aaf88bfcc819bf29af6b23500a562ad</x:v>
      </x:c>
      <x:c r="J917" s="22" t="n">
        <x:v>1</x:v>
      </x:c>
      <x:c r="K917" s="22" t="n">
        <x:v>1</x:v>
      </x:c>
      <x:c r="L917" s="22" t="n">
        <x:v>1</x:v>
      </x:c>
      <x:c r="M917" s="28" t="n">
        <x:v>1</x:v>
      </x:c>
      <x:c r="N917" s="28" t="n">
        <x:v>75</x:v>
      </x:c>
      <x:c r="O917" s="28" t="n">
        <x:v>1</x:v>
      </x:c>
      <x:c r="P917" s="62" t="n">
        <x:v>0.013333333333333334</x:v>
      </x:c>
      <x:c r="Q917" s="22" t="n">
        <x:v>0</x:v>
      </x:c>
      <x:c r="R917" s="22" t="str">
        <x:v>Лист1</x:v>
      </x:c>
      <x:c r="S917" s="22" t="str">
        <x:v>visible</x:v>
      </x:c>
      <x:c r="T917" s="22" t="str"/>
    </x:row>
    <x:row r="918">
      <x:c r="A918" s="22" t="str">
        <x:v>2020-00086</x:v>
      </x:c>
      <x:c r="B918" s="22" t="str">
        <x:v>L2023-00053-1</x:v>
      </x:c>
      <x:c r="C918" s="22" t="str">
        <x:v>공사</x:v>
      </x:c>
      <x:c r="D918" s="25" t="str">
        <x:v>우즈베키스탄 직업훈련원 및 타슈켄트 교사연수센터 건립 시공업체 선정 현지입찰</x:v>
      </x:c>
      <x:c r="E918" s="22" t="n">
        <x:v>1</x:v>
      </x:c>
      <x:c r="F918" s="22" t="str">
        <x:v>.xls</x:v>
      </x:c>
      <x:c r="G918" s="25" t="str">
        <x:v>L2023-00053-1/Urgench VTC Bid Attachment Documents/Urgench VTC Bid Attachment Documents/Section 4.  Bill of Quantities(Not-Priced)/공내역서/VTC견적서/2 УПК(Practice and Education Building)/2-9 ГСВ(Gas)/bv13580.xls</x:v>
      </x:c>
      <x:c r="H918" s="28" t="n">
        <x:v>97792</x:v>
      </x:c>
      <x:c r="I918" s="22" t="str">
        <x:v>e2f79d457ed4fef8a6f0beb829b71d27adcc667ae940dd195ceb0fc2d6b8be1f</x:v>
      </x:c>
      <x:c r="J918" s="22" t="n">
        <x:v>1</x:v>
      </x:c>
      <x:c r="K918" s="22" t="n">
        <x:v>1</x:v>
      </x:c>
      <x:c r="L918" s="22" t="n">
        <x:v>1</x:v>
      </x:c>
      <x:c r="M918" s="28" t="n">
        <x:v>0</x:v>
      </x:c>
      <x:c r="N918" s="28" t="n">
        <x:v>0</x:v>
      </x:c>
      <x:c r="O918" s="28" t="n">
        <x:v>0</x:v>
      </x:c>
      <x:c r="P918" s="62" t="n">
        <x:v>0</x:v>
      </x:c>
      <x:c r="Q918" s="22" t="n">
        <x:v>0</x:v>
      </x:c>
      <x:c r="R918" s="22" t="str"/>
      <x:c r="S918" s="22" t="str"/>
      <x:c r="T918" s="22" t="str"/>
    </x:row>
    <x:row r="919">
      <x:c r="A919" s="22" t="str">
        <x:v>2020-00086</x:v>
      </x:c>
      <x:c r="B919" s="22" t="str">
        <x:v>L2023-00053-1</x:v>
      </x:c>
      <x:c r="C919" s="22" t="str">
        <x:v>공사</x:v>
      </x:c>
      <x:c r="D919" s="25" t="str">
        <x:v>우즈베키스탄 직업훈련원 및 타슈켄트 교사연수센터 건립 시공업체 선정 현지입찰</x:v>
      </x:c>
      <x:c r="E919" s="22" t="n">
        <x:v>1</x:v>
      </x:c>
      <x:c r="F919" s="22" t="str">
        <x:v>.xls</x:v>
      </x:c>
      <x:c r="G919" s="25" t="str">
        <x:v>L2023-00053-1/Urgench VTC Bid Attachment Documents/Urgench VTC Bid Attachment Documents/Section 4.  Bill of Quantities(Not-Priced)/공내역서/VTC견적서/2 УПК(Practice and Education Building)/2-6 ПС(Fire Alarm)/bv13270.xls</x:v>
      </x:c>
      <x:c r="H919" s="28" t="n">
        <x:v>81408</x:v>
      </x:c>
      <x:c r="I919" s="22" t="str">
        <x:v>d46cd1888c84107a56dd7e1a1f3e026e361cbd56a90fe559692389429af17a31</x:v>
      </x:c>
      <x:c r="J919" s="22" t="n">
        <x:v>1</x:v>
      </x:c>
      <x:c r="K919" s="22" t="n">
        <x:v>1</x:v>
      </x:c>
      <x:c r="L919" s="22" t="n">
        <x:v>1</x:v>
      </x:c>
      <x:c r="M919" s="28" t="n">
        <x:v>0</x:v>
      </x:c>
      <x:c r="N919" s="28" t="n">
        <x:v>0</x:v>
      </x:c>
      <x:c r="O919" s="28" t="n">
        <x:v>0</x:v>
      </x:c>
      <x:c r="P919" s="62" t="n">
        <x:v>0</x:v>
      </x:c>
      <x:c r="Q919" s="22" t="n">
        <x:v>0</x:v>
      </x:c>
      <x:c r="R919" s="22" t="str"/>
      <x:c r="S919" s="22" t="str"/>
      <x:c r="T919" s="22" t="str"/>
    </x:row>
    <x:row r="920">
      <x:c r="A920" s="22" t="str">
        <x:v>2020-00086</x:v>
      </x:c>
      <x:c r="B920" s="22" t="str">
        <x:v>L2023-00053-1</x:v>
      </x:c>
      <x:c r="C920" s="22" t="str">
        <x:v>공사</x:v>
      </x:c>
      <x:c r="D920" s="25" t="str">
        <x:v>우즈베키스탄 직업훈련원 및 타슈켄트 교사연수센터 건립 시공업체 선정 현지입찰</x:v>
      </x:c>
      <x:c r="E920" s="22" t="n">
        <x:v>1</x:v>
      </x:c>
      <x:c r="F920" s="22" t="str">
        <x:v>.xls</x:v>
      </x:c>
      <x:c r="G920" s="25" t="str">
        <x:v>L2023-00053-1/Urgench VTC Bid Attachment Documents/Urgench VTC Bid Attachment Documents/Section 4.  Bill of Quantities(Not-Priced)/공내역서/VTC견적서/2 УПК(Practice and Education Building)/2-6 ПС(Fire Alarm)/13273_vrmu.xls</x:v>
      </x:c>
      <x:c r="H920" s="28" t="n">
        <x:v>51712</x:v>
      </x:c>
      <x:c r="I920" s="22" t="str">
        <x:v>37a7d416719880479a04287f43738c935aabd798ceb429a6996cc4e3c53eacf9</x:v>
      </x:c>
      <x:c r="J920" s="22" t="n">
        <x:v>1</x:v>
      </x:c>
      <x:c r="K920" s="22" t="n">
        <x:v>1</x:v>
      </x:c>
      <x:c r="L920" s="22" t="n">
        <x:v>1</x:v>
      </x:c>
      <x:c r="M920" s="28" t="n">
        <x:v>1</x:v>
      </x:c>
      <x:c r="N920" s="28" t="n">
        <x:v>64</x:v>
      </x:c>
      <x:c r="O920" s="28" t="n">
        <x:v>1</x:v>
      </x:c>
      <x:c r="P920" s="62" t="n">
        <x:v>0.015625</x:v>
      </x:c>
      <x:c r="Q920" s="22" t="n">
        <x:v>0</x:v>
      </x:c>
      <x:c r="R920" s="22" t="str">
        <x:v>Лист1</x:v>
      </x:c>
      <x:c r="S920" s="22" t="str">
        <x:v>visible</x:v>
      </x:c>
      <x:c r="T920" s="22" t="str"/>
    </x:row>
    <x:row r="921">
      <x:c r="A921" s="22" t="str">
        <x:v>2020-00086</x:v>
      </x:c>
      <x:c r="B921" s="22" t="str">
        <x:v>L2023-00053-1</x:v>
      </x:c>
      <x:c r="C921" s="22" t="str">
        <x:v>공사</x:v>
      </x:c>
      <x:c r="D921" s="25" t="str">
        <x:v>우즈베키스탄 직업훈련원 및 타슈켄트 교사연수센터 건립 시공업체 선정 현지입찰</x:v>
      </x:c>
      <x:c r="E921" s="22" t="n">
        <x:v>1</x:v>
      </x:c>
      <x:c r="F921" s="22" t="str">
        <x:v>.xls</x:v>
      </x:c>
      <x:c r="G921" s="25" t="str">
        <x:v>L2023-00053-1/Urgench VTC Bid Attachment Documents/Urgench VTC Bid Attachment Documents/Section 4.  Bill of Quantities(Not-Priced)/공내역서/VTC견적서/2 УПК(Practice and Education Building)/2-6 ПС(Fire Alarm)/13273_vfor.xls</x:v>
      </x:c>
      <x:c r="H921" s="28" t="n">
        <x:v>39424</x:v>
      </x:c>
      <x:c r="I921" s="22" t="str">
        <x:v>9253b08795feafb761135dfb7172359fd6821432264e5cec4a3ba2c9aaaef0df</x:v>
      </x:c>
      <x:c r="J921" s="22" t="n">
        <x:v>1</x:v>
      </x:c>
      <x:c r="K921" s="22" t="n">
        <x:v>1</x:v>
      </x:c>
      <x:c r="L921" s="22" t="n">
        <x:v>1</x:v>
      </x:c>
      <x:c r="M921" s="28" t="n">
        <x:v>0</x:v>
      </x:c>
      <x:c r="N921" s="28" t="n">
        <x:v>0</x:v>
      </x:c>
      <x:c r="O921" s="28" t="n">
        <x:v>0</x:v>
      </x:c>
      <x:c r="P921" s="62" t="n">
        <x:v>0</x:v>
      </x:c>
      <x:c r="Q921" s="22" t="n">
        <x:v>0</x:v>
      </x:c>
      <x:c r="R921" s="22" t="str"/>
      <x:c r="S921" s="22" t="str"/>
      <x:c r="T921" s="22" t="str"/>
    </x:row>
    <x:row r="922">
      <x:c r="A922" s="22" t="str">
        <x:v>2020-00086</x:v>
      </x:c>
      <x:c r="B922" s="22" t="str">
        <x:v>L2023-00053-1</x:v>
      </x:c>
      <x:c r="C922" s="22" t="str">
        <x:v>공사</x:v>
      </x:c>
      <x:c r="D922" s="25" t="str">
        <x:v>우즈베키스탄 직업훈련원 및 타슈켄트 교사연수센터 건립 시공업체 선정 현지입찰</x:v>
      </x:c>
      <x:c r="E922" s="22" t="n">
        <x:v>1</x:v>
      </x:c>
      <x:c r="F922" s="22" t="str">
        <x:v>.xls</x:v>
      </x:c>
      <x:c r="G922" s="25" t="str">
        <x:v>L2023-00053-1/Urgench VTC Bid Attachment Documents/Urgench VTC Bid Attachment Documents/Section 4.  Bill of Quantities(Not-Priced)/공내역서/VTC견적서/2 УПК(Practice and Education Building)/2-8 ТМ(Boiler &amp; Solar heating)/13433_vfor.xls</x:v>
      </x:c>
      <x:c r="H922" s="28" t="n">
        <x:v>61952</x:v>
      </x:c>
      <x:c r="I922" s="22" t="str">
        <x:v>d1c10b9aaca880e34e432f14a598fbfa9d3620e37ff970f3d323e49ce5560785</x:v>
      </x:c>
      <x:c r="J922" s="22" t="n">
        <x:v>1</x:v>
      </x:c>
      <x:c r="K922" s="22" t="n">
        <x:v>1</x:v>
      </x:c>
      <x:c r="L922" s="22" t="n">
        <x:v>1</x:v>
      </x:c>
      <x:c r="M922" s="28" t="n">
        <x:v>0</x:v>
      </x:c>
      <x:c r="N922" s="28" t="n">
        <x:v>0</x:v>
      </x:c>
      <x:c r="O922" s="28" t="n">
        <x:v>0</x:v>
      </x:c>
      <x:c r="P922" s="62" t="n">
        <x:v>0</x:v>
      </x:c>
      <x:c r="Q922" s="22" t="n">
        <x:v>0</x:v>
      </x:c>
      <x:c r="R922" s="22" t="str"/>
      <x:c r="S922" s="22" t="str"/>
      <x:c r="T922" s="22" t="str"/>
    </x:row>
    <x:row r="923">
      <x:c r="A923" s="22" t="str">
        <x:v>2020-00086</x:v>
      </x:c>
      <x:c r="B923" s="22" t="str">
        <x:v>L2023-00053-1</x:v>
      </x:c>
      <x:c r="C923" s="22" t="str">
        <x:v>공사</x:v>
      </x:c>
      <x:c r="D923" s="25" t="str">
        <x:v>우즈베키스탄 직업훈련원 및 타슈켄트 교사연수센터 건립 시공업체 선정 현지입찰</x:v>
      </x:c>
      <x:c r="E923" s="22" t="n">
        <x:v>1</x:v>
      </x:c>
      <x:c r="F923" s="22" t="str">
        <x:v>.xls</x:v>
      </x:c>
      <x:c r="G923" s="25" t="str">
        <x:v>L2023-00053-1/Urgench VTC Bid Attachment Documents/Urgench VTC Bid Attachment Documents/Section 4.  Bill of Quantities(Not-Priced)/공내역서/VTC견적서/2 УПК(Practice and Education Building)/2-8 ТМ(Boiler &amp; Solar heating)/bv13430.xls</x:v>
      </x:c>
      <x:c r="H923" s="28" t="n">
        <x:v>178176</x:v>
      </x:c>
      <x:c r="I923" s="22" t="str">
        <x:v>1e6b0f50a2a378878bb06672f894f03a587ce5a0d49a819318305705775920d7</x:v>
      </x:c>
      <x:c r="J923" s="22" t="n">
        <x:v>1</x:v>
      </x:c>
      <x:c r="K923" s="22" t="n">
        <x:v>1</x:v>
      </x:c>
      <x:c r="L923" s="22" t="n">
        <x:v>1</x:v>
      </x:c>
      <x:c r="M923" s="28" t="n">
        <x:v>0</x:v>
      </x:c>
      <x:c r="N923" s="28" t="n">
        <x:v>0</x:v>
      </x:c>
      <x:c r="O923" s="28" t="n">
        <x:v>0</x:v>
      </x:c>
      <x:c r="P923" s="62" t="n">
        <x:v>0</x:v>
      </x:c>
      <x:c r="Q923" s="22" t="n">
        <x:v>0</x:v>
      </x:c>
      <x:c r="R923" s="22" t="str"/>
      <x:c r="S923" s="22" t="str"/>
      <x:c r="T923" s="22" t="str"/>
    </x:row>
    <x:row r="924">
      <x:c r="A924" s="22" t="str">
        <x:v>2020-00086</x:v>
      </x:c>
      <x:c r="B924" s="22" t="str">
        <x:v>L2023-00053-1</x:v>
      </x:c>
      <x:c r="C924" s="22" t="str">
        <x:v>공사</x:v>
      </x:c>
      <x:c r="D924" s="25" t="str">
        <x:v>우즈베키스탄 직업훈련원 및 타슈켄트 교사연수센터 건립 시공업체 선정 현지입찰</x:v>
      </x:c>
      <x:c r="E924" s="22" t="n">
        <x:v>1</x:v>
      </x:c>
      <x:c r="F924" s="22" t="str">
        <x:v>.xls</x:v>
      </x:c>
      <x:c r="G924" s="25" t="str">
        <x:v>L2023-00053-1/Urgench VTC Bid Attachment Documents/Urgench VTC Bid Attachment Documents/Section 4.  Bill of Quantities(Not-Priced)/공내역서/VTC견적서/2 УПК(Practice and Education Building)/2-8 ТМ(Boiler &amp; Solar heating)/13433_vrmu.xls</x:v>
      </x:c>
      <x:c r="H924" s="28" t="n">
        <x:v>86528</x:v>
      </x:c>
      <x:c r="I924" s="22" t="str">
        <x:v>07503448a7270dbdb8f63ef2ae2d8ee1d85bc1ce1b33df86927763a7c6a90f7c</x:v>
      </x:c>
      <x:c r="J924" s="22" t="n">
        <x:v>1</x:v>
      </x:c>
      <x:c r="K924" s="22" t="n">
        <x:v>1</x:v>
      </x:c>
      <x:c r="L924" s="22" t="n">
        <x:v>1</x:v>
      </x:c>
      <x:c r="M924" s="28" t="n">
        <x:v>1</x:v>
      </x:c>
      <x:c r="N924" s="28" t="n">
        <x:v>175</x:v>
      </x:c>
      <x:c r="O924" s="28" t="n">
        <x:v>1</x:v>
      </x:c>
      <x:c r="P924" s="62" t="n">
        <x:v>0.005714285714285714</x:v>
      </x:c>
      <x:c r="Q924" s="22" t="n">
        <x:v>0</x:v>
      </x:c>
      <x:c r="R924" s="22" t="str">
        <x:v>Лист1</x:v>
      </x:c>
      <x:c r="S924" s="22" t="str">
        <x:v>visible</x:v>
      </x:c>
      <x:c r="T924" s="22" t="str"/>
    </x:row>
    <x:row r="925">
      <x:c r="A925" s="22" t="str">
        <x:v>2020-00086</x:v>
      </x:c>
      <x:c r="B925" s="22" t="str">
        <x:v>L2023-00053-1</x:v>
      </x:c>
      <x:c r="C925" s="22" t="str">
        <x:v>공사</x:v>
      </x:c>
      <x:c r="D925" s="25" t="str">
        <x:v>우즈베키스탄 직업훈련원 및 타슈켄트 교사연수센터 건립 시공업체 선정 현지입찰</x:v>
      </x:c>
      <x:c r="E925" s="22" t="n">
        <x:v>1</x:v>
      </x:c>
      <x:c r="F925" s="22" t="str">
        <x:v>.xls</x:v>
      </x:c>
      <x:c r="G925" s="25" t="str">
        <x:v>L2023-00053-1/Urgench VTC Bid Attachment Documents/Urgench VTC Bid Attachment Documents/Section 4.  Bill of Quantities(Not-Priced)/공내역서/VTC견적서/2 УПК(Practice and Education Building)/2-5 ЭО(Electric)/13593_vrmu.xls</x:v>
      </x:c>
      <x:c r="H925" s="28" t="n">
        <x:v>88064</x:v>
      </x:c>
      <x:c r="I925" s="22" t="str">
        <x:v>939da5ac56da64a557c1ad8bd96b90cc057f9a01d7ed01a90287001de59cfd7e</x:v>
      </x:c>
      <x:c r="J925" s="22" t="n">
        <x:v>1</x:v>
      </x:c>
      <x:c r="K925" s="22" t="n">
        <x:v>1</x:v>
      </x:c>
      <x:c r="L925" s="22" t="n">
        <x:v>1</x:v>
      </x:c>
      <x:c r="M925" s="28" t="n">
        <x:v>1</x:v>
      </x:c>
      <x:c r="N925" s="28" t="n">
        <x:v>140</x:v>
      </x:c>
      <x:c r="O925" s="28" t="n">
        <x:v>1</x:v>
      </x:c>
      <x:c r="P925" s="62" t="n">
        <x:v>0.007142857142857143</x:v>
      </x:c>
      <x:c r="Q925" s="22" t="n">
        <x:v>0</x:v>
      </x:c>
      <x:c r="R925" s="22" t="str">
        <x:v>Лист1</x:v>
      </x:c>
      <x:c r="S925" s="22" t="str">
        <x:v>visible</x:v>
      </x:c>
      <x:c r="T925" s="22" t="str"/>
    </x:row>
    <x:row r="926">
      <x:c r="A926" s="22" t="str">
        <x:v>2020-00086</x:v>
      </x:c>
      <x:c r="B926" s="22" t="str">
        <x:v>L2023-00053-1</x:v>
      </x:c>
      <x:c r="C926" s="22" t="str">
        <x:v>공사</x:v>
      </x:c>
      <x:c r="D926" s="25" t="str">
        <x:v>우즈베키스탄 직업훈련원 및 타슈켄트 교사연수센터 건립 시공업체 선정 현지입찰</x:v>
      </x:c>
      <x:c r="E926" s="22" t="n">
        <x:v>1</x:v>
      </x:c>
      <x:c r="F926" s="22" t="str">
        <x:v>.xls</x:v>
      </x:c>
      <x:c r="G926" s="25" t="str">
        <x:v>L2023-00053-1/Urgench VTC Bid Attachment Documents/Urgench VTC Bid Attachment Documents/Section 4.  Bill of Quantities(Not-Priced)/공내역서/VTC견적서/2 УПК(Practice and Education Building)/2-5 ЭО(Electric)/13593_vfor.xls</x:v>
      </x:c>
      <x:c r="H926" s="28" t="n">
        <x:v>76288</x:v>
      </x:c>
      <x:c r="I926" s="22" t="str">
        <x:v>c30b8ac327c03590384c07e2e8f0356db3b6aa949e01439f1bd4eb1866809498</x:v>
      </x:c>
      <x:c r="J926" s="22" t="n">
        <x:v>1</x:v>
      </x:c>
      <x:c r="K926" s="22" t="n">
        <x:v>1</x:v>
      </x:c>
      <x:c r="L926" s="22" t="n">
        <x:v>1</x:v>
      </x:c>
      <x:c r="M926" s="28" t="n">
        <x:v>0</x:v>
      </x:c>
      <x:c r="N926" s="28" t="n">
        <x:v>0</x:v>
      </x:c>
      <x:c r="O926" s="28" t="n">
        <x:v>0</x:v>
      </x:c>
      <x:c r="P926" s="62" t="n">
        <x:v>0</x:v>
      </x:c>
      <x:c r="Q926" s="22" t="n">
        <x:v>0</x:v>
      </x:c>
      <x:c r="R926" s="22" t="str"/>
      <x:c r="S926" s="22" t="str"/>
      <x:c r="T926" s="22" t="str"/>
    </x:row>
    <x:row r="927">
      <x:c r="A927" s="22" t="str">
        <x:v>2020-00086</x:v>
      </x:c>
      <x:c r="B927" s="22" t="str">
        <x:v>L2023-00053-1</x:v>
      </x:c>
      <x:c r="C927" s="22" t="str">
        <x:v>공사</x:v>
      </x:c>
      <x:c r="D927" s="25" t="str">
        <x:v>우즈베키스탄 직업훈련원 및 타슈켄트 교사연수센터 건립 시공업체 선정 현지입찰</x:v>
      </x:c>
      <x:c r="E927" s="22" t="n">
        <x:v>1</x:v>
      </x:c>
      <x:c r="F927" s="22" t="str">
        <x:v>.xls</x:v>
      </x:c>
      <x:c r="G927" s="25" t="str">
        <x:v>L2023-00053-1/Urgench VTC Bid Attachment Documents/Urgench VTC Bid Attachment Documents/Section 4.  Bill of Quantities(Not-Priced)/공내역서/VTC견적서/2 УПК(Practice and Education Building)/2-5 ЭО(Electric)/bv13590.xls</x:v>
      </x:c>
      <x:c r="H927" s="28" t="n">
        <x:v>165376</x:v>
      </x:c>
      <x:c r="I927" s="22" t="str">
        <x:v>66663efa81309957bad47d81b20bef6148a275bbbdc2760911baebfc3d44937b</x:v>
      </x:c>
      <x:c r="J927" s="22" t="n">
        <x:v>1</x:v>
      </x:c>
      <x:c r="K927" s="22" t="n">
        <x:v>1</x:v>
      </x:c>
      <x:c r="L927" s="22" t="n">
        <x:v>1</x:v>
      </x:c>
      <x:c r="M927" s="28" t="n">
        <x:v>0</x:v>
      </x:c>
      <x:c r="N927" s="28" t="n">
        <x:v>0</x:v>
      </x:c>
      <x:c r="O927" s="28" t="n">
        <x:v>0</x:v>
      </x:c>
      <x:c r="P927" s="62" t="n">
        <x:v>0</x:v>
      </x:c>
      <x:c r="Q927" s="22" t="n">
        <x:v>0</x:v>
      </x:c>
      <x:c r="R927" s="22" t="str"/>
      <x:c r="S927" s="22" t="str"/>
      <x:c r="T927" s="22" t="str"/>
    </x:row>
    <x:row r="928">
      <x:c r="A928" s="22" t="str">
        <x:v>2020-00086</x:v>
      </x:c>
      <x:c r="B928" s="22" t="str">
        <x:v>L2023-00053-1</x:v>
      </x:c>
      <x:c r="C928" s="22" t="str">
        <x:v>공사</x:v>
      </x:c>
      <x:c r="D928" s="25" t="str">
        <x:v>우즈베키스탄 직업훈련원 및 타슈켄트 교사연수센터 건립 시공업체 선정 현지입찰</x:v>
      </x:c>
      <x:c r="E928" s="22" t="n">
        <x:v>1</x:v>
      </x:c>
      <x:c r="F928" s="22" t="str">
        <x:v>.xls</x:v>
      </x:c>
      <x:c r="G928" s="25" t="str">
        <x:v>L2023-00053-1/Urgench VTC Bid Attachment Documents/Urgench VTC Bid Attachment Documents/Section 4.  Bill of Quantities(Not-Priced)/공내역서/VTC견적서/2 УПК(Practice and Education Building)/2-1 КЖ(Structure)/bv13010.xls</x:v>
      </x:c>
      <x:c r="H928" s="28" t="n">
        <x:v>438784</x:v>
      </x:c>
      <x:c r="I928" s="22" t="str">
        <x:v>9a08a9249b066c02507c7d7b6711bbd0214f8d0d66dfa4d6052663da0fc7d2fe</x:v>
      </x:c>
      <x:c r="J928" s="22" t="n">
        <x:v>1</x:v>
      </x:c>
      <x:c r="K928" s="22" t="n">
        <x:v>1</x:v>
      </x:c>
      <x:c r="L928" s="22" t="n">
        <x:v>1</x:v>
      </x:c>
      <x:c r="M928" s="28" t="n">
        <x:v>0</x:v>
      </x:c>
      <x:c r="N928" s="28" t="n">
        <x:v>0</x:v>
      </x:c>
      <x:c r="O928" s="28" t="n">
        <x:v>0</x:v>
      </x:c>
      <x:c r="P928" s="62" t="n">
        <x:v>0</x:v>
      </x:c>
      <x:c r="Q928" s="22" t="n">
        <x:v>0</x:v>
      </x:c>
      <x:c r="R928" s="22" t="str"/>
      <x:c r="S928" s="22" t="str"/>
      <x:c r="T928" s="22" t="str"/>
    </x:row>
    <x:row r="929">
      <x:c r="A929" s="22" t="str">
        <x:v>2020-00086</x:v>
      </x:c>
      <x:c r="B929" s="22" t="str">
        <x:v>L2023-00053-1</x:v>
      </x:c>
      <x:c r="C929" s="22" t="str">
        <x:v>공사</x:v>
      </x:c>
      <x:c r="D929" s="25" t="str">
        <x:v>우즈베키스탄 직업훈련원 및 타슈켄트 교사연수센터 건립 시공업체 선정 현지입찰</x:v>
      </x:c>
      <x:c r="E929" s="22" t="n">
        <x:v>1</x:v>
      </x:c>
      <x:c r="F929" s="22" t="str">
        <x:v>.xls</x:v>
      </x:c>
      <x:c r="G929" s="25" t="str">
        <x:v>L2023-00053-1/Urgench VTC Bid Attachment Documents/Urgench VTC Bid Attachment Documents/Section 4.  Bill of Quantities(Not-Priced)/공내역서/VTC견적서/2 УПК(Practice and Education Building)/2-1 КЖ(Structure)/13013_vfor.xls</x:v>
      </x:c>
      <x:c r="H929" s="28" t="n">
        <x:v>90112</x:v>
      </x:c>
      <x:c r="I929" s="22" t="str">
        <x:v>eb125c00f27b73c161614158902fe9f7296eb1d8eee1c3f3da800522e1d82334</x:v>
      </x:c>
      <x:c r="J929" s="22" t="n">
        <x:v>1</x:v>
      </x:c>
      <x:c r="K929" s="22" t="n">
        <x:v>1</x:v>
      </x:c>
      <x:c r="L929" s="22" t="n">
        <x:v>1</x:v>
      </x:c>
      <x:c r="M929" s="28" t="n">
        <x:v>0</x:v>
      </x:c>
      <x:c r="N929" s="28" t="n">
        <x:v>0</x:v>
      </x:c>
      <x:c r="O929" s="28" t="n">
        <x:v>0</x:v>
      </x:c>
      <x:c r="P929" s="62" t="n">
        <x:v>0</x:v>
      </x:c>
      <x:c r="Q929" s="22" t="n">
        <x:v>0</x:v>
      </x:c>
      <x:c r="R929" s="22" t="str"/>
      <x:c r="S929" s="22" t="str"/>
      <x:c r="T929" s="22" t="str"/>
    </x:row>
    <x:row r="930">
      <x:c r="A930" s="22" t="str">
        <x:v>2020-00086</x:v>
      </x:c>
      <x:c r="B930" s="22" t="str">
        <x:v>L2023-00053-1</x:v>
      </x:c>
      <x:c r="C930" s="22" t="str">
        <x:v>공사</x:v>
      </x:c>
      <x:c r="D930" s="25" t="str">
        <x:v>우즈베키스탄 직업훈련원 및 타슈켄트 교사연수센터 건립 시공업체 선정 현지입찰</x:v>
      </x:c>
      <x:c r="E930" s="22" t="n">
        <x:v>1</x:v>
      </x:c>
      <x:c r="F930" s="22" t="str">
        <x:v>.xls</x:v>
      </x:c>
      <x:c r="G930" s="25" t="str">
        <x:v>L2023-00053-1/Urgench VTC Bid Attachment Documents/Urgench VTC Bid Attachment Documents/Section 4.  Bill of Quantities(Not-Priced)/공내역서/VTC견적서/2 УПК(Practice and Education Building)/2-1 КЖ(Structure)/13013_vrmu.xls</x:v>
      </x:c>
      <x:c r="H930" s="28" t="n">
        <x:v>78336</x:v>
      </x:c>
      <x:c r="I930" s="22" t="str">
        <x:v>894f30fba7d6ceffd13ac600a3933b3b9c6ef0d085d61f97bad1695d4a782097</x:v>
      </x:c>
      <x:c r="J930" s="22" t="n">
        <x:v>1</x:v>
      </x:c>
      <x:c r="K930" s="22" t="n">
        <x:v>1</x:v>
      </x:c>
      <x:c r="L930" s="22" t="n">
        <x:v>1</x:v>
      </x:c>
      <x:c r="M930" s="28" t="n">
        <x:v>1</x:v>
      </x:c>
      <x:c r="N930" s="28" t="n">
        <x:v>151</x:v>
      </x:c>
      <x:c r="O930" s="28" t="n">
        <x:v>1</x:v>
      </x:c>
      <x:c r="P930" s="62" t="n">
        <x:v>0.006622516556291391</x:v>
      </x:c>
      <x:c r="Q930" s="22" t="n">
        <x:v>0</x:v>
      </x:c>
      <x:c r="R930" s="22" t="str">
        <x:v>Лист1</x:v>
      </x:c>
      <x:c r="S930" s="22" t="str">
        <x:v>visible</x:v>
      </x:c>
      <x:c r="T930" s="22" t="str"/>
    </x:row>
    <x:row r="931">
      <x:c r="A931" s="22" t="str">
        <x:v>2020-00086</x:v>
      </x:c>
      <x:c r="B931" s="22" t="str">
        <x:v>L2023-00053-1</x:v>
      </x:c>
      <x:c r="C931" s="22" t="str">
        <x:v>공사</x:v>
      </x:c>
      <x:c r="D931" s="25" t="str">
        <x:v>우즈베키스탄 직업훈련원 및 타슈켄트 교사연수센터 건립 시공업체 선정 현지입찰</x:v>
      </x:c>
      <x:c r="E931" s="22" t="n">
        <x:v>1</x:v>
      </x:c>
      <x:c r="F931" s="22" t="str">
        <x:v>.xls</x:v>
      </x:c>
      <x:c r="G931" s="25" t="str">
        <x:v>L2023-00053-1/Urgench VTC Bid Attachment Documents/Urgench VTC Bid Attachment Documents/Section 4.  Bill of Quantities(Not-Priced)/공내역서/VTC견적서/2 УПК(Practice and Education Building)/2-3 ОВ(Heating &amp; Ventilation)/bv13510.xls</x:v>
      </x:c>
      <x:c r="H931" s="28" t="n">
        <x:v>450048</x:v>
      </x:c>
      <x:c r="I931" s="22" t="str">
        <x:v>f64d8d027c4f2b4232513b0b8605c8f8092aa552cac0b7ed425ff53f6db6908f</x:v>
      </x:c>
      <x:c r="J931" s="22" t="n">
        <x:v>1</x:v>
      </x:c>
      <x:c r="K931" s="22" t="n">
        <x:v>1</x:v>
      </x:c>
      <x:c r="L931" s="22" t="n">
        <x:v>1</x:v>
      </x:c>
      <x:c r="M931" s="28" t="n">
        <x:v>0</x:v>
      </x:c>
      <x:c r="N931" s="28" t="n">
        <x:v>0</x:v>
      </x:c>
      <x:c r="O931" s="28" t="n">
        <x:v>0</x:v>
      </x:c>
      <x:c r="P931" s="62" t="n">
        <x:v>0</x:v>
      </x:c>
      <x:c r="Q931" s="22" t="n">
        <x:v>0</x:v>
      </x:c>
      <x:c r="R931" s="22" t="str"/>
      <x:c r="S931" s="22" t="str"/>
      <x:c r="T931" s="22" t="str"/>
    </x:row>
    <x:row r="932">
      <x:c r="A932" s="22" t="str">
        <x:v>2020-00086</x:v>
      </x:c>
      <x:c r="B932" s="22" t="str">
        <x:v>L2023-00053-1</x:v>
      </x:c>
      <x:c r="C932" s="22" t="str">
        <x:v>공사</x:v>
      </x:c>
      <x:c r="D932" s="25" t="str">
        <x:v>우즈베키스탄 직업훈련원 및 타슈켄트 교사연수센터 건립 시공업체 선정 현지입찰</x:v>
      </x:c>
      <x:c r="E932" s="22" t="n">
        <x:v>1</x:v>
      </x:c>
      <x:c r="F932" s="22" t="str">
        <x:v>.xls</x:v>
      </x:c>
      <x:c r="G932" s="25" t="str">
        <x:v>L2023-00053-1/Urgench VTC Bid Attachment Documents/Urgench VTC Bid Attachment Documents/Section 4.  Bill of Quantities(Not-Priced)/공내역서/VTC견적서/2 УПК(Practice and Education Building)/2-3 ОВ(Heating &amp; Ventilation)/13513_vfor.xls</x:v>
      </x:c>
      <x:c r="H932" s="28" t="n">
        <x:v>99840</x:v>
      </x:c>
      <x:c r="I932" s="22" t="str">
        <x:v>12c5ca43305042fecde990e14ec0489f64e6a5bfb76e9a69fab76bb26799d793</x:v>
      </x:c>
      <x:c r="J932" s="22" t="n">
        <x:v>1</x:v>
      </x:c>
      <x:c r="K932" s="22" t="n">
        <x:v>1</x:v>
      </x:c>
      <x:c r="L932" s="22" t="n">
        <x:v>1</x:v>
      </x:c>
      <x:c r="M932" s="28" t="n">
        <x:v>0</x:v>
      </x:c>
      <x:c r="N932" s="28" t="n">
        <x:v>0</x:v>
      </x:c>
      <x:c r="O932" s="28" t="n">
        <x:v>0</x:v>
      </x:c>
      <x:c r="P932" s="62" t="n">
        <x:v>0</x:v>
      </x:c>
      <x:c r="Q932" s="22" t="n">
        <x:v>0</x:v>
      </x:c>
      <x:c r="R932" s="22" t="str"/>
      <x:c r="S932" s="22" t="str"/>
      <x:c r="T932" s="22" t="str"/>
    </x:row>
    <x:row r="933">
      <x:c r="A933" s="22" t="str">
        <x:v>2020-00086</x:v>
      </x:c>
      <x:c r="B933" s="22" t="str">
        <x:v>L2023-00053-1</x:v>
      </x:c>
      <x:c r="C933" s="22" t="str">
        <x:v>공사</x:v>
      </x:c>
      <x:c r="D933" s="25" t="str">
        <x:v>우즈베키스탄 직업훈련원 및 타슈켄트 교사연수센터 건립 시공업체 선정 현지입찰</x:v>
      </x:c>
      <x:c r="E933" s="22" t="n">
        <x:v>1</x:v>
      </x:c>
      <x:c r="F933" s="22" t="str">
        <x:v>.xls</x:v>
      </x:c>
      <x:c r="G933" s="25" t="str">
        <x:v>L2023-00053-1/Urgench VTC Bid Attachment Documents/Urgench VTC Bid Attachment Documents/Section 4.  Bill of Quantities(Not-Priced)/공내역서/VTC견적서/2 УПК(Practice and Education Building)/2-3 ОВ(Heating &amp; Ventilation)/13513_vrmu.xls</x:v>
      </x:c>
      <x:c r="H933" s="28" t="n">
        <x:v>100352</x:v>
      </x:c>
      <x:c r="I933" s="22" t="str">
        <x:v>c598552db7e0e86089126d4ffff68c3be6e09016d43faddb5648dc76758c1996</x:v>
      </x:c>
      <x:c r="J933" s="22" t="n">
        <x:v>1</x:v>
      </x:c>
      <x:c r="K933" s="22" t="n">
        <x:v>1</x:v>
      </x:c>
      <x:c r="L933" s="22" t="n">
        <x:v>1</x:v>
      </x:c>
      <x:c r="M933" s="28" t="n">
        <x:v>1</x:v>
      </x:c>
      <x:c r="N933" s="28" t="n">
        <x:v>228</x:v>
      </x:c>
      <x:c r="O933" s="28" t="n">
        <x:v>1</x:v>
      </x:c>
      <x:c r="P933" s="62" t="n">
        <x:v>0.0043859649122807015</x:v>
      </x:c>
      <x:c r="Q933" s="22" t="n">
        <x:v>0</x:v>
      </x:c>
      <x:c r="R933" s="22" t="str">
        <x:v>Лист1</x:v>
      </x:c>
      <x:c r="S933" s="22" t="str">
        <x:v>visible</x:v>
      </x:c>
      <x:c r="T933" s="22" t="str"/>
    </x:row>
    <x:row r="934">
      <x:c r="A934" s="22" t="str">
        <x:v>2020-00086</x:v>
      </x:c>
      <x:c r="B934" s="22" t="str">
        <x:v>L2023-00053-1</x:v>
      </x:c>
      <x:c r="C934" s="22" t="str">
        <x:v>공사</x:v>
      </x:c>
      <x:c r="D934" s="25" t="str">
        <x:v>우즈베키스탄 직업훈련원 및 타슈켄트 교사연수센터 건립 시공업체 선정 현지입찰</x:v>
      </x:c>
      <x:c r="E934" s="22" t="n">
        <x:v>1</x:v>
      </x:c>
      <x:c r="F934" s="22" t="str">
        <x:v>.xls</x:v>
      </x:c>
      <x:c r="G934" s="25" t="str">
        <x:v>L2023-00053-1/Urgench VTC Bid Attachment Documents/Urgench VTC Bid Attachment Documents/Section 4.  Bill of Quantities(Not-Priced)/공내역서/VTC견적서/2 УПК(Practice and Education Building)/2-4 ВК(Water &amp; Sewer &amp; Fireplug)/13123_vrmu.xls</x:v>
      </x:c>
      <x:c r="H934" s="28" t="n">
        <x:v>88576</x:v>
      </x:c>
      <x:c r="I934" s="22" t="str">
        <x:v>355c8ae16063462d4e7d9dacb0087baa7fe1d5550fffd04313e146fe418e2cc7</x:v>
      </x:c>
      <x:c r="J934" s="22" t="n">
        <x:v>1</x:v>
      </x:c>
      <x:c r="K934" s="22" t="n">
        <x:v>1</x:v>
      </x:c>
      <x:c r="L934" s="22" t="n">
        <x:v>1</x:v>
      </x:c>
      <x:c r="M934" s="28" t="n">
        <x:v>1</x:v>
      </x:c>
      <x:c r="N934" s="28" t="n">
        <x:v>198</x:v>
      </x:c>
      <x:c r="O934" s="28" t="n">
        <x:v>1</x:v>
      </x:c>
      <x:c r="P934" s="62" t="n">
        <x:v>0.005050505050505051</x:v>
      </x:c>
      <x:c r="Q934" s="22" t="n">
        <x:v>0</x:v>
      </x:c>
      <x:c r="R934" s="22" t="str">
        <x:v>Лист1</x:v>
      </x:c>
      <x:c r="S934" s="22" t="str">
        <x:v>visible</x:v>
      </x:c>
      <x:c r="T934" s="22" t="str"/>
    </x:row>
    <x:row r="935">
      <x:c r="A935" s="22" t="str">
        <x:v>2020-00086</x:v>
      </x:c>
      <x:c r="B935" s="22" t="str">
        <x:v>L2023-00053-1</x:v>
      </x:c>
      <x:c r="C935" s="22" t="str">
        <x:v>공사</x:v>
      </x:c>
      <x:c r="D935" s="25" t="str">
        <x:v>우즈베키스탄 직업훈련원 및 타슈켄트 교사연수센터 건립 시공업체 선정 현지입찰</x:v>
      </x:c>
      <x:c r="E935" s="22" t="n">
        <x:v>1</x:v>
      </x:c>
      <x:c r="F935" s="22" t="str">
        <x:v>.xls</x:v>
      </x:c>
      <x:c r="G935" s="25" t="str">
        <x:v>L2023-00053-1/Urgench VTC Bid Attachment Documents/Urgench VTC Bid Attachment Documents/Section 4.  Bill of Quantities(Not-Priced)/공내역서/VTC견적서/2 УПК(Practice and Education Building)/2-4 ВК(Water &amp; Sewer &amp; Fireplug)/13123_vfor.xls</x:v>
      </x:c>
      <x:c r="H935" s="28" t="n">
        <x:v>59904</x:v>
      </x:c>
      <x:c r="I935" s="22" t="str">
        <x:v>a7d4c30f7d188cff8e06d5929b7943ca6001dd6edf34d708f09e06ff60bad3a9</x:v>
      </x:c>
      <x:c r="J935" s="22" t="n">
        <x:v>1</x:v>
      </x:c>
      <x:c r="K935" s="22" t="n">
        <x:v>1</x:v>
      </x:c>
      <x:c r="L935" s="22" t="n">
        <x:v>1</x:v>
      </x:c>
      <x:c r="M935" s="28" t="n">
        <x:v>0</x:v>
      </x:c>
      <x:c r="N935" s="28" t="n">
        <x:v>0</x:v>
      </x:c>
      <x:c r="O935" s="28" t="n">
        <x:v>0</x:v>
      </x:c>
      <x:c r="P935" s="62" t="n">
        <x:v>0</x:v>
      </x:c>
      <x:c r="Q935" s="22" t="n">
        <x:v>0</x:v>
      </x:c>
      <x:c r="R935" s="22" t="str"/>
      <x:c r="S935" s="22" t="str"/>
      <x:c r="T935" s="22" t="str"/>
    </x:row>
    <x:row r="936">
      <x:c r="A936" s="22" t="str">
        <x:v>2020-00086</x:v>
      </x:c>
      <x:c r="B936" s="22" t="str">
        <x:v>L2023-00053-1</x:v>
      </x:c>
      <x:c r="C936" s="22" t="str">
        <x:v>공사</x:v>
      </x:c>
      <x:c r="D936" s="25" t="str">
        <x:v>우즈베키스탄 직업훈련원 및 타슈켄트 교사연수센터 건립 시공업체 선정 현지입찰</x:v>
      </x:c>
      <x:c r="E936" s="22" t="n">
        <x:v>1</x:v>
      </x:c>
      <x:c r="F936" s="22" t="str">
        <x:v>.xls</x:v>
      </x:c>
      <x:c r="G936" s="25" t="str">
        <x:v>L2023-00053-1/Urgench VTC Bid Attachment Documents/Urgench VTC Bid Attachment Documents/Section 4.  Bill of Quantities(Not-Priced)/공내역서/VTC견적서/2 УПК(Practice and Education Building)/2-4 ВК(Water &amp; Sewer &amp; Fireplug)/bv13120.xls</x:v>
      </x:c>
      <x:c r="H936" s="28" t="n">
        <x:v>172032</x:v>
      </x:c>
      <x:c r="I936" s="22" t="str">
        <x:v>3e907a310c004ae321d7eebac0f5fce2c118ec91ebfb9514f3a8a5c68894b05c</x:v>
      </x:c>
      <x:c r="J936" s="22" t="n">
        <x:v>1</x:v>
      </x:c>
      <x:c r="K936" s="22" t="n">
        <x:v>1</x:v>
      </x:c>
      <x:c r="L936" s="22" t="n">
        <x:v>1</x:v>
      </x:c>
      <x:c r="M936" s="28" t="n">
        <x:v>0</x:v>
      </x:c>
      <x:c r="N936" s="28" t="n">
        <x:v>0</x:v>
      </x:c>
      <x:c r="O936" s="28" t="n">
        <x:v>0</x:v>
      </x:c>
      <x:c r="P936" s="62" t="n">
        <x:v>0</x:v>
      </x:c>
      <x:c r="Q936" s="22" t="n">
        <x:v>0</x:v>
      </x:c>
      <x:c r="R936" s="22" t="str"/>
      <x:c r="S936" s="22" t="str"/>
      <x:c r="T936" s="22" t="str"/>
    </x:row>
    <x:row r="937">
      <x:c r="A937" s="22" t="str">
        <x:v>2020-00086</x:v>
      </x:c>
      <x:c r="B937" s="22" t="str">
        <x:v>L2023-00053-1</x:v>
      </x:c>
      <x:c r="C937" s="22" t="str">
        <x:v>공사</x:v>
      </x:c>
      <x:c r="D937" s="25" t="str">
        <x:v>우즈베키스탄 직업훈련원 및 타슈켄트 교사연수센터 건립 시공업체 선정 현지입찰</x:v>
      </x:c>
      <x:c r="E937" s="22" t="n">
        <x:v>1</x:v>
      </x:c>
      <x:c r="F937" s="22" t="str">
        <x:v>.xls</x:v>
      </x:c>
      <x:c r="G937" s="25" t="str">
        <x:v>L2023-00053-1/Urgench VTC Bid Attachment Documents/Urgench VTC Bid Attachment Documents/Section 4.  Bill of Quantities(Not-Priced)/공내역서/VTC견적서/2 УПК(Practice and Education Building)/2-7 ВН, СКС(CCTV &amp; Network)/13283_vrmu.xls</x:v>
      </x:c>
      <x:c r="H937" s="28" t="n">
        <x:v>67072</x:v>
      </x:c>
      <x:c r="I937" s="22" t="str">
        <x:v>b6846cb5505886d26e2d8e4507951919d190aa8d9ba9fa7ba7df632cb03e888d</x:v>
      </x:c>
      <x:c r="J937" s="22" t="n">
        <x:v>1</x:v>
      </x:c>
      <x:c r="K937" s="22" t="n">
        <x:v>1</x:v>
      </x:c>
      <x:c r="L937" s="22" t="n">
        <x:v>1</x:v>
      </x:c>
      <x:c r="M937" s="28" t="n">
        <x:v>1</x:v>
      </x:c>
      <x:c r="N937" s="28" t="n">
        <x:v>121</x:v>
      </x:c>
      <x:c r="O937" s="28" t="n">
        <x:v>1</x:v>
      </x:c>
      <x:c r="P937" s="62" t="n">
        <x:v>0.008264462809917356</x:v>
      </x:c>
      <x:c r="Q937" s="22" t="n">
        <x:v>0</x:v>
      </x:c>
      <x:c r="R937" s="22" t="str">
        <x:v>Лист1</x:v>
      </x:c>
      <x:c r="S937" s="22" t="str">
        <x:v>visible</x:v>
      </x:c>
      <x:c r="T937" s="22" t="str"/>
    </x:row>
    <x:row r="938">
      <x:c r="A938" s="22" t="str">
        <x:v>2020-00086</x:v>
      </x:c>
      <x:c r="B938" s="22" t="str">
        <x:v>L2023-00053-1</x:v>
      </x:c>
      <x:c r="C938" s="22" t="str">
        <x:v>공사</x:v>
      </x:c>
      <x:c r="D938" s="25" t="str">
        <x:v>우즈베키스탄 직업훈련원 및 타슈켄트 교사연수센터 건립 시공업체 선정 현지입찰</x:v>
      </x:c>
      <x:c r="E938" s="22" t="n">
        <x:v>1</x:v>
      </x:c>
      <x:c r="F938" s="22" t="str">
        <x:v>.xls</x:v>
      </x:c>
      <x:c r="G938" s="25" t="str">
        <x:v>L2023-00053-1/Urgench VTC Bid Attachment Documents/Urgench VTC Bid Attachment Documents/Section 4.  Bill of Quantities(Not-Priced)/공내역서/VTC견적서/2 УПК(Practice and Education Building)/2-7 ВН, СКС(CCTV &amp; Network)/13283_vfor.xls</x:v>
      </x:c>
      <x:c r="H938" s="28" t="n">
        <x:v>47104</x:v>
      </x:c>
      <x:c r="I938" s="22" t="str">
        <x:v>db6c3cc502fbc8f749a5c19609ddf016fd8932c4cc11020c6bd9ee1e3229f05d</x:v>
      </x:c>
      <x:c r="J938" s="22" t="n">
        <x:v>1</x:v>
      </x:c>
      <x:c r="K938" s="22" t="n">
        <x:v>1</x:v>
      </x:c>
      <x:c r="L938" s="22" t="n">
        <x:v>1</x:v>
      </x:c>
      <x:c r="M938" s="28" t="n">
        <x:v>0</x:v>
      </x:c>
      <x:c r="N938" s="28" t="n">
        <x:v>0</x:v>
      </x:c>
      <x:c r="O938" s="28" t="n">
        <x:v>0</x:v>
      </x:c>
      <x:c r="P938" s="62" t="n">
        <x:v>0</x:v>
      </x:c>
      <x:c r="Q938" s="22" t="n">
        <x:v>0</x:v>
      </x:c>
      <x:c r="R938" s="22" t="str"/>
      <x:c r="S938" s="22" t="str"/>
      <x:c r="T938" s="22" t="str"/>
    </x:row>
    <x:row r="939">
      <x:c r="A939" s="22" t="str">
        <x:v>2020-00086</x:v>
      </x:c>
      <x:c r="B939" s="22" t="str">
        <x:v>L2023-00053-1</x:v>
      </x:c>
      <x:c r="C939" s="22" t="str">
        <x:v>공사</x:v>
      </x:c>
      <x:c r="D939" s="25" t="str">
        <x:v>우즈베키스탄 직업훈련원 및 타슈켄트 교사연수센터 건립 시공업체 선정 현지입찰</x:v>
      </x:c>
      <x:c r="E939" s="22" t="n">
        <x:v>1</x:v>
      </x:c>
      <x:c r="F939" s="22" t="str">
        <x:v>.xls</x:v>
      </x:c>
      <x:c r="G939" s="25" t="str">
        <x:v>L2023-00053-1/Urgench VTC Bid Attachment Documents/Urgench VTC Bid Attachment Documents/Section 4.  Bill of Quantities(Not-Priced)/공내역서/VTC견적서/2 УПК(Practice and Education Building)/2-7 ВН, СКС(CCTV &amp; Network)/bv13280.xls</x:v>
      </x:c>
      <x:c r="H939" s="28" t="n">
        <x:v>108032</x:v>
      </x:c>
      <x:c r="I939" s="22" t="str">
        <x:v>6992044beb67c2e32411290725db35b2c64559310aff468a4b53db8d3f90312f</x:v>
      </x:c>
      <x:c r="J939" s="22" t="n">
        <x:v>1</x:v>
      </x:c>
      <x:c r="K939" s="22" t="n">
        <x:v>1</x:v>
      </x:c>
      <x:c r="L939" s="22" t="n">
        <x:v>1</x:v>
      </x:c>
      <x:c r="M939" s="28" t="n">
        <x:v>0</x:v>
      </x:c>
      <x:c r="N939" s="28" t="n">
        <x:v>0</x:v>
      </x:c>
      <x:c r="O939" s="28" t="n">
        <x:v>0</x:v>
      </x:c>
      <x:c r="P939" s="62" t="n">
        <x:v>0</x:v>
      </x:c>
      <x:c r="Q939" s="22" t="n">
        <x:v>0</x:v>
      </x:c>
      <x:c r="R939" s="22" t="str"/>
      <x:c r="S939" s="22" t="str"/>
      <x:c r="T939" s="22" t="str"/>
    </x:row>
    <x:row r="940">
      <x:c r="A940" s="22" t="str">
        <x:v>2020-00086</x:v>
      </x:c>
      <x:c r="B940" s="22" t="str">
        <x:v>L2023-00053-1</x:v>
      </x:c>
      <x:c r="C940" s="22" t="str">
        <x:v>공사</x:v>
      </x:c>
      <x:c r="D940" s="25" t="str">
        <x:v>우즈베키스탄 직업훈련원 및 타슈켄트 교사연수센터 건립 시공업체 선정 현지입찰</x:v>
      </x:c>
      <x:c r="E940" s="22" t="n">
        <x:v>1</x:v>
      </x:c>
      <x:c r="F940" s="22" t="str">
        <x:v>.xls</x:v>
      </x:c>
      <x:c r="G940" s="25" t="str">
        <x:v>L2023-00053-1/Urgench VTC Bid Attachment Documents/Urgench VTC Bid Attachment Documents/Section 4.  Bill of Quantities(Not-Priced)/공내역서/VTC견적서/2 УПК(Practice and Education Building)/2-2 АР(Architecture)/bv13180.xls</x:v>
      </x:c>
      <x:c r="H940" s="28" t="n">
        <x:v>216064</x:v>
      </x:c>
      <x:c r="I940" s="22" t="str">
        <x:v>0a4453a2cbcb0fb035d5a2ee0e7a231433a198a6bc5351d8192be15d300f39db</x:v>
      </x:c>
      <x:c r="J940" s="22" t="n">
        <x:v>1</x:v>
      </x:c>
      <x:c r="K940" s="22" t="n">
        <x:v>1</x:v>
      </x:c>
      <x:c r="L940" s="22" t="n">
        <x:v>1</x:v>
      </x:c>
      <x:c r="M940" s="28" t="n">
        <x:v>0</x:v>
      </x:c>
      <x:c r="N940" s="28" t="n">
        <x:v>0</x:v>
      </x:c>
      <x:c r="O940" s="28" t="n">
        <x:v>0</x:v>
      </x:c>
      <x:c r="P940" s="62" t="n">
        <x:v>0</x:v>
      </x:c>
      <x:c r="Q940" s="22" t="n">
        <x:v>0</x:v>
      </x:c>
      <x:c r="R940" s="22" t="str"/>
      <x:c r="S940" s="22" t="str"/>
      <x:c r="T940" s="22" t="str"/>
    </x:row>
    <x:row r="941">
      <x:c r="A941" s="22" t="str">
        <x:v>2020-00086</x:v>
      </x:c>
      <x:c r="B941" s="22" t="str">
        <x:v>L2023-00053-1</x:v>
      </x:c>
      <x:c r="C941" s="22" t="str">
        <x:v>공사</x:v>
      </x:c>
      <x:c r="D941" s="25" t="str">
        <x:v>우즈베키스탄 직업훈련원 및 타슈켄트 교사연수센터 건립 시공업체 선정 현지입찰</x:v>
      </x:c>
      <x:c r="E941" s="22" t="n">
        <x:v>1</x:v>
      </x:c>
      <x:c r="F941" s="22" t="str">
        <x:v>.xls</x:v>
      </x:c>
      <x:c r="G941" s="25" t="str">
        <x:v>L2023-00053-1/Urgench VTC Bid Attachment Documents/Urgench VTC Bid Attachment Documents/Section 4.  Bill of Quantities(Not-Priced)/공내역서/VTC견적서/2 УПК(Practice and Education Building)/2-2 АР(Architecture)/13183_vfor.xls</x:v>
      </x:c>
      <x:c r="H941" s="28" t="n">
        <x:v>57344</x:v>
      </x:c>
      <x:c r="I941" s="22" t="str">
        <x:v>ced6d9cc5f0dc47f2fbaa02466c757851c746ad533d0b2a7e89d6670c94b95f5</x:v>
      </x:c>
      <x:c r="J941" s="22" t="n">
        <x:v>1</x:v>
      </x:c>
      <x:c r="K941" s="22" t="n">
        <x:v>1</x:v>
      </x:c>
      <x:c r="L941" s="22" t="n">
        <x:v>1</x:v>
      </x:c>
      <x:c r="M941" s="28" t="n">
        <x:v>0</x:v>
      </x:c>
      <x:c r="N941" s="28" t="n">
        <x:v>0</x:v>
      </x:c>
      <x:c r="O941" s="28" t="n">
        <x:v>0</x:v>
      </x:c>
      <x:c r="P941" s="62" t="n">
        <x:v>0</x:v>
      </x:c>
      <x:c r="Q941" s="22" t="n">
        <x:v>0</x:v>
      </x:c>
      <x:c r="R941" s="22" t="str"/>
      <x:c r="S941" s="22" t="str"/>
      <x:c r="T941" s="22" t="str"/>
    </x:row>
    <x:row r="942">
      <x:c r="A942" s="22" t="str">
        <x:v>2020-00086</x:v>
      </x:c>
      <x:c r="B942" s="22" t="str">
        <x:v>L2023-00053-1</x:v>
      </x:c>
      <x:c r="C942" s="22" t="str">
        <x:v>공사</x:v>
      </x:c>
      <x:c r="D942" s="25" t="str">
        <x:v>우즈베키스탄 직업훈련원 및 타슈켄트 교사연수센터 건립 시공업체 선정 현지입찰</x:v>
      </x:c>
      <x:c r="E942" s="22" t="n">
        <x:v>1</x:v>
      </x:c>
      <x:c r="F942" s="22" t="str">
        <x:v>.xls</x:v>
      </x:c>
      <x:c r="G942" s="25" t="str">
        <x:v>L2023-00053-1/Urgench VTC Bid Attachment Documents/Urgench VTC Bid Attachment Documents/Section 4.  Bill of Quantities(Not-Priced)/공내역서/VTC견적서/2 УПК(Practice and Education Building)/2-2 АР(Architecture)/13183_vrmu.xls</x:v>
      </x:c>
      <x:c r="H942" s="28" t="n">
        <x:v>82432</x:v>
      </x:c>
      <x:c r="I942" s="22" t="str">
        <x:v>d785547f100119bf8fe99b2cf9a925055b4fd0715cf243dd3de72fa18b6a5902</x:v>
      </x:c>
      <x:c r="J942" s="22" t="n">
        <x:v>1</x:v>
      </x:c>
      <x:c r="K942" s="22" t="n">
        <x:v>1</x:v>
      </x:c>
      <x:c r="L942" s="22" t="n">
        <x:v>1</x:v>
      </x:c>
      <x:c r="M942" s="28" t="n">
        <x:v>1</x:v>
      </x:c>
      <x:c r="N942" s="28" t="n">
        <x:v>189</x:v>
      </x:c>
      <x:c r="O942" s="28" t="n">
        <x:v>1</x:v>
      </x:c>
      <x:c r="P942" s="62" t="n">
        <x:v>0.005291005291005291</x:v>
      </x:c>
      <x:c r="Q942" s="22" t="n">
        <x:v>0</x:v>
      </x:c>
      <x:c r="R942" s="22" t="str">
        <x:v>Лист1</x:v>
      </x:c>
      <x:c r="S942" s="22" t="str">
        <x:v>visible</x:v>
      </x:c>
      <x:c r="T942" s="22" t="str"/>
    </x:row>
    <x:row r="943">
      <x:c r="A943" s="22" t="str">
        <x:v>2020-00086</x:v>
      </x:c>
      <x:c r="B943" s="22" t="str">
        <x:v>L2023-00053-1</x:v>
      </x:c>
      <x:c r="C943" s="22" t="str">
        <x:v>공사</x:v>
      </x:c>
      <x:c r="D943" s="25" t="str">
        <x:v>우즈베키스탄 직업훈련원 및 타슈켄트 교사연수센터 건립 시공업체 선정 현지입찰</x:v>
      </x:c>
      <x:c r="E943" s="22" t="n">
        <x:v>1</x:v>
      </x:c>
      <x:c r="F943" s="22" t="str">
        <x:v>.xls</x:v>
      </x:c>
      <x:c r="G943" s="25" t="str">
        <x:v>L2023-00053-1/Urgench VTC Bid Attachment Documents/Urgench VTC Bid Attachment Documents/Section 4.  Bill of Quantities(Not-Priced)/공내역서/VTC견적서/1 АДМИН ЗДАНИЕ(Admin. Build)/1-1 КЖ(Structure)/bv13060.xls</x:v>
      </x:c>
      <x:c r="H943" s="28" t="n">
        <x:v>726528</x:v>
      </x:c>
      <x:c r="I943" s="22" t="str">
        <x:v>24109ba5131665957977d77e5eaf5651afc7be65b2c614927a1f2a469e3a4094</x:v>
      </x:c>
      <x:c r="J943" s="22" t="n">
        <x:v>1</x:v>
      </x:c>
      <x:c r="K943" s="22" t="n">
        <x:v>1</x:v>
      </x:c>
      <x:c r="L943" s="22" t="n">
        <x:v>1</x:v>
      </x:c>
      <x:c r="M943" s="28" t="n">
        <x:v>0</x:v>
      </x:c>
      <x:c r="N943" s="28" t="n">
        <x:v>0</x:v>
      </x:c>
      <x:c r="O943" s="28" t="n">
        <x:v>0</x:v>
      </x:c>
      <x:c r="P943" s="62" t="n">
        <x:v>0</x:v>
      </x:c>
      <x:c r="Q943" s="22" t="n">
        <x:v>0</x:v>
      </x:c>
      <x:c r="R943" s="22" t="str"/>
      <x:c r="S943" s="22" t="str"/>
      <x:c r="T943" s="22" t="str"/>
    </x:row>
    <x:row r="944">
      <x:c r="A944" s="22" t="str">
        <x:v>2020-00086</x:v>
      </x:c>
      <x:c r="B944" s="22" t="str">
        <x:v>L2023-00053-1</x:v>
      </x:c>
      <x:c r="C944" s="22" t="str">
        <x:v>공사</x:v>
      </x:c>
      <x:c r="D944" s="25" t="str">
        <x:v>우즈베키스탄 직업훈련원 및 타슈켄트 교사연수센터 건립 시공업체 선정 현지입찰</x:v>
      </x:c>
      <x:c r="E944" s="22" t="n">
        <x:v>1</x:v>
      </x:c>
      <x:c r="F944" s="22" t="str">
        <x:v>.xls</x:v>
      </x:c>
      <x:c r="G944" s="25" t="str">
        <x:v>L2023-00053-1/Urgench VTC Bid Attachment Documents/Urgench VTC Bid Attachment Documents/Section 4.  Bill of Quantities(Not-Priced)/공내역서/VTC견적서/1 АДМИН ЗДАНИЕ(Admin. Build)/1-1 КЖ(Structure)/13063_vrmu.xls</x:v>
      </x:c>
      <x:c r="H944" s="28" t="n">
        <x:v>79360</x:v>
      </x:c>
      <x:c r="I944" s="22" t="str">
        <x:v>97ca88b1db2e39ab8d470cd74e64acd38eb9c5888d5f78c83da36d324fa0e727</x:v>
      </x:c>
      <x:c r="J944" s="22" t="n">
        <x:v>1</x:v>
      </x:c>
      <x:c r="K944" s="22" t="n">
        <x:v>1</x:v>
      </x:c>
      <x:c r="L944" s="22" t="n">
        <x:v>1</x:v>
      </x:c>
      <x:c r="M944" s="28" t="n">
        <x:v>1</x:v>
      </x:c>
      <x:c r="N944" s="28" t="n">
        <x:v>163</x:v>
      </x:c>
      <x:c r="O944" s="28" t="n">
        <x:v>1</x:v>
      </x:c>
      <x:c r="P944" s="62" t="n">
        <x:v>0.006134969325153374</x:v>
      </x:c>
      <x:c r="Q944" s="22" t="n">
        <x:v>0</x:v>
      </x:c>
      <x:c r="R944" s="22" t="str">
        <x:v>Лист1</x:v>
      </x:c>
      <x:c r="S944" s="22" t="str">
        <x:v>visible</x:v>
      </x:c>
      <x:c r="T944" s="22" t="str"/>
    </x:row>
    <x:row r="945">
      <x:c r="A945" s="22" t="str">
        <x:v>2020-00086</x:v>
      </x:c>
      <x:c r="B945" s="22" t="str">
        <x:v>L2023-00053-1</x:v>
      </x:c>
      <x:c r="C945" s="22" t="str">
        <x:v>공사</x:v>
      </x:c>
      <x:c r="D945" s="25" t="str">
        <x:v>우즈베키스탄 직업훈련원 및 타슈켄트 교사연수센터 건립 시공업체 선정 현지입찰</x:v>
      </x:c>
      <x:c r="E945" s="22" t="n">
        <x:v>1</x:v>
      </x:c>
      <x:c r="F945" s="22" t="str">
        <x:v>.xls</x:v>
      </x:c>
      <x:c r="G945" s="25" t="str">
        <x:v>L2023-00053-1/Urgench VTC Bid Attachment Documents/Urgench VTC Bid Attachment Documents/Section 4.  Bill of Quantities(Not-Priced)/공내역서/VTC견적서/1 АДМИН ЗДАНИЕ(Admin. Build)/1-1 КЖ(Structure)/13063_vfor.xls</x:v>
      </x:c>
      <x:c r="H945" s="28" t="n">
        <x:v>118272</x:v>
      </x:c>
      <x:c r="I945" s="22" t="str">
        <x:v>722aad89cd38a9a05303abe12485831eca2450747711346f1c22d77bdb78f05b</x:v>
      </x:c>
      <x:c r="J945" s="22" t="n">
        <x:v>1</x:v>
      </x:c>
      <x:c r="K945" s="22" t="n">
        <x:v>1</x:v>
      </x:c>
      <x:c r="L945" s="22" t="n">
        <x:v>1</x:v>
      </x:c>
      <x:c r="M945" s="28" t="n">
        <x:v>0</x:v>
      </x:c>
      <x:c r="N945" s="28" t="n">
        <x:v>0</x:v>
      </x:c>
      <x:c r="O945" s="28" t="n">
        <x:v>0</x:v>
      </x:c>
      <x:c r="P945" s="62" t="n">
        <x:v>0</x:v>
      </x:c>
      <x:c r="Q945" s="22" t="n">
        <x:v>0</x:v>
      </x:c>
      <x:c r="R945" s="22" t="str"/>
      <x:c r="S945" s="22" t="str"/>
      <x:c r="T945" s="22" t="str"/>
    </x:row>
    <x:row r="946">
      <x:c r="A946" s="22" t="str">
        <x:v>2020-00086</x:v>
      </x:c>
      <x:c r="B946" s="22" t="str">
        <x:v>L2023-00053-1</x:v>
      </x:c>
      <x:c r="C946" s="22" t="str">
        <x:v>공사</x:v>
      </x:c>
      <x:c r="D946" s="25" t="str">
        <x:v>우즈베키스탄 직업훈련원 및 타슈켄트 교사연수센터 건립 시공업체 선정 현지입찰</x:v>
      </x:c>
      <x:c r="E946" s="22" t="n">
        <x:v>1</x:v>
      </x:c>
      <x:c r="F946" s="22" t="str">
        <x:v>.xls</x:v>
      </x:c>
      <x:c r="G946" s="25" t="str">
        <x:v>L2023-00053-1/Urgench VTC Bid Attachment Documents/Urgench VTC Bid Attachment Documents/Section 4.  Bill of Quantities(Not-Priced)/공내역서/VTC견적서/1 АДМИН ЗДАНИЕ(Admin. Build)/1-5 ЭО(Electric)/13493_vrmu.xls</x:v>
      </x:c>
      <x:c r="H946" s="28" t="n">
        <x:v>95744</x:v>
      </x:c>
      <x:c r="I946" s="22" t="str">
        <x:v>ebe77e774131a081d32956fc8861c1d8f742a8828afd9bed0fd71db438f6f165</x:v>
      </x:c>
      <x:c r="J946" s="22" t="n">
        <x:v>1</x:v>
      </x:c>
      <x:c r="K946" s="22" t="n">
        <x:v>1</x:v>
      </x:c>
      <x:c r="L946" s="22" t="n">
        <x:v>1</x:v>
      </x:c>
      <x:c r="M946" s="28" t="n">
        <x:v>0</x:v>
      </x:c>
      <x:c r="N946" s="28" t="n">
        <x:v>0</x:v>
      </x:c>
      <x:c r="O946" s="28" t="n">
        <x:v>0</x:v>
      </x:c>
      <x:c r="P946" s="62" t="n">
        <x:v>0</x:v>
      </x:c>
      <x:c r="Q946" s="22" t="n">
        <x:v>0</x:v>
      </x:c>
      <x:c r="R946" s="22" t="str"/>
      <x:c r="S946" s="22" t="str"/>
      <x:c r="T946" s="22" t="str"/>
    </x:row>
    <x:row r="947">
      <x:c r="A947" s="22" t="str">
        <x:v>2020-00086</x:v>
      </x:c>
      <x:c r="B947" s="22" t="str">
        <x:v>L2023-00053-1</x:v>
      </x:c>
      <x:c r="C947" s="22" t="str">
        <x:v>공사</x:v>
      </x:c>
      <x:c r="D947" s="25" t="str">
        <x:v>우즈베키스탄 직업훈련원 및 타슈켄트 교사연수센터 건립 시공업체 선정 현지입찰</x:v>
      </x:c>
      <x:c r="E947" s="22" t="n">
        <x:v>1</x:v>
      </x:c>
      <x:c r="F947" s="22" t="str">
        <x:v>.xls</x:v>
      </x:c>
      <x:c r="G947" s="25" t="str">
        <x:v>L2023-00053-1/Urgench VTC Bid Attachment Documents/Urgench VTC Bid Attachment Documents/Section 4.  Bill of Quantities(Not-Priced)/공내역서/VTC견적서/1 АДМИН ЗДАНИЕ(Admin. Build)/1-5 ЭО(Electric)/bv13490.xls</x:v>
      </x:c>
      <x:c r="H947" s="28" t="n">
        <x:v>158720</x:v>
      </x:c>
      <x:c r="I947" s="22" t="str">
        <x:v>bd5f8e35593e9c7efc6d645f53dd05706c78ef405c09926c16e8f6574c780cc0</x:v>
      </x:c>
      <x:c r="J947" s="22" t="n">
        <x:v>1</x:v>
      </x:c>
      <x:c r="K947" s="22" t="n">
        <x:v>1</x:v>
      </x:c>
      <x:c r="L947" s="22" t="n">
        <x:v>1</x:v>
      </x:c>
      <x:c r="M947" s="28" t="n">
        <x:v>0</x:v>
      </x:c>
      <x:c r="N947" s="28" t="n">
        <x:v>0</x:v>
      </x:c>
      <x:c r="O947" s="28" t="n">
        <x:v>0</x:v>
      </x:c>
      <x:c r="P947" s="62" t="n">
        <x:v>0</x:v>
      </x:c>
      <x:c r="Q947" s="22" t="n">
        <x:v>0</x:v>
      </x:c>
      <x:c r="R947" s="22" t="str"/>
      <x:c r="S947" s="22" t="str"/>
      <x:c r="T947" s="22" t="str"/>
    </x:row>
    <x:row r="948">
      <x:c r="A948" s="22" t="str">
        <x:v>2020-00086</x:v>
      </x:c>
      <x:c r="B948" s="22" t="str">
        <x:v>L2023-00053-1</x:v>
      </x:c>
      <x:c r="C948" s="22" t="str">
        <x:v>공사</x:v>
      </x:c>
      <x:c r="D948" s="25" t="str">
        <x:v>우즈베키스탄 직업훈련원 및 타슈켄트 교사연수센터 건립 시공업체 선정 현지입찰</x:v>
      </x:c>
      <x:c r="E948" s="22" t="n">
        <x:v>1</x:v>
      </x:c>
      <x:c r="F948" s="22" t="str">
        <x:v>.xls</x:v>
      </x:c>
      <x:c r="G948" s="25" t="str">
        <x:v>L2023-00053-1/Urgench VTC Bid Attachment Documents/Urgench VTC Bid Attachment Documents/Section 4.  Bill of Quantities(Not-Priced)/공내역서/VTC견적서/1 АДМИН ЗДАНИЕ(Admin. Build)/1-7 ВН, СКС(CCTV &amp; Network)/bv13260.xls</x:v>
      </x:c>
      <x:c r="H948" s="28" t="n">
        <x:v>107520</x:v>
      </x:c>
      <x:c r="I948" s="22" t="str">
        <x:v>da9736d6f767a8ecd457f4daac55033b9573e34d0967a3842ac2dd832de749d3</x:v>
      </x:c>
      <x:c r="J948" s="22" t="n">
        <x:v>1</x:v>
      </x:c>
      <x:c r="K948" s="22" t="n">
        <x:v>1</x:v>
      </x:c>
      <x:c r="L948" s="22" t="n">
        <x:v>1</x:v>
      </x:c>
      <x:c r="M948" s="28" t="n">
        <x:v>0</x:v>
      </x:c>
      <x:c r="N948" s="28" t="n">
        <x:v>0</x:v>
      </x:c>
      <x:c r="O948" s="28" t="n">
        <x:v>0</x:v>
      </x:c>
      <x:c r="P948" s="62" t="n">
        <x:v>0</x:v>
      </x:c>
      <x:c r="Q948" s="22" t="n">
        <x:v>0</x:v>
      </x:c>
      <x:c r="R948" s="22" t="str"/>
      <x:c r="S948" s="22" t="str"/>
      <x:c r="T948" s="22" t="str"/>
    </x:row>
    <x:row r="949">
      <x:c r="A949" s="22" t="str">
        <x:v>2020-00086</x:v>
      </x:c>
      <x:c r="B949" s="22" t="str">
        <x:v>L2023-00053-1</x:v>
      </x:c>
      <x:c r="C949" s="22" t="str">
        <x:v>공사</x:v>
      </x:c>
      <x:c r="D949" s="25" t="str">
        <x:v>우즈베키스탄 직업훈련원 및 타슈켄트 교사연수센터 건립 시공업체 선정 현지입찰</x:v>
      </x:c>
      <x:c r="E949" s="22" t="n">
        <x:v>1</x:v>
      </x:c>
      <x:c r="F949" s="22" t="str">
        <x:v>.xls</x:v>
      </x:c>
      <x:c r="G949" s="25" t="str">
        <x:v>L2023-00053-1/Urgench VTC Bid Attachment Documents/Urgench VTC Bid Attachment Documents/Section 4.  Bill of Quantities(Not-Priced)/공내역서/VTC견적서/1 АДМИН ЗДАНИЕ(Admin. Build)/1-7 ВН, СКС(CCTV &amp; Network)/13263_vfor.xls</x:v>
      </x:c>
      <x:c r="H949" s="28" t="n">
        <x:v>47616</x:v>
      </x:c>
      <x:c r="I949" s="22" t="str">
        <x:v>7a8b4feeaa0c2b59e5da2fb55f1768d770b5ad657133ec053d138eb8e9bce861</x:v>
      </x:c>
      <x:c r="J949" s="22" t="n">
        <x:v>1</x:v>
      </x:c>
      <x:c r="K949" s="22" t="n">
        <x:v>1</x:v>
      </x:c>
      <x:c r="L949" s="22" t="n">
        <x:v>1</x:v>
      </x:c>
      <x:c r="M949" s="28" t="n">
        <x:v>0</x:v>
      </x:c>
      <x:c r="N949" s="28" t="n">
        <x:v>0</x:v>
      </x:c>
      <x:c r="O949" s="28" t="n">
        <x:v>0</x:v>
      </x:c>
      <x:c r="P949" s="62" t="n">
        <x:v>0</x:v>
      </x:c>
      <x:c r="Q949" s="22" t="n">
        <x:v>0</x:v>
      </x:c>
      <x:c r="R949" s="22" t="str"/>
      <x:c r="S949" s="22" t="str"/>
      <x:c r="T949" s="22" t="str"/>
    </x:row>
    <x:row r="950">
      <x:c r="A950" s="22" t="str">
        <x:v>2020-00086</x:v>
      </x:c>
      <x:c r="B950" s="22" t="str">
        <x:v>L2023-00053-1</x:v>
      </x:c>
      <x:c r="C950" s="22" t="str">
        <x:v>공사</x:v>
      </x:c>
      <x:c r="D950" s="25" t="str">
        <x:v>우즈베키스탄 직업훈련원 및 타슈켄트 교사연수센터 건립 시공업체 선정 현지입찰</x:v>
      </x:c>
      <x:c r="E950" s="22" t="n">
        <x:v>1</x:v>
      </x:c>
      <x:c r="F950" s="22" t="str">
        <x:v>.xls</x:v>
      </x:c>
      <x:c r="G950" s="25" t="str">
        <x:v>L2023-00053-1/Urgench VTC Bid Attachment Documents/Urgench VTC Bid Attachment Documents/Section 4.  Bill of Quantities(Not-Priced)/공내역서/VTC견적서/1 АДМИН ЗДАНИЕ(Admin. Build)/1-7 ВН, СКС(CCTV &amp; Network)/13263_vrmu.xls</x:v>
      </x:c>
      <x:c r="H950" s="28" t="n">
        <x:v>68608</x:v>
      </x:c>
      <x:c r="I950" s="22" t="str">
        <x:v>6c0471c582338da570a451cd77b90965fe575e9f9b5a76c47f242fa9f7baf869</x:v>
      </x:c>
      <x:c r="J950" s="22" t="n">
        <x:v>1</x:v>
      </x:c>
      <x:c r="K950" s="22" t="n">
        <x:v>1</x:v>
      </x:c>
      <x:c r="L950" s="22" t="n">
        <x:v>1</x:v>
      </x:c>
      <x:c r="M950" s="28" t="n">
        <x:v>1</x:v>
      </x:c>
      <x:c r="N950" s="28" t="n">
        <x:v>121</x:v>
      </x:c>
      <x:c r="O950" s="28" t="n">
        <x:v>1</x:v>
      </x:c>
      <x:c r="P950" s="62" t="n">
        <x:v>0.008264462809917356</x:v>
      </x:c>
      <x:c r="Q950" s="22" t="n">
        <x:v>0</x:v>
      </x:c>
      <x:c r="R950" s="22" t="str">
        <x:v>Лист1</x:v>
      </x:c>
      <x:c r="S950" s="22" t="str">
        <x:v>visible</x:v>
      </x:c>
      <x:c r="T950" s="22" t="str"/>
    </x:row>
    <x:row r="951">
      <x:c r="A951" s="22" t="str">
        <x:v>2020-00086</x:v>
      </x:c>
      <x:c r="B951" s="22" t="str">
        <x:v>L2023-00053-1</x:v>
      </x:c>
      <x:c r="C951" s="22" t="str">
        <x:v>공사</x:v>
      </x:c>
      <x:c r="D951" s="25" t="str">
        <x:v>우즈베키스탄 직업훈련원 및 타슈켄트 교사연수센터 건립 시공업체 선정 현지입찰</x:v>
      </x:c>
      <x:c r="E951" s="22" t="n">
        <x:v>1</x:v>
      </x:c>
      <x:c r="F951" s="22" t="str">
        <x:v>.xls</x:v>
      </x:c>
      <x:c r="G951" s="25" t="str">
        <x:v>L2023-00053-1/Urgench VTC Bid Attachment Documents/Urgench VTC Bid Attachment Documents/Section 4.  Bill of Quantities(Not-Priced)/공내역서/VTC견적서/1 АДМИН ЗДАНИЕ(Admin. Build)/1-4 ВК(Water &amp; Sewer &amp; Fireplug)/13133_vfor.xls</x:v>
      </x:c>
      <x:c r="H951" s="28" t="n">
        <x:v>52736</x:v>
      </x:c>
      <x:c r="I951" s="22" t="str">
        <x:v>741ec748efad6c50d4f9031854c9af39efdae94a7f251502f482d1e634696395</x:v>
      </x:c>
      <x:c r="J951" s="22" t="n">
        <x:v>1</x:v>
      </x:c>
      <x:c r="K951" s="22" t="n">
        <x:v>1</x:v>
      </x:c>
      <x:c r="L951" s="22" t="n">
        <x:v>1</x:v>
      </x:c>
      <x:c r="M951" s="28" t="n">
        <x:v>0</x:v>
      </x:c>
      <x:c r="N951" s="28" t="n">
        <x:v>0</x:v>
      </x:c>
      <x:c r="O951" s="28" t="n">
        <x:v>0</x:v>
      </x:c>
      <x:c r="P951" s="62" t="n">
        <x:v>0</x:v>
      </x:c>
      <x:c r="Q951" s="22" t="n">
        <x:v>0</x:v>
      </x:c>
      <x:c r="R951" s="22" t="str"/>
      <x:c r="S951" s="22" t="str"/>
      <x:c r="T951" s="22" t="str"/>
    </x:row>
    <x:row r="952">
      <x:c r="A952" s="22" t="str">
        <x:v>2020-00086</x:v>
      </x:c>
      <x:c r="B952" s="22" t="str">
        <x:v>L2023-00053-1</x:v>
      </x:c>
      <x:c r="C952" s="22" t="str">
        <x:v>공사</x:v>
      </x:c>
      <x:c r="D952" s="25" t="str">
        <x:v>우즈베키스탄 직업훈련원 및 타슈켄트 교사연수센터 건립 시공업체 선정 현지입찰</x:v>
      </x:c>
      <x:c r="E952" s="22" t="n">
        <x:v>1</x:v>
      </x:c>
      <x:c r="F952" s="22" t="str">
        <x:v>.xls</x:v>
      </x:c>
      <x:c r="G952" s="25" t="str">
        <x:v>L2023-00053-1/Urgench VTC Bid Attachment Documents/Urgench VTC Bid Attachment Documents/Section 4.  Bill of Quantities(Not-Priced)/공내역서/VTC견적서/1 АДМИН ЗДАНИЕ(Admin. Build)/1-4 ВК(Water &amp; Sewer &amp; Fireplug)/bv13130.xls</x:v>
      </x:c>
      <x:c r="H952" s="28" t="n">
        <x:v>154624</x:v>
      </x:c>
      <x:c r="I952" s="22" t="str">
        <x:v>1223ff48761e0fa74c64b76affe4f9a0bba0f90d9621723ff81afca192aa3ec9</x:v>
      </x:c>
      <x:c r="J952" s="22" t="n">
        <x:v>1</x:v>
      </x:c>
      <x:c r="K952" s="22" t="n">
        <x:v>1</x:v>
      </x:c>
      <x:c r="L952" s="22" t="n">
        <x:v>1</x:v>
      </x:c>
      <x:c r="M952" s="28" t="n">
        <x:v>0</x:v>
      </x:c>
      <x:c r="N952" s="28" t="n">
        <x:v>0</x:v>
      </x:c>
      <x:c r="O952" s="28" t="n">
        <x:v>0</x:v>
      </x:c>
      <x:c r="P952" s="62" t="n">
        <x:v>0</x:v>
      </x:c>
      <x:c r="Q952" s="22" t="n">
        <x:v>0</x:v>
      </x:c>
      <x:c r="R952" s="22" t="str"/>
      <x:c r="S952" s="22" t="str"/>
      <x:c r="T952" s="22" t="str"/>
    </x:row>
    <x:row r="953">
      <x:c r="A953" s="22" t="str">
        <x:v>2020-00086</x:v>
      </x:c>
      <x:c r="B953" s="22" t="str">
        <x:v>L2023-00053-1</x:v>
      </x:c>
      <x:c r="C953" s="22" t="str">
        <x:v>공사</x:v>
      </x:c>
      <x:c r="D953" s="25" t="str">
        <x:v>우즈베키스탄 직업훈련원 및 타슈켄트 교사연수센터 건립 시공업체 선정 현지입찰</x:v>
      </x:c>
      <x:c r="E953" s="22" t="n">
        <x:v>1</x:v>
      </x:c>
      <x:c r="F953" s="22" t="str">
        <x:v>.xls</x:v>
      </x:c>
      <x:c r="G953" s="25" t="str">
        <x:v>L2023-00053-1/Urgench VTC Bid Attachment Documents/Urgench VTC Bid Attachment Documents/Section 4.  Bill of Quantities(Not-Priced)/공내역서/VTC견적서/1 АДМИН ЗДАНИЕ(Admin. Build)/1-4 ВК(Water &amp; Sewer &amp; Fireplug)/13133_vrmu.xls</x:v>
      </x:c>
      <x:c r="H953" s="28" t="n">
        <x:v>79360</x:v>
      </x:c>
      <x:c r="I953" s="22" t="str">
        <x:v>b0afbc4d11efcf493a5e6015f97ca5b4a7b9097194af5dc00c5ac2e9b8482153</x:v>
      </x:c>
      <x:c r="J953" s="22" t="n">
        <x:v>1</x:v>
      </x:c>
      <x:c r="K953" s="22" t="n">
        <x:v>1</x:v>
      </x:c>
      <x:c r="L953" s="22" t="n">
        <x:v>1</x:v>
      </x:c>
      <x:c r="M953" s="28" t="n">
        <x:v>1</x:v>
      </x:c>
      <x:c r="N953" s="28" t="n">
        <x:v>169</x:v>
      </x:c>
      <x:c r="O953" s="28" t="n">
        <x:v>1</x:v>
      </x:c>
      <x:c r="P953" s="62" t="n">
        <x:v>0.005917159763313609</x:v>
      </x:c>
      <x:c r="Q953" s="22" t="n">
        <x:v>0</x:v>
      </x:c>
      <x:c r="R953" s="22" t="str">
        <x:v>Лист1</x:v>
      </x:c>
      <x:c r="S953" s="22" t="str">
        <x:v>visible</x:v>
      </x:c>
      <x:c r="T953" s="22" t="str"/>
    </x:row>
    <x:row r="954">
      <x:c r="A954" s="22" t="str">
        <x:v>2020-00086</x:v>
      </x:c>
      <x:c r="B954" s="22" t="str">
        <x:v>L2023-00053-1</x:v>
      </x:c>
      <x:c r="C954" s="22" t="str">
        <x:v>공사</x:v>
      </x:c>
      <x:c r="D954" s="25" t="str">
        <x:v>우즈베키스탄 직업훈련원 및 타슈켄트 교사연수센터 건립 시공업체 선정 현지입찰</x:v>
      </x:c>
      <x:c r="E954" s="22" t="n">
        <x:v>1</x:v>
      </x:c>
      <x:c r="F954" s="22" t="str">
        <x:v>.xls</x:v>
      </x:c>
      <x:c r="G954" s="25" t="str">
        <x:v>L2023-00053-1/Urgench VTC Bid Attachment Documents/Urgench VTC Bid Attachment Documents/Section 4.  Bill of Quantities(Not-Priced)/공내역서/VTC견적서/1 АДМИН ЗДАНИЕ(Admin. Build)/1-10 ЛИФТ(ELEV)/13753_vrmu.xls</x:v>
      </x:c>
      <x:c r="H954" s="28" t="n">
        <x:v>43008</x:v>
      </x:c>
      <x:c r="I954" s="22" t="str">
        <x:v>d8c8c9194e19cccc526a10c247d70181deba40b1b4cf1c4603bfe482647ccc57</x:v>
      </x:c>
      <x:c r="J954" s="22" t="n">
        <x:v>1</x:v>
      </x:c>
      <x:c r="K954" s="22" t="n">
        <x:v>1</x:v>
      </x:c>
      <x:c r="L954" s="22" t="n">
        <x:v>1</x:v>
      </x:c>
      <x:c r="M954" s="28" t="n">
        <x:v>0</x:v>
      </x:c>
      <x:c r="N954" s="28" t="n">
        <x:v>0</x:v>
      </x:c>
      <x:c r="O954" s="28" t="n">
        <x:v>0</x:v>
      </x:c>
      <x:c r="P954" s="62" t="n">
        <x:v>0</x:v>
      </x:c>
      <x:c r="Q954" s="22" t="n">
        <x:v>0</x:v>
      </x:c>
      <x:c r="R954" s="22" t="str"/>
      <x:c r="S954" s="22" t="str"/>
      <x:c r="T954" s="22" t="str"/>
    </x:row>
    <x:row r="955">
      <x:c r="A955" s="22" t="str">
        <x:v>2020-00086</x:v>
      </x:c>
      <x:c r="B955" s="22" t="str">
        <x:v>L2023-00053-1</x:v>
      </x:c>
      <x:c r="C955" s="22" t="str">
        <x:v>공사</x:v>
      </x:c>
      <x:c r="D955" s="25" t="str">
        <x:v>우즈베키스탄 직업훈련원 및 타슈켄트 교사연수센터 건립 시공업체 선정 현지입찰</x:v>
      </x:c>
      <x:c r="E955" s="22" t="n">
        <x:v>1</x:v>
      </x:c>
      <x:c r="F955" s="22" t="str">
        <x:v>.xls</x:v>
      </x:c>
      <x:c r="G955" s="25" t="str">
        <x:v>L2023-00053-1/Urgench VTC Bid Attachment Documents/Urgench VTC Bid Attachment Documents/Section 4.  Bill of Quantities(Not-Priced)/공내역서/VTC견적서/1 АДМИН ЗДАНИЕ(Admin. Build)/1-10 ЛИФТ(ELEV)/13753_vfor.xls</x:v>
      </x:c>
      <x:c r="H955" s="28" t="n">
        <x:v>30208</x:v>
      </x:c>
      <x:c r="I955" s="22" t="str">
        <x:v>b3579f537710c58124f00338f7e0f9e99571d8b9b633597f327e8b17d0a47566</x:v>
      </x:c>
      <x:c r="J955" s="22" t="n">
        <x:v>1</x:v>
      </x:c>
      <x:c r="K955" s="22" t="n">
        <x:v>1</x:v>
      </x:c>
      <x:c r="L955" s="22" t="n">
        <x:v>1</x:v>
      </x:c>
      <x:c r="M955" s="28" t="n">
        <x:v>0</x:v>
      </x:c>
      <x:c r="N955" s="28" t="n">
        <x:v>0</x:v>
      </x:c>
      <x:c r="O955" s="28" t="n">
        <x:v>0</x:v>
      </x:c>
      <x:c r="P955" s="62" t="n">
        <x:v>0</x:v>
      </x:c>
      <x:c r="Q955" s="22" t="n">
        <x:v>0</x:v>
      </x:c>
      <x:c r="R955" s="22" t="str"/>
      <x:c r="S955" s="22" t="str"/>
      <x:c r="T955" s="22" t="str"/>
    </x:row>
    <x:row r="956">
      <x:c r="A956" s="22" t="str">
        <x:v>2020-00086</x:v>
      </x:c>
      <x:c r="B956" s="22" t="str">
        <x:v>L2023-00053-1</x:v>
      </x:c>
      <x:c r="C956" s="22" t="str">
        <x:v>공사</x:v>
      </x:c>
      <x:c r="D956" s="25" t="str">
        <x:v>우즈베키스탄 직업훈련원 및 타슈켄트 교사연수센터 건립 시공업체 선정 현지입찰</x:v>
      </x:c>
      <x:c r="E956" s="22" t="n">
        <x:v>1</x:v>
      </x:c>
      <x:c r="F956" s="22" t="str">
        <x:v>.xls</x:v>
      </x:c>
      <x:c r="G956" s="25" t="str">
        <x:v>L2023-00053-1/Urgench VTC Bid Attachment Documents/Urgench VTC Bid Attachment Documents/Section 4.  Bill of Quantities(Not-Priced)/공내역서/VTC견적서/1 АДМИН ЗДАНИЕ(Admin. Build)/1-10 ЛИФТ(ELEV)/bv13750.xls</x:v>
      </x:c>
      <x:c r="H956" s="28" t="n">
        <x:v>54784</x:v>
      </x:c>
      <x:c r="I956" s="22" t="str">
        <x:v>eb9c87be647fc11b224374cdaaccddcc279ef6fd030d266e10a9e18b670be321</x:v>
      </x:c>
      <x:c r="J956" s="22" t="n">
        <x:v>1</x:v>
      </x:c>
      <x:c r="K956" s="22" t="n">
        <x:v>1</x:v>
      </x:c>
      <x:c r="L956" s="22" t="n">
        <x:v>1</x:v>
      </x:c>
      <x:c r="M956" s="28" t="n">
        <x:v>0</x:v>
      </x:c>
      <x:c r="N956" s="28" t="n">
        <x:v>0</x:v>
      </x:c>
      <x:c r="O956" s="28" t="n">
        <x:v>0</x:v>
      </x:c>
      <x:c r="P956" s="62" t="n">
        <x:v>0</x:v>
      </x:c>
      <x:c r="Q956" s="22" t="n">
        <x:v>0</x:v>
      </x:c>
      <x:c r="R956" s="22" t="str"/>
      <x:c r="S956" s="22" t="str"/>
      <x:c r="T956" s="22" t="str"/>
    </x:row>
    <x:row r="957">
      <x:c r="A957" s="22" t="str">
        <x:v>2020-00086</x:v>
      </x:c>
      <x:c r="B957" s="22" t="str">
        <x:v>L2023-00053-1</x:v>
      </x:c>
      <x:c r="C957" s="22" t="str">
        <x:v>공사</x:v>
      </x:c>
      <x:c r="D957" s="25" t="str">
        <x:v>우즈베키스탄 직업훈련원 및 타슈켄트 교사연수센터 건립 시공업체 선정 현지입찰</x:v>
      </x:c>
      <x:c r="E957" s="22" t="n">
        <x:v>1</x:v>
      </x:c>
      <x:c r="F957" s="22" t="str">
        <x:v>.xls</x:v>
      </x:c>
      <x:c r="G957" s="25" t="str">
        <x:v>L2023-00053-1/Urgench VTC Bid Attachment Documents/Urgench VTC Bid Attachment Documents/Section 4.  Bill of Quantities(Not-Priced)/공내역서/VTC견적서/1 АДМИН ЗДАНИЕ(Admin. Build)/1-3 ОВ(Heating &amp; Ventilation)/13483_vfor.xls</x:v>
      </x:c>
      <x:c r="H957" s="28" t="n">
        <x:v>99328</x:v>
      </x:c>
      <x:c r="I957" s="22" t="str">
        <x:v>ea2c98759901d209006d0bf437f6b47db3db59af4a523229e57e8127d6eaec66</x:v>
      </x:c>
      <x:c r="J957" s="22" t="n">
        <x:v>1</x:v>
      </x:c>
      <x:c r="K957" s="22" t="n">
        <x:v>1</x:v>
      </x:c>
      <x:c r="L957" s="22" t="n">
        <x:v>1</x:v>
      </x:c>
      <x:c r="M957" s="28" t="n">
        <x:v>0</x:v>
      </x:c>
      <x:c r="N957" s="28" t="n">
        <x:v>0</x:v>
      </x:c>
      <x:c r="O957" s="28" t="n">
        <x:v>0</x:v>
      </x:c>
      <x:c r="P957" s="62" t="n">
        <x:v>0</x:v>
      </x:c>
      <x:c r="Q957" s="22" t="n">
        <x:v>0</x:v>
      </x:c>
      <x:c r="R957" s="22" t="str"/>
      <x:c r="S957" s="22" t="str"/>
      <x:c r="T957" s="22" t="str"/>
    </x:row>
    <x:row r="958">
      <x:c r="A958" s="22" t="str">
        <x:v>2020-00086</x:v>
      </x:c>
      <x:c r="B958" s="22" t="str">
        <x:v>L2023-00053-1</x:v>
      </x:c>
      <x:c r="C958" s="22" t="str">
        <x:v>공사</x:v>
      </x:c>
      <x:c r="D958" s="25" t="str">
        <x:v>우즈베키스탄 직업훈련원 및 타슈켄트 교사연수센터 건립 시공업체 선정 현지입찰</x:v>
      </x:c>
      <x:c r="E958" s="22" t="n">
        <x:v>1</x:v>
      </x:c>
      <x:c r="F958" s="22" t="str">
        <x:v>.xls</x:v>
      </x:c>
      <x:c r="G958" s="25" t="str">
        <x:v>L2023-00053-1/Urgench VTC Bid Attachment Documents/Urgench VTC Bid Attachment Documents/Section 4.  Bill of Quantities(Not-Priced)/공내역서/VTC견적서/1 АДМИН ЗДАНИЕ(Admin. Build)/1-3 ОВ(Heating &amp; Ventilation)/bv13480.xls</x:v>
      </x:c>
      <x:c r="H958" s="28" t="n">
        <x:v>427008</x:v>
      </x:c>
      <x:c r="I958" s="22" t="str">
        <x:v>09bb65db10a11858d8ac285c8181d79f56e81b7cf85edc982df2b0f23f6c6b66</x:v>
      </x:c>
      <x:c r="J958" s="22" t="n">
        <x:v>1</x:v>
      </x:c>
      <x:c r="K958" s="22" t="n">
        <x:v>1</x:v>
      </x:c>
      <x:c r="L958" s="22" t="n">
        <x:v>1</x:v>
      </x:c>
      <x:c r="M958" s="28" t="n">
        <x:v>0</x:v>
      </x:c>
      <x:c r="N958" s="28" t="n">
        <x:v>0</x:v>
      </x:c>
      <x:c r="O958" s="28" t="n">
        <x:v>0</x:v>
      </x:c>
      <x:c r="P958" s="62" t="n">
        <x:v>0</x:v>
      </x:c>
      <x:c r="Q958" s="22" t="n">
        <x:v>0</x:v>
      </x:c>
      <x:c r="R958" s="22" t="str"/>
      <x:c r="S958" s="22" t="str"/>
      <x:c r="T958" s="22" t="str"/>
    </x:row>
    <x:row r="959">
      <x:c r="A959" s="22" t="str">
        <x:v>2020-00086</x:v>
      </x:c>
      <x:c r="B959" s="22" t="str">
        <x:v>L2023-00053-1</x:v>
      </x:c>
      <x:c r="C959" s="22" t="str">
        <x:v>공사</x:v>
      </x:c>
      <x:c r="D959" s="25" t="str">
        <x:v>우즈베키스탄 직업훈련원 및 타슈켄트 교사연수센터 건립 시공업체 선정 현지입찰</x:v>
      </x:c>
      <x:c r="E959" s="22" t="n">
        <x:v>1</x:v>
      </x:c>
      <x:c r="F959" s="22" t="str">
        <x:v>.xls</x:v>
      </x:c>
      <x:c r="G959" s="25" t="str">
        <x:v>L2023-00053-1/Urgench VTC Bid Attachment Documents/Urgench VTC Bid Attachment Documents/Section 4.  Bill of Quantities(Not-Priced)/공내역서/VTC견적서/1 АДМИН ЗДАНИЕ(Admin. Build)/1-3 ОВ(Heating &amp; Ventilation)/13483_vrmu.xls</x:v>
      </x:c>
      <x:c r="H959" s="28" t="n">
        <x:v>103936</x:v>
      </x:c>
      <x:c r="I959" s="22" t="str">
        <x:v>a04ed59f23ea1ae61745cad683d4cbaf5ae363e309db5658d259973ecd8f543d</x:v>
      </x:c>
      <x:c r="J959" s="22" t="n">
        <x:v>1</x:v>
      </x:c>
      <x:c r="K959" s="22" t="n">
        <x:v>1</x:v>
      </x:c>
      <x:c r="L959" s="22" t="n">
        <x:v>1</x:v>
      </x:c>
      <x:c r="M959" s="28" t="n">
        <x:v>1</x:v>
      </x:c>
      <x:c r="N959" s="28" t="n">
        <x:v>244</x:v>
      </x:c>
      <x:c r="O959" s="28" t="n">
        <x:v>1</x:v>
      </x:c>
      <x:c r="P959" s="62" t="n">
        <x:v>0.004098360655737705</x:v>
      </x:c>
      <x:c r="Q959" s="22" t="n">
        <x:v>0</x:v>
      </x:c>
      <x:c r="R959" s="22" t="str">
        <x:v>Лист1</x:v>
      </x:c>
      <x:c r="S959" s="22" t="str">
        <x:v>visible</x:v>
      </x:c>
      <x:c r="T959" s="22" t="str"/>
    </x:row>
    <x:row r="960">
      <x:c r="A960" s="22" t="str">
        <x:v>2020-00086</x:v>
      </x:c>
      <x:c r="B960" s="22" t="str">
        <x:v>L2023-00053-1</x:v>
      </x:c>
      <x:c r="C960" s="22" t="str">
        <x:v>공사</x:v>
      </x:c>
      <x:c r="D960" s="25" t="str">
        <x:v>우즈베키스탄 직업훈련원 및 타슈켄트 교사연수센터 건립 시공업체 선정 현지입찰</x:v>
      </x:c>
      <x:c r="E960" s="22" t="n">
        <x:v>1</x:v>
      </x:c>
      <x:c r="F960" s="22" t="str">
        <x:v>.xls</x:v>
      </x:c>
      <x:c r="G960" s="25" t="str">
        <x:v>L2023-00053-1/Urgench VTC Bid Attachment Documents/Urgench VTC Bid Attachment Documents/Section 4.  Bill of Quantities(Not-Priced)/공내역서/VTC견적서/1 АДМИН ЗДАНИЕ(Admin. Build)/1-6 ПС(Fire Alarm)/13253_vrmu.xls</x:v>
      </x:c>
      <x:c r="H960" s="28" t="n">
        <x:v>49152</x:v>
      </x:c>
      <x:c r="I960" s="22" t="str">
        <x:v>638ac1d9b3e1c826c7350759798f5c9e7977ba6841161f9a0604aab9275f55ae</x:v>
      </x:c>
      <x:c r="J960" s="22" t="n">
        <x:v>1</x:v>
      </x:c>
      <x:c r="K960" s="22" t="n">
        <x:v>1</x:v>
      </x:c>
      <x:c r="L960" s="22" t="n">
        <x:v>1</x:v>
      </x:c>
      <x:c r="M960" s="28" t="n">
        <x:v>0</x:v>
      </x:c>
      <x:c r="N960" s="28" t="n">
        <x:v>0</x:v>
      </x:c>
      <x:c r="O960" s="28" t="n">
        <x:v>0</x:v>
      </x:c>
      <x:c r="P960" s="62" t="n">
        <x:v>0</x:v>
      </x:c>
      <x:c r="Q960" s="22" t="n">
        <x:v>0</x:v>
      </x:c>
      <x:c r="R960" s="22" t="str"/>
      <x:c r="S960" s="22" t="str"/>
      <x:c r="T960" s="22" t="str"/>
    </x:row>
    <x:row r="961">
      <x:c r="A961" s="22" t="str">
        <x:v>2020-00086</x:v>
      </x:c>
      <x:c r="B961" s="22" t="str">
        <x:v>L2023-00053-1</x:v>
      </x:c>
      <x:c r="C961" s="22" t="str">
        <x:v>공사</x:v>
      </x:c>
      <x:c r="D961" s="25" t="str">
        <x:v>우즈베키스탄 직업훈련원 및 타슈켄트 교사연수센터 건립 시공업체 선정 현지입찰</x:v>
      </x:c>
      <x:c r="E961" s="22" t="n">
        <x:v>1</x:v>
      </x:c>
      <x:c r="F961" s="22" t="str">
        <x:v>.xls</x:v>
      </x:c>
      <x:c r="G961" s="25" t="str">
        <x:v>L2023-00053-1/Urgench VTC Bid Attachment Documents/Urgench VTC Bid Attachment Documents/Section 4.  Bill of Quantities(Not-Priced)/공내역서/VTC견적서/1 АДМИН ЗДАНИЕ(Admin. Build)/1-6 ПС(Fire Alarm)/13253_vfor.xls</x:v>
      </x:c>
      <x:c r="H961" s="28" t="n">
        <x:v>36864</x:v>
      </x:c>
      <x:c r="I961" s="22" t="str">
        <x:v>4bb2f66c458714b2e47664a339164cdd7ab4a42d68218d6abcca1ab11bf69708</x:v>
      </x:c>
      <x:c r="J961" s="22" t="n">
        <x:v>1</x:v>
      </x:c>
      <x:c r="K961" s="22" t="n">
        <x:v>1</x:v>
      </x:c>
      <x:c r="L961" s="22" t="n">
        <x:v>1</x:v>
      </x:c>
      <x:c r="M961" s="28" t="n">
        <x:v>0</x:v>
      </x:c>
      <x:c r="N961" s="28" t="n">
        <x:v>0</x:v>
      </x:c>
      <x:c r="O961" s="28" t="n">
        <x:v>0</x:v>
      </x:c>
      <x:c r="P961" s="62" t="n">
        <x:v>0</x:v>
      </x:c>
      <x:c r="Q961" s="22" t="n">
        <x:v>0</x:v>
      </x:c>
      <x:c r="R961" s="22" t="str"/>
      <x:c r="S961" s="22" t="str"/>
      <x:c r="T961" s="22" t="str"/>
    </x:row>
    <x:row r="962">
      <x:c r="A962" s="22" t="str">
        <x:v>2020-00086</x:v>
      </x:c>
      <x:c r="B962" s="22" t="str">
        <x:v>L2023-00053-1</x:v>
      </x:c>
      <x:c r="C962" s="22" t="str">
        <x:v>공사</x:v>
      </x:c>
      <x:c r="D962" s="25" t="str">
        <x:v>우즈베키스탄 직업훈련원 및 타슈켄트 교사연수센터 건립 시공업체 선정 현지입찰</x:v>
      </x:c>
      <x:c r="E962" s="22" t="n">
        <x:v>1</x:v>
      </x:c>
      <x:c r="F962" s="22" t="str">
        <x:v>.xls</x:v>
      </x:c>
      <x:c r="G962" s="25" t="str">
        <x:v>L2023-00053-1/Urgench VTC Bid Attachment Documents/Urgench VTC Bid Attachment Documents/Section 4.  Bill of Quantities(Not-Priced)/공내역서/VTC견적서/1 АДМИН ЗДАНИЕ(Admin. Build)/1-6 ПС(Fire Alarm)/bv13250.xls</x:v>
      </x:c>
      <x:c r="H962" s="28" t="n">
        <x:v>71680</x:v>
      </x:c>
      <x:c r="I962" s="22" t="str">
        <x:v>6dde06584b8e720185be54b7abd01bc9cfe2672da2dbd294b9972d6ed3dfea7d</x:v>
      </x:c>
      <x:c r="J962" s="22" t="n">
        <x:v>1</x:v>
      </x:c>
      <x:c r="K962" s="22" t="n">
        <x:v>1</x:v>
      </x:c>
      <x:c r="L962" s="22" t="n">
        <x:v>1</x:v>
      </x:c>
      <x:c r="M962" s="28" t="n">
        <x:v>0</x:v>
      </x:c>
      <x:c r="N962" s="28" t="n">
        <x:v>0</x:v>
      </x:c>
      <x:c r="O962" s="28" t="n">
        <x:v>0</x:v>
      </x:c>
      <x:c r="P962" s="62" t="n">
        <x:v>0</x:v>
      </x:c>
      <x:c r="Q962" s="22" t="n">
        <x:v>0</x:v>
      </x:c>
      <x:c r="R962" s="22" t="str"/>
      <x:c r="S962" s="22" t="str"/>
      <x:c r="T962" s="22" t="str"/>
    </x:row>
    <x:row r="963">
      <x:c r="A963" s="22" t="str">
        <x:v>2020-00086</x:v>
      </x:c>
      <x:c r="B963" s="22" t="str">
        <x:v>L2023-00053-1</x:v>
      </x:c>
      <x:c r="C963" s="22" t="str">
        <x:v>공사</x:v>
      </x:c>
      <x:c r="D963" s="25" t="str">
        <x:v>우즈베키스탄 직업훈련원 및 타슈켄트 교사연수센터 건립 시공업체 선정 현지입찰</x:v>
      </x:c>
      <x:c r="E963" s="22" t="n">
        <x:v>1</x:v>
      </x:c>
      <x:c r="F963" s="22" t="str">
        <x:v>.xls</x:v>
      </x:c>
      <x:c r="G963" s="25" t="str">
        <x:v>L2023-00053-1/Urgench VTC Bid Attachment Documents/Urgench VTC Bid Attachment Documents/Section 4.  Bill of Quantities(Not-Priced)/공내역서/VTC견적서/1 АДМИН ЗДАНИЕ(Admin. Build)/1-8 ТМ (Boiler &amp; Solar heating)/bv13420.xls</x:v>
      </x:c>
      <x:c r="H963" s="28" t="n">
        <x:v>164864</x:v>
      </x:c>
      <x:c r="I963" s="22" t="str">
        <x:v>54879a728d46d53dde25618dd54da54ee91a6d2d51486ebe13b0999701943dd6</x:v>
      </x:c>
      <x:c r="J963" s="22" t="n">
        <x:v>1</x:v>
      </x:c>
      <x:c r="K963" s="22" t="n">
        <x:v>1</x:v>
      </x:c>
      <x:c r="L963" s="22" t="n">
        <x:v>1</x:v>
      </x:c>
      <x:c r="M963" s="28" t="n">
        <x:v>0</x:v>
      </x:c>
      <x:c r="N963" s="28" t="n">
        <x:v>0</x:v>
      </x:c>
      <x:c r="O963" s="28" t="n">
        <x:v>0</x:v>
      </x:c>
      <x:c r="P963" s="62" t="n">
        <x:v>0</x:v>
      </x:c>
      <x:c r="Q963" s="22" t="n">
        <x:v>0</x:v>
      </x:c>
      <x:c r="R963" s="22" t="str"/>
      <x:c r="S963" s="22" t="str"/>
      <x:c r="T963" s="22" t="str"/>
    </x:row>
    <x:row r="964">
      <x:c r="A964" s="22" t="str">
        <x:v>2020-00086</x:v>
      </x:c>
      <x:c r="B964" s="22" t="str">
        <x:v>L2023-00053-1</x:v>
      </x:c>
      <x:c r="C964" s="22" t="str">
        <x:v>공사</x:v>
      </x:c>
      <x:c r="D964" s="25" t="str">
        <x:v>우즈베키스탄 직업훈련원 및 타슈켄트 교사연수센터 건립 시공업체 선정 현지입찰</x:v>
      </x:c>
      <x:c r="E964" s="22" t="n">
        <x:v>1</x:v>
      </x:c>
      <x:c r="F964" s="22" t="str">
        <x:v>.xls</x:v>
      </x:c>
      <x:c r="G964" s="25" t="str">
        <x:v>L2023-00053-1/Urgench VTC Bid Attachment Documents/Urgench VTC Bid Attachment Documents/Section 4.  Bill of Quantities(Not-Priced)/공내역서/VTC견적서/1 АДМИН ЗДАНИЕ(Admin. Build)/1-8 ТМ (Boiler &amp; Solar heating)/13423_vrmu.xls</x:v>
      </x:c>
      <x:c r="H964" s="28" t="n">
        <x:v>84480</x:v>
      </x:c>
      <x:c r="I964" s="22" t="str">
        <x:v>a54c2fcb25747bfe4b9ef498e03a257b08f2e783b9e9f49c3876e0aff148bd9c</x:v>
      </x:c>
      <x:c r="J964" s="22" t="n">
        <x:v>1</x:v>
      </x:c>
      <x:c r="K964" s="22" t="n">
        <x:v>1</x:v>
      </x:c>
      <x:c r="L964" s="22" t="n">
        <x:v>1</x:v>
      </x:c>
      <x:c r="M964" s="28" t="n">
        <x:v>1</x:v>
      </x:c>
      <x:c r="N964" s="28" t="n">
        <x:v>170</x:v>
      </x:c>
      <x:c r="O964" s="28" t="n">
        <x:v>1</x:v>
      </x:c>
      <x:c r="P964" s="62" t="n">
        <x:v>0.0058823529411764705</x:v>
      </x:c>
      <x:c r="Q964" s="22" t="n">
        <x:v>0</x:v>
      </x:c>
      <x:c r="R964" s="22" t="str">
        <x:v>Лист1</x:v>
      </x:c>
      <x:c r="S964" s="22" t="str">
        <x:v>visible</x:v>
      </x:c>
      <x:c r="T964" s="22" t="str"/>
    </x:row>
    <x:row r="965">
      <x:c r="A965" s="22" t="str">
        <x:v>2020-00086</x:v>
      </x:c>
      <x:c r="B965" s="22" t="str">
        <x:v>L2023-00053-1</x:v>
      </x:c>
      <x:c r="C965" s="22" t="str">
        <x:v>공사</x:v>
      </x:c>
      <x:c r="D965" s="25" t="str">
        <x:v>우즈베키스탄 직업훈련원 및 타슈켄트 교사연수센터 건립 시공업체 선정 현지입찰</x:v>
      </x:c>
      <x:c r="E965" s="22" t="n">
        <x:v>1</x:v>
      </x:c>
      <x:c r="F965" s="22" t="str">
        <x:v>.xls</x:v>
      </x:c>
      <x:c r="G965" s="25" t="str">
        <x:v>L2023-00053-1/Urgench VTC Bid Attachment Documents/Urgench VTC Bid Attachment Documents/Section 4.  Bill of Quantities(Not-Priced)/공내역서/VTC견적서/1 АДМИН ЗДАНИЕ(Admin. Build)/1-8 ТМ (Boiler &amp; Solar heating)/13423_vfor.xls</x:v>
      </x:c>
      <x:c r="H965" s="28" t="n">
        <x:v>59392</x:v>
      </x:c>
      <x:c r="I965" s="22" t="str">
        <x:v>4fe45df97a3ca51ea360b356de5895b9deb0d9cd61ae11d2664eed6687d6f3d6</x:v>
      </x:c>
      <x:c r="J965" s="22" t="n">
        <x:v>1</x:v>
      </x:c>
      <x:c r="K965" s="22" t="n">
        <x:v>1</x:v>
      </x:c>
      <x:c r="L965" s="22" t="n">
        <x:v>1</x:v>
      </x:c>
      <x:c r="M965" s="28" t="n">
        <x:v>0</x:v>
      </x:c>
      <x:c r="N965" s="28" t="n">
        <x:v>0</x:v>
      </x:c>
      <x:c r="O965" s="28" t="n">
        <x:v>0</x:v>
      </x:c>
      <x:c r="P965" s="62" t="n">
        <x:v>0</x:v>
      </x:c>
      <x:c r="Q965" s="22" t="n">
        <x:v>0</x:v>
      </x:c>
      <x:c r="R965" s="22" t="str"/>
      <x:c r="S965" s="22" t="str"/>
      <x:c r="T965" s="22" t="str"/>
    </x:row>
    <x:row r="966">
      <x:c r="A966" s="22" t="str">
        <x:v>2020-00086</x:v>
      </x:c>
      <x:c r="B966" s="22" t="str">
        <x:v>L2023-00053-1</x:v>
      </x:c>
      <x:c r="C966" s="22" t="str">
        <x:v>공사</x:v>
      </x:c>
      <x:c r="D966" s="25" t="str">
        <x:v>우즈베키스탄 직업훈련원 및 타슈켄트 교사연수센터 건립 시공업체 선정 현지입찰</x:v>
      </x:c>
      <x:c r="E966" s="22" t="n">
        <x:v>1</x:v>
      </x:c>
      <x:c r="F966" s="22" t="str">
        <x:v>.xls</x:v>
      </x:c>
      <x:c r="G966" s="25" t="str">
        <x:v>L2023-00053-1/Urgench VTC Bid Attachment Documents/Urgench VTC Bid Attachment Documents/Section 4.  Bill of Quantities(Not-Priced)/공내역서/VTC견적서/1 АДМИН ЗДАНИЕ(Admin. Build)/1-2 АР(Architecture)/13373_vrmu.xls</x:v>
      </x:c>
      <x:c r="H966" s="28" t="n">
        <x:v>78336</x:v>
      </x:c>
      <x:c r="I966" s="22" t="str">
        <x:v>d8937a8073c4ef846f2a1d0ed67d95e4a5466aa94bfcffaee1af02f63a42d713</x:v>
      </x:c>
      <x:c r="J966" s="22" t="n">
        <x:v>1</x:v>
      </x:c>
      <x:c r="K966" s="22" t="n">
        <x:v>1</x:v>
      </x:c>
      <x:c r="L966" s="22" t="n">
        <x:v>1</x:v>
      </x:c>
      <x:c r="M966" s="28" t="n">
        <x:v>1</x:v>
      </x:c>
      <x:c r="N966" s="28" t="n">
        <x:v>173</x:v>
      </x:c>
      <x:c r="O966" s="28" t="n">
        <x:v>1</x:v>
      </x:c>
      <x:c r="P966" s="62" t="n">
        <x:v>0.005780346820809248</x:v>
      </x:c>
      <x:c r="Q966" s="22" t="n">
        <x:v>0</x:v>
      </x:c>
      <x:c r="R966" s="22" t="str">
        <x:v>Лист1</x:v>
      </x:c>
      <x:c r="S966" s="22" t="str">
        <x:v>visible</x:v>
      </x:c>
      <x:c r="T966" s="22" t="str"/>
    </x:row>
    <x:row r="967">
      <x:c r="A967" s="22" t="str">
        <x:v>2020-00086</x:v>
      </x:c>
      <x:c r="B967" s="22" t="str">
        <x:v>L2023-00053-1</x:v>
      </x:c>
      <x:c r="C967" s="22" t="str">
        <x:v>공사</x:v>
      </x:c>
      <x:c r="D967" s="25" t="str">
        <x:v>우즈베키스탄 직업훈련원 및 타슈켄트 교사연수센터 건립 시공업체 선정 현지입찰</x:v>
      </x:c>
      <x:c r="E967" s="22" t="n">
        <x:v>1</x:v>
      </x:c>
      <x:c r="F967" s="22" t="str">
        <x:v>.xls</x:v>
      </x:c>
      <x:c r="G967" s="25" t="str">
        <x:v>L2023-00053-1/Urgench VTC Bid Attachment Documents/Urgench VTC Bid Attachment Documents/Section 4.  Bill of Quantities(Not-Priced)/공내역서/VTC견적서/1 АДМИН ЗДАНИЕ(Admin. Build)/1-2 АР(Architecture)/bv13370.xls</x:v>
      </x:c>
      <x:c r="H967" s="28" t="n">
        <x:v>210944</x:v>
      </x:c>
      <x:c r="I967" s="22" t="str">
        <x:v>8de2bc3d895d879ac1baa522646d817648368da6f2ca6310cdce9e83c7414649</x:v>
      </x:c>
      <x:c r="J967" s="22" t="n">
        <x:v>1</x:v>
      </x:c>
      <x:c r="K967" s="22" t="n">
        <x:v>1</x:v>
      </x:c>
      <x:c r="L967" s="22" t="n">
        <x:v>1</x:v>
      </x:c>
      <x:c r="M967" s="28" t="n">
        <x:v>0</x:v>
      </x:c>
      <x:c r="N967" s="28" t="n">
        <x:v>0</x:v>
      </x:c>
      <x:c r="O967" s="28" t="n">
        <x:v>0</x:v>
      </x:c>
      <x:c r="P967" s="62" t="n">
        <x:v>0</x:v>
      </x:c>
      <x:c r="Q967" s="22" t="n">
        <x:v>0</x:v>
      </x:c>
      <x:c r="R967" s="22" t="str"/>
      <x:c r="S967" s="22" t="str"/>
      <x:c r="T967" s="22" t="str"/>
    </x:row>
    <x:row r="968">
      <x:c r="A968" s="22" t="str">
        <x:v>2020-00086</x:v>
      </x:c>
      <x:c r="B968" s="22" t="str">
        <x:v>L2023-00053-1</x:v>
      </x:c>
      <x:c r="C968" s="22" t="str">
        <x:v>공사</x:v>
      </x:c>
      <x:c r="D968" s="25" t="str">
        <x:v>우즈베키스탄 직업훈련원 및 타슈켄트 교사연수센터 건립 시공업체 선정 현지입찰</x:v>
      </x:c>
      <x:c r="E968" s="22" t="n">
        <x:v>1</x:v>
      </x:c>
      <x:c r="F968" s="22" t="str">
        <x:v>.xls</x:v>
      </x:c>
      <x:c r="G968" s="25" t="str">
        <x:v>L2023-00053-1/Urgench VTC Bid Attachment Documents/Urgench VTC Bid Attachment Documents/Section 4.  Bill of Quantities(Not-Priced)/공내역서/VTC견적서/1 АДМИН ЗДАНИЕ(Admin. Build)/1-2 АР(Architecture)/13373_vfor.xls</x:v>
      </x:c>
      <x:c r="H968" s="28" t="n">
        <x:v>53248</x:v>
      </x:c>
      <x:c r="I968" s="22" t="str">
        <x:v>1fd794da035727f9b400374fd614b001fa502fae9e609f298084c9c1ba246f47</x:v>
      </x:c>
      <x:c r="J968" s="22" t="n">
        <x:v>1</x:v>
      </x:c>
      <x:c r="K968" s="22" t="n">
        <x:v>1</x:v>
      </x:c>
      <x:c r="L968" s="22" t="n">
        <x:v>1</x:v>
      </x:c>
      <x:c r="M968" s="28" t="n">
        <x:v>0</x:v>
      </x:c>
      <x:c r="N968" s="28" t="n">
        <x:v>0</x:v>
      </x:c>
      <x:c r="O968" s="28" t="n">
        <x:v>0</x:v>
      </x:c>
      <x:c r="P968" s="62" t="n">
        <x:v>0</x:v>
      </x:c>
      <x:c r="Q968" s="22" t="n">
        <x:v>0</x:v>
      </x:c>
      <x:c r="R968" s="22" t="str"/>
      <x:c r="S968" s="22" t="str"/>
      <x:c r="T968" s="22" t="str"/>
    </x:row>
    <x:row r="969">
      <x:c r="A969" s="22" t="str">
        <x:v>2020-00086</x:v>
      </x:c>
      <x:c r="B969" s="22" t="str">
        <x:v>L2023-00053-1</x:v>
      </x:c>
      <x:c r="C969" s="22" t="str">
        <x:v>공사</x:v>
      </x:c>
      <x:c r="D969" s="25" t="str">
        <x:v>우즈베키스탄 직업훈련원 및 타슈켄트 교사연수센터 건립 시공업체 선정 현지입찰</x:v>
      </x:c>
      <x:c r="E969" s="22" t="n">
        <x:v>1</x:v>
      </x:c>
      <x:c r="F969" s="22" t="str">
        <x:v>.xls</x:v>
      </x:c>
      <x:c r="G969" s="25" t="str">
        <x:v>L2023-00053-1/Urgench VTC Bid Attachment Documents/Urgench VTC Bid Attachment Documents/Section 4.  Bill of Quantities(Not-Priced)/공내역서/VTC견적서/1 АДМИН ЗДАНИЕ(Admin. Build)/1-9 ГСВ(Gas)/13463_vrmu.xls</x:v>
      </x:c>
      <x:c r="H969" s="28" t="n">
        <x:v>57344</x:v>
      </x:c>
      <x:c r="I969" s="22" t="str">
        <x:v>1501c33f8e5b96476ddea53841abdd3c2adb92e4d3e866d7096938be3f8c71a6</x:v>
      </x:c>
      <x:c r="J969" s="22" t="n">
        <x:v>1</x:v>
      </x:c>
      <x:c r="K969" s="22" t="n">
        <x:v>1</x:v>
      </x:c>
      <x:c r="L969" s="22" t="n">
        <x:v>1</x:v>
      </x:c>
      <x:c r="M969" s="28" t="n">
        <x:v>1</x:v>
      </x:c>
      <x:c r="N969" s="28" t="n">
        <x:v>72</x:v>
      </x:c>
      <x:c r="O969" s="28" t="n">
        <x:v>1</x:v>
      </x:c>
      <x:c r="P969" s="62" t="n">
        <x:v>0.013888888888888888</x:v>
      </x:c>
      <x:c r="Q969" s="22" t="n">
        <x:v>0</x:v>
      </x:c>
      <x:c r="R969" s="22" t="str">
        <x:v>Лист1</x:v>
      </x:c>
      <x:c r="S969" s="22" t="str">
        <x:v>visible</x:v>
      </x:c>
      <x:c r="T969" s="22" t="str"/>
    </x:row>
    <x:row r="970">
      <x:c r="A970" s="22" t="str">
        <x:v>2020-00086</x:v>
      </x:c>
      <x:c r="B970" s="22" t="str">
        <x:v>L2023-00053-1</x:v>
      </x:c>
      <x:c r="C970" s="22" t="str">
        <x:v>공사</x:v>
      </x:c>
      <x:c r="D970" s="25" t="str">
        <x:v>우즈베키스탄 직업훈련원 및 타슈켄트 교사연수센터 건립 시공업체 선정 현지입찰</x:v>
      </x:c>
      <x:c r="E970" s="22" t="n">
        <x:v>1</x:v>
      </x:c>
      <x:c r="F970" s="22" t="str">
        <x:v>.xls</x:v>
      </x:c>
      <x:c r="G970" s="25" t="str">
        <x:v>L2023-00053-1/Urgench VTC Bid Attachment Documents/Urgench VTC Bid Attachment Documents/Section 4.  Bill of Quantities(Not-Priced)/공내역서/VTC견적서/1 АДМИН ЗДАНИЕ(Admin. Build)/1-9 ГСВ(Gas)/bv13460.xls</x:v>
      </x:c>
      <x:c r="H970" s="28" t="n">
        <x:v>96256</x:v>
      </x:c>
      <x:c r="I970" s="22" t="str">
        <x:v>588c1f649649826e30b0665d9a48f62f1bb7b8c32ecd2910dbcab3cb69e9168f</x:v>
      </x:c>
      <x:c r="J970" s="22" t="n">
        <x:v>1</x:v>
      </x:c>
      <x:c r="K970" s="22" t="n">
        <x:v>1</x:v>
      </x:c>
      <x:c r="L970" s="22" t="n">
        <x:v>1</x:v>
      </x:c>
      <x:c r="M970" s="28" t="n">
        <x:v>0</x:v>
      </x:c>
      <x:c r="N970" s="28" t="n">
        <x:v>0</x:v>
      </x:c>
      <x:c r="O970" s="28" t="n">
        <x:v>0</x:v>
      </x:c>
      <x:c r="P970" s="62" t="n">
        <x:v>0</x:v>
      </x:c>
      <x:c r="Q970" s="22" t="n">
        <x:v>0</x:v>
      </x:c>
      <x:c r="R970" s="22" t="str"/>
      <x:c r="S970" s="22" t="str"/>
      <x:c r="T970" s="22" t="str"/>
    </x:row>
    <x:row r="971">
      <x:c r="A971" s="22" t="str">
        <x:v>2020-00086</x:v>
      </x:c>
      <x:c r="B971" s="22" t="str">
        <x:v>L2023-00053-1</x:v>
      </x:c>
      <x:c r="C971" s="22" t="str">
        <x:v>공사</x:v>
      </x:c>
      <x:c r="D971" s="25" t="str">
        <x:v>우즈베키스탄 직업훈련원 및 타슈켄트 교사연수센터 건립 시공업체 선정 현지입찰</x:v>
      </x:c>
      <x:c r="E971" s="22" t="n">
        <x:v>1</x:v>
      </x:c>
      <x:c r="F971" s="22" t="str">
        <x:v>.xls</x:v>
      </x:c>
      <x:c r="G971" s="25" t="str">
        <x:v>L2023-00053-1/Urgench VTC Bid Attachment Documents/Urgench VTC Bid Attachment Documents/Section 4.  Bill of Quantities(Not-Priced)/공내역서/VTC견적서/1 АДМИН ЗДАНИЕ(Admin. Build)/1-9 ГСВ(Gas)/13463_vfor.xls</x:v>
      </x:c>
      <x:c r="H971" s="28" t="n">
        <x:v>37888</x:v>
      </x:c>
      <x:c r="I971" s="22" t="str">
        <x:v>25912c3b07a4bfa20711c5089964aa1b96918b731753114e83bff382b00543b4</x:v>
      </x:c>
      <x:c r="J971" s="22" t="n">
        <x:v>1</x:v>
      </x:c>
      <x:c r="K971" s="22" t="n">
        <x:v>1</x:v>
      </x:c>
      <x:c r="L971" s="22" t="n">
        <x:v>1</x:v>
      </x:c>
      <x:c r="M971" s="28" t="n">
        <x:v>0</x:v>
      </x:c>
      <x:c r="N971" s="28" t="n">
        <x:v>0</x:v>
      </x:c>
      <x:c r="O971" s="28" t="n">
        <x:v>0</x:v>
      </x:c>
      <x:c r="P971" s="62" t="n">
        <x:v>0</x:v>
      </x:c>
      <x:c r="Q971" s="22" t="n">
        <x:v>0</x:v>
      </x:c>
      <x:c r="R971" s="22" t="str"/>
      <x:c r="S971" s="22" t="str"/>
      <x:c r="T971" s="22" t="str"/>
    </x:row>
    <x:row r="972">
      <x:c r="A972" s="22" t="str">
        <x:v>2020-00086</x:v>
      </x:c>
      <x:c r="B972" s="22" t="str">
        <x:v>L2023-00053-1</x:v>
      </x:c>
      <x:c r="C972" s="22" t="str">
        <x:v>공사</x:v>
      </x:c>
      <x:c r="D972" s="25" t="str">
        <x:v>우즈베키스탄 직업훈련원 및 타슈켄트 교사연수센터 건립 시공업체 선정 현지입찰</x:v>
      </x:c>
      <x:c r="E972" s="22" t="n">
        <x:v>1</x:v>
      </x:c>
      <x:c r="F972" s="22" t="str">
        <x:v>.xls</x:v>
      </x:c>
      <x:c r="G972" s="25" t="str">
        <x:v>L2023-00053-1/Urgench VTC Bid Attachment Documents/Urgench VTC Bid Attachment Documents/Section 4.  Bill of Quantities(Not-Priced)/공내역서/VTC견적서/5 МИНИКУХНЯ(Mini Cafe)/5-3 ОВ(Heating &amp; Ventilation)/13543_vrmu.xls</x:v>
      </x:c>
      <x:c r="H972" s="28" t="n">
        <x:v>49664</x:v>
      </x:c>
      <x:c r="I972" s="22" t="str">
        <x:v>2e0c5447782587d021f6d8f036576bc903e602712197c33721262ba5cc1fc354</x:v>
      </x:c>
      <x:c r="J972" s="22" t="n">
        <x:v>1</x:v>
      </x:c>
      <x:c r="K972" s="22" t="n">
        <x:v>1</x:v>
      </x:c>
      <x:c r="L972" s="22" t="n">
        <x:v>1</x:v>
      </x:c>
      <x:c r="M972" s="28" t="n">
        <x:v>1</x:v>
      </x:c>
      <x:c r="N972" s="28" t="n">
        <x:v>45</x:v>
      </x:c>
      <x:c r="O972" s="28" t="n">
        <x:v>1</x:v>
      </x:c>
      <x:c r="P972" s="62" t="n">
        <x:v>0.022222222222222223</x:v>
      </x:c>
      <x:c r="Q972" s="22" t="n">
        <x:v>0</x:v>
      </x:c>
      <x:c r="R972" s="22" t="str">
        <x:v>Лист1</x:v>
      </x:c>
      <x:c r="S972" s="22" t="str">
        <x:v>visible</x:v>
      </x:c>
      <x:c r="T972" s="22" t="str"/>
    </x:row>
    <x:row r="973">
      <x:c r="A973" s="22" t="str">
        <x:v>2020-00086</x:v>
      </x:c>
      <x:c r="B973" s="22" t="str">
        <x:v>L2023-00053-1</x:v>
      </x:c>
      <x:c r="C973" s="22" t="str">
        <x:v>공사</x:v>
      </x:c>
      <x:c r="D973" s="25" t="str">
        <x:v>우즈베키스탄 직업훈련원 및 타슈켄트 교사연수센터 건립 시공업체 선정 현지입찰</x:v>
      </x:c>
      <x:c r="E973" s="22" t="n">
        <x:v>1</x:v>
      </x:c>
      <x:c r="F973" s="22" t="str">
        <x:v>.xls</x:v>
      </x:c>
      <x:c r="G973" s="25" t="str">
        <x:v>L2023-00053-1/Urgench VTC Bid Attachment Documents/Urgench VTC Bid Attachment Documents/Section 4.  Bill of Quantities(Not-Priced)/공내역서/VTC견적서/5 МИНИКУХНЯ(Mini Cafe)/5-3 ОВ(Heating &amp; Ventilation)/13543_vfor.xls</x:v>
      </x:c>
      <x:c r="H973" s="28" t="n">
        <x:v>32768</x:v>
      </x:c>
      <x:c r="I973" s="22" t="str">
        <x:v>876a0957fc6163b0b1e4ad5810ee7d53956a2d9014cbba2d4ea4baf23224ec61</x:v>
      </x:c>
      <x:c r="J973" s="22" t="n">
        <x:v>1</x:v>
      </x:c>
      <x:c r="K973" s="22" t="n">
        <x:v>1</x:v>
      </x:c>
      <x:c r="L973" s="22" t="n">
        <x:v>1</x:v>
      </x:c>
      <x:c r="M973" s="28" t="n">
        <x:v>0</x:v>
      </x:c>
      <x:c r="N973" s="28" t="n">
        <x:v>0</x:v>
      </x:c>
      <x:c r="O973" s="28" t="n">
        <x:v>0</x:v>
      </x:c>
      <x:c r="P973" s="62" t="n">
        <x:v>0</x:v>
      </x:c>
      <x:c r="Q973" s="22" t="n">
        <x:v>0</x:v>
      </x:c>
      <x:c r="R973" s="22" t="str"/>
      <x:c r="S973" s="22" t="str"/>
      <x:c r="T973" s="22" t="str"/>
    </x:row>
    <x:row r="974">
      <x:c r="A974" s="22" t="str">
        <x:v>2020-00086</x:v>
      </x:c>
      <x:c r="B974" s="22" t="str">
        <x:v>L2023-00053-1</x:v>
      </x:c>
      <x:c r="C974" s="22" t="str">
        <x:v>공사</x:v>
      </x:c>
      <x:c r="D974" s="25" t="str">
        <x:v>우즈베키스탄 직업훈련원 및 타슈켄트 교사연수센터 건립 시공업체 선정 현지입찰</x:v>
      </x:c>
      <x:c r="E974" s="22" t="n">
        <x:v>1</x:v>
      </x:c>
      <x:c r="F974" s="22" t="str">
        <x:v>.xls</x:v>
      </x:c>
      <x:c r="G974" s="25" t="str">
        <x:v>L2023-00053-1/Urgench VTC Bid Attachment Documents/Urgench VTC Bid Attachment Documents/Section 4.  Bill of Quantities(Not-Priced)/공내역서/VTC견적서/5 МИНИКУХНЯ(Mini Cafe)/5-3 ОВ(Heating &amp; Ventilation)/bv13540.xls</x:v>
      </x:c>
      <x:c r="H974" s="28" t="n">
        <x:v>65536</x:v>
      </x:c>
      <x:c r="I974" s="22" t="str">
        <x:v>f02a015b345ee86a5346018105e60337b5af91dc340467ec926133d010d70b8f</x:v>
      </x:c>
      <x:c r="J974" s="22" t="n">
        <x:v>1</x:v>
      </x:c>
      <x:c r="K974" s="22" t="n">
        <x:v>1</x:v>
      </x:c>
      <x:c r="L974" s="22" t="n">
        <x:v>1</x:v>
      </x:c>
      <x:c r="M974" s="28" t="n">
        <x:v>0</x:v>
      </x:c>
      <x:c r="N974" s="28" t="n">
        <x:v>0</x:v>
      </x:c>
      <x:c r="O974" s="28" t="n">
        <x:v>0</x:v>
      </x:c>
      <x:c r="P974" s="62" t="n">
        <x:v>0</x:v>
      </x:c>
      <x:c r="Q974" s="22" t="n">
        <x:v>0</x:v>
      </x:c>
      <x:c r="R974" s="22" t="str"/>
      <x:c r="S974" s="22" t="str"/>
      <x:c r="T974" s="22" t="str"/>
    </x:row>
    <x:row r="975">
      <x:c r="A975" s="22" t="str">
        <x:v>2020-00086</x:v>
      </x:c>
      <x:c r="B975" s="22" t="str">
        <x:v>L2023-00053-1</x:v>
      </x:c>
      <x:c r="C975" s="22" t="str">
        <x:v>공사</x:v>
      </x:c>
      <x:c r="D975" s="25" t="str">
        <x:v>우즈베키스탄 직업훈련원 및 타슈켄트 교사연수센터 건립 시공업체 선정 현지입찰</x:v>
      </x:c>
      <x:c r="E975" s="22" t="n">
        <x:v>1</x:v>
      </x:c>
      <x:c r="F975" s="22" t="str">
        <x:v>.xls</x:v>
      </x:c>
      <x:c r="G975" s="25" t="str">
        <x:v>L2023-00053-1/Urgench VTC Bid Attachment Documents/Urgench VTC Bid Attachment Documents/Section 4.  Bill of Quantities(Not-Priced)/공내역서/VTC견적서/5 МИНИКУХНЯ(Mini Cafe)/5-2 АР(Architecture)/bv13190.xls</x:v>
      </x:c>
      <x:c r="H975" s="28" t="n">
        <x:v>114176</x:v>
      </x:c>
      <x:c r="I975" s="22" t="str">
        <x:v>4ade510ed9f6b01414dd3b9e208d36868bcf0fe70bb6352beb850b258163fe9f</x:v>
      </x:c>
      <x:c r="J975" s="22" t="n">
        <x:v>1</x:v>
      </x:c>
      <x:c r="K975" s="22" t="n">
        <x:v>1</x:v>
      </x:c>
      <x:c r="L975" s="22" t="n">
        <x:v>1</x:v>
      </x:c>
      <x:c r="M975" s="28" t="n">
        <x:v>0</x:v>
      </x:c>
      <x:c r="N975" s="28" t="n">
        <x:v>0</x:v>
      </x:c>
      <x:c r="O975" s="28" t="n">
        <x:v>0</x:v>
      </x:c>
      <x:c r="P975" s="62" t="n">
        <x:v>0</x:v>
      </x:c>
      <x:c r="Q975" s="22" t="n">
        <x:v>0</x:v>
      </x:c>
      <x:c r="R975" s="22" t="str"/>
      <x:c r="S975" s="22" t="str"/>
      <x:c r="T975" s="22" t="str"/>
    </x:row>
    <x:row r="976">
      <x:c r="A976" s="22" t="str">
        <x:v>2020-00086</x:v>
      </x:c>
      <x:c r="B976" s="22" t="str">
        <x:v>L2023-00053-1</x:v>
      </x:c>
      <x:c r="C976" s="22" t="str">
        <x:v>공사</x:v>
      </x:c>
      <x:c r="D976" s="25" t="str">
        <x:v>우즈베키스탄 직업훈련원 및 타슈켄트 교사연수센터 건립 시공업체 선정 현지입찰</x:v>
      </x:c>
      <x:c r="E976" s="22" t="n">
        <x:v>1</x:v>
      </x:c>
      <x:c r="F976" s="22" t="str">
        <x:v>.xls</x:v>
      </x:c>
      <x:c r="G976" s="25" t="str">
        <x:v>L2023-00053-1/Urgench VTC Bid Attachment Documents/Urgench VTC Bid Attachment Documents/Section 4.  Bill of Quantities(Not-Priced)/공내역서/VTC견적서/5 МИНИКУХНЯ(Mini Cafe)/5-2 АР(Architecture)/13193_vrmu.xls</x:v>
      </x:c>
      <x:c r="H976" s="28" t="n">
        <x:v>59392</x:v>
      </x:c>
      <x:c r="I976" s="22" t="str">
        <x:v>32390eeba886734409c4cffd1bac48a8b2621f64ee819bc516ce95d6ce0de568</x:v>
      </x:c>
      <x:c r="J976" s="22" t="n">
        <x:v>1</x:v>
      </x:c>
      <x:c r="K976" s="22" t="n">
        <x:v>1</x:v>
      </x:c>
      <x:c r="L976" s="22" t="n">
        <x:v>1</x:v>
      </x:c>
      <x:c r="M976" s="28" t="n">
        <x:v>1</x:v>
      </x:c>
      <x:c r="N976" s="28" t="n">
        <x:v>104</x:v>
      </x:c>
      <x:c r="O976" s="28" t="n">
        <x:v>1</x:v>
      </x:c>
      <x:c r="P976" s="62" t="n">
        <x:v>0.009615384615384616</x:v>
      </x:c>
      <x:c r="Q976" s="22" t="n">
        <x:v>0</x:v>
      </x:c>
      <x:c r="R976" s="22" t="str">
        <x:v>Лист1</x:v>
      </x:c>
      <x:c r="S976" s="22" t="str">
        <x:v>visible</x:v>
      </x:c>
      <x:c r="T976" s="22" t="str"/>
    </x:row>
    <x:row r="977">
      <x:c r="A977" s="22" t="str">
        <x:v>2020-00086</x:v>
      </x:c>
      <x:c r="B977" s="22" t="str">
        <x:v>L2023-00053-1</x:v>
      </x:c>
      <x:c r="C977" s="22" t="str">
        <x:v>공사</x:v>
      </x:c>
      <x:c r="D977" s="25" t="str">
        <x:v>우즈베키스탄 직업훈련원 및 타슈켄트 교사연수센터 건립 시공업체 선정 현지입찰</x:v>
      </x:c>
      <x:c r="E977" s="22" t="n">
        <x:v>1</x:v>
      </x:c>
      <x:c r="F977" s="22" t="str">
        <x:v>.xls</x:v>
      </x:c>
      <x:c r="G977" s="25" t="str">
        <x:v>L2023-00053-1/Urgench VTC Bid Attachment Documents/Urgench VTC Bid Attachment Documents/Section 4.  Bill of Quantities(Not-Priced)/공내역서/VTC견적서/5 МИНИКУХНЯ(Mini Cafe)/5-2 АР(Architecture)/13193_vfor.xls</x:v>
      </x:c>
      <x:c r="H977" s="28" t="n">
        <x:v>40960</x:v>
      </x:c>
      <x:c r="I977" s="22" t="str">
        <x:v>f62d6e52a875e6096a3b3750725b2d51bc1fd31530c2873884d5a5d062914d99</x:v>
      </x:c>
      <x:c r="J977" s="22" t="n">
        <x:v>1</x:v>
      </x:c>
      <x:c r="K977" s="22" t="n">
        <x:v>1</x:v>
      </x:c>
      <x:c r="L977" s="22" t="n">
        <x:v>1</x:v>
      </x:c>
      <x:c r="M977" s="28" t="n">
        <x:v>0</x:v>
      </x:c>
      <x:c r="N977" s="28" t="n">
        <x:v>0</x:v>
      </x:c>
      <x:c r="O977" s="28" t="n">
        <x:v>0</x:v>
      </x:c>
      <x:c r="P977" s="62" t="n">
        <x:v>0</x:v>
      </x:c>
      <x:c r="Q977" s="22" t="n">
        <x:v>0</x:v>
      </x:c>
      <x:c r="R977" s="22" t="str"/>
      <x:c r="S977" s="22" t="str"/>
      <x:c r="T977" s="22" t="str"/>
    </x:row>
    <x:row r="978">
      <x:c r="A978" s="22" t="str">
        <x:v>2020-00086</x:v>
      </x:c>
      <x:c r="B978" s="22" t="str">
        <x:v>L2023-00053-1</x:v>
      </x:c>
      <x:c r="C978" s="22" t="str">
        <x:v>공사</x:v>
      </x:c>
      <x:c r="D978" s="25" t="str">
        <x:v>우즈베키스탄 직업훈련원 및 타슈켄트 교사연수센터 건립 시공업체 선정 현지입찰</x:v>
      </x:c>
      <x:c r="E978" s="22" t="n">
        <x:v>1</x:v>
      </x:c>
      <x:c r="F978" s="22" t="str">
        <x:v>.xls</x:v>
      </x:c>
      <x:c r="G978" s="25" t="str">
        <x:v>L2023-00053-1/Urgench VTC Bid Attachment Documents/Urgench VTC Bid Attachment Documents/Section 4.  Bill of Quantities(Not-Priced)/공내역서/VTC견적서/5 МИНИКУХНЯ(Mini Cafe)/5-5 ЭО(Electric)/13523_vrmu.xls</x:v>
      </x:c>
      <x:c r="H978" s="28" t="n">
        <x:v>51712</x:v>
      </x:c>
      <x:c r="I978" s="22" t="str">
        <x:v>7e16265662d64e011839c6562a409b724755257307d17d53527af9a45b14d4e6</x:v>
      </x:c>
      <x:c r="J978" s="22" t="n">
        <x:v>1</x:v>
      </x:c>
      <x:c r="K978" s="22" t="n">
        <x:v>1</x:v>
      </x:c>
      <x:c r="L978" s="22" t="n">
        <x:v>1</x:v>
      </x:c>
      <x:c r="M978" s="28" t="n">
        <x:v>1</x:v>
      </x:c>
      <x:c r="N978" s="28" t="n">
        <x:v>51</x:v>
      </x:c>
      <x:c r="O978" s="28" t="n">
        <x:v>1</x:v>
      </x:c>
      <x:c r="P978" s="62" t="n">
        <x:v>0.0196078431372549</x:v>
      </x:c>
      <x:c r="Q978" s="22" t="n">
        <x:v>0</x:v>
      </x:c>
      <x:c r="R978" s="22" t="str">
        <x:v>Лист1</x:v>
      </x:c>
      <x:c r="S978" s="22" t="str">
        <x:v>visible</x:v>
      </x:c>
      <x:c r="T978" s="22" t="str"/>
    </x:row>
    <x:row r="979">
      <x:c r="A979" s="22" t="str">
        <x:v>2020-00086</x:v>
      </x:c>
      <x:c r="B979" s="22" t="str">
        <x:v>L2023-00053-1</x:v>
      </x:c>
      <x:c r="C979" s="22" t="str">
        <x:v>공사</x:v>
      </x:c>
      <x:c r="D979" s="25" t="str">
        <x:v>우즈베키스탄 직업훈련원 및 타슈켄트 교사연수센터 건립 시공업체 선정 현지입찰</x:v>
      </x:c>
      <x:c r="E979" s="22" t="n">
        <x:v>1</x:v>
      </x:c>
      <x:c r="F979" s="22" t="str">
        <x:v>.xls</x:v>
      </x:c>
      <x:c r="G979" s="25" t="str">
        <x:v>L2023-00053-1/Urgench VTC Bid Attachment Documents/Urgench VTC Bid Attachment Documents/Section 4.  Bill of Quantities(Not-Priced)/공내역서/VTC견적서/5 МИНИКУХНЯ(Mini Cafe)/5-5 ЭО(Electric)/13523_vfor.xls</x:v>
      </x:c>
      <x:c r="H979" s="28" t="n">
        <x:v>38912</x:v>
      </x:c>
      <x:c r="I979" s="22" t="str">
        <x:v>0b8abf0891da011114759f88243e0f71e1a95036c98ea30dad347b4f69ee2b1b</x:v>
      </x:c>
      <x:c r="J979" s="22" t="n">
        <x:v>1</x:v>
      </x:c>
      <x:c r="K979" s="22" t="n">
        <x:v>1</x:v>
      </x:c>
      <x:c r="L979" s="22" t="n">
        <x:v>1</x:v>
      </x:c>
      <x:c r="M979" s="28" t="n">
        <x:v>0</x:v>
      </x:c>
      <x:c r="N979" s="28" t="n">
        <x:v>0</x:v>
      </x:c>
      <x:c r="O979" s="28" t="n">
        <x:v>0</x:v>
      </x:c>
      <x:c r="P979" s="62" t="n">
        <x:v>0</x:v>
      </x:c>
      <x:c r="Q979" s="22" t="n">
        <x:v>0</x:v>
      </x:c>
      <x:c r="R979" s="22" t="str"/>
      <x:c r="S979" s="22" t="str"/>
      <x:c r="T979" s="22" t="str"/>
    </x:row>
    <x:row r="980">
      <x:c r="A980" s="22" t="str">
        <x:v>2020-00086</x:v>
      </x:c>
      <x:c r="B980" s="22" t="str">
        <x:v>L2023-00053-1</x:v>
      </x:c>
      <x:c r="C980" s="22" t="str">
        <x:v>공사</x:v>
      </x:c>
      <x:c r="D980" s="25" t="str">
        <x:v>우즈베키스탄 직업훈련원 및 타슈켄트 교사연수센터 건립 시공업체 선정 현지입찰</x:v>
      </x:c>
      <x:c r="E980" s="22" t="n">
        <x:v>1</x:v>
      </x:c>
      <x:c r="F980" s="22" t="str">
        <x:v>.xls</x:v>
      </x:c>
      <x:c r="G980" s="25" t="str">
        <x:v>L2023-00053-1/Urgench VTC Bid Attachment Documents/Urgench VTC Bid Attachment Documents/Section 4.  Bill of Quantities(Not-Priced)/공내역서/VTC견적서/5 МИНИКУХНЯ(Mini Cafe)/5-5 ЭО(Electric)/bv13520.xls</x:v>
      </x:c>
      <x:c r="H980" s="28" t="n">
        <x:v>72704</x:v>
      </x:c>
      <x:c r="I980" s="22" t="str">
        <x:v>1ada1c8c043ded8552eb8c5daa2fa56c90309d301f171e5fe5761772acfa2c72</x:v>
      </x:c>
      <x:c r="J980" s="22" t="n">
        <x:v>1</x:v>
      </x:c>
      <x:c r="K980" s="22" t="n">
        <x:v>1</x:v>
      </x:c>
      <x:c r="L980" s="22" t="n">
        <x:v>1</x:v>
      </x:c>
      <x:c r="M980" s="28" t="n">
        <x:v>0</x:v>
      </x:c>
      <x:c r="N980" s="28" t="n">
        <x:v>0</x:v>
      </x:c>
      <x:c r="O980" s="28" t="n">
        <x:v>0</x:v>
      </x:c>
      <x:c r="P980" s="62" t="n">
        <x:v>0</x:v>
      </x:c>
      <x:c r="Q980" s="22" t="n">
        <x:v>0</x:v>
      </x:c>
      <x:c r="R980" s="22" t="str"/>
      <x:c r="S980" s="22" t="str"/>
      <x:c r="T980" s="22" t="str"/>
    </x:row>
    <x:row r="981">
      <x:c r="A981" s="22" t="str">
        <x:v>2020-00086</x:v>
      </x:c>
      <x:c r="B981" s="22" t="str">
        <x:v>L2023-00053-1</x:v>
      </x:c>
      <x:c r="C981" s="22" t="str">
        <x:v>공사</x:v>
      </x:c>
      <x:c r="D981" s="25" t="str">
        <x:v>우즈베키스탄 직업훈련원 및 타슈켄트 교사연수센터 건립 시공업체 선정 현지입찰</x:v>
      </x:c>
      <x:c r="E981" s="22" t="n">
        <x:v>1</x:v>
      </x:c>
      <x:c r="F981" s="22" t="str">
        <x:v>.xls</x:v>
      </x:c>
      <x:c r="G981" s="25" t="str">
        <x:v>L2023-00053-1/Urgench VTC Bid Attachment Documents/Urgench VTC Bid Attachment Documents/Section 4.  Bill of Quantities(Not-Priced)/공내역서/VTC견적서/5 МИНИКУХНЯ(Mini Cafe)/5-6 ПС(Fire Alarm)/13333_vrmu.xls</x:v>
      </x:c>
      <x:c r="H981" s="28" t="n">
        <x:v>45568</x:v>
      </x:c>
      <x:c r="I981" s="22" t="str">
        <x:v>c129f77230778e4e75807137b0a081fda18b76c89bfafb91bf998c73b18b42b4</x:v>
      </x:c>
      <x:c r="J981" s="22" t="n">
        <x:v>1</x:v>
      </x:c>
      <x:c r="K981" s="22" t="n">
        <x:v>1</x:v>
      </x:c>
      <x:c r="L981" s="22" t="n">
        <x:v>1</x:v>
      </x:c>
      <x:c r="M981" s="28" t="n">
        <x:v>1</x:v>
      </x:c>
      <x:c r="N981" s="28" t="n">
        <x:v>46</x:v>
      </x:c>
      <x:c r="O981" s="28" t="n">
        <x:v>1</x:v>
      </x:c>
      <x:c r="P981" s="62" t="n">
        <x:v>0.021739130434782608</x:v>
      </x:c>
      <x:c r="Q981" s="22" t="n">
        <x:v>0</x:v>
      </x:c>
      <x:c r="R981" s="22" t="str">
        <x:v>Лист1</x:v>
      </x:c>
      <x:c r="S981" s="22" t="str">
        <x:v>visible</x:v>
      </x:c>
      <x:c r="T981" s="22" t="str"/>
    </x:row>
    <x:row r="982">
      <x:c r="A982" s="22" t="str">
        <x:v>2020-00086</x:v>
      </x:c>
      <x:c r="B982" s="22" t="str">
        <x:v>L2023-00053-1</x:v>
      </x:c>
      <x:c r="C982" s="22" t="str">
        <x:v>공사</x:v>
      </x:c>
      <x:c r="D982" s="25" t="str">
        <x:v>우즈베키스탄 직업훈련원 및 타슈켄트 교사연수센터 건립 시공업체 선정 현지입찰</x:v>
      </x:c>
      <x:c r="E982" s="22" t="n">
        <x:v>1</x:v>
      </x:c>
      <x:c r="F982" s="22" t="str">
        <x:v>.xls</x:v>
      </x:c>
      <x:c r="G982" s="25" t="str">
        <x:v>L2023-00053-1/Urgench VTC Bid Attachment Documents/Urgench VTC Bid Attachment Documents/Section 4.  Bill of Quantities(Not-Priced)/공내역서/VTC견적서/5 МИНИКУХНЯ(Mini Cafe)/5-6 ПС(Fire Alarm)/13333_vfor.xls</x:v>
      </x:c>
      <x:c r="H982" s="28" t="n">
        <x:v>35328</x:v>
      </x:c>
      <x:c r="I982" s="22" t="str">
        <x:v>10bb19b81831d3a84b82c28f1547ca3fe887463b9f75dee45ccc757eb0779c6c</x:v>
      </x:c>
      <x:c r="J982" s="22" t="n">
        <x:v>1</x:v>
      </x:c>
      <x:c r="K982" s="22" t="n">
        <x:v>1</x:v>
      </x:c>
      <x:c r="L982" s="22" t="n">
        <x:v>1</x:v>
      </x:c>
      <x:c r="M982" s="28" t="n">
        <x:v>0</x:v>
      </x:c>
      <x:c r="N982" s="28" t="n">
        <x:v>0</x:v>
      </x:c>
      <x:c r="O982" s="28" t="n">
        <x:v>0</x:v>
      </x:c>
      <x:c r="P982" s="62" t="n">
        <x:v>0</x:v>
      </x:c>
      <x:c r="Q982" s="22" t="n">
        <x:v>0</x:v>
      </x:c>
      <x:c r="R982" s="22" t="str"/>
      <x:c r="S982" s="22" t="str"/>
      <x:c r="T982" s="22" t="str"/>
    </x:row>
    <x:row r="983">
      <x:c r="A983" s="22" t="str">
        <x:v>2020-00086</x:v>
      </x:c>
      <x:c r="B983" s="22" t="str">
        <x:v>L2023-00053-1</x:v>
      </x:c>
      <x:c r="C983" s="22" t="str">
        <x:v>공사</x:v>
      </x:c>
      <x:c r="D983" s="25" t="str">
        <x:v>우즈베키스탄 직업훈련원 및 타슈켄트 교사연수센터 건립 시공업체 선정 현지입찰</x:v>
      </x:c>
      <x:c r="E983" s="22" t="n">
        <x:v>1</x:v>
      </x:c>
      <x:c r="F983" s="22" t="str">
        <x:v>.xls</x:v>
      </x:c>
      <x:c r="G983" s="25" t="str">
        <x:v>L2023-00053-1/Urgench VTC Bid Attachment Documents/Urgench VTC Bid Attachment Documents/Section 4.  Bill of Quantities(Not-Priced)/공내역서/VTC견적서/5 МИНИКУХНЯ(Mini Cafe)/5-6 ПС(Fire Alarm)/bv13330.xls</x:v>
      </x:c>
      <x:c r="H983" s="28" t="n">
        <x:v>62976</x:v>
      </x:c>
      <x:c r="I983" s="22" t="str">
        <x:v>5285368cbc7c4336c65b8d5e64b9139cb7feafa61bb9ae14627cdc4c2d5c9f76</x:v>
      </x:c>
      <x:c r="J983" s="22" t="n">
        <x:v>1</x:v>
      </x:c>
      <x:c r="K983" s="22" t="n">
        <x:v>1</x:v>
      </x:c>
      <x:c r="L983" s="22" t="n">
        <x:v>1</x:v>
      </x:c>
      <x:c r="M983" s="28" t="n">
        <x:v>0</x:v>
      </x:c>
      <x:c r="N983" s="28" t="n">
        <x:v>0</x:v>
      </x:c>
      <x:c r="O983" s="28" t="n">
        <x:v>0</x:v>
      </x:c>
      <x:c r="P983" s="62" t="n">
        <x:v>0</x:v>
      </x:c>
      <x:c r="Q983" s="22" t="n">
        <x:v>0</x:v>
      </x:c>
      <x:c r="R983" s="22" t="str"/>
      <x:c r="S983" s="22" t="str"/>
      <x:c r="T983" s="22" t="str"/>
    </x:row>
    <x:row r="984">
      <x:c r="A984" s="22" t="str">
        <x:v>2020-00086</x:v>
      </x:c>
      <x:c r="B984" s="22" t="str">
        <x:v>L2023-00053-1</x:v>
      </x:c>
      <x:c r="C984" s="22" t="str">
        <x:v>공사</x:v>
      </x:c>
      <x:c r="D984" s="25" t="str">
        <x:v>우즈베키스탄 직업훈련원 및 타슈켄트 교사연수센터 건립 시공업체 선정 현지입찰</x:v>
      </x:c>
      <x:c r="E984" s="22" t="n">
        <x:v>1</x:v>
      </x:c>
      <x:c r="F984" s="22" t="str">
        <x:v>.xls</x:v>
      </x:c>
      <x:c r="G984" s="25" t="str">
        <x:v>L2023-00053-1/Urgench VTC Bid Attachment Documents/Urgench VTC Bid Attachment Documents/Section 4.  Bill of Quantities(Not-Priced)/공내역서/VTC견적서/5 МИНИКУХНЯ(Mini Cafe)/5-1 КЖ(Structure)/13043_vrmu.xls</x:v>
      </x:c>
      <x:c r="H984" s="28" t="n">
        <x:v>64000</x:v>
      </x:c>
      <x:c r="I984" s="22" t="str">
        <x:v>380165b5ba6f48a8bc825a12a666a0aeb51807f94d8b2c20559637674f7d94b0</x:v>
      </x:c>
      <x:c r="J984" s="22" t="n">
        <x:v>1</x:v>
      </x:c>
      <x:c r="K984" s="22" t="n">
        <x:v>1</x:v>
      </x:c>
      <x:c r="L984" s="22" t="n">
        <x:v>1</x:v>
      </x:c>
      <x:c r="M984" s="28" t="n">
        <x:v>1</x:v>
      </x:c>
      <x:c r="N984" s="28" t="n">
        <x:v>131</x:v>
      </x:c>
      <x:c r="O984" s="28" t="n">
        <x:v>1</x:v>
      </x:c>
      <x:c r="P984" s="62" t="n">
        <x:v>0.007633587786259542</x:v>
      </x:c>
      <x:c r="Q984" s="22" t="n">
        <x:v>0</x:v>
      </x:c>
      <x:c r="R984" s="22" t="str">
        <x:v>Лист1</x:v>
      </x:c>
      <x:c r="S984" s="22" t="str">
        <x:v>visible</x:v>
      </x:c>
      <x:c r="T984" s="22" t="str"/>
    </x:row>
    <x:row r="985">
      <x:c r="A985" s="22" t="str">
        <x:v>2020-00086</x:v>
      </x:c>
      <x:c r="B985" s="22" t="str">
        <x:v>L2023-00053-1</x:v>
      </x:c>
      <x:c r="C985" s="22" t="str">
        <x:v>공사</x:v>
      </x:c>
      <x:c r="D985" s="25" t="str">
        <x:v>우즈베키스탄 직업훈련원 및 타슈켄트 교사연수센터 건립 시공업체 선정 현지입찰</x:v>
      </x:c>
      <x:c r="E985" s="22" t="n">
        <x:v>1</x:v>
      </x:c>
      <x:c r="F985" s="22" t="str">
        <x:v>.xls</x:v>
      </x:c>
      <x:c r="G985" s="25" t="str">
        <x:v>L2023-00053-1/Urgench VTC Bid Attachment Documents/Urgench VTC Bid Attachment Documents/Section 4.  Bill of Quantities(Not-Priced)/공내역서/VTC견적서/5 МИНИКУХНЯ(Mini Cafe)/5-1 КЖ(Structure)/13043_vfor.xls</x:v>
      </x:c>
      <x:c r="H985" s="28" t="n">
        <x:v>48128</x:v>
      </x:c>
      <x:c r="I985" s="22" t="str">
        <x:v>97f17253a08cf0cc8c9680898c42398ae08fe78103f09e01bf2a6835019a9ec3</x:v>
      </x:c>
      <x:c r="J985" s="22" t="n">
        <x:v>1</x:v>
      </x:c>
      <x:c r="K985" s="22" t="n">
        <x:v>1</x:v>
      </x:c>
      <x:c r="L985" s="22" t="n">
        <x:v>1</x:v>
      </x:c>
      <x:c r="M985" s="28" t="n">
        <x:v>0</x:v>
      </x:c>
      <x:c r="N985" s="28" t="n">
        <x:v>0</x:v>
      </x:c>
      <x:c r="O985" s="28" t="n">
        <x:v>0</x:v>
      </x:c>
      <x:c r="P985" s="62" t="n">
        <x:v>0</x:v>
      </x:c>
      <x:c r="Q985" s="22" t="n">
        <x:v>0</x:v>
      </x:c>
      <x:c r="R985" s="22" t="str"/>
      <x:c r="S985" s="22" t="str"/>
      <x:c r="T985" s="22" t="str"/>
    </x:row>
    <x:row r="986">
      <x:c r="A986" s="22" t="str">
        <x:v>2020-00086</x:v>
      </x:c>
      <x:c r="B986" s="22" t="str">
        <x:v>L2023-00053-1</x:v>
      </x:c>
      <x:c r="C986" s="22" t="str">
        <x:v>공사</x:v>
      </x:c>
      <x:c r="D986" s="25" t="str">
        <x:v>우즈베키스탄 직업훈련원 및 타슈켄트 교사연수센터 건립 시공업체 선정 현지입찰</x:v>
      </x:c>
      <x:c r="E986" s="22" t="n">
        <x:v>1</x:v>
      </x:c>
      <x:c r="F986" s="22" t="str">
        <x:v>.xls</x:v>
      </x:c>
      <x:c r="G986" s="25" t="str">
        <x:v>L2023-00053-1/Urgench VTC Bid Attachment Documents/Urgench VTC Bid Attachment Documents/Section 4.  Bill of Quantities(Not-Priced)/공내역서/VTC견적서/5 МИНИКУХНЯ(Mini Cafe)/5-1 КЖ(Structure)/bv13040.xls</x:v>
      </x:c>
      <x:c r="H986" s="28" t="n">
        <x:v>174592</x:v>
      </x:c>
      <x:c r="I986" s="22" t="str">
        <x:v>863838e7bc7c9434fc3bd88bdcfea6aba7ac50f88f9f5db01b0e254da7998ff8</x:v>
      </x:c>
      <x:c r="J986" s="22" t="n">
        <x:v>1</x:v>
      </x:c>
      <x:c r="K986" s="22" t="n">
        <x:v>1</x:v>
      </x:c>
      <x:c r="L986" s="22" t="n">
        <x:v>1</x:v>
      </x:c>
      <x:c r="M986" s="28" t="n">
        <x:v>0</x:v>
      </x:c>
      <x:c r="N986" s="28" t="n">
        <x:v>0</x:v>
      </x:c>
      <x:c r="O986" s="28" t="n">
        <x:v>0</x:v>
      </x:c>
      <x:c r="P986" s="62" t="n">
        <x:v>0</x:v>
      </x:c>
      <x:c r="Q986" s="22" t="n">
        <x:v>0</x:v>
      </x:c>
      <x:c r="R986" s="22" t="str"/>
      <x:c r="S986" s="22" t="str"/>
      <x:c r="T986" s="22" t="str"/>
    </x:row>
    <x:row r="987">
      <x:c r="A987" s="22" t="str">
        <x:v>2020-00086</x:v>
      </x:c>
      <x:c r="B987" s="22" t="str">
        <x:v>L2023-00053-1</x:v>
      </x:c>
      <x:c r="C987" s="22" t="str">
        <x:v>공사</x:v>
      </x:c>
      <x:c r="D987" s="25" t="str">
        <x:v>우즈베키스탄 직업훈련원 및 타슈켄트 교사연수센터 건립 시공업체 선정 현지입찰</x:v>
      </x:c>
      <x:c r="E987" s="22" t="n">
        <x:v>1</x:v>
      </x:c>
      <x:c r="F987" s="22" t="str">
        <x:v>.xls</x:v>
      </x:c>
      <x:c r="G987" s="25" t="str">
        <x:v>L2023-00053-1/Urgench VTC Bid Attachment Documents/Urgench VTC Bid Attachment Documents/Section 4.  Bill of Quantities(Not-Priced)/공내역서/VTC견적서/5 МИНИКУХНЯ(Mini Cafe)/5-7 ВН, СКС(CCTV &amp; Network)/bv13340.xls</x:v>
      </x:c>
      <x:c r="H987" s="28" t="n">
        <x:v>87552</x:v>
      </x:c>
      <x:c r="I987" s="22" t="str">
        <x:v>f7ebc1e11ee41682c73ffe4df54efdaf6f8776e3d1421e342e5d6efdf51b8f91</x:v>
      </x:c>
      <x:c r="J987" s="22" t="n">
        <x:v>1</x:v>
      </x:c>
      <x:c r="K987" s="22" t="n">
        <x:v>1</x:v>
      </x:c>
      <x:c r="L987" s="22" t="n">
        <x:v>1</x:v>
      </x:c>
      <x:c r="M987" s="28" t="n">
        <x:v>0</x:v>
      </x:c>
      <x:c r="N987" s="28" t="n">
        <x:v>0</x:v>
      </x:c>
      <x:c r="O987" s="28" t="n">
        <x:v>0</x:v>
      </x:c>
      <x:c r="P987" s="62" t="n">
        <x:v>0</x:v>
      </x:c>
      <x:c r="Q987" s="22" t="n">
        <x:v>0</x:v>
      </x:c>
      <x:c r="R987" s="22" t="str"/>
      <x:c r="S987" s="22" t="str"/>
      <x:c r="T987" s="22" t="str"/>
    </x:row>
    <x:row r="988">
      <x:c r="A988" s="22" t="str">
        <x:v>2020-00086</x:v>
      </x:c>
      <x:c r="B988" s="22" t="str">
        <x:v>L2023-00053-1</x:v>
      </x:c>
      <x:c r="C988" s="22" t="str">
        <x:v>공사</x:v>
      </x:c>
      <x:c r="D988" s="25" t="str">
        <x:v>우즈베키스탄 직업훈련원 및 타슈켄트 교사연수센터 건립 시공업체 선정 현지입찰</x:v>
      </x:c>
      <x:c r="E988" s="22" t="n">
        <x:v>1</x:v>
      </x:c>
      <x:c r="F988" s="22" t="str">
        <x:v>.xls</x:v>
      </x:c>
      <x:c r="G988" s="25" t="str">
        <x:v>L2023-00053-1/Urgench VTC Bid Attachment Documents/Urgench VTC Bid Attachment Documents/Section 4.  Bill of Quantities(Not-Priced)/공내역서/VTC견적서/5 МИНИКУХНЯ(Mini Cafe)/5-7 ВН, СКС(CCTV &amp; Network)/13343_vfor.xls</x:v>
      </x:c>
      <x:c r="H988" s="28" t="n">
        <x:v>42496</x:v>
      </x:c>
      <x:c r="I988" s="22" t="str">
        <x:v>7ae45ebf6513a57ba6f4fb37a194629105af57885c6435d8e0b3fac1d07b54d7</x:v>
      </x:c>
      <x:c r="J988" s="22" t="n">
        <x:v>1</x:v>
      </x:c>
      <x:c r="K988" s="22" t="n">
        <x:v>1</x:v>
      </x:c>
      <x:c r="L988" s="22" t="n">
        <x:v>1</x:v>
      </x:c>
      <x:c r="M988" s="28" t="n">
        <x:v>0</x:v>
      </x:c>
      <x:c r="N988" s="28" t="n">
        <x:v>0</x:v>
      </x:c>
      <x:c r="O988" s="28" t="n">
        <x:v>0</x:v>
      </x:c>
      <x:c r="P988" s="62" t="n">
        <x:v>0</x:v>
      </x:c>
      <x:c r="Q988" s="22" t="n">
        <x:v>0</x:v>
      </x:c>
      <x:c r="R988" s="22" t="str"/>
      <x:c r="S988" s="22" t="str"/>
      <x:c r="T988" s="22" t="str"/>
    </x:row>
    <x:row r="989">
      <x:c r="A989" s="22" t="str">
        <x:v>2020-00086</x:v>
      </x:c>
      <x:c r="B989" s="22" t="str">
        <x:v>L2023-00053-1</x:v>
      </x:c>
      <x:c r="C989" s="22" t="str">
        <x:v>공사</x:v>
      </x:c>
      <x:c r="D989" s="25" t="str">
        <x:v>우즈베키스탄 직업훈련원 및 타슈켄트 교사연수센터 건립 시공업체 선정 현지입찰</x:v>
      </x:c>
      <x:c r="E989" s="22" t="n">
        <x:v>1</x:v>
      </x:c>
      <x:c r="F989" s="22" t="str">
        <x:v>.xls</x:v>
      </x:c>
      <x:c r="G989" s="25" t="str">
        <x:v>L2023-00053-1/Urgench VTC Bid Attachment Documents/Urgench VTC Bid Attachment Documents/Section 4.  Bill of Quantities(Not-Priced)/공내역서/VTC견적서/5 МИНИКУХНЯ(Mini Cafe)/5-7 ВН, СКС(CCTV &amp; Network)/13343_vrmu.xls</x:v>
      </x:c>
      <x:c r="H989" s="28" t="n">
        <x:v>57344</x:v>
      </x:c>
      <x:c r="I989" s="22" t="str">
        <x:v>0c131dc024a728f09c19dc05519a4f69fc17da1dc83c0ff221c9fcbc28ca3e83</x:v>
      </x:c>
      <x:c r="J989" s="22" t="n">
        <x:v>1</x:v>
      </x:c>
      <x:c r="K989" s="22" t="n">
        <x:v>1</x:v>
      </x:c>
      <x:c r="L989" s="22" t="n">
        <x:v>1</x:v>
      </x:c>
      <x:c r="M989" s="28" t="n">
        <x:v>1</x:v>
      </x:c>
      <x:c r="N989" s="28" t="n">
        <x:v>87</x:v>
      </x:c>
      <x:c r="O989" s="28" t="n">
        <x:v>1</x:v>
      </x:c>
      <x:c r="P989" s="62" t="n">
        <x:v>0.011494252873563218</x:v>
      </x:c>
      <x:c r="Q989" s="22" t="n">
        <x:v>0</x:v>
      </x:c>
      <x:c r="R989" s="22" t="str">
        <x:v>Лист1</x:v>
      </x:c>
      <x:c r="S989" s="22" t="str">
        <x:v>visible</x:v>
      </x:c>
      <x:c r="T989" s="22" t="str"/>
    </x:row>
    <x:row r="990">
      <x:c r="A990" s="22" t="str">
        <x:v>2020-00086</x:v>
      </x:c>
      <x:c r="B990" s="22" t="str">
        <x:v>L2023-00053-1</x:v>
      </x:c>
      <x:c r="C990" s="22" t="str">
        <x:v>공사</x:v>
      </x:c>
      <x:c r="D990" s="25" t="str">
        <x:v>우즈베키스탄 직업훈련원 및 타슈켄트 교사연수센터 건립 시공업체 선정 현지입찰</x:v>
      </x:c>
      <x:c r="E990" s="22" t="n">
        <x:v>1</x:v>
      </x:c>
      <x:c r="F990" s="22" t="str">
        <x:v>.xls</x:v>
      </x:c>
      <x:c r="G990" s="25" t="str">
        <x:v>L2023-00053-1/Urgench VTC Bid Attachment Documents/Urgench VTC Bid Attachment Documents/Section 4.  Bill of Quantities(Not-Priced)/공내역서/VTC견적서/5 МИНИКУХНЯ(Mini Cafe)/5-4 ВК(Water &amp; Sewer &amp; Fireplug)/bv13150.xls</x:v>
      </x:c>
      <x:c r="H990" s="28" t="n">
        <x:v>81920</x:v>
      </x:c>
      <x:c r="I990" s="22" t="str">
        <x:v>ff40bc5d0ea432e7b1d7366c5d4fcb487b2c3880f96e4f78375825eafcfb95b6</x:v>
      </x:c>
      <x:c r="J990" s="22" t="n">
        <x:v>1</x:v>
      </x:c>
      <x:c r="K990" s="22" t="n">
        <x:v>1</x:v>
      </x:c>
      <x:c r="L990" s="22" t="n">
        <x:v>1</x:v>
      </x:c>
      <x:c r="M990" s="28" t="n">
        <x:v>0</x:v>
      </x:c>
      <x:c r="N990" s="28" t="n">
        <x:v>0</x:v>
      </x:c>
      <x:c r="O990" s="28" t="n">
        <x:v>0</x:v>
      </x:c>
      <x:c r="P990" s="62" t="n">
        <x:v>0</x:v>
      </x:c>
      <x:c r="Q990" s="22" t="n">
        <x:v>0</x:v>
      </x:c>
      <x:c r="R990" s="22" t="str"/>
      <x:c r="S990" s="22" t="str"/>
      <x:c r="T990" s="22" t="str"/>
    </x:row>
    <x:row r="991">
      <x:c r="A991" s="22" t="str">
        <x:v>2020-00086</x:v>
      </x:c>
      <x:c r="B991" s="22" t="str">
        <x:v>L2023-00053-1</x:v>
      </x:c>
      <x:c r="C991" s="22" t="str">
        <x:v>공사</x:v>
      </x:c>
      <x:c r="D991" s="25" t="str">
        <x:v>우즈베키스탄 직업훈련원 및 타슈켄트 교사연수센터 건립 시공업체 선정 현지입찰</x:v>
      </x:c>
      <x:c r="E991" s="22" t="n">
        <x:v>1</x:v>
      </x:c>
      <x:c r="F991" s="22" t="str">
        <x:v>.xls</x:v>
      </x:c>
      <x:c r="G991" s="25" t="str">
        <x:v>L2023-00053-1/Urgench VTC Bid Attachment Documents/Urgench VTC Bid Attachment Documents/Section 4.  Bill of Quantities(Not-Priced)/공내역서/VTC견적서/5 МИНИКУХНЯ(Mini Cafe)/5-4 ВК(Water &amp; Sewer &amp; Fireplug)/13153_vfor.xls</x:v>
      </x:c>
      <x:c r="H991" s="28" t="n">
        <x:v>38912</x:v>
      </x:c>
      <x:c r="I991" s="22" t="str">
        <x:v>8c432bdc15c5f2e9b21d8cf64d2092af76e32ac769bcf6930a80498eda501c52</x:v>
      </x:c>
      <x:c r="J991" s="22" t="n">
        <x:v>1</x:v>
      </x:c>
      <x:c r="K991" s="22" t="n">
        <x:v>1</x:v>
      </x:c>
      <x:c r="L991" s="22" t="n">
        <x:v>1</x:v>
      </x:c>
      <x:c r="M991" s="28" t="n">
        <x:v>0</x:v>
      </x:c>
      <x:c r="N991" s="28" t="n">
        <x:v>0</x:v>
      </x:c>
      <x:c r="O991" s="28" t="n">
        <x:v>0</x:v>
      </x:c>
      <x:c r="P991" s="62" t="n">
        <x:v>0</x:v>
      </x:c>
      <x:c r="Q991" s="22" t="n">
        <x:v>0</x:v>
      </x:c>
      <x:c r="R991" s="22" t="str"/>
      <x:c r="S991" s="22" t="str"/>
      <x:c r="T991" s="22" t="str"/>
    </x:row>
    <x:row r="992">
      <x:c r="A992" s="22" t="str">
        <x:v>2020-00086</x:v>
      </x:c>
      <x:c r="B992" s="22" t="str">
        <x:v>L2023-00053-1</x:v>
      </x:c>
      <x:c r="C992" s="22" t="str">
        <x:v>공사</x:v>
      </x:c>
      <x:c r="D992" s="25" t="str">
        <x:v>우즈베키스탄 직업훈련원 및 타슈켄트 교사연수센터 건립 시공업체 선정 현지입찰</x:v>
      </x:c>
      <x:c r="E992" s="22" t="n">
        <x:v>1</x:v>
      </x:c>
      <x:c r="F992" s="22" t="str">
        <x:v>.xls</x:v>
      </x:c>
      <x:c r="G992" s="25" t="str">
        <x:v>L2023-00053-1/Urgench VTC Bid Attachment Documents/Urgench VTC Bid Attachment Documents/Section 4.  Bill of Quantities(Not-Priced)/공내역서/VTC견적서/5 МИНИКУХНЯ(Mini Cafe)/5-4 ВК(Water &amp; Sewer &amp; Fireplug)/13153_vrmu.xls</x:v>
      </x:c>
      <x:c r="H992" s="28" t="n">
        <x:v>55296</x:v>
      </x:c>
      <x:c r="I992" s="22" t="str">
        <x:v>b73ea620ff03c68e64d826146d0e3fdf85d76c45d5f7b952398e75088501d5a8</x:v>
      </x:c>
      <x:c r="J992" s="22" t="n">
        <x:v>1</x:v>
      </x:c>
      <x:c r="K992" s="22" t="n">
        <x:v>1</x:v>
      </x:c>
      <x:c r="L992" s="22" t="n">
        <x:v>1</x:v>
      </x:c>
      <x:c r="M992" s="28" t="n">
        <x:v>1</x:v>
      </x:c>
      <x:c r="N992" s="28" t="n">
        <x:v>89</x:v>
      </x:c>
      <x:c r="O992" s="28" t="n">
        <x:v>1</x:v>
      </x:c>
      <x:c r="P992" s="62" t="n">
        <x:v>0.011235955056179775</x:v>
      </x:c>
      <x:c r="Q992" s="22" t="n">
        <x:v>0</x:v>
      </x:c>
      <x:c r="R992" s="22" t="str">
        <x:v>Лист1</x:v>
      </x:c>
      <x:c r="S992" s="22" t="str">
        <x:v>visible</x:v>
      </x:c>
      <x:c r="T992" s="22" t="str"/>
    </x:row>
    <x:row r="993">
      <x:c r="A993" s="22" t="str">
        <x:v>2020-00086</x:v>
      </x:c>
      <x:c r="B993" s="22" t="str">
        <x:v>L2023-00053-1</x:v>
      </x:c>
      <x:c r="C993" s="22" t="str">
        <x:v>공사</x:v>
      </x:c>
      <x:c r="D993" s="25" t="str">
        <x:v>우즈베키스탄 직업훈련원 및 타슈켄트 교사연수센터 건립 시공업체 선정 현지입찰</x:v>
      </x:c>
      <x:c r="E993" s="22" t="n">
        <x:v>1</x:v>
      </x:c>
      <x:c r="F993" s="22" t="str">
        <x:v>.xls</x:v>
      </x:c>
      <x:c r="G993" s="25" t="str">
        <x:v>L2023-00053-1/Urgench VTC Bid Attachment Documents/Urgench VTC Bid Attachment Documents/Section 4.  Bill of Quantities(Not-Priced)/공내역서/VTC견적서/9 ТП(Transformers)/9-2 ЭО(Electric)/bv13620.xls</x:v>
      </x:c>
      <x:c r="H993" s="28" t="n">
        <x:v>72192</x:v>
      </x:c>
      <x:c r="I993" s="22" t="str">
        <x:v>d12264dd66d83231e992bd650b7557870412089a06a2a0d4425c2f7ce9505b54</x:v>
      </x:c>
      <x:c r="J993" s="22" t="n">
        <x:v>1</x:v>
      </x:c>
      <x:c r="K993" s="22" t="n">
        <x:v>1</x:v>
      </x:c>
      <x:c r="L993" s="22" t="n">
        <x:v>1</x:v>
      </x:c>
      <x:c r="M993" s="28" t="n">
        <x:v>0</x:v>
      </x:c>
      <x:c r="N993" s="28" t="n">
        <x:v>0</x:v>
      </x:c>
      <x:c r="O993" s="28" t="n">
        <x:v>0</x:v>
      </x:c>
      <x:c r="P993" s="62" t="n">
        <x:v>0</x:v>
      </x:c>
      <x:c r="Q993" s="22" t="n">
        <x:v>0</x:v>
      </x:c>
      <x:c r="R993" s="22" t="str"/>
      <x:c r="S993" s="22" t="str"/>
      <x:c r="T993" s="22" t="str"/>
    </x:row>
    <x:row r="994">
      <x:c r="A994" s="22" t="str">
        <x:v>2020-00086</x:v>
      </x:c>
      <x:c r="B994" s="22" t="str">
        <x:v>L2023-00053-1</x:v>
      </x:c>
      <x:c r="C994" s="22" t="str">
        <x:v>공사</x:v>
      </x:c>
      <x:c r="D994" s="25" t="str">
        <x:v>우즈베키스탄 직업훈련원 및 타슈켄트 교사연수센터 건립 시공업체 선정 현지입찰</x:v>
      </x:c>
      <x:c r="E994" s="22" t="n">
        <x:v>1</x:v>
      </x:c>
      <x:c r="F994" s="22" t="str">
        <x:v>.xls</x:v>
      </x:c>
      <x:c r="G994" s="25" t="str">
        <x:v>L2023-00053-1/Urgench VTC Bid Attachment Documents/Urgench VTC Bid Attachment Documents/Section 4.  Bill of Quantities(Not-Priced)/공내역서/VTC견적서/9 ТП(Transformers)/9-2 ЭО(Electric)/13623_vfor.xls</x:v>
      </x:c>
      <x:c r="H994" s="28" t="n">
        <x:v>43520</x:v>
      </x:c>
      <x:c r="I994" s="22" t="str">
        <x:v>45d383d1448e59a8f49860e92e6e7aa212038c27e4d7bce97a086cc21f88ccfe</x:v>
      </x:c>
      <x:c r="J994" s="22" t="n">
        <x:v>1</x:v>
      </x:c>
      <x:c r="K994" s="22" t="n">
        <x:v>1</x:v>
      </x:c>
      <x:c r="L994" s="22" t="n">
        <x:v>1</x:v>
      </x:c>
      <x:c r="M994" s="28" t="n">
        <x:v>0</x:v>
      </x:c>
      <x:c r="N994" s="28" t="n">
        <x:v>0</x:v>
      </x:c>
      <x:c r="O994" s="28" t="n">
        <x:v>0</x:v>
      </x:c>
      <x:c r="P994" s="62" t="n">
        <x:v>0</x:v>
      </x:c>
      <x:c r="Q994" s="22" t="n">
        <x:v>0</x:v>
      </x:c>
      <x:c r="R994" s="22" t="str"/>
      <x:c r="S994" s="22" t="str"/>
      <x:c r="T994" s="22" t="str"/>
    </x:row>
    <x:row r="995">
      <x:c r="A995" s="22" t="str">
        <x:v>2020-00086</x:v>
      </x:c>
      <x:c r="B995" s="22" t="str">
        <x:v>L2023-00053-1</x:v>
      </x:c>
      <x:c r="C995" s="22" t="str">
        <x:v>공사</x:v>
      </x:c>
      <x:c r="D995" s="25" t="str">
        <x:v>우즈베키스탄 직업훈련원 및 타슈켄트 교사연수센터 건립 시공업체 선정 현지입찰</x:v>
      </x:c>
      <x:c r="E995" s="22" t="n">
        <x:v>1</x:v>
      </x:c>
      <x:c r="F995" s="22" t="str">
        <x:v>.xls</x:v>
      </x:c>
      <x:c r="G995" s="25" t="str">
        <x:v>L2023-00053-1/Urgench VTC Bid Attachment Documents/Urgench VTC Bid Attachment Documents/Section 4.  Bill of Quantities(Not-Priced)/공내역서/VTC견적서/9 ТП(Transformers)/9-2 ЭО(Electric)/13623_vrmu.xls</x:v>
      </x:c>
      <x:c r="H995" s="28" t="n">
        <x:v>44544</x:v>
      </x:c>
      <x:c r="I995" s="22" t="str">
        <x:v>9c376ffd83f74a7a0482782b87e52d87f3fd57e8ae172745d22dd2b5f75c87d3</x:v>
      </x:c>
      <x:c r="J995" s="22" t="n">
        <x:v>1</x:v>
      </x:c>
      <x:c r="K995" s="22" t="n">
        <x:v>1</x:v>
      </x:c>
      <x:c r="L995" s="22" t="n">
        <x:v>1</x:v>
      </x:c>
      <x:c r="M995" s="28" t="n">
        <x:v>1</x:v>
      </x:c>
      <x:c r="N995" s="28" t="n">
        <x:v>25</x:v>
      </x:c>
      <x:c r="O995" s="28" t="n">
        <x:v>1</x:v>
      </x:c>
      <x:c r="P995" s="62" t="n">
        <x:v>0.04</x:v>
      </x:c>
      <x:c r="Q995" s="22" t="n">
        <x:v>0</x:v>
      </x:c>
      <x:c r="R995" s="22" t="str">
        <x:v>Лист1</x:v>
      </x:c>
      <x:c r="S995" s="22" t="str">
        <x:v>visible</x:v>
      </x:c>
      <x:c r="T995" s="22" t="str"/>
    </x:row>
    <x:row r="996">
      <x:c r="A996" s="22" t="str">
        <x:v>2020-00086</x:v>
      </x:c>
      <x:c r="B996" s="22" t="str">
        <x:v>L2023-00053-1</x:v>
      </x:c>
      <x:c r="C996" s="22" t="str">
        <x:v>공사</x:v>
      </x:c>
      <x:c r="D996" s="25" t="str">
        <x:v>우즈베키스탄 직업훈련원 및 타슈켄트 교사연수센터 건립 시공업체 선정 현지입찰</x:v>
      </x:c>
      <x:c r="E996" s="22" t="n">
        <x:v>1</x:v>
      </x:c>
      <x:c r="F996" s="22" t="str">
        <x:v>.xls</x:v>
      </x:c>
      <x:c r="G996" s="25" t="str">
        <x:v>L2023-00053-1/Urgench VTC Bid Attachment Documents/Urgench VTC Bid Attachment Documents/Section 4.  Bill of Quantities(Not-Priced)/공내역서/VTC견적서/9 ТП(Transformers)/9-1 AC(Architecture+Structure)/13613_vrmu.xls</x:v>
      </x:c>
      <x:c r="H996" s="28" t="n">
        <x:v>52224</x:v>
      </x:c>
      <x:c r="I996" s="22" t="str">
        <x:v>dac492bc0da9304780f8cd01f3d5f4471428e5935002eef499f872bcaa423196</x:v>
      </x:c>
      <x:c r="J996" s="22" t="n">
        <x:v>1</x:v>
      </x:c>
      <x:c r="K996" s="22" t="n">
        <x:v>1</x:v>
      </x:c>
      <x:c r="L996" s="22" t="n">
        <x:v>1</x:v>
      </x:c>
      <x:c r="M996" s="28" t="n">
        <x:v>1</x:v>
      </x:c>
      <x:c r="N996" s="28" t="n">
        <x:v>60</x:v>
      </x:c>
      <x:c r="O996" s="28" t="n">
        <x:v>1</x:v>
      </x:c>
      <x:c r="P996" s="62" t="n">
        <x:v>0.016666666666666666</x:v>
      </x:c>
      <x:c r="Q996" s="22" t="n">
        <x:v>0</x:v>
      </x:c>
      <x:c r="R996" s="22" t="str">
        <x:v>Лист1</x:v>
      </x:c>
      <x:c r="S996" s="22" t="str">
        <x:v>visible</x:v>
      </x:c>
      <x:c r="T996" s="22" t="str"/>
    </x:row>
    <x:row r="997">
      <x:c r="A997" s="22" t="str">
        <x:v>2020-00086</x:v>
      </x:c>
      <x:c r="B997" s="22" t="str">
        <x:v>L2023-00053-1</x:v>
      </x:c>
      <x:c r="C997" s="22" t="str">
        <x:v>공사</x:v>
      </x:c>
      <x:c r="D997" s="25" t="str">
        <x:v>우즈베키스탄 직업훈련원 및 타슈켄트 교사연수센터 건립 시공업체 선정 현지입찰</x:v>
      </x:c>
      <x:c r="E997" s="22" t="n">
        <x:v>1</x:v>
      </x:c>
      <x:c r="F997" s="22" t="str">
        <x:v>.xls</x:v>
      </x:c>
      <x:c r="G997" s="25" t="str">
        <x:v>L2023-00053-1/Urgench VTC Bid Attachment Documents/Urgench VTC Bid Attachment Documents/Section 4.  Bill of Quantities(Not-Priced)/공내역서/VTC견적서/9 ТП(Transformers)/9-1 AC(Architecture+Structure)/bv13610.xls</x:v>
      </x:c>
      <x:c r="H997" s="28" t="n">
        <x:v>87552</x:v>
      </x:c>
      <x:c r="I997" s="22" t="str">
        <x:v>9c3b233e7eee9e95f4d7e3a8fd06879e5232932fea0154ee2d2ca48539bf46ec</x:v>
      </x:c>
      <x:c r="J997" s="22" t="n">
        <x:v>1</x:v>
      </x:c>
      <x:c r="K997" s="22" t="n">
        <x:v>1</x:v>
      </x:c>
      <x:c r="L997" s="22" t="n">
        <x:v>1</x:v>
      </x:c>
      <x:c r="M997" s="28" t="n">
        <x:v>0</x:v>
      </x:c>
      <x:c r="N997" s="28" t="n">
        <x:v>0</x:v>
      </x:c>
      <x:c r="O997" s="28" t="n">
        <x:v>0</x:v>
      </x:c>
      <x:c r="P997" s="62" t="n">
        <x:v>0</x:v>
      </x:c>
      <x:c r="Q997" s="22" t="n">
        <x:v>0</x:v>
      </x:c>
      <x:c r="R997" s="22" t="str"/>
      <x:c r="S997" s="22" t="str"/>
      <x:c r="T997" s="22" t="str"/>
    </x:row>
    <x:row r="998">
      <x:c r="A998" s="22" t="str">
        <x:v>2020-00086</x:v>
      </x:c>
      <x:c r="B998" s="22" t="str">
        <x:v>L2023-00053-1</x:v>
      </x:c>
      <x:c r="C998" s="22" t="str">
        <x:v>공사</x:v>
      </x:c>
      <x:c r="D998" s="25" t="str">
        <x:v>우즈베키스탄 직업훈련원 및 타슈켄트 교사연수센터 건립 시공업체 선정 현지입찰</x:v>
      </x:c>
      <x:c r="E998" s="22" t="n">
        <x:v>1</x:v>
      </x:c>
      <x:c r="F998" s="22" t="str">
        <x:v>.xls</x:v>
      </x:c>
      <x:c r="G998" s="25" t="str">
        <x:v>L2023-00053-1/Urgench VTC Bid Attachment Documents/Urgench VTC Bid Attachment Documents/Section 4.  Bill of Quantities(Not-Priced)/공내역서/VTC견적서/9 ТП(Transformers)/9-1 AC(Architecture+Structure)/13613_vfor.xls</x:v>
      </x:c>
      <x:c r="H998" s="28" t="n">
        <x:v>43520</x:v>
      </x:c>
      <x:c r="I998" s="22" t="str">
        <x:v>d44f0b5ecfc1065f05341153878714679026a9bf6545cc1f41a3b99d2fc64e82</x:v>
      </x:c>
      <x:c r="J998" s="22" t="n">
        <x:v>1</x:v>
      </x:c>
      <x:c r="K998" s="22" t="n">
        <x:v>1</x:v>
      </x:c>
      <x:c r="L998" s="22" t="n">
        <x:v>1</x:v>
      </x:c>
      <x:c r="M998" s="28" t="n">
        <x:v>0</x:v>
      </x:c>
      <x:c r="N998" s="28" t="n">
        <x:v>0</x:v>
      </x:c>
      <x:c r="O998" s="28" t="n">
        <x:v>0</x:v>
      </x:c>
      <x:c r="P998" s="62" t="n">
        <x:v>0</x:v>
      </x:c>
      <x:c r="Q998" s="22" t="n">
        <x:v>0</x:v>
      </x:c>
      <x:c r="R998" s="22" t="str"/>
      <x:c r="S998" s="22" t="str"/>
      <x:c r="T998" s="22" t="str"/>
    </x:row>
    <x:row r="999">
      <x:c r="A999" s="22" t="str">
        <x:v>2020-00086</x:v>
      </x:c>
      <x:c r="B999" s="22" t="str">
        <x:v>L2023-00053-1</x:v>
      </x:c>
      <x:c r="C999" s="22" t="str">
        <x:v>공사</x:v>
      </x:c>
      <x:c r="D999" s="25" t="str">
        <x:v>우즈베키스탄 직업훈련원 및 타슈켄트 교사연수센터 건립 시공업체 선정 현지입찰</x:v>
      </x:c>
      <x:c r="E999" s="22" t="n">
        <x:v>1</x:v>
      </x:c>
      <x:c r="F999" s="22" t="str">
        <x:v>.xlsx</x:v>
      </x:c>
      <x:c r="G999" s="25" t="str">
        <x:v>L2023-00053-1/Urgench VTC Bid Attachment Documents/Urgench VTC Bid Attachment Documents/Section 4.  Bill of Quantities(Not-Priced)/공내역서/TTC견적서/TTC(Teacher Traing Center)/СВОДКА(TTC Total sum. o).xlsx</x:v>
      </x:c>
      <x:c r="H999" s="28" t="n">
        <x:v>32243</x:v>
      </x:c>
      <x:c r="I999" s="22" t="str">
        <x:v>18f7fed124e549f8d045a52b65bfb032bfd797fb45093bfe24108488bd7f0010</x:v>
      </x:c>
      <x:c r="J999" s="22" t="n">
        <x:v>1</x:v>
      </x:c>
      <x:c r="K999" s="22" t="n">
        <x:v>1</x:v>
      </x:c>
      <x:c r="L999" s="22" t="n">
        <x:v>1</x:v>
      </x:c>
      <x:c r="M999" s="28" t="n">
        <x:v>0</x:v>
      </x:c>
      <x:c r="N999" s="28" t="n">
        <x:v>0</x:v>
      </x:c>
      <x:c r="O999" s="28" t="n">
        <x:v>0</x:v>
      </x:c>
      <x:c r="P999" s="62" t="n">
        <x:v>0</x:v>
      </x:c>
      <x:c r="Q999" s="22" t="n">
        <x:v>0</x:v>
      </x:c>
      <x:c r="R999" s="22" t="str"/>
      <x:c r="S999" s="22" t="str"/>
      <x:c r="T999" s="22" t="str"/>
    </x:row>
    <x:row r="1000">
      <x:c r="A1000" s="22" t="str">
        <x:v>2020-00086</x:v>
      </x:c>
      <x:c r="B1000" s="22" t="str">
        <x:v>L2023-00053-1</x:v>
      </x:c>
      <x:c r="C1000" s="22" t="str">
        <x:v>공사</x:v>
      </x:c>
      <x:c r="D1000" s="25" t="str">
        <x:v>우즈베키스탄 직업훈련원 및 타슈켄트 교사연수센터 건립 시공업체 선정 현지입찰</x:v>
      </x:c>
      <x:c r="E1000" s="22" t="n">
        <x:v>1</x:v>
      </x:c>
      <x:c r="F1000" s="22" t="str">
        <x:v>.xlsx</x:v>
      </x:c>
      <x:c r="G1000" s="25" t="str">
        <x:v>L2023-00053-1/Urgench VTC Bid Attachment Documents/Urgench VTC Bid Attachment Documents/Section 4.  Bill of Quantities(Not-Priced)/공내역서/TTC견적서/TTC(Teacher Traing Center)/12 OB( Heating &amp; Ventilation)/ra900.xlsx</x:v>
      </x:c>
      <x:c r="H1000" s="28" t="n">
        <x:v>25457</x:v>
      </x:c>
      <x:c r="I1000" s="22" t="str">
        <x:v>c0e7dba7fed37589ec6340137fd80e3748fc4e6f60d5a31a1732a90a20c89215</x:v>
      </x:c>
      <x:c r="J1000" s="22" t="n">
        <x:v>1</x:v>
      </x:c>
      <x:c r="K1000" s="22" t="n">
        <x:v>1</x:v>
      </x:c>
      <x:c r="L1000" s="22" t="n">
        <x:v>1</x:v>
      </x:c>
      <x:c r="M1000" s="28" t="n">
        <x:v>1</x:v>
      </x:c>
      <x:c r="N1000" s="28" t="n">
        <x:v>145</x:v>
      </x:c>
      <x:c r="O1000" s="28" t="n">
        <x:v>0</x:v>
      </x:c>
      <x:c r="P1000" s="62" t="n">
        <x:v>0</x:v>
      </x:c>
      <x:c r="Q1000" s="22" t="n">
        <x:v>0</x:v>
      </x:c>
      <x:c r="R1000" s="22" t="str">
        <x:v>ra_abc4</x:v>
      </x:c>
      <x:c r="S1000" s="22" t="str">
        <x:v>visible</x:v>
      </x:c>
      <x:c r="T1000" s="22" t="str"/>
    </x:row>
    <x:row r="1001">
      <x:c r="A1001" s="22" t="str">
        <x:v>2020-00086</x:v>
      </x:c>
      <x:c r="B1001" s="22" t="str">
        <x:v>L2023-00053-1</x:v>
      </x:c>
      <x:c r="C1001" s="22" t="str">
        <x:v>공사</x:v>
      </x:c>
      <x:c r="D1001" s="25" t="str">
        <x:v>우즈베키스탄 직업훈련원 및 타슈켄트 교사연수센터 건립 시공업체 선정 현지입찰</x:v>
      </x:c>
      <x:c r="E1001" s="22" t="n">
        <x:v>1</x:v>
      </x:c>
      <x:c r="F1001" s="22" t="str">
        <x:v>.xlsx</x:v>
      </x:c>
      <x:c r="G1001" s="25" t="str">
        <x:v>L2023-00053-1/Urgench VTC Bid Attachment Documents/Urgench VTC Bid Attachment Documents/Section 4.  Bill of Quantities(Not-Priced)/공내역서/TTC견적서/TTC(Teacher Traing Center)/12 OB( Heating &amp; Ventilation)/bv900.xlsx</x:v>
      </x:c>
      <x:c r="H1001" s="28" t="n">
        <x:v>57114</x:v>
      </x:c>
      <x:c r="I1001" s="22" t="str">
        <x:v>6ecb37ae086780f16e98b30e7632769c400d862e9e881341019571e4635cfe62</x:v>
      </x:c>
      <x:c r="J1001" s="22" t="n">
        <x:v>1</x:v>
      </x:c>
      <x:c r="K1001" s="22" t="n">
        <x:v>1</x:v>
      </x:c>
      <x:c r="L1001" s="22" t="n">
        <x:v>1</x:v>
      </x:c>
      <x:c r="M1001" s="28" t="n">
        <x:v>1</x:v>
      </x:c>
      <x:c r="N1001" s="28" t="n">
        <x:v>583</x:v>
      </x:c>
      <x:c r="O1001" s="28" t="n">
        <x:v>0</x:v>
      </x:c>
      <x:c r="P1001" s="62" t="n">
        <x:v>0</x:v>
      </x:c>
      <x:c r="Q1001" s="22" t="n">
        <x:v>0</x:v>
      </x:c>
      <x:c r="R1001" s="22" t="str">
        <x:v>_ЛРВ</x:v>
      </x:c>
      <x:c r="S1001" s="22" t="str">
        <x:v>visible</x:v>
      </x:c>
      <x:c r="T1001" s="22" t="str"/>
    </x:row>
    <x:row r="1002">
      <x:c r="A1002" s="22" t="str">
        <x:v>2020-00086</x:v>
      </x:c>
      <x:c r="B1002" s="22" t="str">
        <x:v>L2023-00053-1</x:v>
      </x:c>
      <x:c r="C1002" s="22" t="str">
        <x:v>공사</x:v>
      </x:c>
      <x:c r="D1002" s="25" t="str">
        <x:v>우즈베키스탄 직업훈련원 및 타슈켄트 교사연수센터 건립 시공업체 선정 현지입찰</x:v>
      </x:c>
      <x:c r="E1002" s="22" t="n">
        <x:v>1</x:v>
      </x:c>
      <x:c r="F1002" s="22" t="str">
        <x:v>.xlsx</x:v>
      </x:c>
      <x:c r="G1002" s="25" t="str">
        <x:v>L2023-00053-1/Urgench VTC Bid Attachment Documents/Urgench VTC Bid Attachment Documents/Section 4.  Bill of Quantities(Not-Priced)/공내역서/TTC견적서/TTC(Teacher Traing Center)/10 СКС(Network)/ra880.xlsx</x:v>
      </x:c>
      <x:c r="H1002" s="28" t="n">
        <x:v>18030</x:v>
      </x:c>
      <x:c r="I1002" s="22" t="str">
        <x:v>199cd0082bbab1b40761e3488c1f1d8640ea614526e9e2299473c945cad04b3c</x:v>
      </x:c>
      <x:c r="J1002" s="22" t="n">
        <x:v>1</x:v>
      </x:c>
      <x:c r="K1002" s="22" t="n">
        <x:v>1</x:v>
      </x:c>
      <x:c r="L1002" s="22" t="n">
        <x:v>1</x:v>
      </x:c>
      <x:c r="M1002" s="28" t="n">
        <x:v>1</x:v>
      </x:c>
      <x:c r="N1002" s="28" t="n">
        <x:v>46</x:v>
      </x:c>
      <x:c r="O1002" s="28" t="n">
        <x:v>0</x:v>
      </x:c>
      <x:c r="P1002" s="62" t="n">
        <x:v>0</x:v>
      </x:c>
      <x:c r="Q1002" s="22" t="n">
        <x:v>0</x:v>
      </x:c>
      <x:c r="R1002" s="22" t="str">
        <x:v>ra_abc4</x:v>
      </x:c>
      <x:c r="S1002" s="22" t="str">
        <x:v>visible</x:v>
      </x:c>
      <x:c r="T1002" s="22" t="str"/>
    </x:row>
    <x:row r="1003">
      <x:c r="A1003" s="22" t="str">
        <x:v>2020-00086</x:v>
      </x:c>
      <x:c r="B1003" s="22" t="str">
        <x:v>L2023-00053-1</x:v>
      </x:c>
      <x:c r="C1003" s="22" t="str">
        <x:v>공사</x:v>
      </x:c>
      <x:c r="D1003" s="25" t="str">
        <x:v>우즈베키스탄 직업훈련원 및 타슈켄트 교사연수센터 건립 시공업체 선정 현지입찰</x:v>
      </x:c>
      <x:c r="E1003" s="22" t="n">
        <x:v>1</x:v>
      </x:c>
      <x:c r="F1003" s="22" t="str">
        <x:v>.xlsx</x:v>
      </x:c>
      <x:c r="G1003" s="25" t="str">
        <x:v>L2023-00053-1/Urgench VTC Bid Attachment Documents/Urgench VTC Bid Attachment Documents/Section 4.  Bill of Quantities(Not-Priced)/공내역서/TTC견적서/TTC(Teacher Traing Center)/10 СКС(Network)/bv880.xlsx</x:v>
      </x:c>
      <x:c r="H1003" s="28" t="n">
        <x:v>18727</x:v>
      </x:c>
      <x:c r="I1003" s="22" t="str">
        <x:v>7dbc22ca005e0e4c226c79d089e7a86d1cf9d86c5ce303f40f114936328702ea</x:v>
      </x:c>
      <x:c r="J1003" s="22" t="n">
        <x:v>1</x:v>
      </x:c>
      <x:c r="K1003" s="22" t="n">
        <x:v>1</x:v>
      </x:c>
      <x:c r="L1003" s="22" t="n">
        <x:v>1</x:v>
      </x:c>
      <x:c r="M1003" s="28" t="n">
        <x:v>1</x:v>
      </x:c>
      <x:c r="N1003" s="28" t="n">
        <x:v>72</x:v>
      </x:c>
      <x:c r="O1003" s="28" t="n">
        <x:v>0</x:v>
      </x:c>
      <x:c r="P1003" s="62" t="n">
        <x:v>0</x:v>
      </x:c>
      <x:c r="Q1003" s="22" t="n">
        <x:v>0</x:v>
      </x:c>
      <x:c r="R1003" s="22" t="str">
        <x:v>_ЛРВ</x:v>
      </x:c>
      <x:c r="S1003" s="22" t="str">
        <x:v>visible</x:v>
      </x:c>
      <x:c r="T1003" s="22" t="str"/>
    </x:row>
    <x:row r="1004">
      <x:c r="A1004" s="22" t="str">
        <x:v>2020-00086</x:v>
      </x:c>
      <x:c r="B1004" s="22" t="str">
        <x:v>L2023-00053-1</x:v>
      </x:c>
      <x:c r="C1004" s="22" t="str">
        <x:v>공사</x:v>
      </x:c>
      <x:c r="D1004" s="25" t="str">
        <x:v>우즈베키스탄 직업훈련원 및 타슈켄트 교사연수센터 건립 시공업체 선정 현지입찰</x:v>
      </x:c>
      <x:c r="E1004" s="22" t="n">
        <x:v>1</x:v>
      </x:c>
      <x:c r="F1004" s="22" t="str">
        <x:v>.xlsx</x:v>
      </x:c>
      <x:c r="G1004" s="25" t="str">
        <x:v>L2023-00053-1/Urgench VTC Bid Attachment Documents/Urgench VTC Bid Attachment Documents/Section 4.  Bill of Quantities(Not-Priced)/공내역서/TTC견적서/TTC(Teacher Traing Center)/9 ЭО(Electric)/bv870.xlsx</x:v>
      </x:c>
      <x:c r="H1004" s="28" t="n">
        <x:v>24024</x:v>
      </x:c>
      <x:c r="I1004" s="22" t="str">
        <x:v>590053cdfd59adba7a4b5f88ecdf76f97cfb3c4d11e98da39322368216c48da9</x:v>
      </x:c>
      <x:c r="J1004" s="22" t="n">
        <x:v>1</x:v>
      </x:c>
      <x:c r="K1004" s="22" t="n">
        <x:v>1</x:v>
      </x:c>
      <x:c r="L1004" s="22" t="n">
        <x:v>1</x:v>
      </x:c>
      <x:c r="M1004" s="28" t="n">
        <x:v>1</x:v>
      </x:c>
      <x:c r="N1004" s="28" t="n">
        <x:v>135</x:v>
      </x:c>
      <x:c r="O1004" s="28" t="n">
        <x:v>0</x:v>
      </x:c>
      <x:c r="P1004" s="62" t="n">
        <x:v>0</x:v>
      </x:c>
      <x:c r="Q1004" s="22" t="n">
        <x:v>0</x:v>
      </x:c>
      <x:c r="R1004" s="22" t="str">
        <x:v>_ЛРВ</x:v>
      </x:c>
      <x:c r="S1004" s="22" t="str">
        <x:v>visible</x:v>
      </x:c>
      <x:c r="T1004" s="22" t="str"/>
    </x:row>
    <x:row r="1005">
      <x:c r="A1005" s="22" t="str">
        <x:v>2020-00086</x:v>
      </x:c>
      <x:c r="B1005" s="22" t="str">
        <x:v>L2023-00053-1</x:v>
      </x:c>
      <x:c r="C1005" s="22" t="str">
        <x:v>공사</x:v>
      </x:c>
      <x:c r="D1005" s="25" t="str">
        <x:v>우즈베키스탄 직업훈련원 및 타슈켄트 교사연수센터 건립 시공업체 선정 현지입찰</x:v>
      </x:c>
      <x:c r="E1005" s="22" t="n">
        <x:v>1</x:v>
      </x:c>
      <x:c r="F1005" s="22" t="str">
        <x:v>.xlsx</x:v>
      </x:c>
      <x:c r="G1005" s="25" t="str">
        <x:v>L2023-00053-1/Urgench VTC Bid Attachment Documents/Urgench VTC Bid Attachment Documents/Section 4.  Bill of Quantities(Not-Priced)/공내역서/TTC견적서/TTC(Teacher Traing Center)/9 ЭО(Electric)/ra870.xlsx</x:v>
      </x:c>
      <x:c r="H1005" s="28" t="n">
        <x:v>17554</x:v>
      </x:c>
      <x:c r="I1005" s="22" t="str">
        <x:v>86bcd13f1e122deed0898b8d011d1d581353131e0abde33c435654236fba8f3e</x:v>
      </x:c>
      <x:c r="J1005" s="22" t="n">
        <x:v>1</x:v>
      </x:c>
      <x:c r="K1005" s="22" t="n">
        <x:v>1</x:v>
      </x:c>
      <x:c r="L1005" s="22" t="n">
        <x:v>1</x:v>
      </x:c>
      <x:c r="M1005" s="28" t="n">
        <x:v>1</x:v>
      </x:c>
      <x:c r="N1005" s="28" t="n">
        <x:v>44</x:v>
      </x:c>
      <x:c r="O1005" s="28" t="n">
        <x:v>0</x:v>
      </x:c>
      <x:c r="P1005" s="62" t="n">
        <x:v>0</x:v>
      </x:c>
      <x:c r="Q1005" s="22" t="n">
        <x:v>0</x:v>
      </x:c>
      <x:c r="R1005" s="22" t="str">
        <x:v>ra_abc4</x:v>
      </x:c>
      <x:c r="S1005" s="22" t="str">
        <x:v>visible</x:v>
      </x:c>
      <x:c r="T1005" s="22" t="str"/>
    </x:row>
    <x:row r="1006">
      <x:c r="A1006" s="22" t="str">
        <x:v>2020-00086</x:v>
      </x:c>
      <x:c r="B1006" s="22" t="str">
        <x:v>L2023-00053-1</x:v>
      </x:c>
      <x:c r="C1006" s="22" t="str">
        <x:v>공사</x:v>
      </x:c>
      <x:c r="D1006" s="25" t="str">
        <x:v>우즈베키스탄 직업훈련원 및 타슈켄트 교사연수센터 건립 시공업체 선정 현지입찰</x:v>
      </x:c>
      <x:c r="E1006" s="22" t="n">
        <x:v>1</x:v>
      </x:c>
      <x:c r="F1006" s="22" t="str">
        <x:v>.xlsx</x:v>
      </x:c>
      <x:c r="G1006" s="25" t="str">
        <x:v>L2023-00053-1/Urgench VTC Bid Attachment Documents/Urgench VTC Bid Attachment Documents/Section 4.  Bill of Quantities(Not-Priced)/공내역서/TTC견적서/TTC(Teacher Traing Center)/2 АР(Architecture)/ra3030.xlsx</x:v>
      </x:c>
      <x:c r="H1006" s="28" t="n">
        <x:v>27171</x:v>
      </x:c>
      <x:c r="I1006" s="22" t="str">
        <x:v>1ab32257b417f35173d37ca063d6c865481a2c4e20984dbfcccad7ba6691eea3</x:v>
      </x:c>
      <x:c r="J1006" s="22" t="n">
        <x:v>1</x:v>
      </x:c>
      <x:c r="K1006" s="22" t="n">
        <x:v>1</x:v>
      </x:c>
      <x:c r="L1006" s="22" t="n">
        <x:v>1</x:v>
      </x:c>
      <x:c r="M1006" s="28" t="n">
        <x:v>1</x:v>
      </x:c>
      <x:c r="N1006" s="28" t="n">
        <x:v>142</x:v>
      </x:c>
      <x:c r="O1006" s="28" t="n">
        <x:v>0</x:v>
      </x:c>
      <x:c r="P1006" s="62" t="n">
        <x:v>0</x:v>
      </x:c>
      <x:c r="Q1006" s="22" t="n">
        <x:v>0</x:v>
      </x:c>
      <x:c r="R1006" s="22" t="str">
        <x:v>ra_abc4</x:v>
      </x:c>
      <x:c r="S1006" s="22" t="str">
        <x:v>visible</x:v>
      </x:c>
      <x:c r="T1006" s="22" t="str"/>
    </x:row>
    <x:row r="1007">
      <x:c r="A1007" s="22" t="str">
        <x:v>2020-00086</x:v>
      </x:c>
      <x:c r="B1007" s="22" t="str">
        <x:v>L2023-00053-1</x:v>
      </x:c>
      <x:c r="C1007" s="22" t="str">
        <x:v>공사</x:v>
      </x:c>
      <x:c r="D1007" s="25" t="str">
        <x:v>우즈베키스탄 직업훈련원 및 타슈켄트 교사연수센터 건립 시공업체 선정 현지입찰</x:v>
      </x:c>
      <x:c r="E1007" s="22" t="n">
        <x:v>1</x:v>
      </x:c>
      <x:c r="F1007" s="22" t="str">
        <x:v>.xlsx</x:v>
      </x:c>
      <x:c r="G1007" s="25" t="str">
        <x:v>L2023-00053-1/Urgench VTC Bid Attachment Documents/Urgench VTC Bid Attachment Documents/Section 4.  Bill of Quantities(Not-Priced)/공내역서/TTC견적서/TTC(Teacher Traing Center)/2 АР(Architecture)/bv3030.xlsx</x:v>
      </x:c>
      <x:c r="H1007" s="28" t="n">
        <x:v>84434</x:v>
      </x:c>
      <x:c r="I1007" s="22" t="str">
        <x:v>fe7024582a9e7a27577e95f0b5c83b062807ddf1c456cf8c97eea3f47349b1f3</x:v>
      </x:c>
      <x:c r="J1007" s="22" t="n">
        <x:v>1</x:v>
      </x:c>
      <x:c r="K1007" s="22" t="n">
        <x:v>1</x:v>
      </x:c>
      <x:c r="L1007" s="22" t="n">
        <x:v>1</x:v>
      </x:c>
      <x:c r="M1007" s="28" t="n">
        <x:v>1</x:v>
      </x:c>
      <x:c r="N1007" s="28" t="n">
        <x:v>720</x:v>
      </x:c>
      <x:c r="O1007" s="28" t="n">
        <x:v>0</x:v>
      </x:c>
      <x:c r="P1007" s="62" t="n">
        <x:v>0</x:v>
      </x:c>
      <x:c r="Q1007" s="22" t="n">
        <x:v>0</x:v>
      </x:c>
      <x:c r="R1007" s="22" t="str">
        <x:v>_ЛРВ</x:v>
      </x:c>
      <x:c r="S1007" s="22" t="str">
        <x:v>visible</x:v>
      </x:c>
      <x:c r="T1007" s="22" t="str"/>
    </x:row>
    <x:row r="1008">
      <x:c r="A1008" s="22" t="str">
        <x:v>2020-00086</x:v>
      </x:c>
      <x:c r="B1008" s="22" t="str">
        <x:v>L2023-00053-1</x:v>
      </x:c>
      <x:c r="C1008" s="22" t="str">
        <x:v>공사</x:v>
      </x:c>
      <x:c r="D1008" s="25" t="str">
        <x:v>우즈베키스탄 직업훈련원 및 타슈켄트 교사연수센터 건립 시공업체 선정 현지입찰</x:v>
      </x:c>
      <x:c r="E1008" s="22" t="n">
        <x:v>1</x:v>
      </x:c>
      <x:c r="F1008" s="22" t="str">
        <x:v>.xlsx</x:v>
      </x:c>
      <x:c r="G1008" s="25" t="str">
        <x:v>L2023-00053-1/Urgench VTC Bid Attachment Documents/Urgench VTC Bid Attachment Documents/Section 4.  Bill of Quantities(Not-Priced)/공내역서/TTC견적서/TTC(Teacher Traing Center)/7 CO(Suond)/ra3050.xlsx</x:v>
      </x:c>
      <x:c r="H1008" s="28" t="n">
        <x:v>16144</x:v>
      </x:c>
      <x:c r="I1008" s="22" t="str">
        <x:v>3cf45bc9f2d27c43f48e134d2bfd9e01b5da1619124aac33d045fbd062047f42</x:v>
      </x:c>
      <x:c r="J1008" s="22" t="n">
        <x:v>1</x:v>
      </x:c>
      <x:c r="K1008" s="22" t="n">
        <x:v>1</x:v>
      </x:c>
      <x:c r="L1008" s="22" t="n">
        <x:v>1</x:v>
      </x:c>
      <x:c r="M1008" s="28" t="n">
        <x:v>1</x:v>
      </x:c>
      <x:c r="N1008" s="28" t="n">
        <x:v>26</x:v>
      </x:c>
      <x:c r="O1008" s="28" t="n">
        <x:v>0</x:v>
      </x:c>
      <x:c r="P1008" s="62" t="n">
        <x:v>0</x:v>
      </x:c>
      <x:c r="Q1008" s="22" t="n">
        <x:v>0</x:v>
      </x:c>
      <x:c r="R1008" s="22" t="str">
        <x:v>ra_abc4</x:v>
      </x:c>
      <x:c r="S1008" s="22" t="str">
        <x:v>visible</x:v>
      </x:c>
      <x:c r="T1008" s="22" t="str"/>
    </x:row>
    <x:row r="1009">
      <x:c r="A1009" s="22" t="str">
        <x:v>2020-00086</x:v>
      </x:c>
      <x:c r="B1009" s="22" t="str">
        <x:v>L2023-00053-1</x:v>
      </x:c>
      <x:c r="C1009" s="22" t="str">
        <x:v>공사</x:v>
      </x:c>
      <x:c r="D1009" s="25" t="str">
        <x:v>우즈베키스탄 직업훈련원 및 타슈켄트 교사연수센터 건립 시공업체 선정 현지입찰</x:v>
      </x:c>
      <x:c r="E1009" s="22" t="n">
        <x:v>1</x:v>
      </x:c>
      <x:c r="F1009" s="22" t="str">
        <x:v>.xlsx</x:v>
      </x:c>
      <x:c r="G1009" s="25" t="str">
        <x:v>L2023-00053-1/Urgench VTC Bid Attachment Documents/Urgench VTC Bid Attachment Documents/Section 4.  Bill of Quantities(Not-Priced)/공내역서/TTC견적서/TTC(Teacher Traing Center)/7 CO(Suond)/bv3050.xlsx</x:v>
      </x:c>
      <x:c r="H1009" s="28" t="n">
        <x:v>19167</x:v>
      </x:c>
      <x:c r="I1009" s="22" t="str">
        <x:v>d8736b6fb22ca90bb5af5c298fc86e1ee24f5e86a706ccd04c842123ad6d6659</x:v>
      </x:c>
      <x:c r="J1009" s="22" t="n">
        <x:v>1</x:v>
      </x:c>
      <x:c r="K1009" s="22" t="n">
        <x:v>1</x:v>
      </x:c>
      <x:c r="L1009" s="22" t="n">
        <x:v>1</x:v>
      </x:c>
      <x:c r="M1009" s="28" t="n">
        <x:v>1</x:v>
      </x:c>
      <x:c r="N1009" s="28" t="n">
        <x:v>47</x:v>
      </x:c>
      <x:c r="O1009" s="28" t="n">
        <x:v>0</x:v>
      </x:c>
      <x:c r="P1009" s="62" t="n">
        <x:v>0</x:v>
      </x:c>
      <x:c r="Q1009" s="22" t="n">
        <x:v>0</x:v>
      </x:c>
      <x:c r="R1009" s="22" t="str">
        <x:v>_ЛРВ</x:v>
      </x:c>
      <x:c r="S1009" s="22" t="str">
        <x:v>visible</x:v>
      </x:c>
      <x:c r="T1009" s="22" t="str"/>
    </x:row>
    <x:row r="1010">
      <x:c r="A1010" s="22" t="str">
        <x:v>2020-00086</x:v>
      </x:c>
      <x:c r="B1010" s="22" t="str">
        <x:v>L2023-00053-1</x:v>
      </x:c>
      <x:c r="C1010" s="22" t="str">
        <x:v>공사</x:v>
      </x:c>
      <x:c r="D1010" s="25" t="str">
        <x:v>우즈베키스탄 직업훈련원 및 타슈켄트 교사연수센터 건립 시공업체 선정 현지입찰</x:v>
      </x:c>
      <x:c r="E1010" s="22" t="n">
        <x:v>1</x:v>
      </x:c>
      <x:c r="F1010" s="22" t="str">
        <x:v>.xlsx</x:v>
      </x:c>
      <x:c r="G1010" s="25" t="str">
        <x:v>L2023-00053-1/Urgench VTC Bid Attachment Documents/Urgench VTC Bid Attachment Documents/Section 4.  Bill of Quantities(Not-Priced)/공내역서/TTC견적서/TTC(Teacher Traing Center)/6 BH(CCTV)/bv3040.xlsx</x:v>
      </x:c>
      <x:c r="H1010" s="28" t="n">
        <x:v>17421</x:v>
      </x:c>
      <x:c r="I1010" s="22" t="str">
        <x:v>c087a01a7f5ee8bc03972781ebf3fd9e8b22b9403edf8c1afc5f58ba62cd9347</x:v>
      </x:c>
      <x:c r="J1010" s="22" t="n">
        <x:v>1</x:v>
      </x:c>
      <x:c r="K1010" s="22" t="n">
        <x:v>1</x:v>
      </x:c>
      <x:c r="L1010" s="22" t="n">
        <x:v>1</x:v>
      </x:c>
      <x:c r="M1010" s="28" t="n">
        <x:v>1</x:v>
      </x:c>
      <x:c r="N1010" s="28" t="n">
        <x:v>41</x:v>
      </x:c>
      <x:c r="O1010" s="28" t="n">
        <x:v>0</x:v>
      </x:c>
      <x:c r="P1010" s="62" t="n">
        <x:v>0</x:v>
      </x:c>
      <x:c r="Q1010" s="22" t="n">
        <x:v>0</x:v>
      </x:c>
      <x:c r="R1010" s="22" t="str">
        <x:v>_ЛРВ</x:v>
      </x:c>
      <x:c r="S1010" s="22" t="str">
        <x:v>visible</x:v>
      </x:c>
      <x:c r="T1010" s="22" t="str"/>
    </x:row>
    <x:row r="1011">
      <x:c r="A1011" s="22" t="str">
        <x:v>2020-00086</x:v>
      </x:c>
      <x:c r="B1011" s="22" t="str">
        <x:v>L2023-00053-1</x:v>
      </x:c>
      <x:c r="C1011" s="22" t="str">
        <x:v>공사</x:v>
      </x:c>
      <x:c r="D1011" s="25" t="str">
        <x:v>우즈베키스탄 직업훈련원 및 타슈켄트 교사연수센터 건립 시공업체 선정 현지입찰</x:v>
      </x:c>
      <x:c r="E1011" s="22" t="n">
        <x:v>1</x:v>
      </x:c>
      <x:c r="F1011" s="22" t="str">
        <x:v>.xlsx</x:v>
      </x:c>
      <x:c r="G1011" s="25" t="str">
        <x:v>L2023-00053-1/Urgench VTC Bid Attachment Documents/Urgench VTC Bid Attachment Documents/Section 4.  Bill of Quantities(Not-Priced)/공내역서/TTC견적서/TTC(Teacher Traing Center)/6 BH(CCTV)/ra3040.xlsx</x:v>
      </x:c>
      <x:c r="H1011" s="28" t="n">
        <x:v>15692</x:v>
      </x:c>
      <x:c r="I1011" s="22" t="str">
        <x:v>f5e37918a701d900c3b2bbe9e1043f237d948b3b8b8e292ed0b3f2ded32bfeef</x:v>
      </x:c>
      <x:c r="J1011" s="22" t="n">
        <x:v>1</x:v>
      </x:c>
      <x:c r="K1011" s="22" t="n">
        <x:v>1</x:v>
      </x:c>
      <x:c r="L1011" s="22" t="n">
        <x:v>1</x:v>
      </x:c>
      <x:c r="M1011" s="28" t="n">
        <x:v>1</x:v>
      </x:c>
      <x:c r="N1011" s="28" t="n">
        <x:v>21</x:v>
      </x:c>
      <x:c r="O1011" s="28" t="n">
        <x:v>0</x:v>
      </x:c>
      <x:c r="P1011" s="62" t="n">
        <x:v>0</x:v>
      </x:c>
      <x:c r="Q1011" s="22" t="n">
        <x:v>0</x:v>
      </x:c>
      <x:c r="R1011" s="22" t="str">
        <x:v>ra_abc4</x:v>
      </x:c>
      <x:c r="S1011" s="22" t="str">
        <x:v>visible</x:v>
      </x:c>
      <x:c r="T1011" s="22" t="str"/>
    </x:row>
    <x:row r="1012">
      <x:c r="A1012" s="22" t="str">
        <x:v>2020-00086</x:v>
      </x:c>
      <x:c r="B1012" s="22" t="str">
        <x:v>L2023-00053-1</x:v>
      </x:c>
      <x:c r="C1012" s="22" t="str">
        <x:v>공사</x:v>
      </x:c>
      <x:c r="D1012" s="25" t="str">
        <x:v>우즈베키스탄 직업훈련원 및 타슈켄트 교사연수센터 건립 시공업체 선정 현지입찰</x:v>
      </x:c>
      <x:c r="E1012" s="22" t="n">
        <x:v>1</x:v>
      </x:c>
      <x:c r="F1012" s="22" t="str">
        <x:v>.xlsx</x:v>
      </x:c>
      <x:c r="G1012" s="25" t="str">
        <x:v>L2023-00053-1/Urgench VTC Bid Attachment Documents/Urgench VTC Bid Attachment Documents/Section 4.  Bill of Quantities(Not-Priced)/공내역서/TTC견적서/TTC(Teacher Traing Center)/3 ГП(Site Plan &amp; Landscape+Outdoor Infra)/bv3060.xlsx</x:v>
      </x:c>
      <x:c r="H1012" s="28" t="n">
        <x:v>27660</x:v>
      </x:c>
      <x:c r="I1012" s="22" t="str">
        <x:v>d38cd3ff2234cd84ccd1adff4d2959195030ae5e3712b8ec0eff324533322e0f</x:v>
      </x:c>
      <x:c r="J1012" s="22" t="n">
        <x:v>1</x:v>
      </x:c>
      <x:c r="K1012" s="22" t="n">
        <x:v>1</x:v>
      </x:c>
      <x:c r="L1012" s="22" t="n">
        <x:v>1</x:v>
      </x:c>
      <x:c r="M1012" s="28" t="n">
        <x:v>1</x:v>
      </x:c>
      <x:c r="N1012" s="28" t="n">
        <x:v>119</x:v>
      </x:c>
      <x:c r="O1012" s="28" t="n">
        <x:v>0</x:v>
      </x:c>
      <x:c r="P1012" s="62" t="n">
        <x:v>0</x:v>
      </x:c>
      <x:c r="Q1012" s="22" t="n">
        <x:v>0</x:v>
      </x:c>
      <x:c r="R1012" s="22" t="str">
        <x:v>_ЛРВ</x:v>
      </x:c>
      <x:c r="S1012" s="22" t="str">
        <x:v>visible</x:v>
      </x:c>
      <x:c r="T1012" s="22" t="str"/>
    </x:row>
    <x:row r="1013">
      <x:c r="A1013" s="22" t="str">
        <x:v>2020-00086</x:v>
      </x:c>
      <x:c r="B1013" s="22" t="str">
        <x:v>L2023-00053-1</x:v>
      </x:c>
      <x:c r="C1013" s="22" t="str">
        <x:v>공사</x:v>
      </x:c>
      <x:c r="D1013" s="25" t="str">
        <x:v>우즈베키스탄 직업훈련원 및 타슈켄트 교사연수센터 건립 시공업체 선정 현지입찰</x:v>
      </x:c>
      <x:c r="E1013" s="22" t="n">
        <x:v>1</x:v>
      </x:c>
      <x:c r="F1013" s="22" t="str">
        <x:v>.xlsx</x:v>
      </x:c>
      <x:c r="G1013" s="25" t="str">
        <x:v>L2023-00053-1/Urgench VTC Bid Attachment Documents/Urgench VTC Bid Attachment Documents/Section 4.  Bill of Quantities(Not-Priced)/공내역서/TTC견적서/TTC(Teacher Traing Center)/3 ГП(Site Plan &amp; Landscape+Outdoor Infra)/ra3060.xlsx</x:v>
      </x:c>
      <x:c r="H1013" s="28" t="n">
        <x:v>18388</x:v>
      </x:c>
      <x:c r="I1013" s="22" t="str">
        <x:v>7d07a0c0b1035748d075950f03fed1b0792f6c426640217f52f3e44a82850c98</x:v>
      </x:c>
      <x:c r="J1013" s="22" t="n">
        <x:v>1</x:v>
      </x:c>
      <x:c r="K1013" s="22" t="n">
        <x:v>1</x:v>
      </x:c>
      <x:c r="L1013" s="22" t="n">
        <x:v>1</x:v>
      </x:c>
      <x:c r="M1013" s="28" t="n">
        <x:v>1</x:v>
      </x:c>
      <x:c r="N1013" s="28" t="n">
        <x:v>47</x:v>
      </x:c>
      <x:c r="O1013" s="28" t="n">
        <x:v>0</x:v>
      </x:c>
      <x:c r="P1013" s="62" t="n">
        <x:v>0</x:v>
      </x:c>
      <x:c r="Q1013" s="22" t="n">
        <x:v>0</x:v>
      </x:c>
      <x:c r="R1013" s="22" t="str">
        <x:v>ra_abc4</x:v>
      </x:c>
      <x:c r="S1013" s="22" t="str">
        <x:v>visible</x:v>
      </x:c>
      <x:c r="T1013" s="22" t="str"/>
    </x:row>
    <x:row r="1014">
      <x:c r="A1014" s="22" t="str">
        <x:v>2020-00086</x:v>
      </x:c>
      <x:c r="B1014" s="22" t="str">
        <x:v>L2023-00053-1</x:v>
      </x:c>
      <x:c r="C1014" s="22" t="str">
        <x:v>공사</x:v>
      </x:c>
      <x:c r="D1014" s="25" t="str">
        <x:v>우즈베키스탄 직업훈련원 및 타슈켄트 교사연수센터 건립 시공업체 선정 현지입찰</x:v>
      </x:c>
      <x:c r="E1014" s="22" t="n">
        <x:v>1</x:v>
      </x:c>
      <x:c r="F1014" s="22" t="str">
        <x:v>.xlsx</x:v>
      </x:c>
      <x:c r="G1014" s="25" t="str">
        <x:v>L2023-00053-1/Urgench VTC Bid Attachment Documents/Urgench VTC Bid Attachment Documents/Section 4.  Bill of Quantities(Not-Priced)/공내역서/TTC견적서/TTC(Teacher Traing Center)/11 ПС(Fire Alarm)/ra890.xlsx</x:v>
      </x:c>
      <x:c r="H1014" s="28" t="n">
        <x:v>16065</x:v>
      </x:c>
      <x:c r="I1014" s="22" t="str">
        <x:v>d8b2c9b85f45400cc7d8c27f259fa0c5b3e76d1b545bb75354989dbb43135b4d</x:v>
      </x:c>
      <x:c r="J1014" s="22" t="n">
        <x:v>1</x:v>
      </x:c>
      <x:c r="K1014" s="22" t="n">
        <x:v>1</x:v>
      </x:c>
      <x:c r="L1014" s="22" t="n">
        <x:v>1</x:v>
      </x:c>
      <x:c r="M1014" s="28" t="n">
        <x:v>1</x:v>
      </x:c>
      <x:c r="N1014" s="28" t="n">
        <x:v>26</x:v>
      </x:c>
      <x:c r="O1014" s="28" t="n">
        <x:v>0</x:v>
      </x:c>
      <x:c r="P1014" s="62" t="n">
        <x:v>0</x:v>
      </x:c>
      <x:c r="Q1014" s="22" t="n">
        <x:v>0</x:v>
      </x:c>
      <x:c r="R1014" s="22" t="str">
        <x:v>ra_abc4</x:v>
      </x:c>
      <x:c r="S1014" s="22" t="str">
        <x:v>visible</x:v>
      </x:c>
      <x:c r="T1014" s="22" t="str"/>
    </x:row>
    <x:row r="1015">
      <x:c r="A1015" s="22" t="str">
        <x:v>2020-00086</x:v>
      </x:c>
      <x:c r="B1015" s="22" t="str">
        <x:v>L2023-00053-1</x:v>
      </x:c>
      <x:c r="C1015" s="22" t="str">
        <x:v>공사</x:v>
      </x:c>
      <x:c r="D1015" s="25" t="str">
        <x:v>우즈베키스탄 직업훈련원 및 타슈켄트 교사연수센터 건립 시공업체 선정 현지입찰</x:v>
      </x:c>
      <x:c r="E1015" s="22" t="n">
        <x:v>1</x:v>
      </x:c>
      <x:c r="F1015" s="22" t="str">
        <x:v>.xlsx</x:v>
      </x:c>
      <x:c r="G1015" s="25" t="str">
        <x:v>L2023-00053-1/Urgench VTC Bid Attachment Documents/Urgench VTC Bid Attachment Documents/Section 4.  Bill of Quantities(Not-Priced)/공내역서/TTC견적서/TTC(Teacher Traing Center)/11 ПС(Fire Alarm)/bv890.xlsx</x:v>
      </x:c>
      <x:c r="H1015" s="28" t="n">
        <x:v>16239</x:v>
      </x:c>
      <x:c r="I1015" s="22" t="str">
        <x:v>8129ceac07201b1e597cc0f6a8cb95da3e9b128c6c78d846cc24a60a01eda92a</x:v>
      </x:c>
      <x:c r="J1015" s="22" t="n">
        <x:v>1</x:v>
      </x:c>
      <x:c r="K1015" s="22" t="n">
        <x:v>1</x:v>
      </x:c>
      <x:c r="L1015" s="22" t="n">
        <x:v>1</x:v>
      </x:c>
      <x:c r="M1015" s="28" t="n">
        <x:v>1</x:v>
      </x:c>
      <x:c r="N1015" s="28" t="n">
        <x:v>50</x:v>
      </x:c>
      <x:c r="O1015" s="28" t="n">
        <x:v>0</x:v>
      </x:c>
      <x:c r="P1015" s="62" t="n">
        <x:v>0</x:v>
      </x:c>
      <x:c r="Q1015" s="22" t="n">
        <x:v>0</x:v>
      </x:c>
      <x:c r="R1015" s="22" t="str">
        <x:v>_ЛРВ</x:v>
      </x:c>
      <x:c r="S1015" s="22" t="str">
        <x:v>visible</x:v>
      </x:c>
      <x:c r="T1015" s="22" t="str"/>
    </x:row>
    <x:row r="1016">
      <x:c r="A1016" s="22" t="str">
        <x:v>2020-00086</x:v>
      </x:c>
      <x:c r="B1016" s="22" t="str">
        <x:v>L2023-00053-1</x:v>
      </x:c>
      <x:c r="C1016" s="22" t="str">
        <x:v>공사</x:v>
      </x:c>
      <x:c r="D1016" s="25" t="str">
        <x:v>우즈베키스탄 직업훈련원 및 타슈켄트 교사연수센터 건립 시공업체 선정 현지입찰</x:v>
      </x:c>
      <x:c r="E1016" s="22" t="n">
        <x:v>1</x:v>
      </x:c>
      <x:c r="F1016" s="22" t="str">
        <x:v>.xlsx</x:v>
      </x:c>
      <x:c r="G1016" s="25" t="str">
        <x:v>L2023-00053-1/Urgench VTC Bid Attachment Documents/Urgench VTC Bid Attachment Documents/Section 4.  Bill of Quantities(Not-Priced)/공내역서/TTC견적서/TTC(Teacher Traing Center)/8 TX(Technology)/ra1980.xlsx</x:v>
      </x:c>
      <x:c r="H1016" s="28" t="n">
        <x:v>20617</x:v>
      </x:c>
      <x:c r="I1016" s="22" t="str">
        <x:v>622bb79188a8c68bb6c3ee2ce4251459a88c3c64cd720cfe0775331285385fe3</x:v>
      </x:c>
      <x:c r="J1016" s="22" t="n">
        <x:v>1</x:v>
      </x:c>
      <x:c r="K1016" s="22" t="n">
        <x:v>1</x:v>
      </x:c>
      <x:c r="L1016" s="22" t="n">
        <x:v>1</x:v>
      </x:c>
      <x:c r="M1016" s="28" t="n">
        <x:v>1</x:v>
      </x:c>
      <x:c r="N1016" s="28" t="n">
        <x:v>73</x:v>
      </x:c>
      <x:c r="O1016" s="28" t="n">
        <x:v>0</x:v>
      </x:c>
      <x:c r="P1016" s="62" t="n">
        <x:v>0</x:v>
      </x:c>
      <x:c r="Q1016" s="22" t="n">
        <x:v>0</x:v>
      </x:c>
      <x:c r="R1016" s="22" t="str">
        <x:v>ra_abc4</x:v>
      </x:c>
      <x:c r="S1016" s="22" t="str">
        <x:v>visible</x:v>
      </x:c>
      <x:c r="T1016" s="22" t="str"/>
    </x:row>
    <x:row r="1017">
      <x:c r="A1017" s="22" t="str">
        <x:v>2020-00086</x:v>
      </x:c>
      <x:c r="B1017" s="22" t="str">
        <x:v>L2023-00053-1</x:v>
      </x:c>
      <x:c r="C1017" s="22" t="str">
        <x:v>공사</x:v>
      </x:c>
      <x:c r="D1017" s="25" t="str">
        <x:v>우즈베키스탄 직업훈련원 및 타슈켄트 교사연수센터 건립 시공업체 선정 현지입찰</x:v>
      </x:c>
      <x:c r="E1017" s="22" t="n">
        <x:v>1</x:v>
      </x:c>
      <x:c r="F1017" s="22" t="str">
        <x:v>.xlsx</x:v>
      </x:c>
      <x:c r="G1017" s="25" t="str">
        <x:v>L2023-00053-1/Urgench VTC Bid Attachment Documents/Urgench VTC Bid Attachment Documents/Section 4.  Bill of Quantities(Not-Priced)/공내역서/TTC견적서/TTC(Teacher Traing Center)/8 TX(Technology)/bv1980.xlsx</x:v>
      </x:c>
      <x:c r="H1017" s="28" t="n">
        <x:v>26757</x:v>
      </x:c>
      <x:c r="I1017" s="22" t="str">
        <x:v>658f831982ac98d8cfbab1681ad4e3120d4258ebd2fe84176ecd04c364fd7c9f</x:v>
      </x:c>
      <x:c r="J1017" s="22" t="n">
        <x:v>1</x:v>
      </x:c>
      <x:c r="K1017" s="22" t="n">
        <x:v>1</x:v>
      </x:c>
      <x:c r="L1017" s="22" t="n">
        <x:v>1</x:v>
      </x:c>
      <x:c r="M1017" s="28" t="n">
        <x:v>1</x:v>
      </x:c>
      <x:c r="N1017" s="28" t="n">
        <x:v>122</x:v>
      </x:c>
      <x:c r="O1017" s="28" t="n">
        <x:v>0</x:v>
      </x:c>
      <x:c r="P1017" s="62" t="n">
        <x:v>0</x:v>
      </x:c>
      <x:c r="Q1017" s="22" t="n">
        <x:v>0</x:v>
      </x:c>
      <x:c r="R1017" s="22" t="str">
        <x:v>_ЛРВ</x:v>
      </x:c>
      <x:c r="S1017" s="22" t="str">
        <x:v>visible</x:v>
      </x:c>
      <x:c r="T1017" s="22" t="str"/>
    </x:row>
    <x:row r="1018">
      <x:c r="A1018" s="22" t="str">
        <x:v>2020-00086</x:v>
      </x:c>
      <x:c r="B1018" s="22" t="str">
        <x:v>L2023-00053-1</x:v>
      </x:c>
      <x:c r="C1018" s="22" t="str">
        <x:v>공사</x:v>
      </x:c>
      <x:c r="D1018" s="25" t="str">
        <x:v>우즈베키스탄 직업훈련원 및 타슈켄트 교사연수센터 건립 시공업체 선정 현지입찰</x:v>
      </x:c>
      <x:c r="E1018" s="22" t="n">
        <x:v>1</x:v>
      </x:c>
      <x:c r="F1018" s="22" t="str">
        <x:v>.xlsx</x:v>
      </x:c>
      <x:c r="G1018" s="25" t="str">
        <x:v>L2023-00053-1/Urgench VTC Bid Attachment Documents/Urgench VTC Bid Attachment Documents/Section 4.  Bill of Quantities(Not-Priced)/공내역서/TTC견적서/TTC(Teacher Traing Center)/1 КЖ(Structure)/bv1960bvvv.xlsx</x:v>
      </x:c>
      <x:c r="H1018" s="28" t="n">
        <x:v>182869</x:v>
      </x:c>
      <x:c r="I1018" s="22" t="str">
        <x:v>e5c99030dcc522bfbec53f93e2065da4eb585f95ef5433d19a6f5060946eda14</x:v>
      </x:c>
      <x:c r="J1018" s="22" t="n">
        <x:v>1</x:v>
      </x:c>
      <x:c r="K1018" s="22" t="n">
        <x:v>1</x:v>
      </x:c>
      <x:c r="L1018" s="22" t="n">
        <x:v>1</x:v>
      </x:c>
      <x:c r="M1018" s="28" t="n">
        <x:v>1</x:v>
      </x:c>
      <x:c r="N1018" s="28" t="n">
        <x:v>1896</x:v>
      </x:c>
      <x:c r="O1018" s="28" t="n">
        <x:v>0</x:v>
      </x:c>
      <x:c r="P1018" s="62" t="n">
        <x:v>0</x:v>
      </x:c>
      <x:c r="Q1018" s="22" t="n">
        <x:v>0</x:v>
      </x:c>
      <x:c r="R1018" s="22" t="str">
        <x:v>_ЛРВ</x:v>
      </x:c>
      <x:c r="S1018" s="22" t="str">
        <x:v>visible</x:v>
      </x:c>
      <x:c r="T1018" s="22" t="str"/>
    </x:row>
    <x:row r="1019">
      <x:c r="A1019" s="22" t="str">
        <x:v>2020-00086</x:v>
      </x:c>
      <x:c r="B1019" s="22" t="str">
        <x:v>L2023-00053-1</x:v>
      </x:c>
      <x:c r="C1019" s="22" t="str">
        <x:v>공사</x:v>
      </x:c>
      <x:c r="D1019" s="25" t="str">
        <x:v>우즈베키스탄 직업훈련원 및 타슈켄트 교사연수센터 건립 시공업체 선정 현지입찰</x:v>
      </x:c>
      <x:c r="E1019" s="22" t="n">
        <x:v>1</x:v>
      </x:c>
      <x:c r="F1019" s="22" t="str">
        <x:v>.xlsx</x:v>
      </x:c>
      <x:c r="G1019" s="25" t="str">
        <x:v>L2023-00053-1/Urgench VTC Bid Attachment Documents/Urgench VTC Bid Attachment Documents/Section 4.  Bill of Quantities(Not-Priced)/공내역서/TTC견적서/TTC(Teacher Traing Center)/1 КЖ(Structure)/ra1960.xlsx</x:v>
      </x:c>
      <x:c r="H1019" s="28" t="n">
        <x:v>22697</x:v>
      </x:c>
      <x:c r="I1019" s="22" t="str">
        <x:v>1df141d69100814db5f9704fbd37ab0da50fd60867b7be892d994f292bba0530</x:v>
      </x:c>
      <x:c r="J1019" s="22" t="n">
        <x:v>1</x:v>
      </x:c>
      <x:c r="K1019" s="22" t="n">
        <x:v>1</x:v>
      </x:c>
      <x:c r="L1019" s="22" t="n">
        <x:v>1</x:v>
      </x:c>
      <x:c r="M1019" s="28" t="n">
        <x:v>1</x:v>
      </x:c>
      <x:c r="N1019" s="28" t="n">
        <x:v>93</x:v>
      </x:c>
      <x:c r="O1019" s="28" t="n">
        <x:v>0</x:v>
      </x:c>
      <x:c r="P1019" s="62" t="n">
        <x:v>0</x:v>
      </x:c>
      <x:c r="Q1019" s="22" t="n">
        <x:v>0</x:v>
      </x:c>
      <x:c r="R1019" s="22" t="str">
        <x:v>ra_abc4</x:v>
      </x:c>
      <x:c r="S1019" s="22" t="str">
        <x:v>visible</x:v>
      </x:c>
      <x:c r="T1019" s="22" t="str"/>
    </x:row>
    <x:row r="1020">
      <x:c r="A1020" s="22" t="str">
        <x:v>2020-00086</x:v>
      </x:c>
      <x:c r="B1020" s="22" t="str">
        <x:v>L2023-00053-1</x:v>
      </x:c>
      <x:c r="C1020" s="22" t="str">
        <x:v>공사</x:v>
      </x:c>
      <x:c r="D1020" s="25" t="str">
        <x:v>우즈베키스탄 직업훈련원 및 타슈켄트 교사연수센터 건립 시공업체 선정 현지입찰</x:v>
      </x:c>
      <x:c r="E1020" s="22" t="n">
        <x:v>1</x:v>
      </x:c>
      <x:c r="F1020" s="22" t="str">
        <x:v>.xlsx</x:v>
      </x:c>
      <x:c r="G1020" s="25" t="str">
        <x:v>L2023-00053-1/Urgench VTC Bid Attachment Documents/Urgench VTC Bid Attachment Documents/Section 4.  Bill of Quantities(Not-Priced)/공내역서/TTC견적서/TTC(Teacher Traing Center)/4 Fence &amp; Gate/ra1970.xlsx</x:v>
      </x:c>
      <x:c r="H1020" s="28" t="n">
        <x:v>17488</x:v>
      </x:c>
      <x:c r="I1020" s="22" t="str">
        <x:v>2ce08b34a8bc5b4c30202b96999f24f8b8143955bb33db40aa4a9b418396dc3e</x:v>
      </x:c>
      <x:c r="J1020" s="22" t="n">
        <x:v>1</x:v>
      </x:c>
      <x:c r="K1020" s="22" t="n">
        <x:v>1</x:v>
      </x:c>
      <x:c r="L1020" s="22" t="n">
        <x:v>1</x:v>
      </x:c>
      <x:c r="M1020" s="28" t="n">
        <x:v>1</x:v>
      </x:c>
      <x:c r="N1020" s="28" t="n">
        <x:v>47</x:v>
      </x:c>
      <x:c r="O1020" s="28" t="n">
        <x:v>0</x:v>
      </x:c>
      <x:c r="P1020" s="62" t="n">
        <x:v>0</x:v>
      </x:c>
      <x:c r="Q1020" s="22" t="n">
        <x:v>0</x:v>
      </x:c>
      <x:c r="R1020" s="22" t="str">
        <x:v>ra_abc4</x:v>
      </x:c>
      <x:c r="S1020" s="22" t="str">
        <x:v>visible</x:v>
      </x:c>
      <x:c r="T1020" s="22" t="str"/>
    </x:row>
    <x:row r="1021">
      <x:c r="A1021" s="22" t="str">
        <x:v>2020-00086</x:v>
      </x:c>
      <x:c r="B1021" s="22" t="str">
        <x:v>L2023-00053-1</x:v>
      </x:c>
      <x:c r="C1021" s="22" t="str">
        <x:v>공사</x:v>
      </x:c>
      <x:c r="D1021" s="25" t="str">
        <x:v>우즈베키스탄 직업훈련원 및 타슈켄트 교사연수센터 건립 시공업체 선정 현지입찰</x:v>
      </x:c>
      <x:c r="E1021" s="22" t="n">
        <x:v>1</x:v>
      </x:c>
      <x:c r="F1021" s="22" t="str">
        <x:v>.xlsx</x:v>
      </x:c>
      <x:c r="G1021" s="25" t="str">
        <x:v>L2023-00053-1/Urgench VTC Bid Attachment Documents/Urgench VTC Bid Attachment Documents/Section 4.  Bill of Quantities(Not-Priced)/공내역서/TTC견적서/TTC(Teacher Traing Center)/4 Fence &amp; Gate/bv1970.xlsx</x:v>
      </x:c>
      <x:c r="H1021" s="28" t="n">
        <x:v>31247</x:v>
      </x:c>
      <x:c r="I1021" s="22" t="str">
        <x:v>72f147bedce1773ad4eb4cb1322cdb8560daad6b74664382be38ab6b252391e8</x:v>
      </x:c>
      <x:c r="J1021" s="22" t="n">
        <x:v>1</x:v>
      </x:c>
      <x:c r="K1021" s="22" t="n">
        <x:v>1</x:v>
      </x:c>
      <x:c r="L1021" s="22" t="n">
        <x:v>1</x:v>
      </x:c>
      <x:c r="M1021" s="28" t="n">
        <x:v>1</x:v>
      </x:c>
      <x:c r="N1021" s="28" t="n">
        <x:v>160</x:v>
      </x:c>
      <x:c r="O1021" s="28" t="n">
        <x:v>0</x:v>
      </x:c>
      <x:c r="P1021" s="62" t="n">
        <x:v>0</x:v>
      </x:c>
      <x:c r="Q1021" s="22" t="n">
        <x:v>0</x:v>
      </x:c>
      <x:c r="R1021" s="22" t="str">
        <x:v>_ЛРВ</x:v>
      </x:c>
      <x:c r="S1021" s="22" t="str">
        <x:v>visible</x:v>
      </x:c>
      <x:c r="T1021" s="22" t="str"/>
    </x:row>
    <x:row r="1022">
      <x:c r="A1022" s="22" t="str">
        <x:v>2020-00086</x:v>
      </x:c>
      <x:c r="B1022" s="22" t="str">
        <x:v>L2023-00053-1</x:v>
      </x:c>
      <x:c r="C1022" s="22" t="str">
        <x:v>공사</x:v>
      </x:c>
      <x:c r="D1022" s="25" t="str">
        <x:v>우즈베키스탄 직업훈련원 및 타슈켄트 교사연수센터 건립 시공업체 선정 현지입찰</x:v>
      </x:c>
      <x:c r="E1022" s="22" t="n">
        <x:v>1</x:v>
      </x:c>
      <x:c r="F1022" s="22" t="str">
        <x:v>.xlsx</x:v>
      </x:c>
      <x:c r="G1022" s="25" t="str">
        <x:v>L2023-00053-1/Urgench VTC Bid Attachment Documents/Urgench VTC Bid Attachment Documents/Section 4.  Bill of Quantities(Not-Priced)/공내역서/TTC견적서/TTC(Teacher Traing Center)/5 BK(Water &amp; Drain)/ra3070.xlsx</x:v>
      </x:c>
      <x:c r="H1022" s="28" t="n">
        <x:v>25278</x:v>
      </x:c>
      <x:c r="I1022" s="22" t="str">
        <x:v>fd300044379245c1d80d88ba74fe1633f3b5207511979bfda5b2a1dcd3740796</x:v>
      </x:c>
      <x:c r="J1022" s="22" t="n">
        <x:v>1</x:v>
      </x:c>
      <x:c r="K1022" s="22" t="n">
        <x:v>1</x:v>
      </x:c>
      <x:c r="L1022" s="22" t="n">
        <x:v>1</x:v>
      </x:c>
      <x:c r="M1022" s="28" t="n">
        <x:v>1</x:v>
      </x:c>
      <x:c r="N1022" s="28" t="n">
        <x:v>129</x:v>
      </x:c>
      <x:c r="O1022" s="28" t="n">
        <x:v>0</x:v>
      </x:c>
      <x:c r="P1022" s="62" t="n">
        <x:v>0</x:v>
      </x:c>
      <x:c r="Q1022" s="22" t="n">
        <x:v>0</x:v>
      </x:c>
      <x:c r="R1022" s="22" t="str">
        <x:v>ra_abc4</x:v>
      </x:c>
      <x:c r="S1022" s="22" t="str">
        <x:v>visible</x:v>
      </x:c>
      <x:c r="T1022" s="22" t="str"/>
    </x:row>
    <x:row r="1023">
      <x:c r="A1023" s="22" t="str">
        <x:v>2020-00086</x:v>
      </x:c>
      <x:c r="B1023" s="22" t="str">
        <x:v>L2023-00053-1</x:v>
      </x:c>
      <x:c r="C1023" s="22" t="str">
        <x:v>공사</x:v>
      </x:c>
      <x:c r="D1023" s="25" t="str">
        <x:v>우즈베키스탄 직업훈련원 및 타슈켄트 교사연수센터 건립 시공업체 선정 현지입찰</x:v>
      </x:c>
      <x:c r="E1023" s="22" t="n">
        <x:v>1</x:v>
      </x:c>
      <x:c r="F1023" s="22" t="str">
        <x:v>.xlsx</x:v>
      </x:c>
      <x:c r="G1023" s="25" t="str">
        <x:v>L2023-00053-1/Urgench VTC Bid Attachment Documents/Urgench VTC Bid Attachment Documents/Section 4.  Bill of Quantities(Not-Priced)/공내역서/TTC견적서/TTC(Teacher Traing Center)/5 BK(Water &amp; Drain)/bv3070.xlsx</x:v>
      </x:c>
      <x:c r="H1023" s="28" t="n">
        <x:v>49531</x:v>
      </x:c>
      <x:c r="I1023" s="22" t="str">
        <x:v>6acc573f07036eef8ca050dcd24be3037151b90e25f2d5c5ee04ffd429ce3bd4</x:v>
      </x:c>
      <x:c r="J1023" s="22" t="n">
        <x:v>1</x:v>
      </x:c>
      <x:c r="K1023" s="22" t="n">
        <x:v>1</x:v>
      </x:c>
      <x:c r="L1023" s="22" t="n">
        <x:v>1</x:v>
      </x:c>
      <x:c r="M1023" s="28" t="n">
        <x:v>1</x:v>
      </x:c>
      <x:c r="N1023" s="28" t="n">
        <x:v>351</x:v>
      </x:c>
      <x:c r="O1023" s="28" t="n">
        <x:v>0</x:v>
      </x:c>
      <x:c r="P1023" s="62" t="n">
        <x:v>0</x:v>
      </x:c>
      <x:c r="Q1023" s="22" t="n">
        <x:v>0</x:v>
      </x:c>
      <x:c r="R1023" s="22" t="str">
        <x:v>_ЛРВ</x:v>
      </x:c>
      <x:c r="S1023" s="22" t="str">
        <x:v>visible</x:v>
      </x:c>
      <x:c r="T1023" s="22" t="str"/>
    </x:row>
    <x:row r="1024">
      <x:c r="A1024" s="22" t="str">
        <x:v>2020-00086</x:v>
      </x:c>
      <x:c r="B1024" s="22" t="str">
        <x:v>L2023-00053-1</x:v>
      </x:c>
      <x:c r="C1024" s="22" t="str">
        <x:v>공사</x:v>
      </x:c>
      <x:c r="D1024" s="25" t="str">
        <x:v>우즈베키스탄 직업훈련원 및 타슈켄트 교사연수센터 건립 시공업체 선정 현지입찰</x:v>
      </x:c>
      <x:c r="E1024" s="22" t="n">
        <x:v>1</x:v>
      </x:c>
      <x:c r="F1024" s="22" t="str">
        <x:v>.xls</x:v>
      </x:c>
      <x:c r="G1024" s="25" t="str">
        <x:v>L2023-00053-1/Urgench VTC Bid Attachment Documents/Urgench VTC Bid Attachment Documents/Section 4.  Bill of Quantities(Not-Priced)/공내역서/TTC견적서/TTC(Teacher Traing Center)/13 ТП(Transformers)/13-2 ЭО(Electric)/bv13620.xls</x:v>
      </x:c>
      <x:c r="H1024" s="28" t="n">
        <x:v>41984</x:v>
      </x:c>
      <x:c r="I1024" s="22" t="str">
        <x:v>7e8bd22f2ccb96108964380fcbdbcd8324c2a0724a07718109c2bb550faa2db3</x:v>
      </x:c>
      <x:c r="J1024" s="22" t="n">
        <x:v>1</x:v>
      </x:c>
      <x:c r="K1024" s="22" t="n">
        <x:v>1</x:v>
      </x:c>
      <x:c r="L1024" s="22" t="n">
        <x:v>1</x:v>
      </x:c>
      <x:c r="M1024" s="28" t="n">
        <x:v>1</x:v>
      </x:c>
      <x:c r="N1024" s="28" t="n">
        <x:v>20</x:v>
      </x:c>
      <x:c r="O1024" s="28" t="n">
        <x:v>1</x:v>
      </x:c>
      <x:c r="P1024" s="62" t="n">
        <x:v>0.05</x:v>
      </x:c>
      <x:c r="Q1024" s="22" t="n">
        <x:v>0</x:v>
      </x:c>
      <x:c r="R1024" s="22" t="str">
        <x:v>Лист1</x:v>
      </x:c>
      <x:c r="S1024" s="22" t="str">
        <x:v>visible</x:v>
      </x:c>
      <x:c r="T1024" s="22" t="str"/>
    </x:row>
    <x:row r="1025">
      <x:c r="A1025" s="22" t="str">
        <x:v>2020-00086</x:v>
      </x:c>
      <x:c r="B1025" s="22" t="str">
        <x:v>L2023-00053-1</x:v>
      </x:c>
      <x:c r="C1025" s="22" t="str">
        <x:v>공사</x:v>
      </x:c>
      <x:c r="D1025" s="25" t="str">
        <x:v>우즈베키스탄 직업훈련원 및 타슈켄트 교사연수센터 건립 시공업체 선정 현지입찰</x:v>
      </x:c>
      <x:c r="E1025" s="22" t="n">
        <x:v>1</x:v>
      </x:c>
      <x:c r="F1025" s="22" t="str">
        <x:v>.xls</x:v>
      </x:c>
      <x:c r="G1025" s="25" t="str">
        <x:v>L2023-00053-1/Urgench VTC Bid Attachment Documents/Urgench VTC Bid Attachment Documents/Section 4.  Bill of Quantities(Not-Priced)/공내역서/TTC견적서/TTC(Teacher Traing Center)/13 ТП(Transformers)/13-2 ЭО(Electric)/ra13620.xls</x:v>
      </x:c>
      <x:c r="H1025" s="28" t="n">
        <x:v>65024</x:v>
      </x:c>
      <x:c r="I1025" s="22" t="str">
        <x:v>5a96dab71fd5d42b3c00fe59751a4460f6fc39aa8bf201852715f2b9b272d1d5</x:v>
      </x:c>
      <x:c r="J1025" s="22" t="n">
        <x:v>1</x:v>
      </x:c>
      <x:c r="K1025" s="22" t="n">
        <x:v>1</x:v>
      </x:c>
      <x:c r="L1025" s="22" t="n">
        <x:v>1</x:v>
      </x:c>
      <x:c r="M1025" s="28" t="n">
        <x:v>0</x:v>
      </x:c>
      <x:c r="N1025" s="28" t="n">
        <x:v>0</x:v>
      </x:c>
      <x:c r="O1025" s="28" t="n">
        <x:v>0</x:v>
      </x:c>
      <x:c r="P1025" s="62" t="n">
        <x:v>0</x:v>
      </x:c>
      <x:c r="Q1025" s="22" t="n">
        <x:v>0</x:v>
      </x:c>
      <x:c r="R1025" s="22" t="str"/>
      <x:c r="S1025" s="22" t="str"/>
      <x:c r="T1025" s="22" t="str"/>
    </x:row>
    <x:row r="1026">
      <x:c r="A1026" s="22" t="str">
        <x:v>2020-00086</x:v>
      </x:c>
      <x:c r="B1026" s="22" t="str">
        <x:v>L2023-00053-1</x:v>
      </x:c>
      <x:c r="C1026" s="22" t="str">
        <x:v>공사</x:v>
      </x:c>
      <x:c r="D1026" s="25" t="str">
        <x:v>우즈베키스탄 직업훈련원 및 타슈켄트 교사연수센터 건립 시공업체 선정 현지입찰</x:v>
      </x:c>
      <x:c r="E1026" s="22" t="n">
        <x:v>1</x:v>
      </x:c>
      <x:c r="F1026" s="22" t="str">
        <x:v>.xls</x:v>
      </x:c>
      <x:c r="G1026" s="25" t="str">
        <x:v>L2023-00053-1/Urgench VTC Bid Attachment Documents/Urgench VTC Bid Attachment Documents/Section 4.  Bill of Quantities(Not-Priced)/공내역서/TTC견적서/TTC(Teacher Traing Center)/13 ТП(Transformers)/13-1 AC(Architecture+Structure)/ra13610.xls</x:v>
      </x:c>
      <x:c r="H1026" s="28" t="n">
        <x:v>80896</x:v>
      </x:c>
      <x:c r="I1026" s="22" t="str">
        <x:v>2d4926fc91e958ec0627a1ae92e834125bb395be03f2a1749895e985115bbf2f</x:v>
      </x:c>
      <x:c r="J1026" s="22" t="n">
        <x:v>1</x:v>
      </x:c>
      <x:c r="K1026" s="22" t="n">
        <x:v>1</x:v>
      </x:c>
      <x:c r="L1026" s="22" t="n">
        <x:v>1</x:v>
      </x:c>
      <x:c r="M1026" s="28" t="n">
        <x:v>0</x:v>
      </x:c>
      <x:c r="N1026" s="28" t="n">
        <x:v>0</x:v>
      </x:c>
      <x:c r="O1026" s="28" t="n">
        <x:v>0</x:v>
      </x:c>
      <x:c r="P1026" s="62" t="n">
        <x:v>0</x:v>
      </x:c>
      <x:c r="Q1026" s="22" t="n">
        <x:v>0</x:v>
      </x:c>
      <x:c r="R1026" s="22" t="str"/>
      <x:c r="S1026" s="22" t="str"/>
      <x:c r="T1026" s="22" t="str"/>
    </x:row>
    <x:row r="1027">
      <x:c r="A1027" s="22" t="str">
        <x:v>2020-00086</x:v>
      </x:c>
      <x:c r="B1027" s="22" t="str">
        <x:v>L2023-00053-1</x:v>
      </x:c>
      <x:c r="C1027" s="22" t="str">
        <x:v>공사</x:v>
      </x:c>
      <x:c r="D1027" s="25" t="str">
        <x:v>우즈베키스탄 직업훈련원 및 타슈켄트 교사연수센터 건립 시공업체 선정 현지입찰</x:v>
      </x:c>
      <x:c r="E1027" s="22" t="n">
        <x:v>1</x:v>
      </x:c>
      <x:c r="F1027" s="22" t="str">
        <x:v>.xls</x:v>
      </x:c>
      <x:c r="G1027" s="25" t="str">
        <x:v>L2023-00053-1/Urgench VTC Bid Attachment Documents/Urgench VTC Bid Attachment Documents/Section 4.  Bill of Quantities(Not-Priced)/공내역서/TTC견적서/TTC(Teacher Traing Center)/13 ТП(Transformers)/13-1 AC(Architecture+Structure)/bv13610.xls</x:v>
      </x:c>
      <x:c r="H1027" s="28" t="n">
        <x:v>48640</x:v>
      </x:c>
      <x:c r="I1027" s="22" t="str">
        <x:v>6e059fc8e195c66ee541a50f09da94021c8a9f0d41e662173e8be5b9bd43b5a9</x:v>
      </x:c>
      <x:c r="J1027" s="22" t="n">
        <x:v>1</x:v>
      </x:c>
      <x:c r="K1027" s="22" t="n">
        <x:v>1</x:v>
      </x:c>
      <x:c r="L1027" s="22" t="n">
        <x:v>1</x:v>
      </x:c>
      <x:c r="M1027" s="28" t="n">
        <x:v>1</x:v>
      </x:c>
      <x:c r="N1027" s="28" t="n">
        <x:v>53</x:v>
      </x:c>
      <x:c r="O1027" s="28" t="n">
        <x:v>1</x:v>
      </x:c>
      <x:c r="P1027" s="62" t="n">
        <x:v>0.018867924528301886</x:v>
      </x:c>
      <x:c r="Q1027" s="22" t="n">
        <x:v>0</x:v>
      </x:c>
      <x:c r="R1027" s="22" t="str">
        <x:v>Лист1</x:v>
      </x:c>
      <x:c r="S1027" s="22" t="str">
        <x:v>visible</x:v>
      </x:c>
      <x:c r="T1027" s="22" t="str"/>
    </x:row>
    <x:row r="1028">
      <x:c r="A1028" s="22" t="str">
        <x:v>2023-00096</x:v>
      </x:c>
      <x:c r="B1028" s="22" t="str">
        <x:v>L2025-00049-1</x:v>
      </x:c>
      <x:c r="C1028" s="22" t="str">
        <x:v>용역</x:v>
      </x:c>
      <x:c r="D1028" s="25" t="str">
        <x:v>우크라이나 키이우주 재활의료 역량강화사업 재활센터 리모델링을 위한 설계 및 저작권 감리용역 현지 입찰</x:v>
      </x:c>
      <x:c r="E1028" s="22" t="n">
        <x:v>0</x:v>
      </x:c>
      <x:c r="F1028" s="22" t="str">
        <x:v>.docx</x:v>
      </x:c>
      <x:c r="G1028" s="25" t="str">
        <x:v>L2025-00049-1/붙임2. Bid_Announcement_Ukraine_Notification Purpose_250626 ★.docx</x:v>
      </x:c>
      <x:c r="H1028" s="28" t="n">
        <x:v>37281</x:v>
      </x:c>
      <x:c r="I1028" s="22" t="str">
        <x:v>ed15947d3294a15149789668a525e3f91b27c26c3508a937512b8205808162f2</x:v>
      </x:c>
      <x:c r="J1028" s="22" t="n">
        <x:v>0</x:v>
      </x:c>
      <x:c r="K1028" s="22" t="n">
        <x:v>0</x:v>
      </x:c>
      <x:c r="L1028" s="22" t="n">
        <x:v>0</x:v>
      </x:c>
      <x:c r="M1028" s="28" t="n">
        <x:v>0</x:v>
      </x:c>
      <x:c r="N1028" s="28" t="n">
        <x:v>0</x:v>
      </x:c>
      <x:c r="O1028" s="28" t="n">
        <x:v>0</x:v>
      </x:c>
      <x:c r="P1028" s="62" t="n">
        <x:v>0</x:v>
      </x:c>
      <x:c r="Q1028" s="22" t="n">
        <x:v>0</x:v>
      </x:c>
      <x:c r="R1028" s="22" t="str"/>
      <x:c r="S1028" s="22" t="str"/>
      <x:c r="T1028" s="22" t="str"/>
    </x:row>
    <x:row r="1029">
      <x:c r="A1029" s="22" t="str">
        <x:v>2023-00096</x:v>
      </x:c>
      <x:c r="B1029" s="22" t="str">
        <x:v>L2025-00049-2</x:v>
      </x:c>
      <x:c r="C1029" s="22" t="str">
        <x:v>용역</x:v>
      </x:c>
      <x:c r="D1029" s="25" t="str">
        <x:v>우크라이나 키이우주 재활의료 역량강화사업 재활센터 리모델링을 위한 설계 및 저작권 감리용역 현지 입찰</x:v>
      </x:c>
      <x:c r="E1029" s="22" t="n">
        <x:v>0</x:v>
      </x:c>
      <x:c r="F1029" s="22" t="str">
        <x:v>.docx</x:v>
      </x:c>
      <x:c r="G1029" s="25" t="str">
        <x:v>L2025-00049-2/Bid_Announcement_extension_Ukraine_Notification_Purpose_250804.docx</x:v>
      </x:c>
      <x:c r="H1029" s="28" t="n">
        <x:v>40469</x:v>
      </x:c>
      <x:c r="I1029" s="22" t="str">
        <x:v>5daa1a79c9cb363b338314cb44a6156afb42940bf7a580783109df7e19e648d9</x:v>
      </x:c>
      <x:c r="J1029" s="22" t="n">
        <x:v>0</x:v>
      </x:c>
      <x:c r="K1029" s="22" t="n">
        <x:v>0</x:v>
      </x:c>
      <x:c r="L1029" s="22" t="n">
        <x:v>0</x:v>
      </x:c>
      <x:c r="M1029" s="28" t="n">
        <x:v>0</x:v>
      </x:c>
      <x:c r="N1029" s="28" t="n">
        <x:v>0</x:v>
      </x:c>
      <x:c r="O1029" s="28" t="n">
        <x:v>0</x:v>
      </x:c>
      <x:c r="P1029" s="62" t="n">
        <x:v>0</x:v>
      </x:c>
      <x:c r="Q1029" s="22" t="n">
        <x:v>0</x:v>
      </x:c>
      <x:c r="R1029" s="22" t="str"/>
      <x:c r="S1029" s="22" t="str"/>
      <x:c r="T1029" s="22" t="str"/>
    </x:row>
    <x:row r="1030">
      <x:c r="A1030" s="22" t="str">
        <x:v>2023-00087</x:v>
      </x:c>
      <x:c r="B1030" s="22" t="str">
        <x:v>L2025-00017-1</x:v>
      </x:c>
      <x:c r="C1030" s="22" t="str">
        <x:v>공사</x:v>
      </x:c>
      <x:c r="D1030" s="25" t="str">
        <x:v>이라크 아르빌 자이툰 도서관 개보수(리모델링) 공사 시공업체 선정 입찰</x:v>
      </x:c>
      <x:c r="E1030" s="22" t="n">
        <x:v>1</x:v>
      </x:c>
      <x:c r="F1030" s="22" t="str">
        <x:v>.pdf</x:v>
      </x:c>
      <x:c r="G1030" s="25" t="str">
        <x:v>L2025-00017-1/[붙임2] 입찰협약서(addendum) 서명본.pdf</x:v>
      </x:c>
      <x:c r="H1030" s="28" t="n">
        <x:v>4970833</x:v>
      </x:c>
      <x:c r="I1030" s="22" t="str">
        <x:v>04a195889af05115dd77f05905631052698c060f42f33002ab52248d218a3828</x:v>
      </x:c>
      <x:c r="J1030" s="22" t="n">
        <x:v>0</x:v>
      </x:c>
      <x:c r="K1030" s="22" t="n">
        <x:v>0</x:v>
      </x:c>
      <x:c r="L1030" s="22" t="n">
        <x:v>0</x:v>
      </x:c>
      <x:c r="M1030" s="28" t="n">
        <x:v>0</x:v>
      </x:c>
      <x:c r="N1030" s="28" t="n">
        <x:v>0</x:v>
      </x:c>
      <x:c r="O1030" s="28" t="n">
        <x:v>0</x:v>
      </x:c>
      <x:c r="P1030" s="62" t="n">
        <x:v>0</x:v>
      </x:c>
      <x:c r="Q1030" s="22" t="n">
        <x:v>0</x:v>
      </x:c>
      <x:c r="R1030" s="22" t="str"/>
      <x:c r="S1030" s="22" t="str"/>
      <x:c r="T1030" s="22" t="str"/>
    </x:row>
    <x:row r="1031">
      <x:c r="A1031" s="22" t="str">
        <x:v>2023-00087</x:v>
      </x:c>
      <x:c r="B1031" s="22" t="str">
        <x:v>L2025-00017-1</x:v>
      </x:c>
      <x:c r="C1031" s="22" t="str">
        <x:v>공사</x:v>
      </x:c>
      <x:c r="D1031" s="25" t="str">
        <x:v>이라크 아르빌 자이툰 도서관 개보수(리모델링) 공사 시공업체 선정 입찰</x:v>
      </x:c>
      <x:c r="E1031" s="22" t="n">
        <x:v>1</x:v>
      </x:c>
      <x:c r="F1031" s="22" t="str">
        <x:v>.hwp</x:v>
      </x:c>
      <x:c r="G1031" s="25" t="str">
        <x:v>L2025-00017-1/(이라크 아르빌) 자이툰 도서관 리모델링 공사 입찰계획(안) 수립.hwp</x:v>
      </x:c>
      <x:c r="H1031" s="28" t="n">
        <x:v>158720</x:v>
      </x:c>
      <x:c r="I1031" s="22" t="str">
        <x:v>c6bb75b71d5b89790494539dabdde36e7bd6b702c09ff07ffafc5e50445e2070</x:v>
      </x:c>
      <x:c r="J1031" s="22" t="n">
        <x:v>0</x:v>
      </x:c>
      <x:c r="K1031" s="22" t="n">
        <x:v>0</x:v>
      </x:c>
      <x:c r="L1031" s="22" t="n">
        <x:v>0</x:v>
      </x:c>
      <x:c r="M1031" s="28" t="n">
        <x:v>0</x:v>
      </x:c>
      <x:c r="N1031" s="28" t="n">
        <x:v>0</x:v>
      </x:c>
      <x:c r="O1031" s="28" t="n">
        <x:v>0</x:v>
      </x:c>
      <x:c r="P1031" s="62" t="n">
        <x:v>0</x:v>
      </x:c>
      <x:c r="Q1031" s="22" t="n">
        <x:v>0</x:v>
      </x:c>
      <x:c r="R1031" s="22" t="str"/>
      <x:c r="S1031" s="22" t="str"/>
      <x:c r="T1031" s="22" t="str"/>
    </x:row>
    <x:row r="1032">
      <x:c r="A1032" s="22" t="str">
        <x:v>2023-00087</x:v>
      </x:c>
      <x:c r="B1032" s="22" t="str">
        <x:v>L2025-00017-1</x:v>
      </x:c>
      <x:c r="C1032" s="22" t="str">
        <x:v>공사</x:v>
      </x:c>
      <x:c r="D1032" s="25" t="str">
        <x:v>이라크 아르빌 자이툰 도서관 개보수(리모델링) 공사 시공업체 선정 입찰</x:v>
      </x:c>
      <x:c r="E1032" s="22" t="n">
        <x:v>1</x:v>
      </x:c>
      <x:c r="F1032" s="22" t="str">
        <x:v>.hwp</x:v>
      </x:c>
      <x:c r="G1032" s="25" t="str">
        <x:v>L2025-00017-1/[붙임1] 자이툰 도서관 리모델링 공사 입찰계획(안).hwp</x:v>
      </x:c>
      <x:c r="H1032" s="28" t="n">
        <x:v>247296</x:v>
      </x:c>
      <x:c r="I1032" s="22" t="str">
        <x:v>65ededab97b4832bbb309a163e2fdc771a23e35a9341847165244a87fe76c584</x:v>
      </x:c>
      <x:c r="J1032" s="22" t="n">
        <x:v>0</x:v>
      </x:c>
      <x:c r="K1032" s="22" t="n">
        <x:v>0</x:v>
      </x:c>
      <x:c r="L1032" s="22" t="n">
        <x:v>0</x:v>
      </x:c>
      <x:c r="M1032" s="28" t="n">
        <x:v>0</x:v>
      </x:c>
      <x:c r="N1032" s="28" t="n">
        <x:v>0</x:v>
      </x:c>
      <x:c r="O1032" s="28" t="n">
        <x:v>0</x:v>
      </x:c>
      <x:c r="P1032" s="62" t="n">
        <x:v>0</x:v>
      </x:c>
      <x:c r="Q1032" s="22" t="n">
        <x:v>0</x:v>
      </x:c>
      <x:c r="R1032" s="22" t="str"/>
      <x:c r="S1032" s="22" t="str"/>
      <x:c r="T1032" s="22" t="str"/>
    </x:row>
    <x:row r="1033">
      <x:c r="A1033" s="22" t="str">
        <x:v>2023-00087</x:v>
      </x:c>
      <x:c r="B1033" s="22" t="str">
        <x:v>L2025-00017-1</x:v>
      </x:c>
      <x:c r="C1033" s="22" t="str">
        <x:v>공사</x:v>
      </x:c>
      <x:c r="D1033" s="25" t="str">
        <x:v>이라크 아르빌 자이툰 도서관 개보수(리모델링) 공사 시공업체 선정 입찰</x:v>
      </x:c>
      <x:c r="E1033" s="22" t="n">
        <x:v>1</x:v>
      </x:c>
      <x:c r="F1033" s="22" t="str">
        <x:v>.zip</x:v>
      </x:c>
      <x:c r="G1033" s="25" t="str">
        <x:v>L2025-00017-1/[붙임5] 부속서류 일체.zip</x:v>
      </x:c>
      <x:c r="H1033" s="28" t="n">
        <x:v>9142177</x:v>
      </x:c>
      <x:c r="I1033" s="22" t="str">
        <x:v>fa1bd2b08522df8d56d00cfc097f83170f6996c1363b47aa5ce2a78f5517c6b9</x:v>
      </x:c>
      <x:c r="J1033" s="22" t="n">
        <x:v>0</x:v>
      </x:c>
      <x:c r="K1033" s="22" t="n">
        <x:v>0</x:v>
      </x:c>
      <x:c r="L1033" s="22" t="n">
        <x:v>0</x:v>
      </x:c>
      <x:c r="M1033" s="28" t="n">
        <x:v>0</x:v>
      </x:c>
      <x:c r="N1033" s="28" t="n">
        <x:v>0</x:v>
      </x:c>
      <x:c r="O1033" s="28" t="n">
        <x:v>0</x:v>
      </x:c>
      <x:c r="P1033" s="62" t="n">
        <x:v>0</x:v>
      </x:c>
      <x:c r="Q1033" s="22" t="n">
        <x:v>0</x:v>
      </x:c>
      <x:c r="R1033" s="22" t="str"/>
      <x:c r="S1033" s="22" t="str"/>
      <x:c r="T1033" s="22" t="str"/>
    </x:row>
    <x:row r="1034">
      <x:c r="A1034" s="22" t="str">
        <x:v>2023-00087</x:v>
      </x:c>
      <x:c r="B1034" s="22" t="str">
        <x:v>L2025-00017-1</x:v>
      </x:c>
      <x:c r="C1034" s="22" t="str">
        <x:v>공사</x:v>
      </x:c>
      <x:c r="D1034" s="25" t="str">
        <x:v>이라크 아르빌 자이툰 도서관 개보수(리모델링) 공사 시공업체 선정 입찰</x:v>
      </x:c>
      <x:c r="E1034" s="22" t="n">
        <x:v>1</x:v>
      </x:c>
      <x:c r="F1034" s="22" t="str">
        <x:v>.pdf</x:v>
      </x:c>
      <x:c r="G1034" s="25" t="str">
        <x:v>L2025-00017-1/[붙임3] 수원기관 공문(보완자료 제출, 3.16.).pdf</x:v>
      </x:c>
      <x:c r="H1034" s="28" t="n">
        <x:v>810024</x:v>
      </x:c>
      <x:c r="I1034" s="22" t="str">
        <x:v>7fd27a810d38977c90aeb0bf0cf5a1804ed304d2c5abe7170e549bc24952b496</x:v>
      </x:c>
      <x:c r="J1034" s="22" t="n">
        <x:v>0</x:v>
      </x:c>
      <x:c r="K1034" s="22" t="n">
        <x:v>0</x:v>
      </x:c>
      <x:c r="L1034" s="22" t="n">
        <x:v>0</x:v>
      </x:c>
      <x:c r="M1034" s="28" t="n">
        <x:v>0</x:v>
      </x:c>
      <x:c r="N1034" s="28" t="n">
        <x:v>0</x:v>
      </x:c>
      <x:c r="O1034" s="28" t="n">
        <x:v>0</x:v>
      </x:c>
      <x:c r="P1034" s="62" t="n">
        <x:v>0</x:v>
      </x:c>
      <x:c r="Q1034" s="22" t="n">
        <x:v>0</x:v>
      </x:c>
      <x:c r="R1034" s="22" t="str"/>
      <x:c r="S1034" s="22" t="str"/>
      <x:c r="T1034" s="22" t="str"/>
    </x:row>
    <x:row r="1035">
      <x:c r="A1035" s="22" t="str">
        <x:v>2023-00087</x:v>
      </x:c>
      <x:c r="B1035" s="22" t="str">
        <x:v>L2025-00017-1</x:v>
      </x:c>
      <x:c r="C1035" s="22" t="str">
        <x:v>공사</x:v>
      </x:c>
      <x:c r="D1035" s="25" t="str">
        <x:v>이라크 아르빌 자이툰 도서관 개보수(리모델링) 공사 시공업체 선정 입찰</x:v>
      </x:c>
      <x:c r="E1035" s="22" t="n">
        <x:v>1</x:v>
      </x:c>
      <x:c r="F1035" s="22" t="str">
        <x:v>.pdf</x:v>
      </x:c>
      <x:c r="G1035" s="25" t="str">
        <x:v>L2025-00017-1/[붙임4] 토펙중동중앙아제2025-002호 (이크라 자이툰 도서관 리노베이션 수원국 조달시스.pdf</x:v>
      </x:c>
      <x:c r="H1035" s="28" t="n">
        <x:v>130340</x:v>
      </x:c>
      <x:c r="I1035" s="22" t="str">
        <x:v>98c956c269eb3e784505c47baf3371a5267aad3ef09b5756ac6bfe7b106ab154</x:v>
      </x:c>
      <x:c r="J1035" s="22" t="n">
        <x:v>0</x:v>
      </x:c>
      <x:c r="K1035" s="22" t="n">
        <x:v>0</x:v>
      </x:c>
      <x:c r="L1035" s="22" t="n">
        <x:v>0</x:v>
      </x:c>
      <x:c r="M1035" s="28" t="n">
        <x:v>0</x:v>
      </x:c>
      <x:c r="N1035" s="28" t="n">
        <x:v>0</x:v>
      </x:c>
      <x:c r="O1035" s="28" t="n">
        <x:v>0</x:v>
      </x:c>
      <x:c r="P1035" s="62" t="n">
        <x:v>0</x:v>
      </x:c>
      <x:c r="Q1035" s="22" t="n">
        <x:v>0</x:v>
      </x:c>
      <x:c r="R1035" s="22" t="str"/>
      <x:c r="S1035" s="22" t="str"/>
      <x:c r="T1035" s="22" t="str"/>
    </x:row>
    <x:row r="1036">
      <x:c r="A1036" s="22" t="str">
        <x:v>2023-00087</x:v>
      </x:c>
      <x:c r="B1036" s="22" t="str">
        <x:v>L2025-00017-1</x:v>
      </x:c>
      <x:c r="C1036" s="22" t="str">
        <x:v>공사</x:v>
      </x:c>
      <x:c r="D1036" s="25" t="str">
        <x:v>이라크 아르빌 자이툰 도서관 개보수(리모델링) 공사 시공업체 선정 입찰</x:v>
      </x:c>
      <x:c r="E1036" s="22" t="n">
        <x:v>1</x:v>
      </x:c>
      <x:c r="F1036" s="22" t="str">
        <x:v>.pdf</x:v>
      </x:c>
      <x:c r="G1036" s="25" t="str">
        <x:v>L2025-00017-1/[붙임5] 부속서류 일체/├╖║╬ 6. ░·╛≈┴÷╜├╝¡.pdf</x:v>
      </x:c>
      <x:c r="H1036" s="28" t="n">
        <x:v>5211470</x:v>
      </x:c>
      <x:c r="I1036" s="22" t="str">
        <x:v>1b4b0f5de7f024cb54476c7bfe499b60f0a26b4c1e4881a95d2371f64057f0dd</x:v>
      </x:c>
      <x:c r="J1036" s="22" t="n">
        <x:v>0</x:v>
      </x:c>
      <x:c r="K1036" s="22" t="n">
        <x:v>0</x:v>
      </x:c>
      <x:c r="L1036" s="22" t="n">
        <x:v>0</x:v>
      </x:c>
      <x:c r="M1036" s="28" t="n">
        <x:v>0</x:v>
      </x:c>
      <x:c r="N1036" s="28" t="n">
        <x:v>0</x:v>
      </x:c>
      <x:c r="O1036" s="28" t="n">
        <x:v>0</x:v>
      </x:c>
      <x:c r="P1036" s="62" t="n">
        <x:v>0</x:v>
      </x:c>
      <x:c r="Q1036" s="22" t="n">
        <x:v>0</x:v>
      </x:c>
      <x:c r="R1036" s="22" t="str"/>
      <x:c r="S1036" s="22" t="str"/>
      <x:c r="T1036" s="22" t="str"/>
    </x:row>
    <x:row r="1037">
      <x:c r="A1037" s="22" t="str">
        <x:v>2023-00087</x:v>
      </x:c>
      <x:c r="B1037" s="22" t="str">
        <x:v>L2025-00017-1</x:v>
      </x:c>
      <x:c r="C1037" s="22" t="str">
        <x:v>공사</x:v>
      </x:c>
      <x:c r="D1037" s="25" t="str">
        <x:v>이라크 아르빌 자이툰 도서관 개보수(리모델링) 공사 시공업체 선정 입찰</x:v>
      </x:c>
      <x:c r="E1037" s="22" t="n">
        <x:v>1</x:v>
      </x:c>
      <x:c r="F1037" s="22" t="str">
        <x:v>.pdf</x:v>
      </x:c>
      <x:c r="G1037" s="25" t="str">
        <x:v>L2025-00017-1/[붙임5] 부속서류 일체/├╖║╬ 5-2. ╝╝║╬ ╜├░°└╧┴ñ╟Ñ(1┬≈│Γ╡╡).pdf</x:v>
      </x:c>
      <x:c r="H1037" s="28" t="n">
        <x:v>1843099</x:v>
      </x:c>
      <x:c r="I1037" s="22" t="str">
        <x:v>c089e03707ee59817a928d390abad181efe682897c963674fb7ca3e284df3d13</x:v>
      </x:c>
      <x:c r="J1037" s="22" t="n">
        <x:v>0</x:v>
      </x:c>
      <x:c r="K1037" s="22" t="n">
        <x:v>0</x:v>
      </x:c>
      <x:c r="L1037" s="22" t="n">
        <x:v>0</x:v>
      </x:c>
      <x:c r="M1037" s="28" t="n">
        <x:v>0</x:v>
      </x:c>
      <x:c r="N1037" s="28" t="n">
        <x:v>0</x:v>
      </x:c>
      <x:c r="O1037" s="28" t="n">
        <x:v>0</x:v>
      </x:c>
      <x:c r="P1037" s="62" t="n">
        <x:v>0</x:v>
      </x:c>
      <x:c r="Q1037" s="22" t="n">
        <x:v>0</x:v>
      </x:c>
      <x:c r="R1037" s="22" t="str"/>
      <x:c r="S1037" s="22" t="str"/>
      <x:c r="T1037" s="22" t="str"/>
    </x:row>
    <x:row r="1038">
      <x:c r="A1038" s="22" t="str">
        <x:v>2023-00087</x:v>
      </x:c>
      <x:c r="B1038" s="22" t="str">
        <x:v>L2025-00017-1</x:v>
      </x:c>
      <x:c r="C1038" s="22" t="str">
        <x:v>공사</x:v>
      </x:c>
      <x:c r="D1038" s="25" t="str">
        <x:v>이라크 아르빌 자이툰 도서관 개보수(리모델링) 공사 시공업체 선정 입찰</x:v>
      </x:c>
      <x:c r="E1038" s="22" t="n">
        <x:v>1</x:v>
      </x:c>
      <x:c r="F1038" s="22" t="str">
        <x:v>.pdf</x:v>
      </x:c>
      <x:c r="G1038" s="25" t="str">
        <x:v>L2025-00017-1/[붙임5] 부속서류 일체/├╖║╬ 5-3. ╝╝║╬ ╜├░°└╧┴ñ╟Ñ(2┬≈│Γ╡╡).pdf</x:v>
      </x:c>
      <x:c r="H1038" s="28" t="n">
        <x:v>772990</x:v>
      </x:c>
      <x:c r="I1038" s="22" t="str">
        <x:v>d494308d1c89b48d3b6d4afa74f4c3fd1da648312a17ef965e45d034c0c2ed94</x:v>
      </x:c>
      <x:c r="J1038" s="22" t="n">
        <x:v>0</x:v>
      </x:c>
      <x:c r="K1038" s="22" t="n">
        <x:v>0</x:v>
      </x:c>
      <x:c r="L1038" s="22" t="n">
        <x:v>0</x:v>
      </x:c>
      <x:c r="M1038" s="28" t="n">
        <x:v>0</x:v>
      </x:c>
      <x:c r="N1038" s="28" t="n">
        <x:v>0</x:v>
      </x:c>
      <x:c r="O1038" s="28" t="n">
        <x:v>0</x:v>
      </x:c>
      <x:c r="P1038" s="62" t="n">
        <x:v>0</x:v>
      </x:c>
      <x:c r="Q1038" s="22" t="n">
        <x:v>0</x:v>
      </x:c>
      <x:c r="R1038" s="22" t="str"/>
      <x:c r="S1038" s="22" t="str"/>
      <x:c r="T1038" s="22" t="str"/>
    </x:row>
    <x:row r="1039">
      <x:c r="A1039" s="22" t="str">
        <x:v>2023-00087</x:v>
      </x:c>
      <x:c r="B1039" s="22" t="str">
        <x:v>L2025-00017-1</x:v>
      </x:c>
      <x:c r="C1039" s="22" t="str">
        <x:v>공사</x:v>
      </x:c>
      <x:c r="D1039" s="25" t="str">
        <x:v>이라크 아르빌 자이툰 도서관 개보수(리모델링) 공사 시공업체 선정 입찰</x:v>
      </x:c>
      <x:c r="E1039" s="22" t="n">
        <x:v>1</x:v>
      </x:c>
      <x:c r="F1039" s="22" t="str">
        <x:v>.pdf</x:v>
      </x:c>
      <x:c r="G1039" s="25" t="str">
        <x:v>L2025-00017-1/[붙임5] 부속서류 일체/├╖║╬ 5-1. └ⁿ├╝ └╧┴ñ╟Ñ(├╤░²).pdf</x:v>
      </x:c>
      <x:c r="H1039" s="28" t="n">
        <x:v>1183561</x:v>
      </x:c>
      <x:c r="I1039" s="22" t="str">
        <x:v>77b2d4ae25746688b536a12b1ad2496e5fdbf72b951c89eaef698e6884c8f048</x:v>
      </x:c>
      <x:c r="J1039" s="22" t="n">
        <x:v>0</x:v>
      </x:c>
      <x:c r="K1039" s="22" t="n">
        <x:v>0</x:v>
      </x:c>
      <x:c r="L1039" s="22" t="n">
        <x:v>0</x:v>
      </x:c>
      <x:c r="M1039" s="28" t="n">
        <x:v>0</x:v>
      </x:c>
      <x:c r="N1039" s="28" t="n">
        <x:v>0</x:v>
      </x:c>
      <x:c r="O1039" s="28" t="n">
        <x:v>0</x:v>
      </x:c>
      <x:c r="P1039" s="62" t="n">
        <x:v>0</x:v>
      </x:c>
      <x:c r="Q1039" s="22" t="n">
        <x:v>0</x:v>
      </x:c>
      <x:c r="R1039" s="22" t="str"/>
      <x:c r="S1039" s="22" t="str"/>
      <x:c r="T1039" s="22" t="str"/>
    </x:row>
    <x:row r="1040">
      <x:c r="A1040" s="22" t="str">
        <x:v>2023-00087</x:v>
      </x:c>
      <x:c r="B1040" s="22" t="str">
        <x:v>L2025-00017-1</x:v>
      </x:c>
      <x:c r="C1040" s="22" t="str">
        <x:v>공사</x:v>
      </x:c>
      <x:c r="D1040" s="25" t="str">
        <x:v>이라크 아르빌 자이툰 도서관 개보수(리모델링) 공사 시공업체 선정 입찰</x:v>
      </x:c>
      <x:c r="E1040" s="22" t="n">
        <x:v>1</x:v>
      </x:c>
      <x:c r="F1040" s="22" t="str">
        <x:v>.pdf</x:v>
      </x:c>
      <x:c r="G1040" s="25" t="str">
        <x:v>L2025-00017-1/[붙임5] 부속서류 일체/├╖║╬ 4. └╘┬√ ╞≥░í╟Ñ.pdf</x:v>
      </x:c>
      <x:c r="H1040" s="28" t="n">
        <x:v>426833</x:v>
      </x:c>
      <x:c r="I1040" s="22" t="str">
        <x:v>03c4aac0298b53a72619dbd014c61325189f842e328386f3eccf9fa3bef01ea9</x:v>
      </x:c>
      <x:c r="J1040" s="22" t="n">
        <x:v>0</x:v>
      </x:c>
      <x:c r="K1040" s="22" t="n">
        <x:v>0</x:v>
      </x:c>
      <x:c r="L1040" s="22" t="n">
        <x:v>0</x:v>
      </x:c>
      <x:c r="M1040" s="28" t="n">
        <x:v>0</x:v>
      </x:c>
      <x:c r="N1040" s="28" t="n">
        <x:v>0</x:v>
      </x:c>
      <x:c r="O1040" s="28" t="n">
        <x:v>0</x:v>
      </x:c>
      <x:c r="P1040" s="62" t="n">
        <x:v>0</x:v>
      </x:c>
      <x:c r="Q1040" s="22" t="n">
        <x:v>0</x:v>
      </x:c>
      <x:c r="R1040" s="22" t="str"/>
      <x:c r="S1040" s="22" t="str"/>
      <x:c r="T1040" s="22" t="str"/>
    </x:row>
    <x:row r="1041">
      <x:c r="A1041" s="22" t="str">
        <x:v>2023-00087</x:v>
      </x:c>
      <x:c r="B1041" s="22" t="str">
        <x:v>L2025-00017-1</x:v>
      </x:c>
      <x:c r="C1041" s="22" t="str">
        <x:v>공사</x:v>
      </x:c>
      <x:c r="D1041" s="25" t="str">
        <x:v>이라크 아르빌 자이툰 도서관 개보수(리모델링) 공사 시공업체 선정 입찰</x:v>
      </x:c>
      <x:c r="E1041" s="22" t="n">
        <x:v>1</x:v>
      </x:c>
      <x:c r="F1041" s="22" t="str">
        <x:v>.pdf</x:v>
      </x:c>
      <x:c r="G1041" s="25" t="str">
        <x:v>L2025-00017-1/[붙임5] 부속서류 일체/├╖║╬ 1. ╝÷┐°▒╣(MOCY) ╣▀┴╓ ╣╫ ░╟├α┴╢┴≈ ├╝░Φ╡╡.pdf</x:v>
      </x:c>
      <x:c r="H1041" s="28" t="n">
        <x:v>94097</x:v>
      </x:c>
      <x:c r="I1041" s="22" t="str">
        <x:v>9226d52de481eaccfae57c7b5d35e60318837c0128de7aa32ca829664743a649</x:v>
      </x:c>
      <x:c r="J1041" s="22" t="n">
        <x:v>0</x:v>
      </x:c>
      <x:c r="K1041" s="22" t="n">
        <x:v>0</x:v>
      </x:c>
      <x:c r="L1041" s="22" t="n">
        <x:v>0</x:v>
      </x:c>
      <x:c r="M1041" s="28" t="n">
        <x:v>0</x:v>
      </x:c>
      <x:c r="N1041" s="28" t="n">
        <x:v>0</x:v>
      </x:c>
      <x:c r="O1041" s="28" t="n">
        <x:v>0</x:v>
      </x:c>
      <x:c r="P1041" s="62" t="n">
        <x:v>0</x:v>
      </x:c>
      <x:c r="Q1041" s="22" t="n">
        <x:v>0</x:v>
      </x:c>
      <x:c r="R1041" s="22" t="str"/>
      <x:c r="S1041" s="22" t="str"/>
      <x:c r="T1041" s="22" t="str"/>
    </x:row>
    <x:row r="1042">
      <x:c r="A1042" s="22" t="str">
        <x:v>2023-00087</x:v>
      </x:c>
      <x:c r="B1042" s="22" t="str">
        <x:v>L2025-00017-1</x:v>
      </x:c>
      <x:c r="C1042" s="22" t="str">
        <x:v>공사</x:v>
      </x:c>
      <x:c r="D1042" s="25" t="str">
        <x:v>이라크 아르빌 자이툰 도서관 개보수(리모델링) 공사 시공업체 선정 입찰</x:v>
      </x:c>
      <x:c r="E1042" s="22" t="n">
        <x:v>1</x:v>
      </x:c>
      <x:c r="F1042" s="22" t="str">
        <x:v>.pdf</x:v>
      </x:c>
      <x:c r="G1042" s="25" t="str">
        <x:v>L2025-00017-1/[붙임5] 부속서류 일체/├╖║╬ 3. ┐╣╗Ω│╗┐¬╝¡(BOQ, 100╕╕║╥ ┴²╟α╟╤╡╡╛╫).pdf</x:v>
      </x:c>
      <x:c r="H1042" s="28" t="n">
        <x:v>252089</x:v>
      </x:c>
      <x:c r="I1042" s="22" t="str">
        <x:v>8cddbf40901e74e670cdf97cb5829304b064530cb28ecb239b42b9c56dc48605</x:v>
      </x:c>
      <x:c r="J1042" s="22" t="n">
        <x:v>0</x:v>
      </x:c>
      <x:c r="K1042" s="22" t="n">
        <x:v>1</x:v>
      </x:c>
      <x:c r="L1042" s="22" t="n">
        <x:v>0</x:v>
      </x:c>
      <x:c r="M1042" s="28" t="n">
        <x:v>0</x:v>
      </x:c>
      <x:c r="N1042" s="28" t="n">
        <x:v>0</x:v>
      </x:c>
      <x:c r="O1042" s="28" t="n">
        <x:v>0</x:v>
      </x:c>
      <x:c r="P1042" s="62" t="n">
        <x:v>0</x:v>
      </x:c>
      <x:c r="Q1042" s="22" t="n">
        <x:v>0</x:v>
      </x:c>
      <x:c r="R1042" s="22" t="str"/>
      <x:c r="S1042" s="22" t="str"/>
      <x:c r="T1042" s="22" t="str"/>
    </x:row>
    <x:row r="1043">
      <x:c r="A1043" s="22" t="str">
        <x:v>2023-00087</x:v>
      </x:c>
      <x:c r="B1043" s="22" t="str">
        <x:v>L2025-00017-1</x:v>
      </x:c>
      <x:c r="C1043" s="22" t="str">
        <x:v>공사</x:v>
      </x:c>
      <x:c r="D1043" s="25" t="str">
        <x:v>이라크 아르빌 자이툰 도서관 개보수(리모델링) 공사 시공업체 선정 입찰</x:v>
      </x:c>
      <x:c r="E1043" s="22" t="n">
        <x:v>1</x:v>
      </x:c>
      <x:c r="F1043" s="22" t="str">
        <x:v>.pdf</x:v>
      </x:c>
      <x:c r="G1043" s="25" t="str">
        <x:v>L2025-00017-1/[붙임5] 부속서류 일체/├╖║╬ 2. ╝÷┐°▒╣(MOCY) └╘┬√└²┬≈.pdf</x:v>
      </x:c>
      <x:c r="H1043" s="28" t="n">
        <x:v>262329</x:v>
      </x:c>
      <x:c r="I1043" s="22" t="str">
        <x:v>62d7c4c5b722f8658a5b8583fa4a8e3e640f647586d7341f1dde5ef7ffc4d0e1</x:v>
      </x:c>
      <x:c r="J1043" s="22" t="n">
        <x:v>0</x:v>
      </x:c>
      <x:c r="K1043" s="22" t="n">
        <x:v>0</x:v>
      </x:c>
      <x:c r="L1043" s="22" t="n">
        <x:v>0</x:v>
      </x:c>
      <x:c r="M1043" s="28" t="n">
        <x:v>0</x:v>
      </x:c>
      <x:c r="N1043" s="28" t="n">
        <x:v>0</x:v>
      </x:c>
      <x:c r="O1043" s="28" t="n">
        <x:v>0</x:v>
      </x:c>
      <x:c r="P1043" s="62" t="n">
        <x:v>0</x:v>
      </x:c>
      <x:c r="Q1043" s="22" t="n">
        <x:v>0</x:v>
      </x:c>
      <x:c r="R1043" s="22" t="str"/>
      <x:c r="S1043" s="22" t="str"/>
      <x:c r="T1043" s="22" t="str"/>
    </x:row>
    <x:row r="1044">
      <x:c r="A1044" s="22" t="str">
        <x:v>2023-00087</x:v>
      </x:c>
      <x:c r="B1044" s="22" t="str">
        <x:v>L2025-00017-2</x:v>
      </x:c>
      <x:c r="C1044" s="22" t="str">
        <x:v>공사</x:v>
      </x:c>
      <x:c r="D1044" s="25" t="str">
        <x:v>이라크 아르빌 자이툰 도서관 개보수(리모델링) 공사 시공업체 선정</x:v>
      </x:c>
      <x:c r="E1044" s="22" t="n">
        <x:v>1</x:v>
      </x:c>
      <x:c r="F1044" s="22" t="str">
        <x:v>.pdf</x:v>
      </x:c>
      <x:c r="G1044" s="25" t="str">
        <x:v>L2025-00017-2/붙임2. 수정 일정표.pdf</x:v>
      </x:c>
      <x:c r="H1044" s="28" t="n">
        <x:v>686919</x:v>
      </x:c>
      <x:c r="I1044" s="22" t="str">
        <x:v>b5e34e5a570853117b0b40908c572fe90520c2c25385dd6d251cc9b8a13af3ee</x:v>
      </x:c>
      <x:c r="J1044" s="22" t="n">
        <x:v>0</x:v>
      </x:c>
      <x:c r="K1044" s="22" t="n">
        <x:v>0</x:v>
      </x:c>
      <x:c r="L1044" s="22" t="n">
        <x:v>0</x:v>
      </x:c>
      <x:c r="M1044" s="28" t="n">
        <x:v>0</x:v>
      </x:c>
      <x:c r="N1044" s="28" t="n">
        <x:v>0</x:v>
      </x:c>
      <x:c r="O1044" s="28" t="n">
        <x:v>0</x:v>
      </x:c>
      <x:c r="P1044" s="62" t="n">
        <x:v>0</x:v>
      </x:c>
      <x:c r="Q1044" s="22" t="n">
        <x:v>0</x:v>
      </x:c>
      <x:c r="R1044" s="22" t="str"/>
      <x:c r="S1044" s="22" t="str"/>
      <x:c r="T1044" s="22" t="str"/>
    </x:row>
    <x:row r="1045">
      <x:c r="A1045" s="22" t="str">
        <x:v>2023-00087</x:v>
      </x:c>
      <x:c r="B1045" s="22" t="str">
        <x:v>L2025-00017-2</x:v>
      </x:c>
      <x:c r="C1045" s="22" t="str">
        <x:v>공사</x:v>
      </x:c>
      <x:c r="D1045" s="25" t="str">
        <x:v>이라크 아르빌 자이툰 도서관 개보수(리모델링) 공사 시공업체 선정</x:v>
      </x:c>
      <x:c r="E1045" s="22" t="n">
        <x:v>1</x:v>
      </x:c>
      <x:c r="F1045" s="22" t="str">
        <x:v>.pdf</x:v>
      </x:c>
      <x:c r="G1045" s="25" t="str">
        <x:v>L2025-00017-2/붙임1. 수원국공문(현안보고).pdf</x:v>
      </x:c>
      <x:c r="H1045" s="28" t="n">
        <x:v>325206</x:v>
      </x:c>
      <x:c r="I1045" s="22" t="str">
        <x:v>d120a59737ad4898120743679b6a7a138f721da08d3d381c99cfa1255fc83d73</x:v>
      </x:c>
      <x:c r="J1045" s="22" t="n">
        <x:v>0</x:v>
      </x:c>
      <x:c r="K1045" s="22" t="n">
        <x:v>0</x:v>
      </x:c>
      <x:c r="L1045" s="22" t="n">
        <x:v>0</x:v>
      </x:c>
      <x:c r="M1045" s="28" t="n">
        <x:v>0</x:v>
      </x:c>
      <x:c r="N1045" s="28" t="n">
        <x:v>0</x:v>
      </x:c>
      <x:c r="O1045" s="28" t="n">
        <x:v>0</x:v>
      </x:c>
      <x:c r="P1045" s="62" t="n">
        <x:v>0</x:v>
      </x:c>
      <x:c r="Q1045" s="22" t="n">
        <x:v>0</x:v>
      </x:c>
      <x:c r="R1045" s="22" t="str"/>
      <x:c r="S1045" s="22" t="str"/>
      <x:c r="T1045" s="22" t="str"/>
    </x:row>
    <x:row r="1046">
      <x:c r="A1046" s="22" t="str">
        <x:v>2023-00087</x:v>
      </x:c>
      <x:c r="B1046" s="22" t="str">
        <x:v>L2025-00017-2</x:v>
      </x:c>
      <x:c r="C1046" s="22" t="str">
        <x:v>공사</x:v>
      </x:c>
      <x:c r="D1046" s="25" t="str">
        <x:v>이라크 아르빌 자이툰 도서관 개보수(리모델링) 공사 시공업체 선정</x:v>
      </x:c>
      <x:c r="E1046" s="22" t="n">
        <x:v>1</x:v>
      </x:c>
      <x:c r="F1046" s="22" t="str">
        <x:v>.xlsx</x:v>
      </x:c>
      <x:c r="G1046" s="25" t="str">
        <x:v>L2025-00017-2/2. Time Schedule for Renovating Zaytun Library.xlsx</x:v>
      </x:c>
      <x:c r="H1046" s="28" t="n">
        <x:v>35136</x:v>
      </x:c>
      <x:c r="I1046" s="22" t="str">
        <x:v>43f6ae563e42f0fb9950bad63b62b9a891ed6365c1c90315fb1cf473ae461e08</x:v>
      </x:c>
      <x:c r="J1046" s="22" t="n">
        <x:v>0</x:v>
      </x:c>
      <x:c r="K1046" s="22" t="n">
        <x:v>0</x:v>
      </x:c>
      <x:c r="L1046" s="22" t="n">
        <x:v>0</x:v>
      </x:c>
      <x:c r="M1046" s="28" t="n">
        <x:v>0</x:v>
      </x:c>
      <x:c r="N1046" s="28" t="n">
        <x:v>0</x:v>
      </x:c>
      <x:c r="O1046" s="28" t="n">
        <x:v>0</x:v>
      </x:c>
      <x:c r="P1046" s="62" t="n">
        <x:v>0</x:v>
      </x:c>
      <x:c r="Q1046" s="22" t="n">
        <x:v>0</x:v>
      </x:c>
      <x:c r="R1046" s="22" t="str"/>
      <x:c r="S1046" s="22" t="str"/>
      <x:c r="T1046" s="22" t="str"/>
    </x:row>
    <x:row r="1047">
      <x:c r="A1047" s="22" t="str">
        <x:v>2023-00087</x:v>
      </x:c>
      <x:c r="B1047" s="22" t="str">
        <x:v>L2025-00017-2</x:v>
      </x:c>
      <x:c r="C1047" s="22" t="str">
        <x:v>공사</x:v>
      </x:c>
      <x:c r="D1047" s="25" t="str">
        <x:v>이라크 아르빌 자이툰 도서관 개보수(리모델링) 공사 시공업체 선정</x:v>
      </x:c>
      <x:c r="E1047" s="22" t="n">
        <x:v>1</x:v>
      </x:c>
      <x:c r="F1047" s="22" t="str">
        <x:v>.docx</x:v>
      </x:c>
      <x:c r="G1047" s="25" t="str">
        <x:v>L2025-00017-2/3. Questions to be requested by the bidders.docx</x:v>
      </x:c>
      <x:c r="H1047" s="28" t="n">
        <x:v>12475</x:v>
      </x:c>
      <x:c r="I1047" s="22" t="str">
        <x:v>d625229d30ac5924371397474746fc819e79455cde1d6eb8568bda7bc3a85950</x:v>
      </x:c>
      <x:c r="J1047" s="22" t="n">
        <x:v>0</x:v>
      </x:c>
      <x:c r="K1047" s="22" t="n">
        <x:v>0</x:v>
      </x:c>
      <x:c r="L1047" s="22" t="n">
        <x:v>0</x:v>
      </x:c>
      <x:c r="M1047" s="28" t="n">
        <x:v>0</x:v>
      </x:c>
      <x:c r="N1047" s="28" t="n">
        <x:v>0</x:v>
      </x:c>
      <x:c r="O1047" s="28" t="n">
        <x:v>0</x:v>
      </x:c>
      <x:c r="P1047" s="62" t="n">
        <x:v>0</x:v>
      </x:c>
      <x:c r="Q1047" s="22" t="n">
        <x:v>0</x:v>
      </x:c>
      <x:c r="R1047" s="22" t="str"/>
      <x:c r="S1047" s="22" t="str"/>
      <x:c r="T1047" s="22" t="str"/>
    </x:row>
    <x:row r="1048">
      <x:c r="A1048" s="22" t="str">
        <x:v>2023-00087</x:v>
      </x:c>
      <x:c r="B1048" s="22" t="str">
        <x:v>L2025-00017-2</x:v>
      </x:c>
      <x:c r="C1048" s="22" t="str">
        <x:v>공사</x:v>
      </x:c>
      <x:c r="D1048" s="25" t="str">
        <x:v>이라크 아르빌 자이툰 도서관 개보수(리모델링) 공사 시공업체 선정</x:v>
      </x:c>
      <x:c r="E1048" s="22" t="n">
        <x:v>1</x:v>
      </x:c>
      <x:c r="F1048" s="22" t="str">
        <x:v>.pdf</x:v>
      </x:c>
      <x:c r="G1048" s="25" t="str">
        <x:v>L2025-00017-2/[붙임4] 부속서류 일체.pdf</x:v>
      </x:c>
      <x:c r="H1048" s="28" t="n">
        <x:v>7586473</x:v>
      </x:c>
      <x:c r="I1048" s="22" t="str">
        <x:v>c0d3754e32e57f9e29605403064671ca2a8a8766960405ad01a0aaf2fb52ad95</x:v>
      </x:c>
      <x:c r="J1048" s="22" t="n">
        <x:v>0</x:v>
      </x:c>
      <x:c r="K1048" s="22" t="n">
        <x:v>0</x:v>
      </x:c>
      <x:c r="L1048" s="22" t="n">
        <x:v>0</x:v>
      </x:c>
      <x:c r="M1048" s="28" t="n">
        <x:v>0</x:v>
      </x:c>
      <x:c r="N1048" s="28" t="n">
        <x:v>0</x:v>
      </x:c>
      <x:c r="O1048" s="28" t="n">
        <x:v>0</x:v>
      </x:c>
      <x:c r="P1048" s="62" t="n">
        <x:v>0</x:v>
      </x:c>
      <x:c r="Q1048" s="22" t="n">
        <x:v>0</x:v>
      </x:c>
      <x:c r="R1048" s="22" t="str"/>
      <x:c r="S1048" s="22" t="str"/>
      <x:c r="T1048" s="22" t="str"/>
    </x:row>
    <x:row r="1049">
      <x:c r="A1049" s="22" t="str">
        <x:v>2023-00087</x:v>
      </x:c>
      <x:c r="B1049" s="22" t="str">
        <x:v>L2025-00017-2</x:v>
      </x:c>
      <x:c r="C1049" s="22" t="str">
        <x:v>공사</x:v>
      </x:c>
      <x:c r="D1049" s="25" t="str">
        <x:v>이라크 아르빌 자이툰 도서관 개보수(리모델링) 공사 시공업체 선정</x:v>
      </x:c>
      <x:c r="E1049" s="22" t="n">
        <x:v>1</x:v>
      </x:c>
      <x:c r="F1049" s="22" t="str">
        <x:v>.xlsx</x:v>
      </x:c>
      <x:c r="G1049" s="25" t="str">
        <x:v>L2025-00017-2/1. BOQ for Zaytun Library_non-priced for 2 stages.xlsx</x:v>
      </x:c>
      <x:c r="H1049" s="28" t="n">
        <x:v>20974</x:v>
      </x:c>
      <x:c r="I1049" s="22" t="str">
        <x:v>7a20c85a0c452f9d38e70c7cd5af02cb40ecd225f50f31491a688055fd66e67e</x:v>
      </x:c>
      <x:c r="J1049" s="22" t="n">
        <x:v>0</x:v>
      </x:c>
      <x:c r="K1049" s="22" t="n">
        <x:v>1</x:v>
      </x:c>
      <x:c r="L1049" s="22" t="n">
        <x:v>0</x:v>
      </x:c>
      <x:c r="M1049" s="28" t="n">
        <x:v>1</x:v>
      </x:c>
      <x:c r="N1049" s="28" t="n">
        <x:v>48</x:v>
      </x:c>
      <x:c r="O1049" s="28" t="n">
        <x:v>0</x:v>
      </x:c>
      <x:c r="P1049" s="62" t="n">
        <x:v>0</x:v>
      </x:c>
      <x:c r="Q1049" s="22" t="n">
        <x:v>0</x:v>
      </x:c>
      <x:c r="R1049" s="22" t="str">
        <x:v>Sheet1</x:v>
      </x:c>
      <x:c r="S1049" s="22" t="str">
        <x:v>visible</x:v>
      </x:c>
      <x:c r="T1049" s="22" t="str"/>
    </x:row>
    <x:row r="1050">
      <x:c r="A1050" s="22" t="str">
        <x:v>2023-00087</x:v>
      </x:c>
      <x:c r="B1050" s="22" t="str">
        <x:v>L2025-00045-1</x:v>
      </x:c>
      <x:c r="C1050" s="22" t="str">
        <x:v>용역</x:v>
      </x:c>
      <x:c r="D1050" s="25" t="str">
        <x:v>“이라크 쿠르드 지역학교 내 난민통합교육 강화사업” 선도학교 및 교사연수센터 신축을 위한 설계 및 시공감리 업체 선정</x:v>
      </x:c>
      <x:c r="E1050" s="22" t="n">
        <x:v>0</x:v>
      </x:c>
      <x:c r="F1050" s="22" t="str">
        <x:v>.zip</x:v>
      </x:c>
      <x:c r="G1050" s="25" t="str">
        <x:v>L2025-00045-1/붙임6. 지형도(DWG 및 PDF).zip</x:v>
      </x:c>
      <x:c r="H1050" s="28" t="n">
        <x:v>13357918</x:v>
      </x:c>
      <x:c r="I1050" s="22" t="str">
        <x:v>86afaf3971ee14c4e03303a4016fe6e84f5d34576fe07dc6fcc0dd9f73555de7</x:v>
      </x:c>
      <x:c r="J1050" s="22" t="n">
        <x:v>0</x:v>
      </x:c>
      <x:c r="K1050" s="22" t="n">
        <x:v>0</x:v>
      </x:c>
      <x:c r="L1050" s="22" t="n">
        <x:v>0</x:v>
      </x:c>
      <x:c r="M1050" s="28" t="n">
        <x:v>0</x:v>
      </x:c>
      <x:c r="N1050" s="28" t="n">
        <x:v>0</x:v>
      </x:c>
      <x:c r="O1050" s="28" t="n">
        <x:v>0</x:v>
      </x:c>
      <x:c r="P1050" s="62" t="n">
        <x:v>0</x:v>
      </x:c>
      <x:c r="Q1050" s="22" t="n">
        <x:v>0</x:v>
      </x:c>
      <x:c r="R1050" s="22" t="str"/>
      <x:c r="S1050" s="22" t="str"/>
      <x:c r="T1050" s="22" t="str"/>
    </x:row>
    <x:row r="1051">
      <x:c r="A1051" s="22" t="str">
        <x:v>2023-00087</x:v>
      </x:c>
      <x:c r="B1051" s="22" t="str">
        <x:v>L2025-00045-1</x:v>
      </x:c>
      <x:c r="C1051" s="22" t="str">
        <x:v>용역</x:v>
      </x:c>
      <x:c r="D1051" s="25" t="str">
        <x:v>“이라크 쿠르드 지역학교 내 난민통합교육 강화사업” 선도학교 및 교사연수센터 신축을 위한 설계 및 시공감리 업체 선정</x:v>
      </x:c>
      <x:c r="E1051" s="22" t="n">
        <x:v>0</x:v>
      </x:c>
      <x:c r="F1051" s="22" t="str">
        <x:v>.hwp</x:v>
      </x:c>
      <x:c r="G1051" s="25" t="str">
        <x:v>L2025-00045-1/붙임1. 이라크 난민선도학교 설계및시공감리업체선정 현지입찰추진계획안(.hwp</x:v>
      </x:c>
      <x:c r="H1051" s="28" t="n">
        <x:v>89600</x:v>
      </x:c>
      <x:c r="I1051" s="22" t="str">
        <x:v>4a77947b9ba946008c18c6e80d7e2cea4c73374beb901e495a8bc11277121a36</x:v>
      </x:c>
      <x:c r="J1051" s="22" t="n">
        <x:v>0</x:v>
      </x:c>
      <x:c r="K1051" s="22" t="n">
        <x:v>0</x:v>
      </x:c>
      <x:c r="L1051" s="22" t="n">
        <x:v>0</x:v>
      </x:c>
      <x:c r="M1051" s="28" t="n">
        <x:v>0</x:v>
      </x:c>
      <x:c r="N1051" s="28" t="n">
        <x:v>0</x:v>
      </x:c>
      <x:c r="O1051" s="28" t="n">
        <x:v>0</x:v>
      </x:c>
      <x:c r="P1051" s="62" t="n">
        <x:v>0</x:v>
      </x:c>
      <x:c r="Q1051" s="22" t="n">
        <x:v>0</x:v>
      </x:c>
      <x:c r="R1051" s="22" t="str"/>
      <x:c r="S1051" s="22" t="str"/>
      <x:c r="T1051" s="22" t="str"/>
    </x:row>
    <x:row r="1052">
      <x:c r="A1052" s="22" t="str">
        <x:v>2023-00087</x:v>
      </x:c>
      <x:c r="B1052" s="22" t="str">
        <x:v>L2025-00045-1</x:v>
      </x:c>
      <x:c r="C1052" s="22" t="str">
        <x:v>용역</x:v>
      </x:c>
      <x:c r="D1052" s="25" t="str">
        <x:v>“이라크 쿠르드 지역학교 내 난민통합교육 강화사업” 선도학교 및 교사연수센터 신축을 위한 설계 및 시공감리 업체 선정</x:v>
      </x:c>
      <x:c r="E1052" s="22" t="n">
        <x:v>0</x:v>
      </x:c>
      <x:c r="F1052" s="22" t="str">
        <x:v>.zip</x:v>
      </x:c>
      <x:c r="G1052" s="25" t="str">
        <x:v>L2025-00045-1/붙임4. 조달실 및 지역실 검토의견서.zip</x:v>
      </x:c>
      <x:c r="H1052" s="28" t="n">
        <x:v>237966</x:v>
      </x:c>
      <x:c r="I1052" s="22" t="str">
        <x:v>ad9ed33b43c7ceeb0b64cb2b8f921a5e5b5ed0c3e0eaf6e1849c146d38d63fa2</x:v>
      </x:c>
      <x:c r="J1052" s="22" t="n">
        <x:v>0</x:v>
      </x:c>
      <x:c r="K1052" s="22" t="n">
        <x:v>0</x:v>
      </x:c>
      <x:c r="L1052" s="22" t="n">
        <x:v>0</x:v>
      </x:c>
      <x:c r="M1052" s="28" t="n">
        <x:v>0</x:v>
      </x:c>
      <x:c r="N1052" s="28" t="n">
        <x:v>0</x:v>
      </x:c>
      <x:c r="O1052" s="28" t="n">
        <x:v>0</x:v>
      </x:c>
      <x:c r="P1052" s="62" t="n">
        <x:v>0</x:v>
      </x:c>
      <x:c r="Q1052" s="22" t="n">
        <x:v>0</x:v>
      </x:c>
      <x:c r="R1052" s="22" t="str"/>
      <x:c r="S1052" s="22" t="str"/>
      <x:c r="T1052" s="22" t="str"/>
    </x:row>
    <x:row r="1053">
      <x:c r="A1053" s="22" t="str">
        <x:v>2023-00087</x:v>
      </x:c>
      <x:c r="B1053" s="22" t="str">
        <x:v>L2025-00045-1</x:v>
      </x:c>
      <x:c r="C1053" s="22" t="str">
        <x:v>용역</x:v>
      </x:c>
      <x:c r="D1053" s="25" t="str">
        <x:v>“이라크 쿠르드 지역학교 내 난민통합교육 강화사업” 선도학교 및 교사연수센터 신축을 위한 설계 및 시공감리 업체 선정</x:v>
      </x:c>
      <x:c r="E1053" s="22" t="n">
        <x:v>0</x:v>
      </x:c>
      <x:c r="F1053" s="22" t="str">
        <x:v>.pdf</x:v>
      </x:c>
      <x:c r="G1053" s="25" t="str">
        <x:v>L2025-00045-1/붙임2. CM공문(본부검토의견 반영)_TOPEC-해외사업본부-2506-023.pdf</x:v>
      </x:c>
      <x:c r="H1053" s="28" t="n">
        <x:v>92053</x:v>
      </x:c>
      <x:c r="I1053" s="22" t="str">
        <x:v>7b2f4d16cd6d7147adc30e3a0401cb1d7954423786f1b6a87a013ae86597455f</x:v>
      </x:c>
      <x:c r="J1053" s="22" t="n">
        <x:v>0</x:v>
      </x:c>
      <x:c r="K1053" s="22" t="n">
        <x:v>0</x:v>
      </x:c>
      <x:c r="L1053" s="22" t="n">
        <x:v>0</x:v>
      </x:c>
      <x:c r="M1053" s="28" t="n">
        <x:v>0</x:v>
      </x:c>
      <x:c r="N1053" s="28" t="n">
        <x:v>0</x:v>
      </x:c>
      <x:c r="O1053" s="28" t="n">
        <x:v>0</x:v>
      </x:c>
      <x:c r="P1053" s="62" t="n">
        <x:v>0</x:v>
      </x:c>
      <x:c r="Q1053" s="22" t="n">
        <x:v>0</x:v>
      </x:c>
      <x:c r="R1053" s="22" t="str"/>
      <x:c r="S1053" s="22" t="str"/>
      <x:c r="T1053" s="22" t="str"/>
    </x:row>
    <x:row r="1054">
      <x:c r="A1054" s="22" t="str">
        <x:v>2023-00087</x:v>
      </x:c>
      <x:c r="B1054" s="22" t="str">
        <x:v>L2025-00045-1</x:v>
      </x:c>
      <x:c r="C1054" s="22" t="str">
        <x:v>용역</x:v>
      </x:c>
      <x:c r="D1054" s="25" t="str">
        <x:v>“이라크 쿠르드 지역학교 내 난민통합교육 강화사업” 선도학교 및 교사연수센터 신축을 위한 설계 및 시공감리 업체 선정</x:v>
      </x:c>
      <x:c r="E1054" s="22" t="n">
        <x:v>0</x:v>
      </x:c>
      <x:c r="F1054" s="22" t="str">
        <x:v>.zip</x:v>
      </x:c>
      <x:c r="G1054" s="25" t="str">
        <x:v>L2025-00045-1/붙임3. 입찰서류(영문) 일체.zip</x:v>
      </x:c>
      <x:c r="H1054" s="28" t="n">
        <x:v>3157118</x:v>
      </x:c>
      <x:c r="I1054" s="22" t="str">
        <x:v>fb96dbda96f3cdce7c2b4b3ea7ef0ca6a540102f2ac666f688f28baab1cc10c6</x:v>
      </x:c>
      <x:c r="J1054" s="22" t="n">
        <x:v>0</x:v>
      </x:c>
      <x:c r="K1054" s="22" t="n">
        <x:v>0</x:v>
      </x:c>
      <x:c r="L1054" s="22" t="n">
        <x:v>0</x:v>
      </x:c>
      <x:c r="M1054" s="28" t="n">
        <x:v>0</x:v>
      </x:c>
      <x:c r="N1054" s="28" t="n">
        <x:v>0</x:v>
      </x:c>
      <x:c r="O1054" s="28" t="n">
        <x:v>0</x:v>
      </x:c>
      <x:c r="P1054" s="62" t="n">
        <x:v>0</x:v>
      </x:c>
      <x:c r="Q1054" s="22" t="n">
        <x:v>0</x:v>
      </x:c>
      <x:c r="R1054" s="22" t="str"/>
      <x:c r="S1054" s="22" t="str"/>
      <x:c r="T1054" s="22" t="str"/>
    </x:row>
    <x:row r="1055">
      <x:c r="A1055" s="22" t="str">
        <x:v>2023-00087</x:v>
      </x:c>
      <x:c r="B1055" s="22" t="str">
        <x:v>L2025-00045-1</x:v>
      </x:c>
      <x:c r="C1055" s="22" t="str">
        <x:v>용역</x:v>
      </x:c>
      <x:c r="D1055" s="25" t="str">
        <x:v>“이라크 쿠르드 지역학교 내 난민통합교육 강화사업” 선도학교 및 교사연수센터 신축을 위한 설계 및 시공감리 업체 선정</x:v>
      </x:c>
      <x:c r="E1055" s="22" t="n">
        <x:v>0</x:v>
      </x:c>
      <x:c r="F1055" s="22" t="str">
        <x:v>.pdf</x:v>
      </x:c>
      <x:c r="G1055" s="25" t="str">
        <x:v>L2025-00045-1/붙임5. RD 최종서명본(24.8.).pdf</x:v>
      </x:c>
      <x:c r="H1055" s="28" t="n">
        <x:v>8801980</x:v>
      </x:c>
      <x:c r="I1055" s="22" t="str">
        <x:v>5e1765f9b58a2549c520de37ee37149686c38d0de7eba68aced88186c7b6dc03</x:v>
      </x:c>
      <x:c r="J1055" s="22" t="n">
        <x:v>0</x:v>
      </x:c>
      <x:c r="K1055" s="22" t="n">
        <x:v>0</x:v>
      </x:c>
      <x:c r="L1055" s="22" t="n">
        <x:v>0</x:v>
      </x:c>
      <x:c r="M1055" s="28" t="n">
        <x:v>0</x:v>
      </x:c>
      <x:c r="N1055" s="28" t="n">
        <x:v>0</x:v>
      </x:c>
      <x:c r="O1055" s="28" t="n">
        <x:v>0</x:v>
      </x:c>
      <x:c r="P1055" s="62" t="n">
        <x:v>0</x:v>
      </x:c>
      <x:c r="Q1055" s="22" t="n">
        <x:v>0</x:v>
      </x:c>
      <x:c r="R1055" s="22" t="str"/>
      <x:c r="S1055" s="22" t="str"/>
      <x:c r="T1055" s="22" t="str"/>
    </x:row>
    <x:row r="1056">
      <x:c r="A1056" s="22" t="str">
        <x:v>2023-00087</x:v>
      </x:c>
      <x:c r="B1056" s="22" t="str">
        <x:v>L2025-00045-1</x:v>
      </x:c>
      <x:c r="C1056" s="22" t="str">
        <x:v>용역</x:v>
      </x:c>
      <x:c r="D1056" s="25" t="str">
        <x:v>“이라크 쿠르드 지역학교 내 난민통합교육 강화사업” 선도학교 및 교사연수센터 신축을 위한 설계 및 시공감리 업체 선정</x:v>
      </x:c>
      <x:c r="E1056" s="22" t="n">
        <x:v>0</x:v>
      </x:c>
      <x:c r="F1056" s="22" t="str">
        <x:v>.docx</x:v>
      </x:c>
      <x:c r="G1056" s="25" t="str">
        <x:v>L2025-00045-1/붙임3. 입찰서류(영문) 일체/Section 2 - Bid Data Sheet (BDS).docx</x:v>
      </x:c>
      <x:c r="H1056" s="28" t="n">
        <x:v>102979</x:v>
      </x:c>
      <x:c r="I1056" s="22" t="str">
        <x:v>53bd4ae10652be1e3d7529d174a619f9a6cbff33ad451f27e1af54f807c685ef</x:v>
      </x:c>
      <x:c r="J1056" s="22" t="n">
        <x:v>0</x:v>
      </x:c>
      <x:c r="K1056" s="22" t="n">
        <x:v>0</x:v>
      </x:c>
      <x:c r="L1056" s="22" t="n">
        <x:v>0</x:v>
      </x:c>
      <x:c r="M1056" s="28" t="n">
        <x:v>0</x:v>
      </x:c>
      <x:c r="N1056" s="28" t="n">
        <x:v>0</x:v>
      </x:c>
      <x:c r="O1056" s="28" t="n">
        <x:v>0</x:v>
      </x:c>
      <x:c r="P1056" s="62" t="n">
        <x:v>0</x:v>
      </x:c>
      <x:c r="Q1056" s="22" t="n">
        <x:v>0</x:v>
      </x:c>
      <x:c r="R1056" s="22" t="str"/>
      <x:c r="S1056" s="22" t="str"/>
      <x:c r="T1056" s="22" t="str"/>
    </x:row>
    <x:row r="1057">
      <x:c r="A1057" s="22" t="str">
        <x:v>2023-00087</x:v>
      </x:c>
      <x:c r="B1057" s="22" t="str">
        <x:v>L2025-00045-1</x:v>
      </x:c>
      <x:c r="C1057" s="22" t="str">
        <x:v>용역</x:v>
      </x:c>
      <x:c r="D1057" s="25" t="str">
        <x:v>“이라크 쿠르드 지역학교 내 난민통합교육 강화사업” 선도학교 및 교사연수센터 신축을 위한 설계 및 시공감리 업체 선정</x:v>
      </x:c>
      <x:c r="E1057" s="22" t="n">
        <x:v>0</x:v>
      </x:c>
      <x:c r="F1057" s="22" t="str">
        <x:v>.docx</x:v>
      </x:c>
      <x:c r="G1057" s="25" t="str">
        <x:v>L2025-00045-1/붙임3. 입찰서류(영문) 일체/Section 9 - Contract Forms.docx</x:v>
      </x:c>
      <x:c r="H1057" s="28" t="n">
        <x:v>22665</x:v>
      </x:c>
      <x:c r="I1057" s="22" t="str">
        <x:v>35c79063d026ca2bdcfbc4eae7edcc2b7daf5293ff504de0cbc6e20f68bcf883</x:v>
      </x:c>
      <x:c r="J1057" s="22" t="n">
        <x:v>0</x:v>
      </x:c>
      <x:c r="K1057" s="22" t="n">
        <x:v>0</x:v>
      </x:c>
      <x:c r="L1057" s="22" t="n">
        <x:v>0</x:v>
      </x:c>
      <x:c r="M1057" s="28" t="n">
        <x:v>0</x:v>
      </x:c>
      <x:c r="N1057" s="28" t="n">
        <x:v>0</x:v>
      </x:c>
      <x:c r="O1057" s="28" t="n">
        <x:v>0</x:v>
      </x:c>
      <x:c r="P1057" s="62" t="n">
        <x:v>0</x:v>
      </x:c>
      <x:c r="Q1057" s="22" t="n">
        <x:v>0</x:v>
      </x:c>
      <x:c r="R1057" s="22" t="str"/>
      <x:c r="S1057" s="22" t="str"/>
      <x:c r="T1057" s="22" t="str"/>
    </x:row>
    <x:row r="1058">
      <x:c r="A1058" s="22" t="str">
        <x:v>2023-00087</x:v>
      </x:c>
      <x:c r="B1058" s="22" t="str">
        <x:v>L2025-00045-1</x:v>
      </x:c>
      <x:c r="C1058" s="22" t="str">
        <x:v>용역</x:v>
      </x:c>
      <x:c r="D1058" s="25" t="str">
        <x:v>“이라크 쿠르드 지역학교 내 난민통합교육 강화사업” 선도학교 및 교사연수센터 신축을 위한 설계 및 시공감리 업체 선정</x:v>
      </x:c>
      <x:c r="E1058" s="22" t="n">
        <x:v>0</x:v>
      </x:c>
      <x:c r="F1058" s="22" t="str">
        <x:v>.docx</x:v>
      </x:c>
      <x:c r="G1058" s="25" t="str">
        <x:v>L2025-00045-1/붙임3. 입찰서류(영문) 일체/Section 7 - General Conditions of Contract.docx</x:v>
      </x:c>
      <x:c r="H1058" s="28" t="n">
        <x:v>34877</x:v>
      </x:c>
      <x:c r="I1058" s="22" t="str">
        <x:v>72365f27c06802952ee18e77692f649401d0c0d4a7a0c37417bacf0fd72b1f2e</x:v>
      </x:c>
      <x:c r="J1058" s="22" t="n">
        <x:v>0</x:v>
      </x:c>
      <x:c r="K1058" s="22" t="n">
        <x:v>0</x:v>
      </x:c>
      <x:c r="L1058" s="22" t="n">
        <x:v>0</x:v>
      </x:c>
      <x:c r="M1058" s="28" t="n">
        <x:v>0</x:v>
      </x:c>
      <x:c r="N1058" s="28" t="n">
        <x:v>0</x:v>
      </x:c>
      <x:c r="O1058" s="28" t="n">
        <x:v>0</x:v>
      </x:c>
      <x:c r="P1058" s="62" t="n">
        <x:v>0</x:v>
      </x:c>
      <x:c r="Q1058" s="22" t="n">
        <x:v>0</x:v>
      </x:c>
      <x:c r="R1058" s="22" t="str"/>
      <x:c r="S1058" s="22" t="str"/>
      <x:c r="T1058" s="22" t="str"/>
    </x:row>
    <x:row r="1059">
      <x:c r="A1059" s="22" t="str">
        <x:v>2023-00087</x:v>
      </x:c>
      <x:c r="B1059" s="22" t="str">
        <x:v>L2025-00045-1</x:v>
      </x:c>
      <x:c r="C1059" s="22" t="str">
        <x:v>용역</x:v>
      </x:c>
      <x:c r="D1059" s="25" t="str">
        <x:v>“이라크 쿠르드 지역학교 내 난민통합교육 강화사업” 선도학교 및 교사연수센터 신축을 위한 설계 및 시공감리 업체 선정</x:v>
      </x:c>
      <x:c r="E1059" s="22" t="n">
        <x:v>0</x:v>
      </x:c>
      <x:c r="F1059" s="22" t="str">
        <x:v>.docx</x:v>
      </x:c>
      <x:c r="G1059" s="25" t="str">
        <x:v>L2025-00045-1/붙임3. 입찰서류(영문) 일체/Section 6 - Reference Material(Constrution scope and space program).docx</x:v>
      </x:c>
      <x:c r="H1059" s="28" t="n">
        <x:v>2777091</x:v>
      </x:c>
      <x:c r="I1059" s="22" t="str">
        <x:v>106b1425d23ab620fb917998d748978b9becd9dce9989a3a8e5bf2421bc98c9a</x:v>
      </x:c>
      <x:c r="J1059" s="22" t="n">
        <x:v>0</x:v>
      </x:c>
      <x:c r="K1059" s="22" t="n">
        <x:v>0</x:v>
      </x:c>
      <x:c r="L1059" s="22" t="n">
        <x:v>0</x:v>
      </x:c>
      <x:c r="M1059" s="28" t="n">
        <x:v>0</x:v>
      </x:c>
      <x:c r="N1059" s="28" t="n">
        <x:v>0</x:v>
      </x:c>
      <x:c r="O1059" s="28" t="n">
        <x:v>0</x:v>
      </x:c>
      <x:c r="P1059" s="62" t="n">
        <x:v>0</x:v>
      </x:c>
      <x:c r="Q1059" s="22" t="n">
        <x:v>0</x:v>
      </x:c>
      <x:c r="R1059" s="22" t="str"/>
      <x:c r="S1059" s="22" t="str"/>
      <x:c r="T1059" s="22" t="str"/>
    </x:row>
    <x:row r="1060">
      <x:c r="A1060" s="22" t="str">
        <x:v>2023-00087</x:v>
      </x:c>
      <x:c r="B1060" s="22" t="str">
        <x:v>L2025-00045-1</x:v>
      </x:c>
      <x:c r="C1060" s="22" t="str">
        <x:v>용역</x:v>
      </x:c>
      <x:c r="D1060" s="25" t="str">
        <x:v>“이라크 쿠르드 지역학교 내 난민통합교육 강화사업” 선도학교 및 교사연수센터 신축을 위한 설계 및 시공감리 업체 선정</x:v>
      </x:c>
      <x:c r="E1060" s="22" t="n">
        <x:v>0</x:v>
      </x:c>
      <x:c r="F1060" s="22" t="str">
        <x:v>.docx</x:v>
      </x:c>
      <x:c r="G1060" s="25" t="str">
        <x:v>L2025-00045-1/붙임3. 입찰서류(영문) 일체/Section 1 - Instructions to Bidders.docx</x:v>
      </x:c>
      <x:c r="H1060" s="28" t="n">
        <x:v>30502</x:v>
      </x:c>
      <x:c r="I1060" s="22" t="str">
        <x:v>46cd96e2d065d7e4069c3c392c8b31f9d7bcf84dfe7fb36613930aea923c45ce</x:v>
      </x:c>
      <x:c r="J1060" s="22" t="n">
        <x:v>0</x:v>
      </x:c>
      <x:c r="K1060" s="22" t="n">
        <x:v>0</x:v>
      </x:c>
      <x:c r="L1060" s="22" t="n">
        <x:v>0</x:v>
      </x:c>
      <x:c r="M1060" s="28" t="n">
        <x:v>0</x:v>
      </x:c>
      <x:c r="N1060" s="28" t="n">
        <x:v>0</x:v>
      </x:c>
      <x:c r="O1060" s="28" t="n">
        <x:v>0</x:v>
      </x:c>
      <x:c r="P1060" s="62" t="n">
        <x:v>0</x:v>
      </x:c>
      <x:c r="Q1060" s="22" t="n">
        <x:v>0</x:v>
      </x:c>
      <x:c r="R1060" s="22" t="str"/>
      <x:c r="S1060" s="22" t="str"/>
      <x:c r="T1060" s="22" t="str"/>
    </x:row>
    <x:row r="1061">
      <x:c r="A1061" s="22" t="str">
        <x:v>2023-00087</x:v>
      </x:c>
      <x:c r="B1061" s="22" t="str">
        <x:v>L2025-00045-1</x:v>
      </x:c>
      <x:c r="C1061" s="22" t="str">
        <x:v>용역</x:v>
      </x:c>
      <x:c r="D1061" s="25" t="str">
        <x:v>“이라크 쿠르드 지역학교 내 난민통합교육 강화사업” 선도학교 및 교사연수센터 신축을 위한 설계 및 시공감리 업체 선정</x:v>
      </x:c>
      <x:c r="E1061" s="22" t="n">
        <x:v>0</x:v>
      </x:c>
      <x:c r="F1061" s="22" t="str">
        <x:v>.docx</x:v>
      </x:c>
      <x:c r="G1061" s="25" t="str">
        <x:v>L2025-00045-1/붙임3. 입찰서류(영문) 일체/Section 5 - Scope of the Services.docx</x:v>
      </x:c>
      <x:c r="H1061" s="28" t="n">
        <x:v>41083</x:v>
      </x:c>
      <x:c r="I1061" s="22" t="str">
        <x:v>56c99f90eb81c04331bcfa7bcbaa7ae5378e7adcd12d4c4dc73470acdc78a196</x:v>
      </x:c>
      <x:c r="J1061" s="22" t="n">
        <x:v>0</x:v>
      </x:c>
      <x:c r="K1061" s="22" t="n">
        <x:v>0</x:v>
      </x:c>
      <x:c r="L1061" s="22" t="n">
        <x:v>0</x:v>
      </x:c>
      <x:c r="M1061" s="28" t="n">
        <x:v>0</x:v>
      </x:c>
      <x:c r="N1061" s="28" t="n">
        <x:v>0</x:v>
      </x:c>
      <x:c r="O1061" s="28" t="n">
        <x:v>0</x:v>
      </x:c>
      <x:c r="P1061" s="62" t="n">
        <x:v>0</x:v>
      </x:c>
      <x:c r="Q1061" s="22" t="n">
        <x:v>0</x:v>
      </x:c>
      <x:c r="R1061" s="22" t="str"/>
      <x:c r="S1061" s="22" t="str"/>
      <x:c r="T1061" s="22" t="str"/>
    </x:row>
    <x:row r="1062">
      <x:c r="A1062" s="22" t="str">
        <x:v>2023-00087</x:v>
      </x:c>
      <x:c r="B1062" s="22" t="str">
        <x:v>L2025-00045-1</x:v>
      </x:c>
      <x:c r="C1062" s="22" t="str">
        <x:v>용역</x:v>
      </x:c>
      <x:c r="D1062" s="25" t="str">
        <x:v>“이라크 쿠르드 지역학교 내 난민통합교육 강화사업” 선도학교 및 교사연수센터 신축을 위한 설계 및 시공감리 업체 선정</x:v>
      </x:c>
      <x:c r="E1062" s="22" t="n">
        <x:v>0</x:v>
      </x:c>
      <x:c r="F1062" s="22" t="str">
        <x:v>.doc</x:v>
      </x:c>
      <x:c r="G1062" s="25" t="str">
        <x:v>L2025-00045-1/붙임3. 입찰서류(영문) 일체/Section 4 - Request for Proposal (RFP).doc</x:v>
      </x:c>
      <x:c r="H1062" s="28" t="n">
        <x:v>251904</x:v>
      </x:c>
      <x:c r="I1062" s="22" t="str">
        <x:v>5b7ef1c26550da11a6af266f3098b4ad82513662094015a563f6a7859bb390c9</x:v>
      </x:c>
      <x:c r="J1062" s="22" t="n">
        <x:v>0</x:v>
      </x:c>
      <x:c r="K1062" s="22" t="n">
        <x:v>0</x:v>
      </x:c>
      <x:c r="L1062" s="22" t="n">
        <x:v>0</x:v>
      </x:c>
      <x:c r="M1062" s="28" t="n">
        <x:v>0</x:v>
      </x:c>
      <x:c r="N1062" s="28" t="n">
        <x:v>0</x:v>
      </x:c>
      <x:c r="O1062" s="28" t="n">
        <x:v>0</x:v>
      </x:c>
      <x:c r="P1062" s="62" t="n">
        <x:v>0</x:v>
      </x:c>
      <x:c r="Q1062" s="22" t="n">
        <x:v>0</x:v>
      </x:c>
      <x:c r="R1062" s="22" t="str"/>
      <x:c r="S1062" s="22" t="str"/>
      <x:c r="T1062" s="22" t="str"/>
    </x:row>
    <x:row r="1063">
      <x:c r="A1063" s="22" t="str">
        <x:v>2023-00087</x:v>
      </x:c>
      <x:c r="B1063" s="22" t="str">
        <x:v>L2025-00045-1</x:v>
      </x:c>
      <x:c r="C1063" s="22" t="str">
        <x:v>용역</x:v>
      </x:c>
      <x:c r="D1063" s="25" t="str">
        <x:v>“이라크 쿠르드 지역학교 내 난민통합교육 강화사업” 선도학교 및 교사연수센터 신축을 위한 설계 및 시공감리 업체 선정</x:v>
      </x:c>
      <x:c r="E1063" s="22" t="n">
        <x:v>0</x:v>
      </x:c>
      <x:c r="F1063" s="22" t="str">
        <x:v>.doc</x:v>
      </x:c>
      <x:c r="G1063" s="25" t="str">
        <x:v>L2025-00045-1/붙임3. 입찰서류(영문) 일체/Section 4 (Annex 1) Sample of Technical Proposal.doc</x:v>
      </x:c>
      <x:c r="H1063" s="28" t="n">
        <x:v>184320</x:v>
      </x:c>
      <x:c r="I1063" s="22" t="str">
        <x:v>ce936dc2ece3e50275ad42a99abda137d6923f08fc0b58ea13d15c0316258520</x:v>
      </x:c>
      <x:c r="J1063" s="22" t="n">
        <x:v>0</x:v>
      </x:c>
      <x:c r="K1063" s="22" t="n">
        <x:v>0</x:v>
      </x:c>
      <x:c r="L1063" s="22" t="n">
        <x:v>0</x:v>
      </x:c>
      <x:c r="M1063" s="28" t="n">
        <x:v>0</x:v>
      </x:c>
      <x:c r="N1063" s="28" t="n">
        <x:v>0</x:v>
      </x:c>
      <x:c r="O1063" s="28" t="n">
        <x:v>0</x:v>
      </x:c>
      <x:c r="P1063" s="62" t="n">
        <x:v>0</x:v>
      </x:c>
      <x:c r="Q1063" s="22" t="n">
        <x:v>0</x:v>
      </x:c>
      <x:c r="R1063" s="22" t="str"/>
      <x:c r="S1063" s="22" t="str"/>
      <x:c r="T1063" s="22" t="str"/>
    </x:row>
    <x:row r="1064">
      <x:c r="A1064" s="22" t="str">
        <x:v>2023-00087</x:v>
      </x:c>
      <x:c r="B1064" s="22" t="str">
        <x:v>L2025-00045-1</x:v>
      </x:c>
      <x:c r="C1064" s="22" t="str">
        <x:v>용역</x:v>
      </x:c>
      <x:c r="D1064" s="25" t="str">
        <x:v>“이라크 쿠르드 지역학교 내 난민통합교육 강화사업” 선도학교 및 교사연수센터 신축을 위한 설계 및 시공감리 업체 선정</x:v>
      </x:c>
      <x:c r="E1064" s="22" t="n">
        <x:v>0</x:v>
      </x:c>
      <x:c r="F1064" s="22" t="str">
        <x:v>.docx</x:v>
      </x:c>
      <x:c r="G1064" s="25" t="str">
        <x:v>L2025-00045-1/붙임3. 입찰서류(영문) 일체/Section 3 - Bidding Forms.docx</x:v>
      </x:c>
      <x:c r="H1064" s="28" t="n">
        <x:v>66042</x:v>
      </x:c>
      <x:c r="I1064" s="22" t="str">
        <x:v>c5bd0e7e925ea4e237eaf7a8a46763f35556434e5a4360de00a7d0e427a14802</x:v>
      </x:c>
      <x:c r="J1064" s="22" t="n">
        <x:v>0</x:v>
      </x:c>
      <x:c r="K1064" s="22" t="n">
        <x:v>0</x:v>
      </x:c>
      <x:c r="L1064" s="22" t="n">
        <x:v>0</x:v>
      </x:c>
      <x:c r="M1064" s="28" t="n">
        <x:v>0</x:v>
      </x:c>
      <x:c r="N1064" s="28" t="n">
        <x:v>0</x:v>
      </x:c>
      <x:c r="O1064" s="28" t="n">
        <x:v>0</x:v>
      </x:c>
      <x:c r="P1064" s="62" t="n">
        <x:v>0</x:v>
      </x:c>
      <x:c r="Q1064" s="22" t="n">
        <x:v>0</x:v>
      </x:c>
      <x:c r="R1064" s="22" t="str"/>
      <x:c r="S1064" s="22" t="str"/>
      <x:c r="T1064" s="22" t="str"/>
    </x:row>
    <x:row r="1065">
      <x:c r="A1065" s="22" t="str">
        <x:v>2023-00087</x:v>
      </x:c>
      <x:c r="B1065" s="22" t="str">
        <x:v>L2025-00045-1</x:v>
      </x:c>
      <x:c r="C1065" s="22" t="str">
        <x:v>용역</x:v>
      </x:c>
      <x:c r="D1065" s="25" t="str">
        <x:v>“이라크 쿠르드 지역학교 내 난민통합교육 강화사업” 선도학교 및 교사연수센터 신축을 위한 설계 및 시공감리 업체 선정</x:v>
      </x:c>
      <x:c r="E1065" s="22" t="n">
        <x:v>0</x:v>
      </x:c>
      <x:c r="F1065" s="22" t="str">
        <x:v>.docx</x:v>
      </x:c>
      <x:c r="G1065" s="25" t="str">
        <x:v>L2025-00045-1/붙임3. 입찰서류(영문) 일체/Section 4 (Annex 2) Guidelines for Technical Proposal.docx</x:v>
      </x:c>
      <x:c r="H1065" s="28" t="n">
        <x:v>15200</x:v>
      </x:c>
      <x:c r="I1065" s="22" t="str">
        <x:v>41e2b40cc05d45f05587d275412ca9a153969df463135e953474bccf9a4ea4da</x:v>
      </x:c>
      <x:c r="J1065" s="22" t="n">
        <x:v>0</x:v>
      </x:c>
      <x:c r="K1065" s="22" t="n">
        <x:v>0</x:v>
      </x:c>
      <x:c r="L1065" s="22" t="n">
        <x:v>0</x:v>
      </x:c>
      <x:c r="M1065" s="28" t="n">
        <x:v>0</x:v>
      </x:c>
      <x:c r="N1065" s="28" t="n">
        <x:v>0</x:v>
      </x:c>
      <x:c r="O1065" s="28" t="n">
        <x:v>0</x:v>
      </x:c>
      <x:c r="P1065" s="62" t="n">
        <x:v>0</x:v>
      </x:c>
      <x:c r="Q1065" s="22" t="n">
        <x:v>0</x:v>
      </x:c>
      <x:c r="R1065" s="22" t="str"/>
      <x:c r="S1065" s="22" t="str"/>
      <x:c r="T1065" s="22" t="str"/>
    </x:row>
    <x:row r="1066">
      <x:c r="A1066" s="22" t="str">
        <x:v>2023-00087</x:v>
      </x:c>
      <x:c r="B1066" s="22" t="str">
        <x:v>L2025-00045-1</x:v>
      </x:c>
      <x:c r="C1066" s="22" t="str">
        <x:v>용역</x:v>
      </x:c>
      <x:c r="D1066" s="25" t="str">
        <x:v>“이라크 쿠르드 지역학교 내 난민통합교육 강화사업” 선도학교 및 교사연수센터 신축을 위한 설계 및 시공감리 업체 선정</x:v>
      </x:c>
      <x:c r="E1066" s="22" t="n">
        <x:v>0</x:v>
      </x:c>
      <x:c r="F1066" s="22" t="str">
        <x:v>.docx</x:v>
      </x:c>
      <x:c r="G1066" s="25" t="str">
        <x:v>L2025-00045-1/붙임3. 입찰서류(영문) 일체/Section 8 - Special Conditions of Contract.docx</x:v>
      </x:c>
      <x:c r="H1066" s="28" t="n">
        <x:v>27986</x:v>
      </x:c>
      <x:c r="I1066" s="22" t="str">
        <x:v>1588518fe216acc688cb1ff519c66f92d8089459d8bad6a13ffff38c49e7217b</x:v>
      </x:c>
      <x:c r="J1066" s="22" t="n">
        <x:v>0</x:v>
      </x:c>
      <x:c r="K1066" s="22" t="n">
        <x:v>0</x:v>
      </x:c>
      <x:c r="L1066" s="22" t="n">
        <x:v>0</x:v>
      </x:c>
      <x:c r="M1066" s="28" t="n">
        <x:v>0</x:v>
      </x:c>
      <x:c r="N1066" s="28" t="n">
        <x:v>0</x:v>
      </x:c>
      <x:c r="O1066" s="28" t="n">
        <x:v>0</x:v>
      </x:c>
      <x:c r="P1066" s="62" t="n">
        <x:v>0</x:v>
      </x:c>
      <x:c r="Q1066" s="22" t="n">
        <x:v>0</x:v>
      </x:c>
      <x:c r="R1066" s="22" t="str"/>
      <x:c r="S1066" s="22" t="str"/>
      <x:c r="T1066" s="22" t="str"/>
    </x:row>
    <x:row r="1067">
      <x:c r="A1067" s="22" t="str">
        <x:v>2023-00087</x:v>
      </x:c>
      <x:c r="B1067" s="22" t="str">
        <x:v>L2025-00045-1</x:v>
      </x:c>
      <x:c r="C1067" s="22" t="str">
        <x:v>용역</x:v>
      </x:c>
      <x:c r="D1067" s="25" t="str">
        <x:v>“이라크 쿠르드 지역학교 내 난민통합교육 강화사업” 선도학교 및 교사연수센터 신축을 위한 설계 및 시공감리 업체 선정</x:v>
      </x:c>
      <x:c r="E1067" s="22" t="n">
        <x:v>0</x:v>
      </x:c>
      <x:c r="F1067" s="22" t="str">
        <x:v>.pdf</x:v>
      </x:c>
      <x:c r="G1067" s="25" t="str">
        <x:v>L2025-00045-1/붙임6. 지형도(DWG 및 PDF)/┴÷╟ⁿ╡╡_GSHTYY 2-Model.pdf</x:v>
      </x:c>
      <x:c r="H1067" s="28" t="n">
        <x:v>2061015</x:v>
      </x:c>
      <x:c r="I1067" s="22" t="str">
        <x:v>918b324a4cad56155dd272e4d28fdbec5b659bef5b4ee82591e72552bba2cd4e</x:v>
      </x:c>
      <x:c r="J1067" s="22" t="n">
        <x:v>0</x:v>
      </x:c>
      <x:c r="K1067" s="22" t="n">
        <x:v>0</x:v>
      </x:c>
      <x:c r="L1067" s="22" t="n">
        <x:v>0</x:v>
      </x:c>
      <x:c r="M1067" s="28" t="n">
        <x:v>0</x:v>
      </x:c>
      <x:c r="N1067" s="28" t="n">
        <x:v>0</x:v>
      </x:c>
      <x:c r="O1067" s="28" t="n">
        <x:v>0</x:v>
      </x:c>
      <x:c r="P1067" s="62" t="n">
        <x:v>0</x:v>
      </x:c>
      <x:c r="Q1067" s="22" t="n">
        <x:v>0</x:v>
      </x:c>
      <x:c r="R1067" s="22" t="str"/>
      <x:c r="S1067" s="22" t="str"/>
      <x:c r="T1067" s="22" t="str"/>
    </x:row>
    <x:row r="1068">
      <x:c r="A1068" s="22" t="str">
        <x:v>2023-00087</x:v>
      </x:c>
      <x:c r="B1068" s="22" t="str">
        <x:v>L2025-00045-1</x:v>
      </x:c>
      <x:c r="C1068" s="22" t="str">
        <x:v>용역</x:v>
      </x:c>
      <x:c r="D1068" s="25" t="str">
        <x:v>“이라크 쿠르드 지역학교 내 난민통합교육 강화사업” 선도학교 및 교사연수센터 신축을 위한 설계 및 시공감리 업체 선정</x:v>
      </x:c>
      <x:c r="E1068" s="22" t="n">
        <x:v>0</x:v>
      </x:c>
      <x:c r="F1068" s="22" t="str">
        <x:v>.dwg</x:v>
      </x:c>
      <x:c r="G1068" s="25" t="str">
        <x:v>L2025-00045-1/붙임6. 지형도(DWG 및 PDF)/┴÷╟ⁿ╡╡(DWG).dwg</x:v>
      </x:c>
      <x:c r="H1068" s="28" t="n">
        <x:v>13794615</x:v>
      </x:c>
      <x:c r="I1068" s="22" t="str">
        <x:v>c73deb34e37f44e20e58a2ca1de8e8f5ee4e2d30c28873a4eca6bc30a4f3a106</x:v>
      </x:c>
      <x:c r="J1068" s="22" t="n">
        <x:v>0</x:v>
      </x:c>
      <x:c r="K1068" s="22" t="n">
        <x:v>0</x:v>
      </x:c>
      <x:c r="L1068" s="22" t="n">
        <x:v>0</x:v>
      </x:c>
      <x:c r="M1068" s="28" t="n">
        <x:v>0</x:v>
      </x:c>
      <x:c r="N1068" s="28" t="n">
        <x:v>0</x:v>
      </x:c>
      <x:c r="O1068" s="28" t="n">
        <x:v>0</x:v>
      </x:c>
      <x:c r="P1068" s="62" t="n">
        <x:v>0</x:v>
      </x:c>
      <x:c r="Q1068" s="22" t="n">
        <x:v>0</x:v>
      </x:c>
      <x:c r="R1068" s="22" t="str"/>
      <x:c r="S1068" s="22" t="str"/>
      <x:c r="T1068" s="22" t="str"/>
    </x:row>
    <x:row r="1069">
      <x:c r="A1069" s="22" t="str">
        <x:v>2023-00087</x:v>
      </x:c>
      <x:c r="B1069" s="22" t="str">
        <x:v>L2025-00045-1</x:v>
      </x:c>
      <x:c r="C1069" s="22" t="str">
        <x:v>용역</x:v>
      </x:c>
      <x:c r="D1069" s="25" t="str">
        <x:v>“이라크 쿠르드 지역학교 내 난민통합교육 강화사업” 선도학교 및 교사연수센터 신축을 위한 설계 및 시공감리 업체 선정</x:v>
      </x:c>
      <x:c r="E1069" s="22" t="n">
        <x:v>0</x:v>
      </x:c>
      <x:c r="F1069" s="22" t="str">
        <x:v>.hwp</x:v>
      </x:c>
      <x:c r="G1069" s="25" t="str">
        <x:v>L2025-00045-1/붙임4. 조달실 및 지역실 검토의견서/(┴╢┤▐1╞└) └╠╢≤┼⌐ ╛╞╕ú║⌠ ─φ╕ú╡σ │¡╣╬ ┼δ╟╒▒│└░╟╨▒│ ╣╫ ▒│╗τ┐¼╝÷┐° ╝│░Φ ╟÷┴÷└╘┬√░Φ╚╣(╛╚) ░╦┼Σ└╟░▀ ╝█║╬.hwp</x:v>
      </x:c>
      <x:c r="H1069" s="28" t="n">
        <x:v>144896</x:v>
      </x:c>
      <x:c r="I1069" s="22" t="str">
        <x:v>920473699bfcba1cd12f61727b02e0d439abcbf87658b16694f6de3e71f986d0</x:v>
      </x:c>
      <x:c r="J1069" s="22" t="n">
        <x:v>0</x:v>
      </x:c>
      <x:c r="K1069" s="22" t="n">
        <x:v>0</x:v>
      </x:c>
      <x:c r="L1069" s="22" t="n">
        <x:v>0</x:v>
      </x:c>
      <x:c r="M1069" s="28" t="n">
        <x:v>0</x:v>
      </x:c>
      <x:c r="N1069" s="28" t="n">
        <x:v>0</x:v>
      </x:c>
      <x:c r="O1069" s="28" t="n">
        <x:v>0</x:v>
      </x:c>
      <x:c r="P1069" s="62" t="n">
        <x:v>0</x:v>
      </x:c>
      <x:c r="Q1069" s="22" t="n">
        <x:v>0</x:v>
      </x:c>
      <x:c r="R1069" s="22" t="str"/>
      <x:c r="S1069" s="22" t="str"/>
      <x:c r="T1069" s="22" t="str"/>
    </x:row>
    <x:row r="1070">
      <x:c r="A1070" s="22" t="str">
        <x:v>2023-00087</x:v>
      </x:c>
      <x:c r="B1070" s="22" t="str">
        <x:v>L2025-00045-1</x:v>
      </x:c>
      <x:c r="C1070" s="22" t="str">
        <x:v>용역</x:v>
      </x:c>
      <x:c r="D1070" s="25" t="str">
        <x:v>“이라크 쿠르드 지역학교 내 난민통합교육 강화사업” 선도학교 및 교사연수센터 신축을 위한 설계 및 시공감리 업체 선정</x:v>
      </x:c>
      <x:c r="E1070" s="22" t="n">
        <x:v>0</x:v>
      </x:c>
      <x:c r="F1070" s="22" t="str">
        <x:v>.hwp</x:v>
      </x:c>
      <x:c r="G1070" s="25" t="str">
        <x:v>L2025-00045-1/붙임4. 조달실 및 지역실 검토의견서/└╠╢≤┼⌐ ╛╞╕ú║⌠ ─φ╕ú╡σ │¡╣╬ ┼δ╟╒▒│└░╟╨▒│ ╣╫ ▒│╗τ┐¼╝÷┐° ╝│░Φ ╟÷┴÷└╘┬√░Φ╚╣(╛╚) ░╦┼Σ└╟░▀ ╝█║╬.hwp</x:v>
      </x:c>
      <x:c r="H1070" s="28" t="n">
        <x:v>127488</x:v>
      </x:c>
      <x:c r="I1070" s="22" t="str">
        <x:v>deb55ff10ace33c763ab991223b2e256e934e53dbff8b8342878af6a320756fc</x:v>
      </x:c>
      <x:c r="J1070" s="22" t="n">
        <x:v>0</x:v>
      </x:c>
      <x:c r="K1070" s="22" t="n">
        <x:v>0</x:v>
      </x:c>
      <x:c r="L1070" s="22" t="n">
        <x:v>0</x:v>
      </x:c>
      <x:c r="M1070" s="28" t="n">
        <x:v>0</x:v>
      </x:c>
      <x:c r="N1070" s="28" t="n">
        <x:v>0</x:v>
      </x:c>
      <x:c r="O1070" s="28" t="n">
        <x:v>0</x:v>
      </x:c>
      <x:c r="P1070" s="62" t="n">
        <x:v>0</x:v>
      </x:c>
      <x:c r="Q1070" s="22" t="n">
        <x:v>0</x:v>
      </x:c>
      <x:c r="R1070" s="22" t="str"/>
      <x:c r="S1070" s="22" t="str"/>
      <x:c r="T1070" s="22" t="str"/>
    </x:row>
    <x:row r="1071">
      <x:c r="A1071" s="22" t="str">
        <x:v>2023-00087</x:v>
      </x:c>
      <x:c r="B1071" s="22" t="str">
        <x:v>L2025-00045-2</x:v>
      </x:c>
      <x:c r="C1071" s="22" t="str">
        <x:v>용역</x:v>
      </x:c>
      <x:c r="D1071" s="25" t="str">
        <x:v>“이라크 쿠르드 지역학교 내 난민통합교육 강화사업” 선도학교 및 교사연수센터 신축을 위한 설계 및 시공감리 업체 선정</x:v>
      </x:c>
      <x:c r="E1071" s="22" t="n">
        <x:v>0</x:v>
      </x:c>
      <x:c r="F1071" s="22" t="str">
        <x:v>.pdf</x:v>
      </x:c>
      <x:c r="G1071" s="25" t="str">
        <x:v>L2025-00045-2/붙임4. RD 최종서명본(24.8.).pdf</x:v>
      </x:c>
      <x:c r="H1071" s="28" t="n">
        <x:v>8801980</x:v>
      </x:c>
      <x:c r="I1071" s="22" t="str">
        <x:v>5e1765f9b58a2549c520de37ee37149686c38d0de7eba68aced88186c7b6dc03</x:v>
      </x:c>
      <x:c r="J1071" s="22" t="n">
        <x:v>0</x:v>
      </x:c>
      <x:c r="K1071" s="22" t="n">
        <x:v>0</x:v>
      </x:c>
      <x:c r="L1071" s="22" t="n">
        <x:v>0</x:v>
      </x:c>
      <x:c r="M1071" s="28" t="n">
        <x:v>0</x:v>
      </x:c>
      <x:c r="N1071" s="28" t="n">
        <x:v>0</x:v>
      </x:c>
      <x:c r="O1071" s="28" t="n">
        <x:v>0</x:v>
      </x:c>
      <x:c r="P1071" s="62" t="n">
        <x:v>0</x:v>
      </x:c>
      <x:c r="Q1071" s="22" t="n">
        <x:v>0</x:v>
      </x:c>
      <x:c r="R1071" s="22" t="str"/>
      <x:c r="S1071" s="22" t="str"/>
      <x:c r="T1071" s="22" t="str"/>
    </x:row>
    <x:row r="1072">
      <x:c r="A1072" s="22" t="str">
        <x:v>2023-00087</x:v>
      </x:c>
      <x:c r="B1072" s="22" t="str">
        <x:v>L2025-00045-2</x:v>
      </x:c>
      <x:c r="C1072" s="22" t="str">
        <x:v>용역</x:v>
      </x:c>
      <x:c r="D1072" s="25" t="str">
        <x:v>“이라크 쿠르드 지역학교 내 난민통합교육 강화사업” 선도학교 및 교사연수센터 신축을 위한 설계 및 시공감리 업체 선정</x:v>
      </x:c>
      <x:c r="E1072" s="22" t="n">
        <x:v>0</x:v>
      </x:c>
      <x:c r="F1072" s="22" t="str">
        <x:v>.hwp</x:v>
      </x:c>
      <x:c r="G1072" s="25" t="str">
        <x:v>L2025-00045-2/붙임1. 이라크 난민선도학교 설계및시공감리업체선정 현지입찰추진계획안.hwp</x:v>
      </x:c>
      <x:c r="H1072" s="28" t="n">
        <x:v>96256</x:v>
      </x:c>
      <x:c r="I1072" s="22" t="str">
        <x:v>b3a2189edec9794cb69a9f420009b4bdc3599d65f240cc5ea8cd0e7991cc14e5</x:v>
      </x:c>
      <x:c r="J1072" s="22" t="n">
        <x:v>0</x:v>
      </x:c>
      <x:c r="K1072" s="22" t="n">
        <x:v>0</x:v>
      </x:c>
      <x:c r="L1072" s="22" t="n">
        <x:v>0</x:v>
      </x:c>
      <x:c r="M1072" s="28" t="n">
        <x:v>0</x:v>
      </x:c>
      <x:c r="N1072" s="28" t="n">
        <x:v>0</x:v>
      </x:c>
      <x:c r="O1072" s="28" t="n">
        <x:v>0</x:v>
      </x:c>
      <x:c r="P1072" s="62" t="n">
        <x:v>0</x:v>
      </x:c>
      <x:c r="Q1072" s="22" t="n">
        <x:v>0</x:v>
      </x:c>
      <x:c r="R1072" s="22" t="str"/>
      <x:c r="S1072" s="22" t="str"/>
      <x:c r="T1072" s="22" t="str"/>
    </x:row>
    <x:row r="1073">
      <x:c r="A1073" s="22" t="str">
        <x:v>2023-00087</x:v>
      </x:c>
      <x:c r="B1073" s="22" t="str">
        <x:v>L2025-00045-2</x:v>
      </x:c>
      <x:c r="C1073" s="22" t="str">
        <x:v>용역</x:v>
      </x:c>
      <x:c r="D1073" s="25" t="str">
        <x:v>“이라크 쿠르드 지역학교 내 난민통합교육 강화사업” 선도학교 및 교사연수센터 신축을 위한 설계 및 시공감리 업체 선정</x:v>
      </x:c>
      <x:c r="E1073" s="22" t="n">
        <x:v>0</x:v>
      </x:c>
      <x:c r="F1073" s="22" t="str">
        <x:v>.pdf</x:v>
      </x:c>
      <x:c r="G1073" s="25" t="str">
        <x:v>L2025-00045-2/붙임2. CM 공문_토펙중동중앙아 제2025-014호 (이라크 쿠르드 지역학교 내 난민통합교육 .pdf</x:v>
      </x:c>
      <x:c r="H1073" s="28" t="n">
        <x:v>64450</x:v>
      </x:c>
      <x:c r="I1073" s="22" t="str">
        <x:v>e00905cb22d2ee831ed9b661042dc045984197cd6fc901f1f7ee90275ac66afa</x:v>
      </x:c>
      <x:c r="J1073" s="22" t="n">
        <x:v>0</x:v>
      </x:c>
      <x:c r="K1073" s="22" t="n">
        <x:v>0</x:v>
      </x:c>
      <x:c r="L1073" s="22" t="n">
        <x:v>0</x:v>
      </x:c>
      <x:c r="M1073" s="28" t="n">
        <x:v>0</x:v>
      </x:c>
      <x:c r="N1073" s="28" t="n">
        <x:v>0</x:v>
      </x:c>
      <x:c r="O1073" s="28" t="n">
        <x:v>0</x:v>
      </x:c>
      <x:c r="P1073" s="62" t="n">
        <x:v>0</x:v>
      </x:c>
      <x:c r="Q1073" s="22" t="n">
        <x:v>0</x:v>
      </x:c>
      <x:c r="R1073" s="22" t="str"/>
      <x:c r="S1073" s="22" t="str"/>
      <x:c r="T1073" s="22" t="str"/>
    </x:row>
    <x:row r="1074">
      <x:c r="A1074" s="22" t="str">
        <x:v>2023-00087</x:v>
      </x:c>
      <x:c r="B1074" s="22" t="str">
        <x:v>L2025-00045-2</x:v>
      </x:c>
      <x:c r="C1074" s="22" t="str">
        <x:v>용역</x:v>
      </x:c>
      <x:c r="D1074" s="25" t="str">
        <x:v>“이라크 쿠르드 지역학교 내 난민통합교육 강화사업” 선도학교 및 교사연수센터 신축을 위한 설계 및 시공감리 업체 선정</x:v>
      </x:c>
      <x:c r="E1074" s="22" t="n">
        <x:v>0</x:v>
      </x:c>
      <x:c r="F1074" s="22" t="str">
        <x:v>.zip</x:v>
      </x:c>
      <x:c r="G1074" s="25" t="str">
        <x:v>L2025-00045-2/붙임3. 영문 입찰서류(양식 등 포함).zip</x:v>
      </x:c>
      <x:c r="H1074" s="28" t="n">
        <x:v>3158104</x:v>
      </x:c>
      <x:c r="I1074" s="22" t="str">
        <x:v>ff108dce84b780039cee2dcdd1799df78499942addc57e9fb6c99fc262d47de0</x:v>
      </x:c>
      <x:c r="J1074" s="22" t="n">
        <x:v>0</x:v>
      </x:c>
      <x:c r="K1074" s="22" t="n">
        <x:v>0</x:v>
      </x:c>
      <x:c r="L1074" s="22" t="n">
        <x:v>0</x:v>
      </x:c>
      <x:c r="M1074" s="28" t="n">
        <x:v>0</x:v>
      </x:c>
      <x:c r="N1074" s="28" t="n">
        <x:v>0</x:v>
      </x:c>
      <x:c r="O1074" s="28" t="n">
        <x:v>0</x:v>
      </x:c>
      <x:c r="P1074" s="62" t="n">
        <x:v>0</x:v>
      </x:c>
      <x:c r="Q1074" s="22" t="n">
        <x:v>0</x:v>
      </x:c>
      <x:c r="R1074" s="22" t="str"/>
      <x:c r="S1074" s="22" t="str"/>
      <x:c r="T1074" s="22" t="str"/>
    </x:row>
    <x:row r="1075">
      <x:c r="A1075" s="22" t="str">
        <x:v>2023-00087</x:v>
      </x:c>
      <x:c r="B1075" s="22" t="str">
        <x:v>L2025-00045-2</x:v>
      </x:c>
      <x:c r="C1075" s="22" t="str">
        <x:v>용역</x:v>
      </x:c>
      <x:c r="D1075" s="25" t="str">
        <x:v>“이라크 쿠르드 지역학교 내 난민통합교육 강화사업” 선도학교 및 교사연수센터 신축을 위한 설계 및 시공감리 업체 선정</x:v>
      </x:c>
      <x:c r="E1075" s="22" t="n">
        <x:v>0</x:v>
      </x:c>
      <x:c r="F1075" s="22" t="str">
        <x:v>.docx</x:v>
      </x:c>
      <x:c r="G1075" s="25" t="str">
        <x:v>L2025-00045-2/붙임3. 영문 입찰서류(양식 등 포함)/Section 9 - Contract Forms_v1_250826(║»░µ╛°└╜).docx</x:v>
      </x:c>
      <x:c r="H1075" s="28" t="n">
        <x:v>22665</x:v>
      </x:c>
      <x:c r="I1075" s="22" t="str">
        <x:v>35c79063d026ca2bdcfbc4eae7edcc2b7daf5293ff504de0cbc6e20f68bcf883</x:v>
      </x:c>
      <x:c r="J1075" s="22" t="n">
        <x:v>0</x:v>
      </x:c>
      <x:c r="K1075" s="22" t="n">
        <x:v>0</x:v>
      </x:c>
      <x:c r="L1075" s="22" t="n">
        <x:v>0</x:v>
      </x:c>
      <x:c r="M1075" s="28" t="n">
        <x:v>0</x:v>
      </x:c>
      <x:c r="N1075" s="28" t="n">
        <x:v>0</x:v>
      </x:c>
      <x:c r="O1075" s="28" t="n">
        <x:v>0</x:v>
      </x:c>
      <x:c r="P1075" s="62" t="n">
        <x:v>0</x:v>
      </x:c>
      <x:c r="Q1075" s="22" t="n">
        <x:v>0</x:v>
      </x:c>
      <x:c r="R1075" s="22" t="str"/>
      <x:c r="S1075" s="22" t="str"/>
      <x:c r="T1075" s="22" t="str"/>
    </x:row>
    <x:row r="1076">
      <x:c r="A1076" s="22" t="str">
        <x:v>2023-00087</x:v>
      </x:c>
      <x:c r="B1076" s="22" t="str">
        <x:v>L2025-00045-2</x:v>
      </x:c>
      <x:c r="C1076" s="22" t="str">
        <x:v>용역</x:v>
      </x:c>
      <x:c r="D1076" s="25" t="str">
        <x:v>“이라크 쿠르드 지역학교 내 난민통합교육 강화사업” 선도학교 및 교사연수센터 신축을 위한 설계 및 시공감리 업체 선정</x:v>
      </x:c>
      <x:c r="E1076" s="22" t="n">
        <x:v>0</x:v>
      </x:c>
      <x:c r="F1076" s="22" t="str">
        <x:v>.docx</x:v>
      </x:c>
      <x:c r="G1076" s="25" t="str">
        <x:v>L2025-00045-2/붙임3. 영문 입찰서류(양식 등 포함)/Section 5 - Scope of the Services (ToR)_v1_250826(║»░µ╛°└╜).docx</x:v>
      </x:c>
      <x:c r="H1076" s="28" t="n">
        <x:v>39886</x:v>
      </x:c>
      <x:c r="I1076" s="22" t="str">
        <x:v>99c7ea86bb0572d9e754c53e66724c2b6baf815e713f965b5f34fb5e4f8eed0a</x:v>
      </x:c>
      <x:c r="J1076" s="22" t="n">
        <x:v>0</x:v>
      </x:c>
      <x:c r="K1076" s="22" t="n">
        <x:v>0</x:v>
      </x:c>
      <x:c r="L1076" s="22" t="n">
        <x:v>0</x:v>
      </x:c>
      <x:c r="M1076" s="28" t="n">
        <x:v>0</x:v>
      </x:c>
      <x:c r="N1076" s="28" t="n">
        <x:v>0</x:v>
      </x:c>
      <x:c r="O1076" s="28" t="n">
        <x:v>0</x:v>
      </x:c>
      <x:c r="P1076" s="62" t="n">
        <x:v>0</x:v>
      </x:c>
      <x:c r="Q1076" s="22" t="n">
        <x:v>0</x:v>
      </x:c>
      <x:c r="R1076" s="22" t="str"/>
      <x:c r="S1076" s="22" t="str"/>
      <x:c r="T1076" s="22" t="str"/>
    </x:row>
    <x:row r="1077">
      <x:c r="A1077" s="22" t="str">
        <x:v>2023-00087</x:v>
      </x:c>
      <x:c r="B1077" s="22" t="str">
        <x:v>L2025-00045-2</x:v>
      </x:c>
      <x:c r="C1077" s="22" t="str">
        <x:v>용역</x:v>
      </x:c>
      <x:c r="D1077" s="25" t="str">
        <x:v>“이라크 쿠르드 지역학교 내 난민통합교육 강화사업” 선도학교 및 교사연수센터 신축을 위한 설계 및 시공감리 업체 선정</x:v>
      </x:c>
      <x:c r="E1077" s="22" t="n">
        <x:v>0</x:v>
      </x:c>
      <x:c r="F1077" s="22" t="str">
        <x:v>.docx</x:v>
      </x:c>
      <x:c r="G1077" s="25" t="str">
        <x:v>L2025-00045-2/붙임3. 영문 입찰서류(양식 등 포함)/Section 1 - Instructions to Bidders.docx</x:v>
      </x:c>
      <x:c r="H1077" s="28" t="n">
        <x:v>30151</x:v>
      </x:c>
      <x:c r="I1077" s="22" t="str">
        <x:v>ed3905af818731d2b004002d812c609dd8166358266569a01e7bc870ebb94351</x:v>
      </x:c>
      <x:c r="J1077" s="22" t="n">
        <x:v>0</x:v>
      </x:c>
      <x:c r="K1077" s="22" t="n">
        <x:v>0</x:v>
      </x:c>
      <x:c r="L1077" s="22" t="n">
        <x:v>0</x:v>
      </x:c>
      <x:c r="M1077" s="28" t="n">
        <x:v>0</x:v>
      </x:c>
      <x:c r="N1077" s="28" t="n">
        <x:v>0</x:v>
      </x:c>
      <x:c r="O1077" s="28" t="n">
        <x:v>0</x:v>
      </x:c>
      <x:c r="P1077" s="62" t="n">
        <x:v>0</x:v>
      </x:c>
      <x:c r="Q1077" s="22" t="n">
        <x:v>0</x:v>
      </x:c>
      <x:c r="R1077" s="22" t="str"/>
      <x:c r="S1077" s="22" t="str"/>
      <x:c r="T1077" s="22" t="str"/>
    </x:row>
    <x:row r="1078">
      <x:c r="A1078" s="22" t="str">
        <x:v>2023-00087</x:v>
      </x:c>
      <x:c r="B1078" s="22" t="str">
        <x:v>L2025-00045-2</x:v>
      </x:c>
      <x:c r="C1078" s="22" t="str">
        <x:v>용역</x:v>
      </x:c>
      <x:c r="D1078" s="25" t="str">
        <x:v>“이라크 쿠르드 지역학교 내 난민통합교육 강화사업” 선도학교 및 교사연수센터 신축을 위한 설계 및 시공감리 업체 선정</x:v>
      </x:c>
      <x:c r="E1078" s="22" t="n">
        <x:v>0</x:v>
      </x:c>
      <x:c r="F1078" s="22" t="str">
        <x:v>.docx</x:v>
      </x:c>
      <x:c r="G1078" s="25" t="str">
        <x:v>L2025-00045-2/붙임3. 영문 입찰서류(양식 등 포함)/Section 7 - General Conditions of Contract_v1_250826(║»░µ╛°└╜).docx</x:v>
      </x:c>
      <x:c r="H1078" s="28" t="n">
        <x:v>34877</x:v>
      </x:c>
      <x:c r="I1078" s="22" t="str">
        <x:v>72365f27c06802952ee18e77692f649401d0c0d4a7a0c37417bacf0fd72b1f2e</x:v>
      </x:c>
      <x:c r="J1078" s="22" t="n">
        <x:v>0</x:v>
      </x:c>
      <x:c r="K1078" s="22" t="n">
        <x:v>0</x:v>
      </x:c>
      <x:c r="L1078" s="22" t="n">
        <x:v>0</x:v>
      </x:c>
      <x:c r="M1078" s="28" t="n">
        <x:v>0</x:v>
      </x:c>
      <x:c r="N1078" s="28" t="n">
        <x:v>0</x:v>
      </x:c>
      <x:c r="O1078" s="28" t="n">
        <x:v>0</x:v>
      </x:c>
      <x:c r="P1078" s="62" t="n">
        <x:v>0</x:v>
      </x:c>
      <x:c r="Q1078" s="22" t="n">
        <x:v>0</x:v>
      </x:c>
      <x:c r="R1078" s="22" t="str"/>
      <x:c r="S1078" s="22" t="str"/>
      <x:c r="T1078" s="22" t="str"/>
    </x:row>
    <x:row r="1079">
      <x:c r="A1079" s="22" t="str">
        <x:v>2023-00087</x:v>
      </x:c>
      <x:c r="B1079" s="22" t="str">
        <x:v>L2025-00045-2</x:v>
      </x:c>
      <x:c r="C1079" s="22" t="str">
        <x:v>용역</x:v>
      </x:c>
      <x:c r="D1079" s="25" t="str">
        <x:v>“이라크 쿠르드 지역학교 내 난민통합교육 강화사업” 선도학교 및 교사연수센터 신축을 위한 설계 및 시공감리 업체 선정</x:v>
      </x:c>
      <x:c r="E1079" s="22" t="n">
        <x:v>0</x:v>
      </x:c>
      <x:c r="F1079" s="22" t="str">
        <x:v>.docx</x:v>
      </x:c>
      <x:c r="G1079" s="25" t="str">
        <x:v>L2025-00045-2/붙임3. 영문 입찰서류(양식 등 포함)/Section 2 - Bid Data Sheet (BDS)_v2_250827(└╧┴ñ╝÷┴ñ).docx</x:v>
      </x:c>
      <x:c r="H1079" s="28" t="n">
        <x:v>103770</x:v>
      </x:c>
      <x:c r="I1079" s="22" t="str">
        <x:v>33f7045e44d70f99bc96831eb411fb8f4e5ca087ff04c7883242b51b9189bff7</x:v>
      </x:c>
      <x:c r="J1079" s="22" t="n">
        <x:v>0</x:v>
      </x:c>
      <x:c r="K1079" s="22" t="n">
        <x:v>0</x:v>
      </x:c>
      <x:c r="L1079" s="22" t="n">
        <x:v>0</x:v>
      </x:c>
      <x:c r="M1079" s="28" t="n">
        <x:v>0</x:v>
      </x:c>
      <x:c r="N1079" s="28" t="n">
        <x:v>0</x:v>
      </x:c>
      <x:c r="O1079" s="28" t="n">
        <x:v>0</x:v>
      </x:c>
      <x:c r="P1079" s="62" t="n">
        <x:v>0</x:v>
      </x:c>
      <x:c r="Q1079" s="22" t="n">
        <x:v>0</x:v>
      </x:c>
      <x:c r="R1079" s="22" t="str"/>
      <x:c r="S1079" s="22" t="str"/>
      <x:c r="T1079" s="22" t="str"/>
    </x:row>
    <x:row r="1080">
      <x:c r="A1080" s="22" t="str">
        <x:v>2023-00087</x:v>
      </x:c>
      <x:c r="B1080" s="22" t="str">
        <x:v>L2025-00045-2</x:v>
      </x:c>
      <x:c r="C1080" s="22" t="str">
        <x:v>용역</x:v>
      </x:c>
      <x:c r="D1080" s="25" t="str">
        <x:v>“이라크 쿠르드 지역학교 내 난민통합교육 강화사업” 선도학교 및 교사연수센터 신축을 위한 설계 및 시공감리 업체 선정</x:v>
      </x:c>
      <x:c r="E1080" s="22" t="n">
        <x:v>0</x:v>
      </x:c>
      <x:c r="F1080" s="22" t="str">
        <x:v>.docx</x:v>
      </x:c>
      <x:c r="G1080" s="25" t="str">
        <x:v>L2025-00045-2/붙임3. 영문 입찰서류(양식 등 포함)/Section 8 - Special Conditions of Contract_v1_250826(║»░µ╛°└╜).docx</x:v>
      </x:c>
      <x:c r="H1080" s="28" t="n">
        <x:v>27986</x:v>
      </x:c>
      <x:c r="I1080" s="22" t="str">
        <x:v>1588518fe216acc688cb1ff519c66f92d8089459d8bad6a13ffff38c49e7217b</x:v>
      </x:c>
      <x:c r="J1080" s="22" t="n">
        <x:v>0</x:v>
      </x:c>
      <x:c r="K1080" s="22" t="n">
        <x:v>0</x:v>
      </x:c>
      <x:c r="L1080" s="22" t="n">
        <x:v>0</x:v>
      </x:c>
      <x:c r="M1080" s="28" t="n">
        <x:v>0</x:v>
      </x:c>
      <x:c r="N1080" s="28" t="n">
        <x:v>0</x:v>
      </x:c>
      <x:c r="O1080" s="28" t="n">
        <x:v>0</x:v>
      </x:c>
      <x:c r="P1080" s="62" t="n">
        <x:v>0</x:v>
      </x:c>
      <x:c r="Q1080" s="22" t="n">
        <x:v>0</x:v>
      </x:c>
      <x:c r="R1080" s="22" t="str"/>
      <x:c r="S1080" s="22" t="str"/>
      <x:c r="T1080" s="22" t="str"/>
    </x:row>
    <x:row r="1081">
      <x:c r="A1081" s="22" t="str">
        <x:v>2023-00087</x:v>
      </x:c>
      <x:c r="B1081" s="22" t="str">
        <x:v>L2025-00045-2</x:v>
      </x:c>
      <x:c r="C1081" s="22" t="str">
        <x:v>용역</x:v>
      </x:c>
      <x:c r="D1081" s="25" t="str">
        <x:v>“이라크 쿠르드 지역학교 내 난민통합교육 강화사업” 선도학교 및 교사연수센터 신축을 위한 설계 및 시공감리 업체 선정</x:v>
      </x:c>
      <x:c r="E1081" s="22" t="n">
        <x:v>0</x:v>
      </x:c>
      <x:c r="F1081" s="22" t="str">
        <x:v>.doc</x:v>
      </x:c>
      <x:c r="G1081" s="25" t="str">
        <x:v>L2025-00045-2/붙임3. 영문 입찰서류(양식 등 포함)/Section 4 (Annex 1) Sample of Technical Proposal.doc</x:v>
      </x:c>
      <x:c r="H1081" s="28" t="n">
        <x:v>184320</x:v>
      </x:c>
      <x:c r="I1081" s="22" t="str">
        <x:v>ce936dc2ece3e50275ad42a99abda137d6923f08fc0b58ea13d15c0316258520</x:v>
      </x:c>
      <x:c r="J1081" s="22" t="n">
        <x:v>0</x:v>
      </x:c>
      <x:c r="K1081" s="22" t="n">
        <x:v>0</x:v>
      </x:c>
      <x:c r="L1081" s="22" t="n">
        <x:v>0</x:v>
      </x:c>
      <x:c r="M1081" s="28" t="n">
        <x:v>0</x:v>
      </x:c>
      <x:c r="N1081" s="28" t="n">
        <x:v>0</x:v>
      </x:c>
      <x:c r="O1081" s="28" t="n">
        <x:v>0</x:v>
      </x:c>
      <x:c r="P1081" s="62" t="n">
        <x:v>0</x:v>
      </x:c>
      <x:c r="Q1081" s="22" t="n">
        <x:v>0</x:v>
      </x:c>
      <x:c r="R1081" s="22" t="str"/>
      <x:c r="S1081" s="22" t="str"/>
      <x:c r="T1081" s="22" t="str"/>
    </x:row>
    <x:row r="1082">
      <x:c r="A1082" s="22" t="str">
        <x:v>2023-00087</x:v>
      </x:c>
      <x:c r="B1082" s="22" t="str">
        <x:v>L2025-00045-2</x:v>
      </x:c>
      <x:c r="C1082" s="22" t="str">
        <x:v>용역</x:v>
      </x:c>
      <x:c r="D1082" s="25" t="str">
        <x:v>“이라크 쿠르드 지역학교 내 난민통합교육 강화사업” 선도학교 및 교사연수센터 신축을 위한 설계 및 시공감리 업체 선정</x:v>
      </x:c>
      <x:c r="E1082" s="22" t="n">
        <x:v>0</x:v>
      </x:c>
      <x:c r="F1082" s="22" t="str">
        <x:v>.docx</x:v>
      </x:c>
      <x:c r="G1082" s="25" t="str">
        <x:v>L2025-00045-2/붙임3. 영문 입찰서류(양식 등 포함)/Section 6 - Reference Material(Constrution scope and space program)_v1_250826(║»░µ╛°└╜).docx</x:v>
      </x:c>
      <x:c r="H1082" s="28" t="n">
        <x:v>2777091</x:v>
      </x:c>
      <x:c r="I1082" s="22" t="str">
        <x:v>106b1425d23ab620fb917998d748978b9becd9dce9989a3a8e5bf2421bc98c9a</x:v>
      </x:c>
      <x:c r="J1082" s="22" t="n">
        <x:v>0</x:v>
      </x:c>
      <x:c r="K1082" s="22" t="n">
        <x:v>0</x:v>
      </x:c>
      <x:c r="L1082" s="22" t="n">
        <x:v>0</x:v>
      </x:c>
      <x:c r="M1082" s="28" t="n">
        <x:v>0</x:v>
      </x:c>
      <x:c r="N1082" s="28" t="n">
        <x:v>0</x:v>
      </x:c>
      <x:c r="O1082" s="28" t="n">
        <x:v>0</x:v>
      </x:c>
      <x:c r="P1082" s="62" t="n">
        <x:v>0</x:v>
      </x:c>
      <x:c r="Q1082" s="22" t="n">
        <x:v>0</x:v>
      </x:c>
      <x:c r="R1082" s="22" t="str"/>
      <x:c r="S1082" s="22" t="str"/>
      <x:c r="T1082" s="22" t="str"/>
    </x:row>
    <x:row r="1083">
      <x:c r="A1083" s="22" t="str">
        <x:v>2023-00087</x:v>
      </x:c>
      <x:c r="B1083" s="22" t="str">
        <x:v>L2025-00045-2</x:v>
      </x:c>
      <x:c r="C1083" s="22" t="str">
        <x:v>용역</x:v>
      </x:c>
      <x:c r="D1083" s="25" t="str">
        <x:v>“이라크 쿠르드 지역학교 내 난민통합교육 강화사업” 선도학교 및 교사연수센터 신축을 위한 설계 및 시공감리 업체 선정</x:v>
      </x:c>
      <x:c r="E1083" s="22" t="n">
        <x:v>0</x:v>
      </x:c>
      <x:c r="F1083" s="22" t="str">
        <x:v>.docx</x:v>
      </x:c>
      <x:c r="G1083" s="25" t="str">
        <x:v>L2025-00045-2/붙임3. 영문 입찰서류(양식 등 포함)/Section 4 (Annex 2) Guidelines for Technical Proposal.docx</x:v>
      </x:c>
      <x:c r="H1083" s="28" t="n">
        <x:v>15200</x:v>
      </x:c>
      <x:c r="I1083" s="22" t="str">
        <x:v>41e2b40cc05d45f05587d275412ca9a153969df463135e953474bccf9a4ea4da</x:v>
      </x:c>
      <x:c r="J1083" s="22" t="n">
        <x:v>0</x:v>
      </x:c>
      <x:c r="K1083" s="22" t="n">
        <x:v>0</x:v>
      </x:c>
      <x:c r="L1083" s="22" t="n">
        <x:v>0</x:v>
      </x:c>
      <x:c r="M1083" s="28" t="n">
        <x:v>0</x:v>
      </x:c>
      <x:c r="N1083" s="28" t="n">
        <x:v>0</x:v>
      </x:c>
      <x:c r="O1083" s="28" t="n">
        <x:v>0</x:v>
      </x:c>
      <x:c r="P1083" s="62" t="n">
        <x:v>0</x:v>
      </x:c>
      <x:c r="Q1083" s="22" t="n">
        <x:v>0</x:v>
      </x:c>
      <x:c r="R1083" s="22" t="str"/>
      <x:c r="S1083" s="22" t="str"/>
      <x:c r="T1083" s="22" t="str"/>
    </x:row>
    <x:row r="1084">
      <x:c r="A1084" s="22" t="str">
        <x:v>2023-00087</x:v>
      </x:c>
      <x:c r="B1084" s="22" t="str">
        <x:v>L2025-00045-2</x:v>
      </x:c>
      <x:c r="C1084" s="22" t="str">
        <x:v>용역</x:v>
      </x:c>
      <x:c r="D1084" s="25" t="str">
        <x:v>“이라크 쿠르드 지역학교 내 난민통합교육 강화사업” 선도학교 및 교사연수센터 신축을 위한 설계 및 시공감리 업체 선정</x:v>
      </x:c>
      <x:c r="E1084" s="22" t="n">
        <x:v>0</x:v>
      </x:c>
      <x:c r="F1084" s="22" t="str">
        <x:v>.docx</x:v>
      </x:c>
      <x:c r="G1084" s="25" t="str">
        <x:v>L2025-00045-2/붙임3. 영문 입찰서류(양식 등 포함)/Section 3 - Bidding Forms_v1_250826(║»░µ╛°└╜).docx</x:v>
      </x:c>
      <x:c r="H1084" s="28" t="n">
        <x:v>66042</x:v>
      </x:c>
      <x:c r="I1084" s="22" t="str">
        <x:v>c5bd0e7e925ea4e237eaf7a8a46763f35556434e5a4360de00a7d0e427a14802</x:v>
      </x:c>
      <x:c r="J1084" s="22" t="n">
        <x:v>0</x:v>
      </x:c>
      <x:c r="K1084" s="22" t="n">
        <x:v>0</x:v>
      </x:c>
      <x:c r="L1084" s="22" t="n">
        <x:v>0</x:v>
      </x:c>
      <x:c r="M1084" s="28" t="n">
        <x:v>0</x:v>
      </x:c>
      <x:c r="N1084" s="28" t="n">
        <x:v>0</x:v>
      </x:c>
      <x:c r="O1084" s="28" t="n">
        <x:v>0</x:v>
      </x:c>
      <x:c r="P1084" s="62" t="n">
        <x:v>0</x:v>
      </x:c>
      <x:c r="Q1084" s="22" t="n">
        <x:v>0</x:v>
      </x:c>
      <x:c r="R1084" s="22" t="str"/>
      <x:c r="S1084" s="22" t="str"/>
      <x:c r="T1084" s="22" t="str"/>
    </x:row>
    <x:row r="1085">
      <x:c r="A1085" s="22" t="str">
        <x:v>2023-00087</x:v>
      </x:c>
      <x:c r="B1085" s="22" t="str">
        <x:v>L2025-00045-2</x:v>
      </x:c>
      <x:c r="C1085" s="22" t="str">
        <x:v>용역</x:v>
      </x:c>
      <x:c r="D1085" s="25" t="str">
        <x:v>“이라크 쿠르드 지역학교 내 난민통합교육 강화사업” 선도학교 및 교사연수센터 신축을 위한 설계 및 시공감리 업체 선정</x:v>
      </x:c>
      <x:c r="E1085" s="22" t="n">
        <x:v>0</x:v>
      </x:c>
      <x:c r="F1085" s="22" t="str">
        <x:v>.doc</x:v>
      </x:c>
      <x:c r="G1085" s="25" t="str">
        <x:v>L2025-00045-2/붙임3. 영문 입찰서류(양식 등 포함)/Section 4 - Request for Proposal (RFP)_v1_250826(║»░µ╛°└╜).doc</x:v>
      </x:c>
      <x:c r="H1085" s="28" t="n">
        <x:v>251904</x:v>
      </x:c>
      <x:c r="I1085" s="22" t="str">
        <x:v>525fd64783606c439e1d8cb6a4cf93f1534503d9b4853cb42377276c977419b9</x:v>
      </x:c>
      <x:c r="J1085" s="22" t="n">
        <x:v>0</x:v>
      </x:c>
      <x:c r="K1085" s="22" t="n">
        <x:v>0</x:v>
      </x:c>
      <x:c r="L1085" s="22" t="n">
        <x:v>0</x:v>
      </x:c>
      <x:c r="M1085" s="28" t="n">
        <x:v>0</x:v>
      </x:c>
      <x:c r="N1085" s="28" t="n">
        <x:v>0</x:v>
      </x:c>
      <x:c r="O1085" s="28" t="n">
        <x:v>0</x:v>
      </x:c>
      <x:c r="P1085" s="62" t="n">
        <x:v>0</x:v>
      </x:c>
      <x:c r="Q1085" s="22" t="n">
        <x:v>0</x:v>
      </x:c>
      <x:c r="R1085" s="22" t="str"/>
      <x:c r="S1085" s="22" t="str"/>
      <x:c r="T1085" s="22" t="str"/>
    </x:row>
    <x:row r="1086">
      <x:c r="A1086" s="22" t="str">
        <x:v>2020-00119</x:v>
      </x:c>
      <x:c r="B1086" s="22" t="str">
        <x:v>L2025-00070-1</x:v>
      </x:c>
      <x:c r="C1086" s="22" t="str">
        <x:v>공사</x:v>
      </x:c>
      <x:c r="D1086" s="25" t="str">
        <x:v>한-이라크 심장병 어린이 전문병원 신축공사</x:v>
      </x:c>
      <x:c r="E1086" s="22" t="n">
        <x:v>1</x:v>
      </x:c>
      <x:c r="F1086" s="22" t="str">
        <x:v>.zip</x:v>
      </x:c>
      <x:c r="G1086" s="25" t="str">
        <x:v>L2025-00070-1/붙임3. 현지입찰 서류 및 계약서류(안).zip</x:v>
      </x:c>
      <x:c r="H1086" s="28" t="n">
        <x:v>8767106</x:v>
      </x:c>
      <x:c r="I1086" s="22" t="str">
        <x:v>d6aa8b0d5d184d069e6a8bdd01eba3a80bf5ab2e4fb1080fedab07b8737c8e80</x:v>
      </x:c>
      <x:c r="J1086" s="22" t="n">
        <x:v>0</x:v>
      </x:c>
      <x:c r="K1086" s="22" t="n">
        <x:v>0</x:v>
      </x:c>
      <x:c r="L1086" s="22" t="n">
        <x:v>0</x:v>
      </x:c>
      <x:c r="M1086" s="28" t="n">
        <x:v>0</x:v>
      </x:c>
      <x:c r="N1086" s="28" t="n">
        <x:v>0</x:v>
      </x:c>
      <x:c r="O1086" s="28" t="n">
        <x:v>0</x:v>
      </x:c>
      <x:c r="P1086" s="62" t="n">
        <x:v>0</x:v>
      </x:c>
      <x:c r="Q1086" s="22" t="n">
        <x:v>0</x:v>
      </x:c>
      <x:c r="R1086" s="22" t="str"/>
      <x:c r="S1086" s="22" t="str"/>
      <x:c r="T1086" s="22" t="str"/>
    </x:row>
    <x:row r="1087">
      <x:c r="A1087" s="22" t="str">
        <x:v>2020-00119</x:v>
      </x:c>
      <x:c r="B1087" s="22" t="str">
        <x:v>L2025-00070-1</x:v>
      </x:c>
      <x:c r="C1087" s="22" t="str">
        <x:v>공사</x:v>
      </x:c>
      <x:c r="D1087" s="25" t="str">
        <x:v>한-이라크 심장병 어린이 전문병원 신축공사</x:v>
      </x:c>
      <x:c r="E1087" s="22" t="n">
        <x:v>1</x:v>
      </x:c>
      <x:c r="F1087" s="22" t="str">
        <x:v>.docx</x:v>
      </x:c>
      <x:c r="G1087" s="25" t="str">
        <x:v>L2025-00070-1/붙임3. 현지입찰 서류 및 계약서류(안)/IKHCC Section 4,5,6 BOQ, Drawing, Spec.docx</x:v>
      </x:c>
      <x:c r="H1087" s="28" t="n">
        <x:v>11941</x:v>
      </x:c>
      <x:c r="I1087" s="22" t="str">
        <x:v>aab74da4619bd3a8a368567d5620e0116eb9da42f75975717f485ef6a83a41b6</x:v>
      </x:c>
      <x:c r="J1087" s="22" t="n">
        <x:v>0</x:v>
      </x:c>
      <x:c r="K1087" s="22" t="n">
        <x:v>1</x:v>
      </x:c>
      <x:c r="L1087" s="22" t="n">
        <x:v>0</x:v>
      </x:c>
      <x:c r="M1087" s="28" t="n">
        <x:v>0</x:v>
      </x:c>
      <x:c r="N1087" s="28" t="n">
        <x:v>0</x:v>
      </x:c>
      <x:c r="O1087" s="28" t="n">
        <x:v>0</x:v>
      </x:c>
      <x:c r="P1087" s="62" t="n">
        <x:v>0</x:v>
      </x:c>
      <x:c r="Q1087" s="22" t="n">
        <x:v>0</x:v>
      </x:c>
      <x:c r="R1087" s="22" t="str"/>
      <x:c r="S1087" s="22" t="str"/>
      <x:c r="T1087" s="22" t="str"/>
    </x:row>
    <x:row r="1088">
      <x:c r="A1088" s="22" t="str">
        <x:v>2020-00119</x:v>
      </x:c>
      <x:c r="B1088" s="22" t="str">
        <x:v>L2025-00070-1</x:v>
      </x:c>
      <x:c r="C1088" s="22" t="str">
        <x:v>공사</x:v>
      </x:c>
      <x:c r="D1088" s="25" t="str">
        <x:v>한-이라크 심장병 어린이 전문병원 신축공사</x:v>
      </x:c>
      <x:c r="E1088" s="22" t="n">
        <x:v>1</x:v>
      </x:c>
      <x:c r="F1088" s="22" t="str">
        <x:v>.docx</x:v>
      </x:c>
      <x:c r="G1088" s="25" t="str">
        <x:v>L2025-00070-1/붙임3. 현지입찰 서류 및 계약서류(안)/IKHCC Section 9 - Contract Forms 250625.docx</x:v>
      </x:c>
      <x:c r="H1088" s="28" t="n">
        <x:v>38596</x:v>
      </x:c>
      <x:c r="I1088" s="22" t="str">
        <x:v>97fe767f1227dae281da89e46429fd191e174c3d24b495541f0c3e3e37082e26</x:v>
      </x:c>
      <x:c r="J1088" s="22" t="n">
        <x:v>0</x:v>
      </x:c>
      <x:c r="K1088" s="22" t="n">
        <x:v>0</x:v>
      </x:c>
      <x:c r="L1088" s="22" t="n">
        <x:v>0</x:v>
      </x:c>
      <x:c r="M1088" s="28" t="n">
        <x:v>0</x:v>
      </x:c>
      <x:c r="N1088" s="28" t="n">
        <x:v>0</x:v>
      </x:c>
      <x:c r="O1088" s="28" t="n">
        <x:v>0</x:v>
      </x:c>
      <x:c r="P1088" s="62" t="n">
        <x:v>0</x:v>
      </x:c>
      <x:c r="Q1088" s="22" t="n">
        <x:v>0</x:v>
      </x:c>
      <x:c r="R1088" s="22" t="str"/>
      <x:c r="S1088" s="22" t="str"/>
      <x:c r="T1088" s="22" t="str"/>
    </x:row>
    <x:row r="1089">
      <x:c r="A1089" s="22" t="str">
        <x:v>2020-00119</x:v>
      </x:c>
      <x:c r="B1089" s="22" t="str">
        <x:v>L2025-00070-1</x:v>
      </x:c>
      <x:c r="C1089" s="22" t="str">
        <x:v>공사</x:v>
      </x:c>
      <x:c r="D1089" s="25" t="str">
        <x:v>한-이라크 심장병 어린이 전문병원 신축공사</x:v>
      </x:c>
      <x:c r="E1089" s="22" t="n">
        <x:v>1</x:v>
      </x:c>
      <x:c r="F1089" s="22" t="str">
        <x:v>.docx</x:v>
      </x:c>
      <x:c r="G1089" s="25" t="str">
        <x:v>L2025-00070-1/붙임3. 현지입찰 서류 및 계약서류(안)/Summary of Bidding IKHCC_final.docx</x:v>
      </x:c>
      <x:c r="H1089" s="28" t="n">
        <x:v>30296</x:v>
      </x:c>
      <x:c r="I1089" s="22" t="str">
        <x:v>8b2eee4eb8167258641c808fc237106d7da1937dc663fd3effdfcf7bdd94c175</x:v>
      </x:c>
      <x:c r="J1089" s="22" t="n">
        <x:v>0</x:v>
      </x:c>
      <x:c r="K1089" s="22" t="n">
        <x:v>0</x:v>
      </x:c>
      <x:c r="L1089" s="22" t="n">
        <x:v>0</x:v>
      </x:c>
      <x:c r="M1089" s="28" t="n">
        <x:v>0</x:v>
      </x:c>
      <x:c r="N1089" s="28" t="n">
        <x:v>0</x:v>
      </x:c>
      <x:c r="O1089" s="28" t="n">
        <x:v>0</x:v>
      </x:c>
      <x:c r="P1089" s="62" t="n">
        <x:v>0</x:v>
      </x:c>
      <x:c r="Q1089" s="22" t="n">
        <x:v>0</x:v>
      </x:c>
      <x:c r="R1089" s="22" t="str"/>
      <x:c r="S1089" s="22" t="str"/>
      <x:c r="T1089" s="22" t="str"/>
    </x:row>
    <x:row r="1090">
      <x:c r="A1090" s="22" t="str">
        <x:v>2020-00119</x:v>
      </x:c>
      <x:c r="B1090" s="22" t="str">
        <x:v>L2025-00070-1</x:v>
      </x:c>
      <x:c r="C1090" s="22" t="str">
        <x:v>공사</x:v>
      </x:c>
      <x:c r="D1090" s="25" t="str">
        <x:v>한-이라크 심장병 어린이 전문병원 신축공사</x:v>
      </x:c>
      <x:c r="E1090" s="22" t="n">
        <x:v>1</x:v>
      </x:c>
      <x:c r="F1090" s="22" t="str">
        <x:v>.docx</x:v>
      </x:c>
      <x:c r="G1090" s="25" t="str">
        <x:v>L2025-00070-1/붙임3. 현지입찰 서류 및 계약서류(안)/IKHCC Section 1 - Instructions to bidder in the international bidding of KOICA.docx</x:v>
      </x:c>
      <x:c r="H1090" s="28" t="n">
        <x:v>36396</x:v>
      </x:c>
      <x:c r="I1090" s="22" t="str">
        <x:v>f6a88cecc773cd7ac3ef2355462a4ca189a209d8734b4cfaca617149a9d00258</x:v>
      </x:c>
      <x:c r="J1090" s="22" t="n">
        <x:v>0</x:v>
      </x:c>
      <x:c r="K1090" s="22" t="n">
        <x:v>0</x:v>
      </x:c>
      <x:c r="L1090" s="22" t="n">
        <x:v>0</x:v>
      </x:c>
      <x:c r="M1090" s="28" t="n">
        <x:v>0</x:v>
      </x:c>
      <x:c r="N1090" s="28" t="n">
        <x:v>0</x:v>
      </x:c>
      <x:c r="O1090" s="28" t="n">
        <x:v>0</x:v>
      </x:c>
      <x:c r="P1090" s="62" t="n">
        <x:v>0</x:v>
      </x:c>
      <x:c r="Q1090" s="22" t="n">
        <x:v>0</x:v>
      </x:c>
      <x:c r="R1090" s="22" t="str"/>
      <x:c r="S1090" s="22" t="str"/>
      <x:c r="T1090" s="22" t="str"/>
    </x:row>
    <x:row r="1091">
      <x:c r="A1091" s="22" t="str">
        <x:v>2020-00119</x:v>
      </x:c>
      <x:c r="B1091" s="22" t="str">
        <x:v>L2025-00070-1</x:v>
      </x:c>
      <x:c r="C1091" s="22" t="str">
        <x:v>공사</x:v>
      </x:c>
      <x:c r="D1091" s="25" t="str">
        <x:v>한-이라크 심장병 어린이 전문병원 신축공사</x:v>
      </x:c>
      <x:c r="E1091" s="22" t="n">
        <x:v>1</x:v>
      </x:c>
      <x:c r="F1091" s="22" t="str">
        <x:v>.docx</x:v>
      </x:c>
      <x:c r="G1091" s="25" t="str">
        <x:v>L2025-00070-1/붙임3. 현지입찰 서류 및 계약서류(안)/IKHCC Section 7,8 - contract conditions - General &amp; Special conditions. of contract 250311.docx</x:v>
      </x:c>
      <x:c r="H1091" s="28" t="n">
        <x:v>217679</x:v>
      </x:c>
      <x:c r="I1091" s="22" t="str">
        <x:v>28c2bcd3159d2027e9ed0fc0d366a3f4128d708608a511d3beec9d1fbcff69a2</x:v>
      </x:c>
      <x:c r="J1091" s="22" t="n">
        <x:v>0</x:v>
      </x:c>
      <x:c r="K1091" s="22" t="n">
        <x:v>0</x:v>
      </x:c>
      <x:c r="L1091" s="22" t="n">
        <x:v>0</x:v>
      </x:c>
      <x:c r="M1091" s="28" t="n">
        <x:v>0</x:v>
      </x:c>
      <x:c r="N1091" s="28" t="n">
        <x:v>0</x:v>
      </x:c>
      <x:c r="O1091" s="28" t="n">
        <x:v>0</x:v>
      </x:c>
      <x:c r="P1091" s="62" t="n">
        <x:v>0</x:v>
      </x:c>
      <x:c r="Q1091" s="22" t="n">
        <x:v>0</x:v>
      </x:c>
      <x:c r="R1091" s="22" t="str"/>
      <x:c r="S1091" s="22" t="str"/>
      <x:c r="T1091" s="22" t="str"/>
    </x:row>
    <x:row r="1092">
      <x:c r="A1092" s="22" t="str">
        <x:v>2020-00119</x:v>
      </x:c>
      <x:c r="B1092" s="22" t="str">
        <x:v>L2025-00070-1</x:v>
      </x:c>
      <x:c r="C1092" s="22" t="str">
        <x:v>공사</x:v>
      </x:c>
      <x:c r="D1092" s="25" t="str">
        <x:v>한-이라크 심장병 어린이 전문병원 신축공사</x:v>
      </x:c>
      <x:c r="E1092" s="22" t="n">
        <x:v>1</x:v>
      </x:c>
      <x:c r="F1092" s="22" t="str">
        <x:v>.docx</x:v>
      </x:c>
      <x:c r="G1092" s="25" t="str">
        <x:v>L2025-00070-1/붙임3. 현지입찰 서류 및 계약서류(안)/IKHCC Section 3 - Bidding Forms 250624-2.docx</x:v>
      </x:c>
      <x:c r="H1092" s="28" t="n">
        <x:v>69664</x:v>
      </x:c>
      <x:c r="I1092" s="22" t="str">
        <x:v>083d4949cf5d458f6e7b7386f019a771c424ad31c029b20e1e7eaa85fccccbd2</x:v>
      </x:c>
      <x:c r="J1092" s="22" t="n">
        <x:v>0</x:v>
      </x:c>
      <x:c r="K1092" s="22" t="n">
        <x:v>0</x:v>
      </x:c>
      <x:c r="L1092" s="22" t="n">
        <x:v>0</x:v>
      </x:c>
      <x:c r="M1092" s="28" t="n">
        <x:v>0</x:v>
      </x:c>
      <x:c r="N1092" s="28" t="n">
        <x:v>0</x:v>
      </x:c>
      <x:c r="O1092" s="28" t="n">
        <x:v>0</x:v>
      </x:c>
      <x:c r="P1092" s="62" t="n">
        <x:v>0</x:v>
      </x:c>
      <x:c r="Q1092" s="22" t="n">
        <x:v>0</x:v>
      </x:c>
      <x:c r="R1092" s="22" t="str"/>
      <x:c r="S1092" s="22" t="str"/>
      <x:c r="T1092" s="22" t="str"/>
    </x:row>
    <x:row r="1093">
      <x:c r="A1093" s="22" t="str">
        <x:v>2020-00119</x:v>
      </x:c>
      <x:c r="B1093" s="22" t="str">
        <x:v>L2025-00070-1</x:v>
      </x:c>
      <x:c r="C1093" s="22" t="str">
        <x:v>공사</x:v>
      </x:c>
      <x:c r="D1093" s="25" t="str">
        <x:v>한-이라크 심장병 어린이 전문병원 신축공사</x:v>
      </x:c>
      <x:c r="E1093" s="22" t="n">
        <x:v>1</x:v>
      </x:c>
      <x:c r="F1093" s="22" t="str">
        <x:v>.zip</x:v>
      </x:c>
      <x:c r="G1093" s="25" t="str">
        <x:v>L2025-00070-1/붙임3. 현지입찰 서류 및 계약서류(안)/IKHCC Section 4 - IKHCC BLANK BOQ 250430.zip</x:v>
      </x:c>
      <x:c r="H1093" s="28" t="n">
        <x:v>8546544</x:v>
      </x:c>
      <x:c r="I1093" s="22" t="str">
        <x:v>bb1eef9cdc717c6d757d43f3da1f13f6275049d1523718e2fd85659780cc9f55</x:v>
      </x:c>
      <x:c r="J1093" s="22" t="n">
        <x:v>0</x:v>
      </x:c>
      <x:c r="K1093" s="22" t="n">
        <x:v>1</x:v>
      </x:c>
      <x:c r="L1093" s="22" t="n">
        <x:v>1</x:v>
      </x:c>
      <x:c r="M1093" s="28" t="n">
        <x:v>0</x:v>
      </x:c>
      <x:c r="N1093" s="28" t="n">
        <x:v>0</x:v>
      </x:c>
      <x:c r="O1093" s="28" t="n">
        <x:v>0</x:v>
      </x:c>
      <x:c r="P1093" s="62" t="n">
        <x:v>0</x:v>
      </x:c>
      <x:c r="Q1093" s="22" t="n">
        <x:v>0</x:v>
      </x:c>
      <x:c r="R1093" s="22" t="str"/>
      <x:c r="S1093" s="22" t="str"/>
      <x:c r="T1093" s="22" t="str"/>
    </x:row>
    <x:row r="1094">
      <x:c r="A1094" s="22" t="str">
        <x:v>2020-00119</x:v>
      </x:c>
      <x:c r="B1094" s="22" t="str">
        <x:v>L2025-00070-1</x:v>
      </x:c>
      <x:c r="C1094" s="22" t="str">
        <x:v>공사</x:v>
      </x:c>
      <x:c r="D1094" s="25" t="str">
        <x:v>한-이라크 심장병 어린이 전문병원 신축공사</x:v>
      </x:c>
      <x:c r="E1094" s="22" t="n">
        <x:v>1</x:v>
      </x:c>
      <x:c r="F1094" s="22" t="str">
        <x:v>.docx</x:v>
      </x:c>
      <x:c r="G1094" s="25" t="str">
        <x:v>L2025-00070-1/붙임3. 현지입찰 서류 및 계약서류(안)/IKHCC Section 2 - Bid Data Sheet (ITB) (English) revised final 250702.docx</x:v>
      </x:c>
      <x:c r="H1094" s="28" t="n">
        <x:v>73867</x:v>
      </x:c>
      <x:c r="I1094" s="22" t="str">
        <x:v>70d5e784fdcbf8e85f130cc079b2880028db7a4123c46b17157233bc7565256b</x:v>
      </x:c>
      <x:c r="J1094" s="22" t="n">
        <x:v>0</x:v>
      </x:c>
      <x:c r="K1094" s="22" t="n">
        <x:v>0</x:v>
      </x:c>
      <x:c r="L1094" s="22" t="n">
        <x:v>0</x:v>
      </x:c>
      <x:c r="M1094" s="28" t="n">
        <x:v>0</x:v>
      </x:c>
      <x:c r="N1094" s="28" t="n">
        <x:v>0</x:v>
      </x:c>
      <x:c r="O1094" s="28" t="n">
        <x:v>0</x:v>
      </x:c>
      <x:c r="P1094" s="62" t="n">
        <x:v>0</x:v>
      </x:c>
      <x:c r="Q1094" s="22" t="n">
        <x:v>0</x:v>
      </x:c>
      <x:c r="R1094" s="22" t="str"/>
      <x:c r="S1094" s="22" t="str"/>
      <x:c r="T1094" s="22" t="str"/>
    </x:row>
    <x:row r="1095">
      <x:c r="A1095" s="22" t="str">
        <x:v>2020-00119</x:v>
      </x:c>
      <x:c r="B1095" s="22" t="str">
        <x:v>L2025-00070-1</x:v>
      </x:c>
      <x:c r="C1095" s="22" t="str">
        <x:v>공사</x:v>
      </x:c>
      <x:c r="D1095" s="25" t="str">
        <x:v>한-이라크 심장병 어린이 전문병원 신축공사</x:v>
      </x:c>
      <x:c r="E1095" s="22" t="n">
        <x:v>1</x:v>
      </x:c>
      <x:c r="F1095" s="22" t="str">
        <x:v>.xls</x:v>
      </x:c>
      <x:c r="G1095" s="25" t="str">
        <x:v>L2025-00070-1/붙임3. 현지입찰 서류 및 계약서류(안)/IKHCC Section 4 - IKHCC BLANK BOQ 250430/3 CIVIL/BLANK BILL.CIVIL(HOSPITAL) .xls</x:v>
      </x:c>
      <x:c r="H1095" s="28" t="n">
        <x:v>81920</x:v>
      </x:c>
      <x:c r="I1095" s="22" t="str">
        <x:v>c0b0e1d857d357e06310785027eb14b6c6e3c28491c19fed4dfc9e3030f34ef2</x:v>
      </x:c>
      <x:c r="J1095" s="22" t="n">
        <x:v>0</x:v>
      </x:c>
      <x:c r="K1095" s="22" t="n">
        <x:v>1</x:v>
      </x:c>
      <x:c r="L1095" s="22" t="n">
        <x:v>1</x:v>
      </x:c>
      <x:c r="M1095" s="28" t="n">
        <x:v>0</x:v>
      </x:c>
      <x:c r="N1095" s="28" t="n">
        <x:v>0</x:v>
      </x:c>
      <x:c r="O1095" s="28" t="n">
        <x:v>0</x:v>
      </x:c>
      <x:c r="P1095" s="62" t="n">
        <x:v>0</x:v>
      </x:c>
      <x:c r="Q1095" s="22" t="n">
        <x:v>0</x:v>
      </x:c>
      <x:c r="R1095" s="22" t="str"/>
      <x:c r="S1095" s="22" t="str"/>
      <x:c r="T1095" s="22" t="str"/>
    </x:row>
    <x:row r="1096">
      <x:c r="A1096" s="22" t="str">
        <x:v>2020-00119</x:v>
      </x:c>
      <x:c r="B1096" s="22" t="str">
        <x:v>L2025-00070-1</x:v>
      </x:c>
      <x:c r="C1096" s="22" t="str">
        <x:v>공사</x:v>
      </x:c>
      <x:c r="D1096" s="25" t="str">
        <x:v>한-이라크 심장병 어린이 전문병원 신축공사</x:v>
      </x:c>
      <x:c r="E1096" s="22" t="n">
        <x:v>1</x:v>
      </x:c>
      <x:c r="F1096" s="22" t="str">
        <x:v>.xls</x:v>
      </x:c>
      <x:c r="G1096" s="25" t="str">
        <x:v>L2025-00070-1/붙임3. 현지입찰 서류 및 계약서류(안)/IKHCC Section 4 - IKHCC BLANK BOQ 250430/3 CIVIL/BLANK BILL.CIVIL(PARKING LOT).xls</x:v>
      </x:c>
      <x:c r="H1096" s="28" t="n">
        <x:v>58368</x:v>
      </x:c>
      <x:c r="I1096" s="22" t="str">
        <x:v>33510cb6918366ccd2e38ca39a6fe6a3a14e1ad8a37570bc850277811837ef6a</x:v>
      </x:c>
      <x:c r="J1096" s="22" t="n">
        <x:v>0</x:v>
      </x:c>
      <x:c r="K1096" s="22" t="n">
        <x:v>1</x:v>
      </x:c>
      <x:c r="L1096" s="22" t="n">
        <x:v>1</x:v>
      </x:c>
      <x:c r="M1096" s="28" t="n">
        <x:v>0</x:v>
      </x:c>
      <x:c r="N1096" s="28" t="n">
        <x:v>0</x:v>
      </x:c>
      <x:c r="O1096" s="28" t="n">
        <x:v>0</x:v>
      </x:c>
      <x:c r="P1096" s="62" t="n">
        <x:v>0</x:v>
      </x:c>
      <x:c r="Q1096" s="22" t="n">
        <x:v>0</x:v>
      </x:c>
      <x:c r="R1096" s="22" t="str"/>
      <x:c r="S1096" s="22" t="str"/>
      <x:c r="T1096" s="22" t="str"/>
    </x:row>
    <x:row r="1097">
      <x:c r="A1097" s="22" t="str">
        <x:v>2020-00119</x:v>
      </x:c>
      <x:c r="B1097" s="22" t="str">
        <x:v>L2025-00070-1</x:v>
      </x:c>
      <x:c r="C1097" s="22" t="str">
        <x:v>공사</x:v>
      </x:c>
      <x:c r="D1097" s="25" t="str">
        <x:v>한-이라크 심장병 어린이 전문병원 신축공사</x:v>
      </x:c>
      <x:c r="E1097" s="22" t="n">
        <x:v>1</x:v>
      </x:c>
      <x:c r="F1097" s="22" t="str">
        <x:v>.xls</x:v>
      </x:c>
      <x:c r="G1097" s="25" t="str">
        <x:v>L2025-00070-1/붙임3. 현지입찰 서류 및 계약서류(안)/IKHCC Section 4 - IKHCC BLANK BOQ 250430/3 CIVIL/BLANK BILL.CIVIL(BRIDGE)).xls</x:v>
      </x:c>
      <x:c r="H1097" s="28" t="n">
        <x:v>74240</x:v>
      </x:c>
      <x:c r="I1097" s="22" t="str">
        <x:v>7fbae1f3c71758b2f9dd4d91fc045323ea1864b4be9d2d301a2cbf63a5072570</x:v>
      </x:c>
      <x:c r="J1097" s="22" t="n">
        <x:v>0</x:v>
      </x:c>
      <x:c r="K1097" s="22" t="n">
        <x:v>1</x:v>
      </x:c>
      <x:c r="L1097" s="22" t="n">
        <x:v>1</x:v>
      </x:c>
      <x:c r="M1097" s="28" t="n">
        <x:v>0</x:v>
      </x:c>
      <x:c r="N1097" s="28" t="n">
        <x:v>0</x:v>
      </x:c>
      <x:c r="O1097" s="28" t="n">
        <x:v>0</x:v>
      </x:c>
      <x:c r="P1097" s="62" t="n">
        <x:v>0</x:v>
      </x:c>
      <x:c r="Q1097" s="22" t="n">
        <x:v>0</x:v>
      </x:c>
      <x:c r="R1097" s="22" t="str"/>
      <x:c r="S1097" s="22" t="str"/>
      <x:c r="T1097" s="22" t="str"/>
    </x:row>
    <x:row r="1098">
      <x:c r="A1098" s="22" t="str">
        <x:v>2020-00119</x:v>
      </x:c>
      <x:c r="B1098" s="22" t="str">
        <x:v>L2025-00070-1</x:v>
      </x:c>
      <x:c r="C1098" s="22" t="str">
        <x:v>공사</x:v>
      </x:c>
      <x:c r="D1098" s="25" t="str">
        <x:v>한-이라크 심장병 어린이 전문병원 신축공사</x:v>
      </x:c>
      <x:c r="E1098" s="22" t="n">
        <x:v>1</x:v>
      </x:c>
      <x:c r="F1098" s="22" t="str">
        <x:v>.xls</x:v>
      </x:c>
      <x:c r="G1098" s="25" t="str">
        <x:v>L2025-00070-1/붙임3. 현지입찰 서류 및 계약서류(안)/IKHCC Section 4 - IKHCC BLANK BOQ 250430/3 CIVIL/BLANK BILL.CIVIL (MEP).xls</x:v>
      </x:c>
      <x:c r="H1098" s="28" t="n">
        <x:v>74240</x:v>
      </x:c>
      <x:c r="I1098" s="22" t="str">
        <x:v>1c50470f6121836494e92fb616d765f06e8b3bc5153b11a3c8540a29ac1ec615</x:v>
      </x:c>
      <x:c r="J1098" s="22" t="n">
        <x:v>0</x:v>
      </x:c>
      <x:c r="K1098" s="22" t="n">
        <x:v>1</x:v>
      </x:c>
      <x:c r="L1098" s="22" t="n">
        <x:v>1</x:v>
      </x:c>
      <x:c r="M1098" s="28" t="n">
        <x:v>0</x:v>
      </x:c>
      <x:c r="N1098" s="28" t="n">
        <x:v>0</x:v>
      </x:c>
      <x:c r="O1098" s="28" t="n">
        <x:v>0</x:v>
      </x:c>
      <x:c r="P1098" s="62" t="n">
        <x:v>0</x:v>
      </x:c>
      <x:c r="Q1098" s="22" t="n">
        <x:v>0</x:v>
      </x:c>
      <x:c r="R1098" s="22" t="str"/>
      <x:c r="S1098" s="22" t="str"/>
      <x:c r="T1098" s="22" t="str"/>
    </x:row>
    <x:row r="1099">
      <x:c r="A1099" s="22" t="str">
        <x:v>2020-00119</x:v>
      </x:c>
      <x:c r="B1099" s="22" t="str">
        <x:v>L2025-00070-1</x:v>
      </x:c>
      <x:c r="C1099" s="22" t="str">
        <x:v>공사</x:v>
      </x:c>
      <x:c r="D1099" s="25" t="str">
        <x:v>한-이라크 심장병 어린이 전문병원 신축공사</x:v>
      </x:c>
      <x:c r="E1099" s="22" t="n">
        <x:v>1</x:v>
      </x:c>
      <x:c r="F1099" s="22" t="str">
        <x:v>.xlsx</x:v>
      </x:c>
      <x:c r="G1099" s="25" t="str">
        <x:v>L2025-00070-1/붙임3. 현지입찰 서류 및 계약서류(안)/IKHCC Section 4 - IKHCC BLANK BOQ 250430/8 Mob &amp; Signage/BILL No8-2 Signages-blank.xlsx</x:v>
      </x:c>
      <x:c r="H1099" s="28" t="n">
        <x:v>31619</x:v>
      </x:c>
      <x:c r="I1099" s="22" t="str">
        <x:v>4421d3cb9982d35873aa1763a4a7b1ee4b0d235faaeed68ee92551a4fa1c803f</x:v>
      </x:c>
      <x:c r="J1099" s="22" t="n">
        <x:v>0</x:v>
      </x:c>
      <x:c r="K1099" s="22" t="n">
        <x:v>1</x:v>
      </x:c>
      <x:c r="L1099" s="22" t="n">
        <x:v>1</x:v>
      </x:c>
      <x:c r="M1099" s="28" t="n">
        <x:v>1</x:v>
      </x:c>
      <x:c r="N1099" s="28" t="n">
        <x:v>6</x:v>
      </x:c>
      <x:c r="O1099" s="28" t="n">
        <x:v>0</x:v>
      </x:c>
      <x:c r="P1099" s="62" t="n">
        <x:v>0</x:v>
      </x:c>
      <x:c r="Q1099" s="22" t="n">
        <x:v>0</x:v>
      </x:c>
      <x:c r="R1099" s="22" t="str">
        <x:v>Works particular bill</x:v>
      </x:c>
      <x:c r="S1099" s="22" t="str">
        <x:v>visible</x:v>
      </x:c>
      <x:c r="T1099" s="22" t="str"/>
    </x:row>
    <x:row r="1100">
      <x:c r="A1100" s="22" t="str">
        <x:v>2020-00119</x:v>
      </x:c>
      <x:c r="B1100" s="22" t="str">
        <x:v>L2025-00070-1</x:v>
      </x:c>
      <x:c r="C1100" s="22" t="str">
        <x:v>공사</x:v>
      </x:c>
      <x:c r="D1100" s="25" t="str">
        <x:v>한-이라크 심장병 어린이 전문병원 신축공사</x:v>
      </x:c>
      <x:c r="E1100" s="22" t="n">
        <x:v>1</x:v>
      </x:c>
      <x:c r="F1100" s="22" t="str">
        <x:v>.xlsx</x:v>
      </x:c>
      <x:c r="G1100" s="25" t="str">
        <x:v>L2025-00070-1/붙임3. 현지입찰 서류 및 계약서류(안)/IKHCC Section 4 - IKHCC BLANK BOQ 250430/8 Mob &amp; Signage/BILL No8-1 -Mobilization Works-blank.xlsx</x:v>
      </x:c>
      <x:c r="H1100" s="28" t="n">
        <x:v>638347</x:v>
      </x:c>
      <x:c r="I1100" s="22" t="str">
        <x:v>95772272ef1568157e0f604c1bb0cae64d776ffaf2b58cf9d26e389a796bb67e</x:v>
      </x:c>
      <x:c r="J1100" s="22" t="n">
        <x:v>0</x:v>
      </x:c>
      <x:c r="K1100" s="22" t="n">
        <x:v>1</x:v>
      </x:c>
      <x:c r="L1100" s="22" t="n">
        <x:v>1</x:v>
      </x:c>
      <x:c r="M1100" s="28" t="n">
        <x:v>1</x:v>
      </x:c>
      <x:c r="N1100" s="28" t="n">
        <x:v>34</x:v>
      </x:c>
      <x:c r="O1100" s="28" t="n">
        <x:v>0</x:v>
      </x:c>
      <x:c r="P1100" s="62" t="n">
        <x:v>0</x:v>
      </x:c>
      <x:c r="Q1100" s="22" t="n">
        <x:v>0</x:v>
      </x:c>
      <x:c r="R1100" s="22" t="str">
        <x:v>Mobilization</x:v>
      </x:c>
      <x:c r="S1100" s="22" t="str">
        <x:v>visible</x:v>
      </x:c>
      <x:c r="T1100" s="22" t="str"/>
    </x:row>
    <x:row r="1101">
      <x:c r="A1101" s="22" t="str">
        <x:v>2020-00119</x:v>
      </x:c>
      <x:c r="B1101" s="22" t="str">
        <x:v>L2025-00070-1</x:v>
      </x:c>
      <x:c r="C1101" s="22" t="str">
        <x:v>공사</x:v>
      </x:c>
      <x:c r="D1101" s="25" t="str">
        <x:v>한-이라크 심장병 어린이 전문병원 신축공사</x:v>
      </x:c>
      <x:c r="E1101" s="22" t="n">
        <x:v>1</x:v>
      </x:c>
      <x:c r="F1101" s="22" t="str">
        <x:v>.xls</x:v>
      </x:c>
      <x:c r="G1101" s="25" t="str">
        <x:v>L2025-00070-1/붙임3. 현지입찰 서류 및 계약서류(안)/IKHCC Section 4 - IKHCC BLANK BOQ 250430/4 MECH/BLANK  BILL.MECH(TOTAL).xls</x:v>
      </x:c>
      <x:c r="H1101" s="28" t="n">
        <x:v>1402880</x:v>
      </x:c>
      <x:c r="I1101" s="22" t="str">
        <x:v>943c92d368e4e26e68ff2d5dc17a80fc0672c2766d586d3aa6c68578e0614040</x:v>
      </x:c>
      <x:c r="J1101" s="22" t="n">
        <x:v>0</x:v>
      </x:c>
      <x:c r="K1101" s="22" t="n">
        <x:v>1</x:v>
      </x:c>
      <x:c r="L1101" s="22" t="n">
        <x:v>1</x:v>
      </x:c>
      <x:c r="M1101" s="28" t="n">
        <x:v>1</x:v>
      </x:c>
      <x:c r="N1101" s="28" t="n">
        <x:v>831</x:v>
      </x:c>
      <x:c r="O1101" s="28" t="n">
        <x:v>823</x:v>
      </x:c>
      <x:c r="P1101" s="62" t="n">
        <x:v>0.9903730445246691</x:v>
      </x:c>
      <x:c r="Q1101" s="22" t="n">
        <x:v>1</x:v>
      </x:c>
      <x:c r="R1101" s="22" t="str">
        <x:v>일위대가</x:v>
      </x:c>
      <x:c r="S1101" s="22" t="str">
        <x:v>hidden</x:v>
      </x:c>
      <x:c r="T1101" s="22" t="str"/>
    </x:row>
    <x:row r="1102">
      <x:c r="A1102" s="22" t="str">
        <x:v>2020-00119</x:v>
      </x:c>
      <x:c r="B1102" s="22" t="str">
        <x:v>L2025-00070-1</x:v>
      </x:c>
      <x:c r="C1102" s="22" t="str">
        <x:v>공사</x:v>
      </x:c>
      <x:c r="D1102" s="25" t="str">
        <x:v>한-이라크 심장병 어린이 전문병원 신축공사</x:v>
      </x:c>
      <x:c r="E1102" s="22" t="n">
        <x:v>1</x:v>
      </x:c>
      <x:c r="F1102" s="22" t="str">
        <x:v>.xls</x:v>
      </x:c>
      <x:c r="G1102" s="25" t="str">
        <x:v>L2025-00070-1/붙임3. 현지입찰 서류 및 계약서류(안)/IKHCC Section 4 - IKHCC BLANK BOQ 250430/4 MECH/BLANK BILL.MECH(MEP).xls</x:v>
      </x:c>
      <x:c r="H1102" s="28" t="n">
        <x:v>1337344</x:v>
      </x:c>
      <x:c r="I1102" s="22" t="str">
        <x:v>2d0e5689227e4bbd2311904d4351ff0bca308e5b11c4d1d202496909acd5388c</x:v>
      </x:c>
      <x:c r="J1102" s="22" t="n">
        <x:v>0</x:v>
      </x:c>
      <x:c r="K1102" s="22" t="n">
        <x:v>1</x:v>
      </x:c>
      <x:c r="L1102" s="22" t="n">
        <x:v>1</x:v>
      </x:c>
      <x:c r="M1102" s="28" t="n">
        <x:v>1</x:v>
      </x:c>
      <x:c r="N1102" s="28" t="n">
        <x:v>831</x:v>
      </x:c>
      <x:c r="O1102" s="28" t="n">
        <x:v>823</x:v>
      </x:c>
      <x:c r="P1102" s="62" t="n">
        <x:v>0.9903730445246691</x:v>
      </x:c>
      <x:c r="Q1102" s="22" t="n">
        <x:v>1</x:v>
      </x:c>
      <x:c r="R1102" s="22" t="str">
        <x:v>일위대가</x:v>
      </x:c>
      <x:c r="S1102" s="22" t="str">
        <x:v>hidden</x:v>
      </x:c>
      <x:c r="T1102" s="22" t="str"/>
    </x:row>
    <x:row r="1103">
      <x:c r="A1103" s="22" t="str">
        <x:v>2020-00119</x:v>
      </x:c>
      <x:c r="B1103" s="22" t="str">
        <x:v>L2025-00070-1</x:v>
      </x:c>
      <x:c r="C1103" s="22" t="str">
        <x:v>공사</x:v>
      </x:c>
      <x:c r="D1103" s="25" t="str">
        <x:v>한-이라크 심장병 어린이 전문병원 신축공사</x:v>
      </x:c>
      <x:c r="E1103" s="22" t="n">
        <x:v>1</x:v>
      </x:c>
      <x:c r="F1103" s="22" t="str">
        <x:v>.xls</x:v>
      </x:c>
      <x:c r="G1103" s="25" t="str">
        <x:v>L2025-00070-1/붙임3. 현지입찰 서류 및 계약서류(안)/IKHCC Section 4 - IKHCC BLANK BOQ 250430/4 MECH/BLANK BILL.MECH(HOSPITAL).xls</x:v>
      </x:c>
      <x:c r="H1103" s="28" t="n">
        <x:v>1235968</x:v>
      </x:c>
      <x:c r="I1103" s="22" t="str">
        <x:v>8720d754cc3e986be036e1cfdef45baf74559f7549f20d481b8bac23e8336af7</x:v>
      </x:c>
      <x:c r="J1103" s="22" t="n">
        <x:v>0</x:v>
      </x:c>
      <x:c r="K1103" s="22" t="n">
        <x:v>1</x:v>
      </x:c>
      <x:c r="L1103" s="22" t="n">
        <x:v>1</x:v>
      </x:c>
      <x:c r="M1103" s="28" t="n">
        <x:v>1</x:v>
      </x:c>
      <x:c r="N1103" s="28" t="n">
        <x:v>831</x:v>
      </x:c>
      <x:c r="O1103" s="28" t="n">
        <x:v>823</x:v>
      </x:c>
      <x:c r="P1103" s="62" t="n">
        <x:v>0.9903730445246691</x:v>
      </x:c>
      <x:c r="Q1103" s="22" t="n">
        <x:v>1</x:v>
      </x:c>
      <x:c r="R1103" s="22" t="str">
        <x:v>일위대가</x:v>
      </x:c>
      <x:c r="S1103" s="22" t="str">
        <x:v>hidden</x:v>
      </x:c>
      <x:c r="T1103" s="22" t="str"/>
    </x:row>
    <x:row r="1104">
      <x:c r="A1104" s="22" t="str">
        <x:v>2020-00119</x:v>
      </x:c>
      <x:c r="B1104" s="22" t="str">
        <x:v>L2025-00070-1</x:v>
      </x:c>
      <x:c r="C1104" s="22" t="str">
        <x:v>공사</x:v>
      </x:c>
      <x:c r="D1104" s="25" t="str">
        <x:v>한-이라크 심장병 어린이 전문병원 신축공사</x:v>
      </x:c>
      <x:c r="E1104" s="22" t="n">
        <x:v>1</x:v>
      </x:c>
      <x:c r="F1104" s="22" t="str">
        <x:v>.xls</x:v>
      </x:c>
      <x:c r="G1104" s="25" t="str">
        <x:v>L2025-00070-1/붙임3. 현지입찰 서류 및 계약서류(안)/IKHCC Section 4 - IKHCC BLANK BOQ 250430/4 MECH/BLANK BILL.MECH(BRIDGE).xls</x:v>
      </x:c>
      <x:c r="H1104" s="28" t="n">
        <x:v>1424896</x:v>
      </x:c>
      <x:c r="I1104" s="22" t="str">
        <x:v>b61e26e6dff7092b2fe58420cc843f0e7722f7a0335f7bcb6684128a02b6ec16</x:v>
      </x:c>
      <x:c r="J1104" s="22" t="n">
        <x:v>0</x:v>
      </x:c>
      <x:c r="K1104" s="22" t="n">
        <x:v>1</x:v>
      </x:c>
      <x:c r="L1104" s="22" t="n">
        <x:v>1</x:v>
      </x:c>
      <x:c r="M1104" s="28" t="n">
        <x:v>1</x:v>
      </x:c>
      <x:c r="N1104" s="28" t="n">
        <x:v>831</x:v>
      </x:c>
      <x:c r="O1104" s="28" t="n">
        <x:v>823</x:v>
      </x:c>
      <x:c r="P1104" s="62" t="n">
        <x:v>0.9903730445246691</x:v>
      </x:c>
      <x:c r="Q1104" s="22" t="n">
        <x:v>1</x:v>
      </x:c>
      <x:c r="R1104" s="22" t="str">
        <x:v>일위대가</x:v>
      </x:c>
      <x:c r="S1104" s="22" t="str">
        <x:v>hidden</x:v>
      </x:c>
      <x:c r="T1104" s="22" t="str"/>
    </x:row>
    <x:row r="1105">
      <x:c r="A1105" s="22" t="str">
        <x:v>2020-00119</x:v>
      </x:c>
      <x:c r="B1105" s="22" t="str">
        <x:v>L2025-00070-1</x:v>
      </x:c>
      <x:c r="C1105" s="22" t="str">
        <x:v>공사</x:v>
      </x:c>
      <x:c r="D1105" s="25" t="str">
        <x:v>한-이라크 심장병 어린이 전문병원 신축공사</x:v>
      </x:c>
      <x:c r="E1105" s="22" t="n">
        <x:v>1</x:v>
      </x:c>
      <x:c r="F1105" s="22" t="str">
        <x:v>.xlsm</x:v>
      </x:c>
      <x:c r="G1105" s="25" t="str">
        <x:v>L2025-00070-1/붙임3. 현지입찰 서류 및 계약서류(안)/IKHCC Section 4 - IKHCC BLANK BOQ 250430/5 ELEC/BLANK BILL-ELEC - B (MEP BUILDING).xlsm</x:v>
      </x:c>
      <x:c r="H1105" s="28" t="n">
        <x:v>426206</x:v>
      </x:c>
      <x:c r="I1105" s="22" t="str">
        <x:v>a636920d68a78ac587cf8191a42250b0ff1dfc635a3cc17d571310e580570bae</x:v>
      </x:c>
      <x:c r="J1105" s="22" t="n">
        <x:v>0</x:v>
      </x:c>
      <x:c r="K1105" s="22" t="n">
        <x:v>1</x:v>
      </x:c>
      <x:c r="L1105" s="22" t="n">
        <x:v>1</x:v>
      </x:c>
      <x:c r="M1105" s="28" t="n">
        <x:v>3</x:v>
      </x:c>
      <x:c r="N1105" s="28" t="n">
        <x:v>1476</x:v>
      </x:c>
      <x:c r="O1105" s="28" t="n">
        <x:v>161</x:v>
      </x:c>
      <x:c r="P1105" s="62" t="n">
        <x:v>0.023712737127371274</x:v>
      </x:c>
      <x:c r="Q1105" s="22" t="n">
        <x:v>0</x:v>
      </x:c>
      <x:c r="R1105" s="22" t="str">
        <x:v>일위을지</x:v>
      </x:c>
      <x:c r="S1105" s="22" t="str">
        <x:v>hidden</x:v>
      </x:c>
      <x:c r="T1105" s="22" t="str"/>
    </x:row>
    <x:row r="1106">
      <x:c r="A1106" s="22" t="str">
        <x:v>2020-00119</x:v>
      </x:c>
      <x:c r="B1106" s="22" t="str">
        <x:v>L2025-00070-1</x:v>
      </x:c>
      <x:c r="C1106" s="22" t="str">
        <x:v>공사</x:v>
      </x:c>
      <x:c r="D1106" s="25" t="str">
        <x:v>한-이라크 심장병 어린이 전문병원 신축공사</x:v>
      </x:c>
      <x:c r="E1106" s="22" t="n">
        <x:v>1</x:v>
      </x:c>
      <x:c r="F1106" s="22" t="str">
        <x:v>.xlsm</x:v>
      </x:c>
      <x:c r="G1106" s="25" t="str">
        <x:v>L2025-00070-1/붙임3. 현지입찰 서류 및 계약서류(안)/IKHCC Section 4 - IKHCC BLANK BOQ 250430/5 ELEC/BLANK BILL-ELEC - 0 (TOTAL).xlsm</x:v>
      </x:c>
      <x:c r="H1106" s="28" t="n">
        <x:v>445864</x:v>
      </x:c>
      <x:c r="I1106" s="22" t="str">
        <x:v>d25f2183117ab557937eb36e84232913bee71efc309a28cb39e31bb1600e812d</x:v>
      </x:c>
      <x:c r="J1106" s="22" t="n">
        <x:v>0</x:v>
      </x:c>
      <x:c r="K1106" s="22" t="n">
        <x:v>1</x:v>
      </x:c>
      <x:c r="L1106" s="22" t="n">
        <x:v>1</x:v>
      </x:c>
      <x:c r="M1106" s="28" t="n">
        <x:v>3</x:v>
      </x:c>
      <x:c r="N1106" s="28" t="n">
        <x:v>1476</x:v>
      </x:c>
      <x:c r="O1106" s="28" t="n">
        <x:v>161</x:v>
      </x:c>
      <x:c r="P1106" s="62" t="n">
        <x:v>0.023712737127371274</x:v>
      </x:c>
      <x:c r="Q1106" s="22" t="n">
        <x:v>0</x:v>
      </x:c>
      <x:c r="R1106" s="22" t="str">
        <x:v>일위을지</x:v>
      </x:c>
      <x:c r="S1106" s="22" t="str">
        <x:v>hidden</x:v>
      </x:c>
      <x:c r="T1106" s="22" t="str"/>
    </x:row>
    <x:row r="1107">
      <x:c r="A1107" s="22" t="str">
        <x:v>2020-00119</x:v>
      </x:c>
      <x:c r="B1107" s="22" t="str">
        <x:v>L2025-00070-1</x:v>
      </x:c>
      <x:c r="C1107" s="22" t="str">
        <x:v>공사</x:v>
      </x:c>
      <x:c r="D1107" s="25" t="str">
        <x:v>한-이라크 심장병 어린이 전문병원 신축공사</x:v>
      </x:c>
      <x:c r="E1107" s="22" t="n">
        <x:v>1</x:v>
      </x:c>
      <x:c r="F1107" s="22" t="str">
        <x:v>.xlsm</x:v>
      </x:c>
      <x:c r="G1107" s="25" t="str">
        <x:v>L2025-00070-1/붙임3. 현지입찰 서류 및 계약서류(안)/IKHCC Section 4 - IKHCC BLANK BOQ 250430/5 ELEC/BLANK BILL-ELEC - A (HOSPITAL).xlsm</x:v>
      </x:c>
      <x:c r="H1107" s="28" t="n">
        <x:v>408853</x:v>
      </x:c>
      <x:c r="I1107" s="22" t="str">
        <x:v>2762730f368573765a903e44a95f853b9bf81dd42ff99e7cc12547936ae1f2d4</x:v>
      </x:c>
      <x:c r="J1107" s="22" t="n">
        <x:v>0</x:v>
      </x:c>
      <x:c r="K1107" s="22" t="n">
        <x:v>1</x:v>
      </x:c>
      <x:c r="L1107" s="22" t="n">
        <x:v>1</x:v>
      </x:c>
      <x:c r="M1107" s="28" t="n">
        <x:v>3</x:v>
      </x:c>
      <x:c r="N1107" s="28" t="n">
        <x:v>1476</x:v>
      </x:c>
      <x:c r="O1107" s="28" t="n">
        <x:v>35</x:v>
      </x:c>
      <x:c r="P1107" s="62" t="n">
        <x:v>0.023712737127371274</x:v>
      </x:c>
      <x:c r="Q1107" s="22" t="n">
        <x:v>0</x:v>
      </x:c>
      <x:c r="R1107" s="22" t="str">
        <x:v>일위을지</x:v>
      </x:c>
      <x:c r="S1107" s="22" t="str">
        <x:v>hidden</x:v>
      </x:c>
      <x:c r="T1107" s="22" t="str"/>
    </x:row>
    <x:row r="1108">
      <x:c r="A1108" s="22" t="str">
        <x:v>2020-00119</x:v>
      </x:c>
      <x:c r="B1108" s="22" t="str">
        <x:v>L2025-00070-1</x:v>
      </x:c>
      <x:c r="C1108" s="22" t="str">
        <x:v>공사</x:v>
      </x:c>
      <x:c r="D1108" s="25" t="str">
        <x:v>한-이라크 심장병 어린이 전문병원 신축공사</x:v>
      </x:c>
      <x:c r="E1108" s="22" t="n">
        <x:v>1</x:v>
      </x:c>
      <x:c r="F1108" s="22" t="str">
        <x:v>.xlsm</x:v>
      </x:c>
      <x:c r="G1108" s="25" t="str">
        <x:v>L2025-00070-1/붙임3. 현지입찰 서류 및 계약서류(안)/IKHCC Section 4 - IKHCC BLANK BOQ 250430/5 ELEC/BLANK BILL-ELEC - C (BRIDGE).xlsm</x:v>
      </x:c>
      <x:c r="H1108" s="28" t="n">
        <x:v>448183</x:v>
      </x:c>
      <x:c r="I1108" s="22" t="str">
        <x:v>6010a7c5eb8dae6bd6aea630ea1e2547859f41b179030218ee09fbd928fffc8e</x:v>
      </x:c>
      <x:c r="J1108" s="22" t="n">
        <x:v>0</x:v>
      </x:c>
      <x:c r="K1108" s="22" t="n">
        <x:v>1</x:v>
      </x:c>
      <x:c r="L1108" s="22" t="n">
        <x:v>1</x:v>
      </x:c>
      <x:c r="M1108" s="28" t="n">
        <x:v>3</x:v>
      </x:c>
      <x:c r="N1108" s="28" t="n">
        <x:v>1476</x:v>
      </x:c>
      <x:c r="O1108" s="28" t="n">
        <x:v>161</x:v>
      </x:c>
      <x:c r="P1108" s="62" t="n">
        <x:v>0.023712737127371274</x:v>
      </x:c>
      <x:c r="Q1108" s="22" t="n">
        <x:v>0</x:v>
      </x:c>
      <x:c r="R1108" s="22" t="str">
        <x:v>일위을지</x:v>
      </x:c>
      <x:c r="S1108" s="22" t="str">
        <x:v>hidden</x:v>
      </x:c>
      <x:c r="T1108" s="22" t="str"/>
    </x:row>
    <x:row r="1109">
      <x:c r="A1109" s="22" t="str">
        <x:v>2020-00119</x:v>
      </x:c>
      <x:c r="B1109" s="22" t="str">
        <x:v>L2025-00070-1</x:v>
      </x:c>
      <x:c r="C1109" s="22" t="str">
        <x:v>공사</x:v>
      </x:c>
      <x:c r="D1109" s="25" t="str">
        <x:v>한-이라크 심장병 어린이 전문병원 신축공사</x:v>
      </x:c>
      <x:c r="E1109" s="22" t="n">
        <x:v>1</x:v>
      </x:c>
      <x:c r="F1109" s="22" t="str">
        <x:v>.xlsm</x:v>
      </x:c>
      <x:c r="G1109" s="25" t="str">
        <x:v>L2025-00070-1/붙임3. 현지입찰 서류 및 계약서류(안)/IKHCC Section 4 - IKHCC BLANK BOQ 250430/6 COMMUN/BLANK BILL-COMMUN - 0 (TOTAL).xlsm</x:v>
      </x:c>
      <x:c r="H1109" s="28" t="n">
        <x:v>271765</x:v>
      </x:c>
      <x:c r="I1109" s="22" t="str">
        <x:v>1006eec1b38bda7bcedfcdd748e4c48cadd10a929e94b06fc6de7440fc0948c9</x:v>
      </x:c>
      <x:c r="J1109" s="22" t="n">
        <x:v>0</x:v>
      </x:c>
      <x:c r="K1109" s="22" t="n">
        <x:v>1</x:v>
      </x:c>
      <x:c r="L1109" s="22" t="n">
        <x:v>1</x:v>
      </x:c>
      <x:c r="M1109" s="28" t="n">
        <x:v>3</x:v>
      </x:c>
      <x:c r="N1109" s="28" t="n">
        <x:v>826</x:v>
      </x:c>
      <x:c r="O1109" s="28" t="n">
        <x:v>95</x:v>
      </x:c>
      <x:c r="P1109" s="62" t="n">
        <x:v>0.0811138014527845</x:v>
      </x:c>
      <x:c r="Q1109" s="22" t="n">
        <x:v>0</x:v>
      </x:c>
      <x:c r="R1109" s="22" t="str">
        <x:v>일위을지</x:v>
      </x:c>
      <x:c r="S1109" s="22" t="str">
        <x:v>hidden</x:v>
      </x:c>
      <x:c r="T1109" s="22" t="str"/>
    </x:row>
    <x:row r="1110">
      <x:c r="A1110" s="22" t="str">
        <x:v>2020-00119</x:v>
      </x:c>
      <x:c r="B1110" s="22" t="str">
        <x:v>L2025-00070-1</x:v>
      </x:c>
      <x:c r="C1110" s="22" t="str">
        <x:v>공사</x:v>
      </x:c>
      <x:c r="D1110" s="25" t="str">
        <x:v>한-이라크 심장병 어린이 전문병원 신축공사</x:v>
      </x:c>
      <x:c r="E1110" s="22" t="n">
        <x:v>1</x:v>
      </x:c>
      <x:c r="F1110" s="22" t="str">
        <x:v>.xlsm</x:v>
      </x:c>
      <x:c r="G1110" s="25" t="str">
        <x:v>L2025-00070-1/붙임3. 현지입찰 서류 및 계약서류(안)/IKHCC Section 4 - IKHCC BLANK BOQ 250430/6 COMMUN/BLANK BILL-COMMUN - C (BRIDGE).xlsm</x:v>
      </x:c>
      <x:c r="H1110" s="28" t="n">
        <x:v>276178</x:v>
      </x:c>
      <x:c r="I1110" s="22" t="str">
        <x:v>dd5783efd02abd570ad15930d2d60e0fe1ccca7cfd9e9e51e7fca3b73ad40ea9</x:v>
      </x:c>
      <x:c r="J1110" s="22" t="n">
        <x:v>0</x:v>
      </x:c>
      <x:c r="K1110" s="22" t="n">
        <x:v>1</x:v>
      </x:c>
      <x:c r="L1110" s="22" t="n">
        <x:v>1</x:v>
      </x:c>
      <x:c r="M1110" s="28" t="n">
        <x:v>3</x:v>
      </x:c>
      <x:c r="N1110" s="28" t="n">
        <x:v>826</x:v>
      </x:c>
      <x:c r="O1110" s="28" t="n">
        <x:v>95</x:v>
      </x:c>
      <x:c r="P1110" s="62" t="n">
        <x:v>0.0811138014527845</x:v>
      </x:c>
      <x:c r="Q1110" s="22" t="n">
        <x:v>0</x:v>
      </x:c>
      <x:c r="R1110" s="22" t="str">
        <x:v>일위을지</x:v>
      </x:c>
      <x:c r="S1110" s="22" t="str">
        <x:v>hidden</x:v>
      </x:c>
      <x:c r="T1110" s="22" t="str"/>
    </x:row>
    <x:row r="1111">
      <x:c r="A1111" s="22" t="str">
        <x:v>2020-00119</x:v>
      </x:c>
      <x:c r="B1111" s="22" t="str">
        <x:v>L2025-00070-1</x:v>
      </x:c>
      <x:c r="C1111" s="22" t="str">
        <x:v>공사</x:v>
      </x:c>
      <x:c r="D1111" s="25" t="str">
        <x:v>한-이라크 심장병 어린이 전문병원 신축공사</x:v>
      </x:c>
      <x:c r="E1111" s="22" t="n">
        <x:v>1</x:v>
      </x:c>
      <x:c r="F1111" s="22" t="str">
        <x:v>.xlsm</x:v>
      </x:c>
      <x:c r="G1111" s="25" t="str">
        <x:v>L2025-00070-1/붙임3. 현지입찰 서류 및 계약서류(안)/IKHCC Section 4 - IKHCC BLANK BOQ 250430/6 COMMUN/BLANK BILL-COMMUN - B (MEP BUILDING).xlsm</x:v>
      </x:c>
      <x:c r="H1111" s="28" t="n">
        <x:v>272559</x:v>
      </x:c>
      <x:c r="I1111" s="22" t="str">
        <x:v>3d2844ae8dc01c300385769bb2746bebf9b88b27b770c7e0f1be5378dbc6f64b</x:v>
      </x:c>
      <x:c r="J1111" s="22" t="n">
        <x:v>0</x:v>
      </x:c>
      <x:c r="K1111" s="22" t="n">
        <x:v>1</x:v>
      </x:c>
      <x:c r="L1111" s="22" t="n">
        <x:v>1</x:v>
      </x:c>
      <x:c r="M1111" s="28" t="n">
        <x:v>3</x:v>
      </x:c>
      <x:c r="N1111" s="28" t="n">
        <x:v>826</x:v>
      </x:c>
      <x:c r="O1111" s="28" t="n">
        <x:v>95</x:v>
      </x:c>
      <x:c r="P1111" s="62" t="n">
        <x:v>0.0811138014527845</x:v>
      </x:c>
      <x:c r="Q1111" s="22" t="n">
        <x:v>0</x:v>
      </x:c>
      <x:c r="R1111" s="22" t="str">
        <x:v>일위을지</x:v>
      </x:c>
      <x:c r="S1111" s="22" t="str">
        <x:v>hidden</x:v>
      </x:c>
      <x:c r="T1111" s="22" t="str"/>
    </x:row>
    <x:row r="1112">
      <x:c r="A1112" s="22" t="str">
        <x:v>2020-00119</x:v>
      </x:c>
      <x:c r="B1112" s="22" t="str">
        <x:v>L2025-00070-1</x:v>
      </x:c>
      <x:c r="C1112" s="22" t="str">
        <x:v>공사</x:v>
      </x:c>
      <x:c r="D1112" s="25" t="str">
        <x:v>한-이라크 심장병 어린이 전문병원 신축공사</x:v>
      </x:c>
      <x:c r="E1112" s="22" t="n">
        <x:v>1</x:v>
      </x:c>
      <x:c r="F1112" s="22" t="str">
        <x:v>.xlsm</x:v>
      </x:c>
      <x:c r="G1112" s="25" t="str">
        <x:v>L2025-00070-1/붙임3. 현지입찰 서류 및 계약서류(안)/IKHCC Section 4 - IKHCC BLANK BOQ 250430/6 COMMUN/BLANK BILL-COMMUN - A (HOSPITAL).xlsm</x:v>
      </x:c>
      <x:c r="H1112" s="28" t="n">
        <x:v>242663</x:v>
      </x:c>
      <x:c r="I1112" s="22" t="str">
        <x:v>d156c3b2a4f144fad57ffe385bf9404bcb64a71d2c6160fa17874405cfd70c81</x:v>
      </x:c>
      <x:c r="J1112" s="22" t="n">
        <x:v>0</x:v>
      </x:c>
      <x:c r="K1112" s="22" t="n">
        <x:v>1</x:v>
      </x:c>
      <x:c r="L1112" s="22" t="n">
        <x:v>1</x:v>
      </x:c>
      <x:c r="M1112" s="28" t="n">
        <x:v>3</x:v>
      </x:c>
      <x:c r="N1112" s="28" t="n">
        <x:v>826</x:v>
      </x:c>
      <x:c r="O1112" s="28" t="n">
        <x:v>67</x:v>
      </x:c>
      <x:c r="P1112" s="62" t="n">
        <x:v>0.0811138014527845</x:v>
      </x:c>
      <x:c r="Q1112" s="22" t="n">
        <x:v>0</x:v>
      </x:c>
      <x:c r="R1112" s="22" t="str">
        <x:v>일위을지</x:v>
      </x:c>
      <x:c r="S1112" s="22" t="str">
        <x:v>hidden</x:v>
      </x:c>
      <x:c r="T1112" s="22" t="str"/>
    </x:row>
    <x:row r="1113">
      <x:c r="A1113" s="22" t="str">
        <x:v>2020-00119</x:v>
      </x:c>
      <x:c r="B1113" s="22" t="str">
        <x:v>L2025-00070-1</x:v>
      </x:c>
      <x:c r="C1113" s="22" t="str">
        <x:v>공사</x:v>
      </x:c>
      <x:c r="D1113" s="25" t="str">
        <x:v>한-이라크 심장병 어린이 전문병원 신축공사</x:v>
      </x:c>
      <x:c r="E1113" s="22" t="n">
        <x:v>1</x:v>
      </x:c>
      <x:c r="F1113" s="22" t="str">
        <x:v>.xlsx</x:v>
      </x:c>
      <x:c r="G1113" s="25" t="str">
        <x:v>L2025-00070-1/붙임3. 현지입찰 서류 및 계약서류(안)/IKHCC Section 4 - IKHCC BLANK BOQ 250430/1 Architectural &amp; summery/BILL No1 -Architectural Works-01. HOSPITAL(BLANK BILL).xlsx</x:v>
      </x:c>
      <x:c r="H1113" s="28" t="n">
        <x:v>677921</x:v>
      </x:c>
      <x:c r="I1113" s="22" t="str">
        <x:v>47d79c95e2c3273f84778935276c94526e369cc1b1bc057f6b03c998f44e253f</x:v>
      </x:c>
      <x:c r="J1113" s="22" t="n">
        <x:v>0</x:v>
      </x:c>
      <x:c r="K1113" s="22" t="n">
        <x:v>1</x:v>
      </x:c>
      <x:c r="L1113" s="22" t="n">
        <x:v>1</x:v>
      </x:c>
      <x:c r="M1113" s="28" t="n">
        <x:v>2</x:v>
      </x:c>
      <x:c r="N1113" s="28" t="n">
        <x:v>377</x:v>
      </x:c>
      <x:c r="O1113" s="28" t="n">
        <x:v>0</x:v>
      </x:c>
      <x:c r="P1113" s="62" t="n">
        <x:v>0</x:v>
      </x:c>
      <x:c r="Q1113" s="22" t="n">
        <x:v>0</x:v>
      </x:c>
      <x:c r="R1113" s="22" t="str">
        <x:v>Works particular bill</x:v>
      </x:c>
      <x:c r="S1113" s="22" t="str">
        <x:v>visible</x:v>
      </x:c>
      <x:c r="T1113" s="22" t="str"/>
    </x:row>
    <x:row r="1114">
      <x:c r="A1114" s="22" t="str">
        <x:v>2020-00119</x:v>
      </x:c>
      <x:c r="B1114" s="22" t="str">
        <x:v>L2025-00070-1</x:v>
      </x:c>
      <x:c r="C1114" s="22" t="str">
        <x:v>공사</x:v>
      </x:c>
      <x:c r="D1114" s="25" t="str">
        <x:v>한-이라크 심장병 어린이 전문병원 신축공사</x:v>
      </x:c>
      <x:c r="E1114" s="22" t="n">
        <x:v>1</x:v>
      </x:c>
      <x:c r="F1114" s="22" t="str">
        <x:v>.xlsx</x:v>
      </x:c>
      <x:c r="G1114" s="25" t="str">
        <x:v>L2025-00070-1/붙임3. 현지입찰 서류 및 계약서류(안)/IKHCC Section 4 - IKHCC BLANK BOQ 250430/1 Architectural &amp; summery/BILL No1 -Architectural Works-03. BRIDGE(BLANK BILL).xlsx</x:v>
      </x:c>
      <x:c r="H1114" s="28" t="n">
        <x:v>643812</x:v>
      </x:c>
      <x:c r="I1114" s="22" t="str">
        <x:v>9af2b1263622fb9487fbf8ea97b31ead65763962f1c58d657985557a58983e83</x:v>
      </x:c>
      <x:c r="J1114" s="22" t="n">
        <x:v>0</x:v>
      </x:c>
      <x:c r="K1114" s="22" t="n">
        <x:v>1</x:v>
      </x:c>
      <x:c r="L1114" s="22" t="n">
        <x:v>1</x:v>
      </x:c>
      <x:c r="M1114" s="28" t="n">
        <x:v>2</x:v>
      </x:c>
      <x:c r="N1114" s="28" t="n">
        <x:v>48</x:v>
      </x:c>
      <x:c r="O1114" s="28" t="n">
        <x:v>0</x:v>
      </x:c>
      <x:c r="P1114" s="62" t="n">
        <x:v>0</x:v>
      </x:c>
      <x:c r="Q1114" s="22" t="n">
        <x:v>0</x:v>
      </x:c>
      <x:c r="R1114" s="22" t="str">
        <x:v>Works particular bill</x:v>
      </x:c>
      <x:c r="S1114" s="22" t="str">
        <x:v>visible</x:v>
      </x:c>
      <x:c r="T1114" s="22" t="str"/>
    </x:row>
    <x:row r="1115">
      <x:c r="A1115" s="22" t="str">
        <x:v>2020-00119</x:v>
      </x:c>
      <x:c r="B1115" s="22" t="str">
        <x:v>L2025-00070-1</x:v>
      </x:c>
      <x:c r="C1115" s="22" t="str">
        <x:v>공사</x:v>
      </x:c>
      <x:c r="D1115" s="25" t="str">
        <x:v>한-이라크 심장병 어린이 전문병원 신축공사</x:v>
      </x:c>
      <x:c r="E1115" s="22" t="n">
        <x:v>1</x:v>
      </x:c>
      <x:c r="F1115" s="22" t="str">
        <x:v>.xlsx</x:v>
      </x:c>
      <x:c r="G1115" s="25" t="str">
        <x:v>L2025-00070-1/붙임3. 현지입찰 서류 및 계약서류(안)/IKHCC Section 4 - IKHCC BLANK BOQ 250430/1 Architectural &amp; summery/BILL No1 -Architectural Works-02. MEP BUILDING(BLANK BILL).xlsx</x:v>
      </x:c>
      <x:c r="H1115" s="28" t="n">
        <x:v>670008</x:v>
      </x:c>
      <x:c r="I1115" s="22" t="str">
        <x:v>e882c3f7b2c691fc22ee6ee99fba87f9ca830eb3c133892b8c8800d7d02e97cb</x:v>
      </x:c>
      <x:c r="J1115" s="22" t="n">
        <x:v>0</x:v>
      </x:c>
      <x:c r="K1115" s="22" t="n">
        <x:v>1</x:v>
      </x:c>
      <x:c r="L1115" s="22" t="n">
        <x:v>1</x:v>
      </x:c>
      <x:c r="M1115" s="28" t="n">
        <x:v>2</x:v>
      </x:c>
      <x:c r="N1115" s="28" t="n">
        <x:v>149</x:v>
      </x:c>
      <x:c r="O1115" s="28" t="n">
        <x:v>0</x:v>
      </x:c>
      <x:c r="P1115" s="62" t="n">
        <x:v>0</x:v>
      </x:c>
      <x:c r="Q1115" s="22" t="n">
        <x:v>0</x:v>
      </x:c>
      <x:c r="R1115" s="22" t="str">
        <x:v>Works particular bill</x:v>
      </x:c>
      <x:c r="S1115" s="22" t="str">
        <x:v>visible</x:v>
      </x:c>
      <x:c r="T1115" s="22" t="str"/>
    </x:row>
    <x:row r="1116">
      <x:c r="A1116" s="22" t="str">
        <x:v>2020-00119</x:v>
      </x:c>
      <x:c r="B1116" s="22" t="str">
        <x:v>L2025-00070-1</x:v>
      </x:c>
      <x:c r="C1116" s="22" t="str">
        <x:v>공사</x:v>
      </x:c>
      <x:c r="D1116" s="25" t="str">
        <x:v>한-이라크 심장병 어린이 전문병원 신축공사</x:v>
      </x:c>
      <x:c r="E1116" s="22" t="n">
        <x:v>1</x:v>
      </x:c>
      <x:c r="F1116" s="22" t="str">
        <x:v>.xlsx</x:v>
      </x:c>
      <x:c r="G1116" s="25" t="str">
        <x:v>L2025-00070-1/붙임3. 현지입찰 서류 및 계약서류(안)/IKHCC Section 4 - IKHCC BLANK BOQ 250430/1 Architectural &amp; summery/Bill _Total Cost Summary-Blank 250306.xlsx</x:v>
      </x:c>
      <x:c r="H1116" s="28" t="n">
        <x:v>636201</x:v>
      </x:c>
      <x:c r="I1116" s="22" t="str">
        <x:v>91332400de69e34ae40026af2416f1b516644fe7da6004e86983efa25e049eac</x:v>
      </x:c>
      <x:c r="J1116" s="22" t="n">
        <x:v>0</x:v>
      </x:c>
      <x:c r="K1116" s="22" t="n">
        <x:v>1</x:v>
      </x:c>
      <x:c r="L1116" s="22" t="n">
        <x:v>1</x:v>
      </x:c>
      <x:c r="M1116" s="28" t="n">
        <x:v>0</x:v>
      </x:c>
      <x:c r="N1116" s="28" t="n">
        <x:v>0</x:v>
      </x:c>
      <x:c r="O1116" s="28" t="n">
        <x:v>0</x:v>
      </x:c>
      <x:c r="P1116" s="62" t="n">
        <x:v>0</x:v>
      </x:c>
      <x:c r="Q1116" s="22" t="n">
        <x:v>0</x:v>
      </x:c>
      <x:c r="R1116" s="22" t="str"/>
      <x:c r="S1116" s="22" t="str"/>
      <x:c r="T1116" s="22" t="str"/>
    </x:row>
    <x:row r="1117">
      <x:c r="A1117" s="22" t="str">
        <x:v>2020-00119</x:v>
      </x:c>
      <x:c r="B1117" s="22" t="str">
        <x:v>L2025-00070-1</x:v>
      </x:c>
      <x:c r="C1117" s="22" t="str">
        <x:v>공사</x:v>
      </x:c>
      <x:c r="D1117" s="25" t="str">
        <x:v>한-이라크 심장병 어린이 전문병원 신축공사</x:v>
      </x:c>
      <x:c r="E1117" s="22" t="n">
        <x:v>1</x:v>
      </x:c>
      <x:c r="F1117" s="22" t="str">
        <x:v>.xlsx</x:v>
      </x:c>
      <x:c r="G1117" s="25" t="str">
        <x:v>L2025-00070-1/붙임3. 현지입찰 서류 및 계약서류(안)/IKHCC Section 4 - IKHCC BLANK BOQ 250430/2 Land/BILL No2-LAND-blank.xlsx</x:v>
      </x:c>
      <x:c r="H1117" s="28" t="n">
        <x:v>61604</x:v>
      </x:c>
      <x:c r="I1117" s="22" t="str">
        <x:v>c1bc5d70f7890380284bc1ac52db2ebd9027a588f1855aab191d262d2d5e98ba</x:v>
      </x:c>
      <x:c r="J1117" s="22" t="n">
        <x:v>0</x:v>
      </x:c>
      <x:c r="K1117" s="22" t="n">
        <x:v>1</x:v>
      </x:c>
      <x:c r="L1117" s="22" t="n">
        <x:v>1</x:v>
      </x:c>
      <x:c r="M1117" s="28" t="n">
        <x:v>0</x:v>
      </x:c>
      <x:c r="N1117" s="28" t="n">
        <x:v>0</x:v>
      </x:c>
      <x:c r="O1117" s="28" t="n">
        <x:v>0</x:v>
      </x:c>
      <x:c r="P1117" s="62" t="n">
        <x:v>0</x:v>
      </x:c>
      <x:c r="Q1117" s="22" t="n">
        <x:v>0</x:v>
      </x:c>
      <x:c r="R1117" s="22" t="str"/>
      <x:c r="S1117" s="22" t="str"/>
      <x:c r="T1117" s="22" t="str"/>
    </x:row>
    <x:row r="1118">
      <x:c r="A1118" s="22" t="str">
        <x:v>2020-00119</x:v>
      </x:c>
      <x:c r="B1118" s="22" t="str">
        <x:v>L2025-00070-1</x:v>
      </x:c>
      <x:c r="C1118" s="22" t="str">
        <x:v>공사</x:v>
      </x:c>
      <x:c r="D1118" s="25" t="str">
        <x:v>한-이라크 심장병 어린이 전문병원 신축공사</x:v>
      </x:c>
      <x:c r="E1118" s="22" t="n">
        <x:v>1</x:v>
      </x:c>
      <x:c r="F1118" s="22" t="str">
        <x:v>.xlsm</x:v>
      </x:c>
      <x:c r="G1118" s="25" t="str">
        <x:v>L2025-00070-1/붙임3. 현지입찰 서류 및 계약서류(안)/IKHCC Section 4 - IKHCC BLANK BOQ 250430/7 FIRE FIGHTING/FIREFIGHTING_ELEC/BLANK BILL-FIRE FIGHTING ELEC - 0 (TOTAL).xlsm</x:v>
      </x:c>
      <x:c r="H1118" s="28" t="n">
        <x:v>107555</x:v>
      </x:c>
      <x:c r="I1118" s="22" t="str">
        <x:v>83f64c03b3ed36d32e44a5a855a050c75a9fdca09e13d0409d4bbfc481a02d66</x:v>
      </x:c>
      <x:c r="J1118" s="22" t="n">
        <x:v>0</x:v>
      </x:c>
      <x:c r="K1118" s="22" t="n">
        <x:v>1</x:v>
      </x:c>
      <x:c r="L1118" s="22" t="n">
        <x:v>1</x:v>
      </x:c>
      <x:c r="M1118" s="28" t="n">
        <x:v>3</x:v>
      </x:c>
      <x:c r="N1118" s="28" t="n">
        <x:v>250</x:v>
      </x:c>
      <x:c r="O1118" s="28" t="n">
        <x:v>86</x:v>
      </x:c>
      <x:c r="P1118" s="62" t="n">
        <x:v>0</x:v>
      </x:c>
      <x:c r="Q1118" s="22" t="n">
        <x:v>0</x:v>
      </x:c>
      <x:c r="R1118" s="22" t="str">
        <x:v>일위을지</x:v>
      </x:c>
      <x:c r="S1118" s="22" t="str">
        <x:v>hidden</x:v>
      </x:c>
      <x:c r="T1118" s="22" t="str"/>
    </x:row>
    <x:row r="1119">
      <x:c r="A1119" s="22" t="str">
        <x:v>2020-00119</x:v>
      </x:c>
      <x:c r="B1119" s="22" t="str">
        <x:v>L2025-00070-1</x:v>
      </x:c>
      <x:c r="C1119" s="22" t="str">
        <x:v>공사</x:v>
      </x:c>
      <x:c r="D1119" s="25" t="str">
        <x:v>한-이라크 심장병 어린이 전문병원 신축공사</x:v>
      </x:c>
      <x:c r="E1119" s="22" t="n">
        <x:v>1</x:v>
      </x:c>
      <x:c r="F1119" s="22" t="str">
        <x:v>.xlsm</x:v>
      </x:c>
      <x:c r="G1119" s="25" t="str">
        <x:v>L2025-00070-1/붙임3. 현지입찰 서류 및 계약서류(안)/IKHCC Section 4 - IKHCC BLANK BOQ 250430/7 FIRE FIGHTING/FIREFIGHTING_ELEC/BLANK BILL-FIRE FIGHTING ELEC - C (BRIDGE).xlsm</x:v>
      </x:c>
      <x:c r="H1119" s="28" t="n">
        <x:v>108291</x:v>
      </x:c>
      <x:c r="I1119" s="22" t="str">
        <x:v>a66b56e34694551d25d1c71e5d21cdd34ef6cdc5d1fe9913d7a8fdd2168407ed</x:v>
      </x:c>
      <x:c r="J1119" s="22" t="n">
        <x:v>0</x:v>
      </x:c>
      <x:c r="K1119" s="22" t="n">
        <x:v>1</x:v>
      </x:c>
      <x:c r="L1119" s="22" t="n">
        <x:v>1</x:v>
      </x:c>
      <x:c r="M1119" s="28" t="n">
        <x:v>3</x:v>
      </x:c>
      <x:c r="N1119" s="28" t="n">
        <x:v>250</x:v>
      </x:c>
      <x:c r="O1119" s="28" t="n">
        <x:v>75</x:v>
      </x:c>
      <x:c r="P1119" s="62" t="n">
        <x:v>0</x:v>
      </x:c>
      <x:c r="Q1119" s="22" t="n">
        <x:v>0</x:v>
      </x:c>
      <x:c r="R1119" s="22" t="str">
        <x:v>일위을지</x:v>
      </x:c>
      <x:c r="S1119" s="22" t="str">
        <x:v>hidden</x:v>
      </x:c>
      <x:c r="T1119" s="22" t="str"/>
    </x:row>
    <x:row r="1120">
      <x:c r="A1120" s="22" t="str">
        <x:v>2020-00119</x:v>
      </x:c>
      <x:c r="B1120" s="22" t="str">
        <x:v>L2025-00070-1</x:v>
      </x:c>
      <x:c r="C1120" s="22" t="str">
        <x:v>공사</x:v>
      </x:c>
      <x:c r="D1120" s="25" t="str">
        <x:v>한-이라크 심장병 어린이 전문병원 신축공사</x:v>
      </x:c>
      <x:c r="E1120" s="22" t="n">
        <x:v>1</x:v>
      </x:c>
      <x:c r="F1120" s="22" t="str">
        <x:v>.xlsm</x:v>
      </x:c>
      <x:c r="G1120" s="25" t="str">
        <x:v>L2025-00070-1/붙임3. 현지입찰 서류 및 계약서류(안)/IKHCC Section 4 - IKHCC BLANK BOQ 250430/7 FIRE FIGHTING/FIREFIGHTING_ELEC/BLANK BILL-FIRE FIGHTING ELEC - B (MEP BUILDING).xlsm</x:v>
      </x:c>
      <x:c r="H1120" s="28" t="n">
        <x:v>105175</x:v>
      </x:c>
      <x:c r="I1120" s="22" t="str">
        <x:v>21ba91bb3b87cc4a3fbb83a64a4685c946ad254bee1449d1f253a46e3fbf8544</x:v>
      </x:c>
      <x:c r="J1120" s="22" t="n">
        <x:v>0</x:v>
      </x:c>
      <x:c r="K1120" s="22" t="n">
        <x:v>1</x:v>
      </x:c>
      <x:c r="L1120" s="22" t="n">
        <x:v>1</x:v>
      </x:c>
      <x:c r="M1120" s="28" t="n">
        <x:v>3</x:v>
      </x:c>
      <x:c r="N1120" s="28" t="n">
        <x:v>250</x:v>
      </x:c>
      <x:c r="O1120" s="28" t="n">
        <x:v>51</x:v>
      </x:c>
      <x:c r="P1120" s="62" t="n">
        <x:v>0</x:v>
      </x:c>
      <x:c r="Q1120" s="22" t="n">
        <x:v>0</x:v>
      </x:c>
      <x:c r="R1120" s="22" t="str">
        <x:v>일위을지</x:v>
      </x:c>
      <x:c r="S1120" s="22" t="str">
        <x:v>hidden</x:v>
      </x:c>
      <x:c r="T1120" s="22" t="str"/>
    </x:row>
    <x:row r="1121">
      <x:c r="A1121" s="22" t="str">
        <x:v>2020-00119</x:v>
      </x:c>
      <x:c r="B1121" s="22" t="str">
        <x:v>L2025-00070-1</x:v>
      </x:c>
      <x:c r="C1121" s="22" t="str">
        <x:v>공사</x:v>
      </x:c>
      <x:c r="D1121" s="25" t="str">
        <x:v>한-이라크 심장병 어린이 전문병원 신축공사</x:v>
      </x:c>
      <x:c r="E1121" s="22" t="n">
        <x:v>1</x:v>
      </x:c>
      <x:c r="F1121" s="22" t="str">
        <x:v>.xlsm</x:v>
      </x:c>
      <x:c r="G1121" s="25" t="str">
        <x:v>L2025-00070-1/붙임3. 현지입찰 서류 및 계약서류(안)/IKHCC Section 4 - IKHCC BLANK BOQ 250430/7 FIRE FIGHTING/FIREFIGHTING_ELEC/BLANK BILL-FIRE FIGHTING ELEC - A (HOSPITAL).xlsm</x:v>
      </x:c>
      <x:c r="H1121" s="28" t="n">
        <x:v>105228</x:v>
      </x:c>
      <x:c r="I1121" s="22" t="str">
        <x:v>9ffa9d47d2ec91c02914ee0d70e0bb54b361f4e85b738b4d24ed32dc1887b98a</x:v>
      </x:c>
      <x:c r="J1121" s="22" t="n">
        <x:v>0</x:v>
      </x:c>
      <x:c r="K1121" s="22" t="n">
        <x:v>1</x:v>
      </x:c>
      <x:c r="L1121" s="22" t="n">
        <x:v>1</x:v>
      </x:c>
      <x:c r="M1121" s="28" t="n">
        <x:v>3</x:v>
      </x:c>
      <x:c r="N1121" s="28" t="n">
        <x:v>250</x:v>
      </x:c>
      <x:c r="O1121" s="28" t="n">
        <x:v>46</x:v>
      </x:c>
      <x:c r="P1121" s="62" t="n">
        <x:v>0</x:v>
      </x:c>
      <x:c r="Q1121" s="22" t="n">
        <x:v>0</x:v>
      </x:c>
      <x:c r="R1121" s="22" t="str">
        <x:v>일위을지</x:v>
      </x:c>
      <x:c r="S1121" s="22" t="str">
        <x:v>hidden</x:v>
      </x:c>
      <x:c r="T1121" s="22" t="str"/>
    </x:row>
    <x:row r="1122">
      <x:c r="A1122" s="22" t="str">
        <x:v>2020-00119</x:v>
      </x:c>
      <x:c r="B1122" s="22" t="str">
        <x:v>L2025-00070-1</x:v>
      </x:c>
      <x:c r="C1122" s="22" t="str">
        <x:v>공사</x:v>
      </x:c>
      <x:c r="D1122" s="25" t="str">
        <x:v>한-이라크 심장병 어린이 전문병원 신축공사</x:v>
      </x:c>
      <x:c r="E1122" s="22" t="n">
        <x:v>1</x:v>
      </x:c>
      <x:c r="F1122" s="22" t="str">
        <x:v>.xls</x:v>
      </x:c>
      <x:c r="G1122" s="25" t="str">
        <x:v>L2025-00070-1/붙임3. 현지입찰 서류 및 계약서류(안)/IKHCC Section 4 - IKHCC BLANK BOQ 250430/7 FIRE FIGHTING/FIREFIGHTING_MEC/BLANK BILL.MECH(MEP).xls</x:v>
      </x:c>
      <x:c r="H1122" s="28" t="n">
        <x:v>1337344</x:v>
      </x:c>
      <x:c r="I1122" s="22" t="str">
        <x:v>2d0e5689227e4bbd2311904d4351ff0bca308e5b11c4d1d202496909acd5388c</x:v>
      </x:c>
      <x:c r="J1122" s="22" t="n">
        <x:v>1</x:v>
      </x:c>
      <x:c r="K1122" s="22" t="n">
        <x:v>1</x:v>
      </x:c>
      <x:c r="L1122" s="22" t="n">
        <x:v>1</x:v>
      </x:c>
      <x:c r="M1122" s="28" t="n">
        <x:v>1</x:v>
      </x:c>
      <x:c r="N1122" s="28" t="n">
        <x:v>831</x:v>
      </x:c>
      <x:c r="O1122" s="28" t="n">
        <x:v>823</x:v>
      </x:c>
      <x:c r="P1122" s="62" t="n">
        <x:v>0.9903730445246691</x:v>
      </x:c>
      <x:c r="Q1122" s="22" t="n">
        <x:v>1</x:v>
      </x:c>
      <x:c r="R1122" s="22" t="str">
        <x:v>일위대가</x:v>
      </x:c>
      <x:c r="S1122" s="22" t="str">
        <x:v>hidden</x:v>
      </x:c>
      <x:c r="T1122" s="22" t="str"/>
    </x:row>
    <x:row r="1123">
      <x:c r="A1123" s="22" t="str">
        <x:v>2020-00119</x:v>
      </x:c>
      <x:c r="B1123" s="22" t="str">
        <x:v>L2025-00070-1</x:v>
      </x:c>
      <x:c r="C1123" s="22" t="str">
        <x:v>공사</x:v>
      </x:c>
      <x:c r="D1123" s="25" t="str">
        <x:v>한-이라크 심장병 어린이 전문병원 신축공사</x:v>
      </x:c>
      <x:c r="E1123" s="22" t="n">
        <x:v>1</x:v>
      </x:c>
      <x:c r="F1123" s="22" t="str">
        <x:v>.xls</x:v>
      </x:c>
      <x:c r="G1123" s="25" t="str">
        <x:v>L2025-00070-1/붙임3. 현지입찰 서류 및 계약서류(안)/IKHCC Section 4 - IKHCC BLANK BOQ 250430/7 FIRE FIGHTING/FIREFIGHTING_MEC/BLANK BILL.MECH(TOTAL).xls</x:v>
      </x:c>
      <x:c r="H1123" s="28" t="n">
        <x:v>1402880</x:v>
      </x:c>
      <x:c r="I1123" s="22" t="str">
        <x:v>943c92d368e4e26e68ff2d5dc17a80fc0672c2766d586d3aa6c68578e0614040</x:v>
      </x:c>
      <x:c r="J1123" s="22" t="n">
        <x:v>1</x:v>
      </x:c>
      <x:c r="K1123" s="22" t="n">
        <x:v>1</x:v>
      </x:c>
      <x:c r="L1123" s="22" t="n">
        <x:v>1</x:v>
      </x:c>
      <x:c r="M1123" s="28" t="n">
        <x:v>1</x:v>
      </x:c>
      <x:c r="N1123" s="28" t="n">
        <x:v>831</x:v>
      </x:c>
      <x:c r="O1123" s="28" t="n">
        <x:v>823</x:v>
      </x:c>
      <x:c r="P1123" s="62" t="n">
        <x:v>0.9903730445246691</x:v>
      </x:c>
      <x:c r="Q1123" s="22" t="n">
        <x:v>1</x:v>
      </x:c>
      <x:c r="R1123" s="22" t="str">
        <x:v>일위대가</x:v>
      </x:c>
      <x:c r="S1123" s="22" t="str">
        <x:v>hidden</x:v>
      </x:c>
      <x:c r="T1123" s="22" t="str"/>
    </x:row>
    <x:row r="1124">
      <x:c r="A1124" s="22" t="str">
        <x:v>2020-00119</x:v>
      </x:c>
      <x:c r="B1124" s="22" t="str">
        <x:v>L2025-00070-1</x:v>
      </x:c>
      <x:c r="C1124" s="22" t="str">
        <x:v>공사</x:v>
      </x:c>
      <x:c r="D1124" s="25" t="str">
        <x:v>한-이라크 심장병 어린이 전문병원 신축공사</x:v>
      </x:c>
      <x:c r="E1124" s="22" t="n">
        <x:v>1</x:v>
      </x:c>
      <x:c r="F1124" s="22" t="str">
        <x:v>.xls</x:v>
      </x:c>
      <x:c r="G1124" s="25" t="str">
        <x:v>L2025-00070-1/붙임3. 현지입찰 서류 및 계약서류(안)/IKHCC Section 4 - IKHCC BLANK BOQ 250430/7 FIRE FIGHTING/FIREFIGHTING_MEC/BLANK BILL.MECH(HOSPITAL).xls</x:v>
      </x:c>
      <x:c r="H1124" s="28" t="n">
        <x:v>1235968</x:v>
      </x:c>
      <x:c r="I1124" s="22" t="str">
        <x:v>8720d754cc3e986be036e1cfdef45baf74559f7549f20d481b8bac23e8336af7</x:v>
      </x:c>
      <x:c r="J1124" s="22" t="n">
        <x:v>1</x:v>
      </x:c>
      <x:c r="K1124" s="22" t="n">
        <x:v>1</x:v>
      </x:c>
      <x:c r="L1124" s="22" t="n">
        <x:v>1</x:v>
      </x:c>
      <x:c r="M1124" s="28" t="n">
        <x:v>1</x:v>
      </x:c>
      <x:c r="N1124" s="28" t="n">
        <x:v>831</x:v>
      </x:c>
      <x:c r="O1124" s="28" t="n">
        <x:v>823</x:v>
      </x:c>
      <x:c r="P1124" s="62" t="n">
        <x:v>0.9903730445246691</x:v>
      </x:c>
      <x:c r="Q1124" s="22" t="n">
        <x:v>1</x:v>
      </x:c>
      <x:c r="R1124" s="22" t="str">
        <x:v>일위대가</x:v>
      </x:c>
      <x:c r="S1124" s="22" t="str">
        <x:v>hidden</x:v>
      </x:c>
      <x:c r="T1124" s="22" t="str"/>
    </x:row>
    <x:row r="1125">
      <x:c r="A1125" s="22" t="str">
        <x:v>2020-00119</x:v>
      </x:c>
      <x:c r="B1125" s="22" t="str">
        <x:v>L2025-00070-1</x:v>
      </x:c>
      <x:c r="C1125" s="22" t="str">
        <x:v>공사</x:v>
      </x:c>
      <x:c r="D1125" s="25" t="str">
        <x:v>한-이라크 심장병 어린이 전문병원 신축공사</x:v>
      </x:c>
      <x:c r="E1125" s="22" t="n">
        <x:v>1</x:v>
      </x:c>
      <x:c r="F1125" s="22" t="str">
        <x:v>.xls</x:v>
      </x:c>
      <x:c r="G1125" s="25" t="str">
        <x:v>L2025-00070-1/붙임3. 현지입찰 서류 및 계약서류(안)/IKHCC Section 4 - IKHCC BLANK BOQ 250430/7 FIRE FIGHTING/FIREFIGHTING_MEC/BLANK BILL.MECH(BRIDGE).xls</x:v>
      </x:c>
      <x:c r="H1125" s="28" t="n">
        <x:v>1424896</x:v>
      </x:c>
      <x:c r="I1125" s="22" t="str">
        <x:v>6897a174ff988b300d26b83c45ce53ce52df4bc577a8816c15f1e7e7cc607611</x:v>
      </x:c>
      <x:c r="J1125" s="22" t="n">
        <x:v>0</x:v>
      </x:c>
      <x:c r="K1125" s="22" t="n">
        <x:v>1</x:v>
      </x:c>
      <x:c r="L1125" s="22" t="n">
        <x:v>1</x:v>
      </x:c>
      <x:c r="M1125" s="28" t="n">
        <x:v>1</x:v>
      </x:c>
      <x:c r="N1125" s="28" t="n">
        <x:v>831</x:v>
      </x:c>
      <x:c r="O1125" s="28" t="n">
        <x:v>823</x:v>
      </x:c>
      <x:c r="P1125" s="62" t="n">
        <x:v>0.9903730445246691</x:v>
      </x:c>
      <x:c r="Q1125" s="22" t="n">
        <x:v>1</x:v>
      </x:c>
      <x:c r="R1125" s="22" t="str">
        <x:v>일위대가</x:v>
      </x:c>
      <x:c r="S1125" s="22" t="str">
        <x:v>hidden</x:v>
      </x:c>
      <x:c r="T1125" s="22" t="str"/>
    </x:row>
    <x:row r="1126">
      <x:c r="A1126" s="22" t="str">
        <x:v>2020-00119</x:v>
      </x:c>
      <x:c r="B1126" s="22" t="str">
        <x:v>L2025-00071-1</x:v>
      </x:c>
      <x:c r="C1126" s="22" t="str">
        <x:v>공사</x:v>
      </x:c>
      <x:c r="D1126" s="25" t="str">
        <x:v>한-이라크 심장병 어린이 전문병원 신축공사(재공고)</x:v>
      </x:c>
      <x:c r="E1126" s="22" t="n">
        <x:v>1</x:v>
      </x:c>
      <x:c r="F1126" s="22" t="str">
        <x:v>.zip</x:v>
      </x:c>
      <x:c r="G1126" s="25" t="str">
        <x:v>L2025-00071-1/붙임2. 현지입찰(재공고입찰) 서류 및 계약서류(안).zip</x:v>
      </x:c>
      <x:c r="H1126" s="28" t="n">
        <x:v>8311530</x:v>
      </x:c>
      <x:c r="I1126" s="22" t="str">
        <x:v>f0fd559321612a7e8f6e2acf478b95b53e248298cf07b2129be685e3974a15aa</x:v>
      </x:c>
      <x:c r="J1126" s="22" t="n">
        <x:v>0</x:v>
      </x:c>
      <x:c r="K1126" s="22" t="n">
        <x:v>0</x:v>
      </x:c>
      <x:c r="L1126" s="22" t="n">
        <x:v>0</x:v>
      </x:c>
      <x:c r="M1126" s="28" t="n">
        <x:v>0</x:v>
      </x:c>
      <x:c r="N1126" s="28" t="n">
        <x:v>0</x:v>
      </x:c>
      <x:c r="O1126" s="28" t="n">
        <x:v>0</x:v>
      </x:c>
      <x:c r="P1126" s="62" t="n">
        <x:v>0</x:v>
      </x:c>
      <x:c r="Q1126" s="22" t="n">
        <x:v>0</x:v>
      </x:c>
      <x:c r="R1126" s="22" t="str"/>
      <x:c r="S1126" s="22" t="str"/>
      <x:c r="T1126" s="22" t="str"/>
    </x:row>
    <x:row r="1127">
      <x:c r="A1127" s="22" t="str">
        <x:v>2020-00119</x:v>
      </x:c>
      <x:c r="B1127" s="22" t="str">
        <x:v>L2025-00071-1</x:v>
      </x:c>
      <x:c r="C1127" s="22" t="str">
        <x:v>공사</x:v>
      </x:c>
      <x:c r="D1127" s="25" t="str">
        <x:v>한-이라크 심장병 어린이 전문병원 신축공사(재공고)</x:v>
      </x:c>
      <x:c r="E1127" s="22" t="n">
        <x:v>1</x:v>
      </x:c>
      <x:c r="F1127" s="22" t="str">
        <x:v>.docx</x:v>
      </x:c>
      <x:c r="G1127" s="25" t="str">
        <x:v>L2025-00071-1/붙임2. 현지입찰(재공고입찰) 서류 및 계약서류(안)/IKHCC Section 4,5,6 BOQ, Drawing, Spec.docx</x:v>
      </x:c>
      <x:c r="H1127" s="28" t="n">
        <x:v>11941</x:v>
      </x:c>
      <x:c r="I1127" s="22" t="str">
        <x:v>aab74da4619bd3a8a368567d5620e0116eb9da42f75975717f485ef6a83a41b6</x:v>
      </x:c>
      <x:c r="J1127" s="22" t="n">
        <x:v>0</x:v>
      </x:c>
      <x:c r="K1127" s="22" t="n">
        <x:v>1</x:v>
      </x:c>
      <x:c r="L1127" s="22" t="n">
        <x:v>0</x:v>
      </x:c>
      <x:c r="M1127" s="28" t="n">
        <x:v>0</x:v>
      </x:c>
      <x:c r="N1127" s="28" t="n">
        <x:v>0</x:v>
      </x:c>
      <x:c r="O1127" s="28" t="n">
        <x:v>0</x:v>
      </x:c>
      <x:c r="P1127" s="62" t="n">
        <x:v>0</x:v>
      </x:c>
      <x:c r="Q1127" s="22" t="n">
        <x:v>0</x:v>
      </x:c>
      <x:c r="R1127" s="22" t="str"/>
      <x:c r="S1127" s="22" t="str"/>
      <x:c r="T1127" s="22" t="str"/>
    </x:row>
    <x:row r="1128">
      <x:c r="A1128" s="22" t="str">
        <x:v>2020-00119</x:v>
      </x:c>
      <x:c r="B1128" s="22" t="str">
        <x:v>L2025-00071-1</x:v>
      </x:c>
      <x:c r="C1128" s="22" t="str">
        <x:v>공사</x:v>
      </x:c>
      <x:c r="D1128" s="25" t="str">
        <x:v>한-이라크 심장병 어린이 전문병원 신축공사(재공고)</x:v>
      </x:c>
      <x:c r="E1128" s="22" t="n">
        <x:v>1</x:v>
      </x:c>
      <x:c r="F1128" s="22" t="str">
        <x:v>.docx</x:v>
      </x:c>
      <x:c r="G1128" s="25" t="str">
        <x:v>L2025-00071-1/붙임2. 현지입찰(재공고입찰) 서류 및 계약서류(안)/IKHCC Section 7,8 - contract conditions - General &amp; Special conditions. of contract 250903.docx</x:v>
      </x:c>
      <x:c r="H1128" s="28" t="n">
        <x:v>216099</x:v>
      </x:c>
      <x:c r="I1128" s="22" t="str">
        <x:v>714e1ab3c885c7d171424a659f58ac25daa2e1c4d1224f805122032cc3023c50</x:v>
      </x:c>
      <x:c r="J1128" s="22" t="n">
        <x:v>0</x:v>
      </x:c>
      <x:c r="K1128" s="22" t="n">
        <x:v>0</x:v>
      </x:c>
      <x:c r="L1128" s="22" t="n">
        <x:v>0</x:v>
      </x:c>
      <x:c r="M1128" s="28" t="n">
        <x:v>0</x:v>
      </x:c>
      <x:c r="N1128" s="28" t="n">
        <x:v>0</x:v>
      </x:c>
      <x:c r="O1128" s="28" t="n">
        <x:v>0</x:v>
      </x:c>
      <x:c r="P1128" s="62" t="n">
        <x:v>0</x:v>
      </x:c>
      <x:c r="Q1128" s="22" t="n">
        <x:v>0</x:v>
      </x:c>
      <x:c r="R1128" s="22" t="str"/>
      <x:c r="S1128" s="22" t="str"/>
      <x:c r="T1128" s="22" t="str"/>
    </x:row>
    <x:row r="1129">
      <x:c r="A1129" s="22" t="str">
        <x:v>2020-00119</x:v>
      </x:c>
      <x:c r="B1129" s="22" t="str">
        <x:v>L2025-00071-1</x:v>
      </x:c>
      <x:c r="C1129" s="22" t="str">
        <x:v>공사</x:v>
      </x:c>
      <x:c r="D1129" s="25" t="str">
        <x:v>한-이라크 심장병 어린이 전문병원 신축공사(재공고)</x:v>
      </x:c>
      <x:c r="E1129" s="22" t="n">
        <x:v>1</x:v>
      </x:c>
      <x:c r="F1129" s="22" t="str">
        <x:v>.docx</x:v>
      </x:c>
      <x:c r="G1129" s="25" t="str">
        <x:v>L2025-00071-1/붙임2. 현지입찰(재공고입찰) 서류 및 계약서류(안)/IKHCC Section 1 - Instructions to bidder in the international bidding of KOICA.docx</x:v>
      </x:c>
      <x:c r="H1129" s="28" t="n">
        <x:v>36396</x:v>
      </x:c>
      <x:c r="I1129" s="22" t="str">
        <x:v>f6a88cecc773cd7ac3ef2355462a4ca189a209d8734b4cfaca617149a9d00258</x:v>
      </x:c>
      <x:c r="J1129" s="22" t="n">
        <x:v>0</x:v>
      </x:c>
      <x:c r="K1129" s="22" t="n">
        <x:v>0</x:v>
      </x:c>
      <x:c r="L1129" s="22" t="n">
        <x:v>0</x:v>
      </x:c>
      <x:c r="M1129" s="28" t="n">
        <x:v>0</x:v>
      </x:c>
      <x:c r="N1129" s="28" t="n">
        <x:v>0</x:v>
      </x:c>
      <x:c r="O1129" s="28" t="n">
        <x:v>0</x:v>
      </x:c>
      <x:c r="P1129" s="62" t="n">
        <x:v>0</x:v>
      </x:c>
      <x:c r="Q1129" s="22" t="n">
        <x:v>0</x:v>
      </x:c>
      <x:c r="R1129" s="22" t="str"/>
      <x:c r="S1129" s="22" t="str"/>
      <x:c r="T1129" s="22" t="str"/>
    </x:row>
    <x:row r="1130">
      <x:c r="A1130" s="22" t="str">
        <x:v>2020-00119</x:v>
      </x:c>
      <x:c r="B1130" s="22" t="str">
        <x:v>L2025-00071-1</x:v>
      </x:c>
      <x:c r="C1130" s="22" t="str">
        <x:v>공사</x:v>
      </x:c>
      <x:c r="D1130" s="25" t="str">
        <x:v>한-이라크 심장병 어린이 전문병원 신축공사(재공고)</x:v>
      </x:c>
      <x:c r="E1130" s="22" t="n">
        <x:v>1</x:v>
      </x:c>
      <x:c r="F1130" s="22" t="str">
        <x:v>.docx</x:v>
      </x:c>
      <x:c r="G1130" s="25" t="str">
        <x:v>L2025-00071-1/붙임2. 현지입찰(재공고입찰) 서류 및 계약서류(안)/IKHCC Section 2 - Bid Data Sheet (ITB) (English)  250903_final.docx</x:v>
      </x:c>
      <x:c r="H1130" s="28" t="n">
        <x:v>73525</x:v>
      </x:c>
      <x:c r="I1130" s="22" t="str">
        <x:v>28e2bdd4edbe3afdb56205288325445c0fa656823927a1e99c357b0786f8e056</x:v>
      </x:c>
      <x:c r="J1130" s="22" t="n">
        <x:v>0</x:v>
      </x:c>
      <x:c r="K1130" s="22" t="n">
        <x:v>0</x:v>
      </x:c>
      <x:c r="L1130" s="22" t="n">
        <x:v>0</x:v>
      </x:c>
      <x:c r="M1130" s="28" t="n">
        <x:v>0</x:v>
      </x:c>
      <x:c r="N1130" s="28" t="n">
        <x:v>0</x:v>
      </x:c>
      <x:c r="O1130" s="28" t="n">
        <x:v>0</x:v>
      </x:c>
      <x:c r="P1130" s="62" t="n">
        <x:v>0</x:v>
      </x:c>
      <x:c r="Q1130" s="22" t="n">
        <x:v>0</x:v>
      </x:c>
      <x:c r="R1130" s="22" t="str"/>
      <x:c r="S1130" s="22" t="str"/>
      <x:c r="T1130" s="22" t="str"/>
    </x:row>
    <x:row r="1131">
      <x:c r="A1131" s="22" t="str">
        <x:v>2020-00119</x:v>
      </x:c>
      <x:c r="B1131" s="22" t="str">
        <x:v>L2025-00071-1</x:v>
      </x:c>
      <x:c r="C1131" s="22" t="str">
        <x:v>공사</x:v>
      </x:c>
      <x:c r="D1131" s="25" t="str">
        <x:v>한-이라크 심장병 어린이 전문병원 신축공사(재공고)</x:v>
      </x:c>
      <x:c r="E1131" s="22" t="n">
        <x:v>1</x:v>
      </x:c>
      <x:c r="F1131" s="22" t="str">
        <x:v>.docx</x:v>
      </x:c>
      <x:c r="G1131" s="25" t="str">
        <x:v>L2025-00071-1/붙임2. 현지입찰(재공고입찰) 서류 및 계약서류(안)/í┌Summary of Bidding IKHCC_250903_final revised(╟÷┴÷ ░°░φ┐δ).docx</x:v>
      </x:c>
      <x:c r="H1131" s="28" t="n">
        <x:v>30392</x:v>
      </x:c>
      <x:c r="I1131" s="22" t="str">
        <x:v>87a7ca3fb2a995393d8d6170c0fbcca9a901888309e275d9976414fb15f7679b</x:v>
      </x:c>
      <x:c r="J1131" s="22" t="n">
        <x:v>0</x:v>
      </x:c>
      <x:c r="K1131" s="22" t="n">
        <x:v>0</x:v>
      </x:c>
      <x:c r="L1131" s="22" t="n">
        <x:v>0</x:v>
      </x:c>
      <x:c r="M1131" s="28" t="n">
        <x:v>0</x:v>
      </x:c>
      <x:c r="N1131" s="28" t="n">
        <x:v>0</x:v>
      </x:c>
      <x:c r="O1131" s="28" t="n">
        <x:v>0</x:v>
      </x:c>
      <x:c r="P1131" s="62" t="n">
        <x:v>0</x:v>
      </x:c>
      <x:c r="Q1131" s="22" t="n">
        <x:v>0</x:v>
      </x:c>
      <x:c r="R1131" s="22" t="str"/>
      <x:c r="S1131" s="22" t="str"/>
      <x:c r="T1131" s="22" t="str"/>
    </x:row>
    <x:row r="1132">
      <x:c r="A1132" s="22" t="str">
        <x:v>2020-00119</x:v>
      </x:c>
      <x:c r="B1132" s="22" t="str">
        <x:v>L2025-00071-1</x:v>
      </x:c>
      <x:c r="C1132" s="22" t="str">
        <x:v>공사</x:v>
      </x:c>
      <x:c r="D1132" s="25" t="str">
        <x:v>한-이라크 심장병 어린이 전문병원 신축공사(재공고)</x:v>
      </x:c>
      <x:c r="E1132" s="22" t="n">
        <x:v>1</x:v>
      </x:c>
      <x:c r="F1132" s="22" t="str">
        <x:v>.zip</x:v>
      </x:c>
      <x:c r="G1132" s="25" t="str">
        <x:v>L2025-00071-1/붙임2. 현지입찰(재공고입찰) 서류 및 계약서류(안)/IKHCC Section 4 - IKHCC BLANK BOQ 250903.Zip</x:v>
      </x:c>
      <x:c r="H1132" s="28" t="n">
        <x:v>7985148</x:v>
      </x:c>
      <x:c r="I1132" s="22" t="str">
        <x:v>41eb5e8df4f7ff512ab97dd9920db979fc6a54eed36365c0e00b4eb1a26f4f6b</x:v>
      </x:c>
      <x:c r="J1132" s="22" t="n">
        <x:v>0</x:v>
      </x:c>
      <x:c r="K1132" s="22" t="n">
        <x:v>1</x:v>
      </x:c>
      <x:c r="L1132" s="22" t="n">
        <x:v>1</x:v>
      </x:c>
      <x:c r="M1132" s="28" t="n">
        <x:v>0</x:v>
      </x:c>
      <x:c r="N1132" s="28" t="n">
        <x:v>0</x:v>
      </x:c>
      <x:c r="O1132" s="28" t="n">
        <x:v>0</x:v>
      </x:c>
      <x:c r="P1132" s="62" t="n">
        <x:v>0</x:v>
      </x:c>
      <x:c r="Q1132" s="22" t="n">
        <x:v>0</x:v>
      </x:c>
      <x:c r="R1132" s="22" t="str"/>
      <x:c r="S1132" s="22" t="str"/>
      <x:c r="T1132" s="22" t="str"/>
    </x:row>
    <x:row r="1133">
      <x:c r="A1133" s="22" t="str">
        <x:v>2020-00119</x:v>
      </x:c>
      <x:c r="B1133" s="22" t="str">
        <x:v>L2025-00071-1</x:v>
      </x:c>
      <x:c r="C1133" s="22" t="str">
        <x:v>공사</x:v>
      </x:c>
      <x:c r="D1133" s="25" t="str">
        <x:v>한-이라크 심장병 어린이 전문병원 신축공사(재공고)</x:v>
      </x:c>
      <x:c r="E1133" s="22" t="n">
        <x:v>1</x:v>
      </x:c>
      <x:c r="F1133" s="22" t="str">
        <x:v>.docx</x:v>
      </x:c>
      <x:c r="G1133" s="25" t="str">
        <x:v>L2025-00071-1/붙임2. 현지입찰(재공고입찰) 서류 및 계약서류(안)/IKHCC Section 3 - Bidding Forms 250903.docx</x:v>
      </x:c>
      <x:c r="H1133" s="28" t="n">
        <x:v>67889</x:v>
      </x:c>
      <x:c r="I1133" s="22" t="str">
        <x:v>c2b3017af0bcdcb9ad01eb4633ef4946f3a232014384b1630060aab317348c2b</x:v>
      </x:c>
      <x:c r="J1133" s="22" t="n">
        <x:v>0</x:v>
      </x:c>
      <x:c r="K1133" s="22" t="n">
        <x:v>0</x:v>
      </x:c>
      <x:c r="L1133" s="22" t="n">
        <x:v>0</x:v>
      </x:c>
      <x:c r="M1133" s="28" t="n">
        <x:v>0</x:v>
      </x:c>
      <x:c r="N1133" s="28" t="n">
        <x:v>0</x:v>
      </x:c>
      <x:c r="O1133" s="28" t="n">
        <x:v>0</x:v>
      </x:c>
      <x:c r="P1133" s="62" t="n">
        <x:v>0</x:v>
      </x:c>
      <x:c r="Q1133" s="22" t="n">
        <x:v>0</x:v>
      </x:c>
      <x:c r="R1133" s="22" t="str"/>
      <x:c r="S1133" s="22" t="str"/>
      <x:c r="T1133" s="22" t="str"/>
    </x:row>
    <x:row r="1134">
      <x:c r="A1134" s="22" t="str">
        <x:v>2020-00119</x:v>
      </x:c>
      <x:c r="B1134" s="22" t="str">
        <x:v>L2025-00071-1</x:v>
      </x:c>
      <x:c r="C1134" s="22" t="str">
        <x:v>공사</x:v>
      </x:c>
      <x:c r="D1134" s="25" t="str">
        <x:v>한-이라크 심장병 어린이 전문병원 신축공사(재공고)</x:v>
      </x:c>
      <x:c r="E1134" s="22" t="n">
        <x:v>1</x:v>
      </x:c>
      <x:c r="F1134" s="22" t="str">
        <x:v>.docx</x:v>
      </x:c>
      <x:c r="G1134" s="25" t="str">
        <x:v>L2025-00071-1/붙임2. 현지입찰(재공고입찰) 서류 및 계약서류(안)/IKHCC Section 9 - Contract Forms 250903-1.docx</x:v>
      </x:c>
      <x:c r="H1134" s="28" t="n">
        <x:v>37725</x:v>
      </x:c>
      <x:c r="I1134" s="22" t="str">
        <x:v>ff44cbdfa22ffe60647fa169d583f2c81da67d6776d1c82a46baae7ad063297e</x:v>
      </x:c>
      <x:c r="J1134" s="22" t="n">
        <x:v>0</x:v>
      </x:c>
      <x:c r="K1134" s="22" t="n">
        <x:v>0</x:v>
      </x:c>
      <x:c r="L1134" s="22" t="n">
        <x:v>0</x:v>
      </x:c>
      <x:c r="M1134" s="28" t="n">
        <x:v>0</x:v>
      </x:c>
      <x:c r="N1134" s="28" t="n">
        <x:v>0</x:v>
      </x:c>
      <x:c r="O1134" s="28" t="n">
        <x:v>0</x:v>
      </x:c>
      <x:c r="P1134" s="62" t="n">
        <x:v>0</x:v>
      </x:c>
      <x:c r="Q1134" s="22" t="n">
        <x:v>0</x:v>
      </x:c>
      <x:c r="R1134" s="22" t="str"/>
      <x:c r="S1134" s="22" t="str"/>
      <x:c r="T1134" s="22" t="str"/>
    </x:row>
    <x:row r="1135">
      <x:c r="A1135" s="22" t="str">
        <x:v>2020-00119</x:v>
      </x:c>
      <x:c r="B1135" s="22" t="str">
        <x:v>L2025-00071-1</x:v>
      </x:c>
      <x:c r="C1135" s="22" t="str">
        <x:v>공사</x:v>
      </x:c>
      <x:c r="D1135" s="25" t="str">
        <x:v>한-이라크 심장병 어린이 전문병원 신축공사(재공고)</x:v>
      </x:c>
      <x:c r="E1135" s="22" t="n">
        <x:v>1</x:v>
      </x:c>
      <x:c r="F1135" s="22" t="str">
        <x:v>.xlsm</x:v>
      </x:c>
      <x:c r="G1135" s="25" t="str">
        <x:v>L2025-00071-1/붙임2. 현지입찰(재공고입찰) 서류 및 계약서류(안)/IKHCC Section 4 - IKHCC BLANK BOQ 250903/5. Blank bill Elec revised 250812/BLANK BILL-ELEC - B (MEP BUILDING).xlsm</x:v>
      </x:c>
      <x:c r="H1135" s="28" t="n">
        <x:v>501858</x:v>
      </x:c>
      <x:c r="I1135" s="22" t="str">
        <x:v>91dd2575abb4beee6373cfeec8125758dfdc79a1c61a375c7ca02a671198036f</x:v>
      </x:c>
      <x:c r="J1135" s="22" t="n">
        <x:v>0</x:v>
      </x:c>
      <x:c r="K1135" s="22" t="n">
        <x:v>1</x:v>
      </x:c>
      <x:c r="L1135" s="22" t="n">
        <x:v>1</x:v>
      </x:c>
      <x:c r="M1135" s="28" t="n">
        <x:v>3</x:v>
      </x:c>
      <x:c r="N1135" s="28" t="n">
        <x:v>1476</x:v>
      </x:c>
      <x:c r="O1135" s="28" t="n">
        <x:v>782</x:v>
      </x:c>
      <x:c r="P1135" s="62" t="n">
        <x:v>0.5298102981029811</x:v>
      </x:c>
      <x:c r="Q1135" s="22" t="n">
        <x:v>1</x:v>
      </x:c>
      <x:c r="R1135" s="22" t="str">
        <x:v>일위을지</x:v>
      </x:c>
      <x:c r="S1135" s="22" t="str">
        <x:v>hidden</x:v>
      </x:c>
      <x:c r="T1135" s="22" t="str"/>
    </x:row>
    <x:row r="1136">
      <x:c r="A1136" s="22" t="str">
        <x:v>2020-00119</x:v>
      </x:c>
      <x:c r="B1136" s="22" t="str">
        <x:v>L2025-00071-1</x:v>
      </x:c>
      <x:c r="C1136" s="22" t="str">
        <x:v>공사</x:v>
      </x:c>
      <x:c r="D1136" s="25" t="str">
        <x:v>한-이라크 심장병 어린이 전문병원 신축공사(재공고)</x:v>
      </x:c>
      <x:c r="E1136" s="22" t="n">
        <x:v>1</x:v>
      </x:c>
      <x:c r="F1136" s="22" t="str">
        <x:v>.xlsm</x:v>
      </x:c>
      <x:c r="G1136" s="25" t="str">
        <x:v>L2025-00071-1/붙임2. 현지입찰(재공고입찰) 서류 및 계약서류(안)/IKHCC Section 4 - IKHCC BLANK BOQ 250903/5. Blank bill Elec revised 250812/BLANK BILL-ELEC - 0 (TOTAL).xlsm</x:v>
      </x:c>
      <x:c r="H1136" s="28" t="n">
        <x:v>526626</x:v>
      </x:c>
      <x:c r="I1136" s="22" t="str">
        <x:v>21096095d93be985d074b4a1e68330275ef71f2824b32410d598c7a1594b07f6</x:v>
      </x:c>
      <x:c r="J1136" s="22" t="n">
        <x:v>0</x:v>
      </x:c>
      <x:c r="K1136" s="22" t="n">
        <x:v>1</x:v>
      </x:c>
      <x:c r="L1136" s="22" t="n">
        <x:v>1</x:v>
      </x:c>
      <x:c r="M1136" s="28" t="n">
        <x:v>3</x:v>
      </x:c>
      <x:c r="N1136" s="28" t="n">
        <x:v>1476</x:v>
      </x:c>
      <x:c r="O1136" s="28" t="n">
        <x:v>782</x:v>
      </x:c>
      <x:c r="P1136" s="62" t="n">
        <x:v>0.5298102981029811</x:v>
      </x:c>
      <x:c r="Q1136" s="22" t="n">
        <x:v>1</x:v>
      </x:c>
      <x:c r="R1136" s="22" t="str">
        <x:v>일위을지</x:v>
      </x:c>
      <x:c r="S1136" s="22" t="str">
        <x:v>hidden</x:v>
      </x:c>
      <x:c r="T1136" s="22" t="str"/>
    </x:row>
    <x:row r="1137">
      <x:c r="A1137" s="22" t="str">
        <x:v>2020-00119</x:v>
      </x:c>
      <x:c r="B1137" s="22" t="str">
        <x:v>L2025-00071-1</x:v>
      </x:c>
      <x:c r="C1137" s="22" t="str">
        <x:v>공사</x:v>
      </x:c>
      <x:c r="D1137" s="25" t="str">
        <x:v>한-이라크 심장병 어린이 전문병원 신축공사(재공고)</x:v>
      </x:c>
      <x:c r="E1137" s="22" t="n">
        <x:v>1</x:v>
      </x:c>
      <x:c r="F1137" s="22" t="str">
        <x:v>.xlsm</x:v>
      </x:c>
      <x:c r="G1137" s="25" t="str">
        <x:v>L2025-00071-1/붙임2. 현지입찰(재공고입찰) 서류 및 계약서류(안)/IKHCC Section 4 - IKHCC BLANK BOQ 250903/5. Blank bill Elec revised 250812/BLANK BILL-ELEC - A (HOSPITAL).xlsm</x:v>
      </x:c>
      <x:c r="H1137" s="28" t="n">
        <x:v>481577</x:v>
      </x:c>
      <x:c r="I1137" s="22" t="str">
        <x:v>33433bc4c641e89eb4c2ef46824bdc7e1a1d079f323f9d96823049336987ae6e</x:v>
      </x:c>
      <x:c r="J1137" s="22" t="n">
        <x:v>0</x:v>
      </x:c>
      <x:c r="K1137" s="22" t="n">
        <x:v>1</x:v>
      </x:c>
      <x:c r="L1137" s="22" t="n">
        <x:v>1</x:v>
      </x:c>
      <x:c r="M1137" s="28" t="n">
        <x:v>3</x:v>
      </x:c>
      <x:c r="N1137" s="28" t="n">
        <x:v>1476</x:v>
      </x:c>
      <x:c r="O1137" s="28" t="n">
        <x:v>782</x:v>
      </x:c>
      <x:c r="P1137" s="62" t="n">
        <x:v>0.5298102981029811</x:v>
      </x:c>
      <x:c r="Q1137" s="22" t="n">
        <x:v>0</x:v>
      </x:c>
      <x:c r="R1137" s="22" t="str">
        <x:v>일위을지</x:v>
      </x:c>
      <x:c r="S1137" s="22" t="str">
        <x:v>hidden</x:v>
      </x:c>
      <x:c r="T1137" s="22" t="str"/>
    </x:row>
    <x:row r="1138">
      <x:c r="A1138" s="22" t="str">
        <x:v>2020-00119</x:v>
      </x:c>
      <x:c r="B1138" s="22" t="str">
        <x:v>L2025-00071-1</x:v>
      </x:c>
      <x:c r="C1138" s="22" t="str">
        <x:v>공사</x:v>
      </x:c>
      <x:c r="D1138" s="25" t="str">
        <x:v>한-이라크 심장병 어린이 전문병원 신축공사(재공고)</x:v>
      </x:c>
      <x:c r="E1138" s="22" t="n">
        <x:v>1</x:v>
      </x:c>
      <x:c r="F1138" s="22" t="str">
        <x:v>.xlsm</x:v>
      </x:c>
      <x:c r="G1138" s="25" t="str">
        <x:v>L2025-00071-1/붙임2. 현지입찰(재공고입찰) 서류 및 계약서류(안)/IKHCC Section 4 - IKHCC BLANK BOQ 250903/5. Blank bill Elec revised 250812/BLANK BILL-ELEC - C (BRIDGE).xlsm</x:v>
      </x:c>
      <x:c r="H1138" s="28" t="n">
        <x:v>528512</x:v>
      </x:c>
      <x:c r="I1138" s="22" t="str">
        <x:v>e9e9c097356f19ace92baa9eb41371ddaf6c4410bacb4fd4aeccd3016a75f597</x:v>
      </x:c>
      <x:c r="J1138" s="22" t="n">
        <x:v>0</x:v>
      </x:c>
      <x:c r="K1138" s="22" t="n">
        <x:v>1</x:v>
      </x:c>
      <x:c r="L1138" s="22" t="n">
        <x:v>1</x:v>
      </x:c>
      <x:c r="M1138" s="28" t="n">
        <x:v>3</x:v>
      </x:c>
      <x:c r="N1138" s="28" t="n">
        <x:v>1476</x:v>
      </x:c>
      <x:c r="O1138" s="28" t="n">
        <x:v>782</x:v>
      </x:c>
      <x:c r="P1138" s="62" t="n">
        <x:v>0.5298102981029811</x:v>
      </x:c>
      <x:c r="Q1138" s="22" t="n">
        <x:v>1</x:v>
      </x:c>
      <x:c r="R1138" s="22" t="str">
        <x:v>일위을지</x:v>
      </x:c>
      <x:c r="S1138" s="22" t="str">
        <x:v>hidden</x:v>
      </x:c>
      <x:c r="T1138" s="22" t="str"/>
    </x:row>
    <x:row r="1139">
      <x:c r="A1139" s="22" t="str">
        <x:v>2020-00119</x:v>
      </x:c>
      <x:c r="B1139" s="22" t="str">
        <x:v>L2025-00071-1</x:v>
      </x:c>
      <x:c r="C1139" s="22" t="str">
        <x:v>공사</x:v>
      </x:c>
      <x:c r="D1139" s="25" t="str">
        <x:v>한-이라크 심장병 어린이 전문병원 신축공사(재공고)</x:v>
      </x:c>
      <x:c r="E1139" s="22" t="n">
        <x:v>1</x:v>
      </x:c>
      <x:c r="F1139" s="22" t="str">
        <x:v>.xls</x:v>
      </x:c>
      <x:c r="G1139" s="25" t="str">
        <x:v>L2025-00071-1/붙임2. 현지입찰(재공고입찰) 서류 및 계약서류(안)/IKHCC Section 4 - IKHCC BLANK BOQ 250903/3 CIVIL/BLANK BILL.CIVIL(HOSPITAL) .xls</x:v>
      </x:c>
      <x:c r="H1139" s="28" t="n">
        <x:v>81920</x:v>
      </x:c>
      <x:c r="I1139" s="22" t="str">
        <x:v>c0b0e1d857d357e06310785027eb14b6c6e3c28491c19fed4dfc9e3030f34ef2</x:v>
      </x:c>
      <x:c r="J1139" s="22" t="n">
        <x:v>1</x:v>
      </x:c>
      <x:c r="K1139" s="22" t="n">
        <x:v>1</x:v>
      </x:c>
      <x:c r="L1139" s="22" t="n">
        <x:v>1</x:v>
      </x:c>
      <x:c r="M1139" s="28" t="n">
        <x:v>0</x:v>
      </x:c>
      <x:c r="N1139" s="28" t="n">
        <x:v>0</x:v>
      </x:c>
      <x:c r="O1139" s="28" t="n">
        <x:v>0</x:v>
      </x:c>
      <x:c r="P1139" s="62" t="n">
        <x:v>0</x:v>
      </x:c>
      <x:c r="Q1139" s="22" t="n">
        <x:v>0</x:v>
      </x:c>
      <x:c r="R1139" s="22" t="str"/>
      <x:c r="S1139" s="22" t="str"/>
      <x:c r="T1139" s="22" t="str"/>
    </x:row>
    <x:row r="1140">
      <x:c r="A1140" s="22" t="str">
        <x:v>2020-00119</x:v>
      </x:c>
      <x:c r="B1140" s="22" t="str">
        <x:v>L2025-00071-1</x:v>
      </x:c>
      <x:c r="C1140" s="22" t="str">
        <x:v>공사</x:v>
      </x:c>
      <x:c r="D1140" s="25" t="str">
        <x:v>한-이라크 심장병 어린이 전문병원 신축공사(재공고)</x:v>
      </x:c>
      <x:c r="E1140" s="22" t="n">
        <x:v>1</x:v>
      </x:c>
      <x:c r="F1140" s="22" t="str">
        <x:v>.xls</x:v>
      </x:c>
      <x:c r="G1140" s="25" t="str">
        <x:v>L2025-00071-1/붙임2. 현지입찰(재공고입찰) 서류 및 계약서류(안)/IKHCC Section 4 - IKHCC BLANK BOQ 250903/3 CIVIL/BLANK BILL.CIVIL(PARKING LOT).xls</x:v>
      </x:c>
      <x:c r="H1140" s="28" t="n">
        <x:v>58368</x:v>
      </x:c>
      <x:c r="I1140" s="22" t="str">
        <x:v>33510cb6918366ccd2e38ca39a6fe6a3a14e1ad8a37570bc850277811837ef6a</x:v>
      </x:c>
      <x:c r="J1140" s="22" t="n">
        <x:v>1</x:v>
      </x:c>
      <x:c r="K1140" s="22" t="n">
        <x:v>1</x:v>
      </x:c>
      <x:c r="L1140" s="22" t="n">
        <x:v>1</x:v>
      </x:c>
      <x:c r="M1140" s="28" t="n">
        <x:v>0</x:v>
      </x:c>
      <x:c r="N1140" s="28" t="n">
        <x:v>0</x:v>
      </x:c>
      <x:c r="O1140" s="28" t="n">
        <x:v>0</x:v>
      </x:c>
      <x:c r="P1140" s="62" t="n">
        <x:v>0</x:v>
      </x:c>
      <x:c r="Q1140" s="22" t="n">
        <x:v>0</x:v>
      </x:c>
      <x:c r="R1140" s="22" t="str"/>
      <x:c r="S1140" s="22" t="str"/>
      <x:c r="T1140" s="22" t="str"/>
    </x:row>
    <x:row r="1141">
      <x:c r="A1141" s="22" t="str">
        <x:v>2020-00119</x:v>
      </x:c>
      <x:c r="B1141" s="22" t="str">
        <x:v>L2025-00071-1</x:v>
      </x:c>
      <x:c r="C1141" s="22" t="str">
        <x:v>공사</x:v>
      </x:c>
      <x:c r="D1141" s="25" t="str">
        <x:v>한-이라크 심장병 어린이 전문병원 신축공사(재공고)</x:v>
      </x:c>
      <x:c r="E1141" s="22" t="n">
        <x:v>1</x:v>
      </x:c>
      <x:c r="F1141" s="22" t="str">
        <x:v>.xls</x:v>
      </x:c>
      <x:c r="G1141" s="25" t="str">
        <x:v>L2025-00071-1/붙임2. 현지입찰(재공고입찰) 서류 및 계약서류(안)/IKHCC Section 4 - IKHCC BLANK BOQ 250903/3 CIVIL/BLANK BILL.CIVIL(BRIDGE)).xls</x:v>
      </x:c>
      <x:c r="H1141" s="28" t="n">
        <x:v>74240</x:v>
      </x:c>
      <x:c r="I1141" s="22" t="str">
        <x:v>7fbae1f3c71758b2f9dd4d91fc045323ea1864b4be9d2d301a2cbf63a5072570</x:v>
      </x:c>
      <x:c r="J1141" s="22" t="n">
        <x:v>1</x:v>
      </x:c>
      <x:c r="K1141" s="22" t="n">
        <x:v>1</x:v>
      </x:c>
      <x:c r="L1141" s="22" t="n">
        <x:v>1</x:v>
      </x:c>
      <x:c r="M1141" s="28" t="n">
        <x:v>0</x:v>
      </x:c>
      <x:c r="N1141" s="28" t="n">
        <x:v>0</x:v>
      </x:c>
      <x:c r="O1141" s="28" t="n">
        <x:v>0</x:v>
      </x:c>
      <x:c r="P1141" s="62" t="n">
        <x:v>0</x:v>
      </x:c>
      <x:c r="Q1141" s="22" t="n">
        <x:v>0</x:v>
      </x:c>
      <x:c r="R1141" s="22" t="str"/>
      <x:c r="S1141" s="22" t="str"/>
      <x:c r="T1141" s="22" t="str"/>
    </x:row>
    <x:row r="1142">
      <x:c r="A1142" s="22" t="str">
        <x:v>2020-00119</x:v>
      </x:c>
      <x:c r="B1142" s="22" t="str">
        <x:v>L2025-00071-1</x:v>
      </x:c>
      <x:c r="C1142" s="22" t="str">
        <x:v>공사</x:v>
      </x:c>
      <x:c r="D1142" s="25" t="str">
        <x:v>한-이라크 심장병 어린이 전문병원 신축공사(재공고)</x:v>
      </x:c>
      <x:c r="E1142" s="22" t="n">
        <x:v>1</x:v>
      </x:c>
      <x:c r="F1142" s="22" t="str">
        <x:v>.xls</x:v>
      </x:c>
      <x:c r="G1142" s="25" t="str">
        <x:v>L2025-00071-1/붙임2. 현지입찰(재공고입찰) 서류 및 계약서류(안)/IKHCC Section 4 - IKHCC BLANK BOQ 250903/3 CIVIL/BLANK BILL.CIVIL (MEP).xls</x:v>
      </x:c>
      <x:c r="H1142" s="28" t="n">
        <x:v>74240</x:v>
      </x:c>
      <x:c r="I1142" s="22" t="str">
        <x:v>1c50470f6121836494e92fb616d765f06e8b3bc5153b11a3c8540a29ac1ec615</x:v>
      </x:c>
      <x:c r="J1142" s="22" t="n">
        <x:v>1</x:v>
      </x:c>
      <x:c r="K1142" s="22" t="n">
        <x:v>1</x:v>
      </x:c>
      <x:c r="L1142" s="22" t="n">
        <x:v>1</x:v>
      </x:c>
      <x:c r="M1142" s="28" t="n">
        <x:v>0</x:v>
      </x:c>
      <x:c r="N1142" s="28" t="n">
        <x:v>0</x:v>
      </x:c>
      <x:c r="O1142" s="28" t="n">
        <x:v>0</x:v>
      </x:c>
      <x:c r="P1142" s="62" t="n">
        <x:v>0</x:v>
      </x:c>
      <x:c r="Q1142" s="22" t="n">
        <x:v>0</x:v>
      </x:c>
      <x:c r="R1142" s="22" t="str"/>
      <x:c r="S1142" s="22" t="str"/>
      <x:c r="T1142" s="22" t="str"/>
    </x:row>
    <x:row r="1143">
      <x:c r="A1143" s="22" t="str">
        <x:v>2020-00119</x:v>
      </x:c>
      <x:c r="B1143" s="22" t="str">
        <x:v>L2025-00071-1</x:v>
      </x:c>
      <x:c r="C1143" s="22" t="str">
        <x:v>공사</x:v>
      </x:c>
      <x:c r="D1143" s="25" t="str">
        <x:v>한-이라크 심장병 어린이 전문병원 신축공사(재공고)</x:v>
      </x:c>
      <x:c r="E1143" s="22" t="n">
        <x:v>1</x:v>
      </x:c>
      <x:c r="F1143" s="22" t="str">
        <x:v>.xlsx</x:v>
      </x:c>
      <x:c r="G1143" s="25" t="str">
        <x:v>L2025-00071-1/붙임2. 현지입찰(재공고입찰) 서류 및 계약서류(안)/IKHCC Section 4 - IKHCC BLANK BOQ 250903/8 Mob &amp; Signage/BILL No8-2 Signages-blank.xlsx</x:v>
      </x:c>
      <x:c r="H1143" s="28" t="n">
        <x:v>31619</x:v>
      </x:c>
      <x:c r="I1143" s="22" t="str">
        <x:v>4421d3cb9982d35873aa1763a4a7b1ee4b0d235faaeed68ee92551a4fa1c803f</x:v>
      </x:c>
      <x:c r="J1143" s="22" t="n">
        <x:v>1</x:v>
      </x:c>
      <x:c r="K1143" s="22" t="n">
        <x:v>1</x:v>
      </x:c>
      <x:c r="L1143" s="22" t="n">
        <x:v>1</x:v>
      </x:c>
      <x:c r="M1143" s="28" t="n">
        <x:v>1</x:v>
      </x:c>
      <x:c r="N1143" s="28" t="n">
        <x:v>6</x:v>
      </x:c>
      <x:c r="O1143" s="28" t="n">
        <x:v>0</x:v>
      </x:c>
      <x:c r="P1143" s="62" t="n">
        <x:v>0</x:v>
      </x:c>
      <x:c r="Q1143" s="22" t="n">
        <x:v>0</x:v>
      </x:c>
      <x:c r="R1143" s="22" t="str">
        <x:v>Works particular bill</x:v>
      </x:c>
      <x:c r="S1143" s="22" t="str">
        <x:v>visible</x:v>
      </x:c>
      <x:c r="T1143" s="22" t="str"/>
    </x:row>
    <x:row r="1144">
      <x:c r="A1144" s="22" t="str">
        <x:v>2020-00119</x:v>
      </x:c>
      <x:c r="B1144" s="22" t="str">
        <x:v>L2025-00071-1</x:v>
      </x:c>
      <x:c r="C1144" s="22" t="str">
        <x:v>공사</x:v>
      </x:c>
      <x:c r="D1144" s="25" t="str">
        <x:v>한-이라크 심장병 어린이 전문병원 신축공사(재공고)</x:v>
      </x:c>
      <x:c r="E1144" s="22" t="n">
        <x:v>1</x:v>
      </x:c>
      <x:c r="F1144" s="22" t="str">
        <x:v>.xlsx</x:v>
      </x:c>
      <x:c r="G1144" s="25" t="str">
        <x:v>L2025-00071-1/붙임2. 현지입찰(재공고입찰) 서류 및 계약서류(안)/IKHCC Section 4 - IKHCC BLANK BOQ 250903/8 Mob &amp; Signage/BILL No8-1 -Mobilization Works-blank.xlsx</x:v>
      </x:c>
      <x:c r="H1144" s="28" t="n">
        <x:v>638347</x:v>
      </x:c>
      <x:c r="I1144" s="22" t="str">
        <x:v>95772272ef1568157e0f604c1bb0cae64d776ffaf2b58cf9d26e389a796bb67e</x:v>
      </x:c>
      <x:c r="J1144" s="22" t="n">
        <x:v>1</x:v>
      </x:c>
      <x:c r="K1144" s="22" t="n">
        <x:v>1</x:v>
      </x:c>
      <x:c r="L1144" s="22" t="n">
        <x:v>1</x:v>
      </x:c>
      <x:c r="M1144" s="28" t="n">
        <x:v>1</x:v>
      </x:c>
      <x:c r="N1144" s="28" t="n">
        <x:v>34</x:v>
      </x:c>
      <x:c r="O1144" s="28" t="n">
        <x:v>0</x:v>
      </x:c>
      <x:c r="P1144" s="62" t="n">
        <x:v>0</x:v>
      </x:c>
      <x:c r="Q1144" s="22" t="n">
        <x:v>0</x:v>
      </x:c>
      <x:c r="R1144" s="22" t="str">
        <x:v>Mobilization</x:v>
      </x:c>
      <x:c r="S1144" s="22" t="str">
        <x:v>visible</x:v>
      </x:c>
      <x:c r="T1144" s="22" t="str"/>
    </x:row>
    <x:row r="1145">
      <x:c r="A1145" s="22" t="str">
        <x:v>2020-00119</x:v>
      </x:c>
      <x:c r="B1145" s="22" t="str">
        <x:v>L2025-00071-1</x:v>
      </x:c>
      <x:c r="C1145" s="22" t="str">
        <x:v>공사</x:v>
      </x:c>
      <x:c r="D1145" s="25" t="str">
        <x:v>한-이라크 심장병 어린이 전문병원 신축공사(재공고)</x:v>
      </x:c>
      <x:c r="E1145" s="22" t="n">
        <x:v>1</x:v>
      </x:c>
      <x:c r="F1145" s="22" t="str">
        <x:v>.xls</x:v>
      </x:c>
      <x:c r="G1145" s="25" t="str">
        <x:v>L2025-00071-1/붙임2. 현지입찰(재공고입찰) 서류 및 계약서류(안)/IKHCC Section 4 - IKHCC BLANK BOQ 250903/4 MECH/BLANK  BILL.MECH(TOTAL).xls</x:v>
      </x:c>
      <x:c r="H1145" s="28" t="n">
        <x:v>1402880</x:v>
      </x:c>
      <x:c r="I1145" s="22" t="str">
        <x:v>943c92d368e4e26e68ff2d5dc17a80fc0672c2766d586d3aa6c68578e0614040</x:v>
      </x:c>
      <x:c r="J1145" s="22" t="n">
        <x:v>1</x:v>
      </x:c>
      <x:c r="K1145" s="22" t="n">
        <x:v>1</x:v>
      </x:c>
      <x:c r="L1145" s="22" t="n">
        <x:v>1</x:v>
      </x:c>
      <x:c r="M1145" s="28" t="n">
        <x:v>1</x:v>
      </x:c>
      <x:c r="N1145" s="28" t="n">
        <x:v>831</x:v>
      </x:c>
      <x:c r="O1145" s="28" t="n">
        <x:v>823</x:v>
      </x:c>
      <x:c r="P1145" s="62" t="n">
        <x:v>0.9903730445246691</x:v>
      </x:c>
      <x:c r="Q1145" s="22" t="n">
        <x:v>1</x:v>
      </x:c>
      <x:c r="R1145" s="22" t="str">
        <x:v>일위대가</x:v>
      </x:c>
      <x:c r="S1145" s="22" t="str">
        <x:v>hidden</x:v>
      </x:c>
      <x:c r="T1145" s="22" t="str"/>
    </x:row>
    <x:row r="1146">
      <x:c r="A1146" s="22" t="str">
        <x:v>2020-00119</x:v>
      </x:c>
      <x:c r="B1146" s="22" t="str">
        <x:v>L2025-00071-1</x:v>
      </x:c>
      <x:c r="C1146" s="22" t="str">
        <x:v>공사</x:v>
      </x:c>
      <x:c r="D1146" s="25" t="str">
        <x:v>한-이라크 심장병 어린이 전문병원 신축공사(재공고)</x:v>
      </x:c>
      <x:c r="E1146" s="22" t="n">
        <x:v>1</x:v>
      </x:c>
      <x:c r="F1146" s="22" t="str">
        <x:v>.xls</x:v>
      </x:c>
      <x:c r="G1146" s="25" t="str">
        <x:v>L2025-00071-1/붙임2. 현지입찰(재공고입찰) 서류 및 계약서류(안)/IKHCC Section 4 - IKHCC BLANK BOQ 250903/4 MECH/BLANK BILL.MECH(MEP).xls</x:v>
      </x:c>
      <x:c r="H1146" s="28" t="n">
        <x:v>1337344</x:v>
      </x:c>
      <x:c r="I1146" s="22" t="str">
        <x:v>2d0e5689227e4bbd2311904d4351ff0bca308e5b11c4d1d202496909acd5388c</x:v>
      </x:c>
      <x:c r="J1146" s="22" t="n">
        <x:v>1</x:v>
      </x:c>
      <x:c r="K1146" s="22" t="n">
        <x:v>1</x:v>
      </x:c>
      <x:c r="L1146" s="22" t="n">
        <x:v>1</x:v>
      </x:c>
      <x:c r="M1146" s="28" t="n">
        <x:v>1</x:v>
      </x:c>
      <x:c r="N1146" s="28" t="n">
        <x:v>831</x:v>
      </x:c>
      <x:c r="O1146" s="28" t="n">
        <x:v>823</x:v>
      </x:c>
      <x:c r="P1146" s="62" t="n">
        <x:v>0.9903730445246691</x:v>
      </x:c>
      <x:c r="Q1146" s="22" t="n">
        <x:v>1</x:v>
      </x:c>
      <x:c r="R1146" s="22" t="str">
        <x:v>일위대가</x:v>
      </x:c>
      <x:c r="S1146" s="22" t="str">
        <x:v>hidden</x:v>
      </x:c>
      <x:c r="T1146" s="22" t="str"/>
    </x:row>
    <x:row r="1147">
      <x:c r="A1147" s="22" t="str">
        <x:v>2020-00119</x:v>
      </x:c>
      <x:c r="B1147" s="22" t="str">
        <x:v>L2025-00071-1</x:v>
      </x:c>
      <x:c r="C1147" s="22" t="str">
        <x:v>공사</x:v>
      </x:c>
      <x:c r="D1147" s="25" t="str">
        <x:v>한-이라크 심장병 어린이 전문병원 신축공사(재공고)</x:v>
      </x:c>
      <x:c r="E1147" s="22" t="n">
        <x:v>1</x:v>
      </x:c>
      <x:c r="F1147" s="22" t="str">
        <x:v>.xls</x:v>
      </x:c>
      <x:c r="G1147" s="25" t="str">
        <x:v>L2025-00071-1/붙임2. 현지입찰(재공고입찰) 서류 및 계약서류(안)/IKHCC Section 4 - IKHCC BLANK BOQ 250903/4 MECH/BLANK BILL.MECH(HOSPITAL).xls</x:v>
      </x:c>
      <x:c r="H1147" s="28" t="n">
        <x:v>1235968</x:v>
      </x:c>
      <x:c r="I1147" s="22" t="str">
        <x:v>8720d754cc3e986be036e1cfdef45baf74559f7549f20d481b8bac23e8336af7</x:v>
      </x:c>
      <x:c r="J1147" s="22" t="n">
        <x:v>1</x:v>
      </x:c>
      <x:c r="K1147" s="22" t="n">
        <x:v>1</x:v>
      </x:c>
      <x:c r="L1147" s="22" t="n">
        <x:v>1</x:v>
      </x:c>
      <x:c r="M1147" s="28" t="n">
        <x:v>1</x:v>
      </x:c>
      <x:c r="N1147" s="28" t="n">
        <x:v>831</x:v>
      </x:c>
      <x:c r="O1147" s="28" t="n">
        <x:v>823</x:v>
      </x:c>
      <x:c r="P1147" s="62" t="n">
        <x:v>0.9903730445246691</x:v>
      </x:c>
      <x:c r="Q1147" s="22" t="n">
        <x:v>1</x:v>
      </x:c>
      <x:c r="R1147" s="22" t="str">
        <x:v>일위대가</x:v>
      </x:c>
      <x:c r="S1147" s="22" t="str">
        <x:v>hidden</x:v>
      </x:c>
      <x:c r="T1147" s="22" t="str"/>
    </x:row>
    <x:row r="1148">
      <x:c r="A1148" s="22" t="str">
        <x:v>2020-00119</x:v>
      </x:c>
      <x:c r="B1148" s="22" t="str">
        <x:v>L2025-00071-1</x:v>
      </x:c>
      <x:c r="C1148" s="22" t="str">
        <x:v>공사</x:v>
      </x:c>
      <x:c r="D1148" s="25" t="str">
        <x:v>한-이라크 심장병 어린이 전문병원 신축공사(재공고)</x:v>
      </x:c>
      <x:c r="E1148" s="22" t="n">
        <x:v>1</x:v>
      </x:c>
      <x:c r="F1148" s="22" t="str">
        <x:v>.xls</x:v>
      </x:c>
      <x:c r="G1148" s="25" t="str">
        <x:v>L2025-00071-1/붙임2. 현지입찰(재공고입찰) 서류 및 계약서류(안)/IKHCC Section 4 - IKHCC BLANK BOQ 250903/4 MECH/BLANK BILL.MECH(BRIDGE).xls</x:v>
      </x:c>
      <x:c r="H1148" s="28" t="n">
        <x:v>1424896</x:v>
      </x:c>
      <x:c r="I1148" s="22" t="str">
        <x:v>b61e26e6dff7092b2fe58420cc843f0e7722f7a0335f7bcb6684128a02b6ec16</x:v>
      </x:c>
      <x:c r="J1148" s="22" t="n">
        <x:v>1</x:v>
      </x:c>
      <x:c r="K1148" s="22" t="n">
        <x:v>1</x:v>
      </x:c>
      <x:c r="L1148" s="22" t="n">
        <x:v>1</x:v>
      </x:c>
      <x:c r="M1148" s="28" t="n">
        <x:v>1</x:v>
      </x:c>
      <x:c r="N1148" s="28" t="n">
        <x:v>831</x:v>
      </x:c>
      <x:c r="O1148" s="28" t="n">
        <x:v>823</x:v>
      </x:c>
      <x:c r="P1148" s="62" t="n">
        <x:v>0.9903730445246691</x:v>
      </x:c>
      <x:c r="Q1148" s="22" t="n">
        <x:v>1</x:v>
      </x:c>
      <x:c r="R1148" s="22" t="str">
        <x:v>일위대가</x:v>
      </x:c>
      <x:c r="S1148" s="22" t="str">
        <x:v>hidden</x:v>
      </x:c>
      <x:c r="T1148" s="22" t="str"/>
    </x:row>
    <x:row r="1149">
      <x:c r="A1149" s="22" t="str">
        <x:v>2020-00119</x:v>
      </x:c>
      <x:c r="B1149" s="22" t="str">
        <x:v>L2025-00071-1</x:v>
      </x:c>
      <x:c r="C1149" s="22" t="str">
        <x:v>공사</x:v>
      </x:c>
      <x:c r="D1149" s="25" t="str">
        <x:v>한-이라크 심장병 어린이 전문병원 신축공사(재공고)</x:v>
      </x:c>
      <x:c r="E1149" s="22" t="n">
        <x:v>1</x:v>
      </x:c>
      <x:c r="F1149" s="22" t="str">
        <x:v>.xlsx</x:v>
      </x:c>
      <x:c r="G1149" s="25" t="str">
        <x:v>L2025-00071-1/붙임2. 현지입찰(재공고입찰) 서류 및 계약서류(안)/IKHCC Section 4 - IKHCC BLANK BOQ 250903/1 Architectural &amp; summery/BILL No1 -Architectural Works-01. HOSPITAL(BLANK BILL).xlsx</x:v>
      </x:c>
      <x:c r="H1149" s="28" t="n">
        <x:v>677921</x:v>
      </x:c>
      <x:c r="I1149" s="22" t="str">
        <x:v>47d79c95e2c3273f84778935276c94526e369cc1b1bc057f6b03c998f44e253f</x:v>
      </x:c>
      <x:c r="J1149" s="22" t="n">
        <x:v>1</x:v>
      </x:c>
      <x:c r="K1149" s="22" t="n">
        <x:v>1</x:v>
      </x:c>
      <x:c r="L1149" s="22" t="n">
        <x:v>1</x:v>
      </x:c>
      <x:c r="M1149" s="28" t="n">
        <x:v>2</x:v>
      </x:c>
      <x:c r="N1149" s="28" t="n">
        <x:v>377</x:v>
      </x:c>
      <x:c r="O1149" s="28" t="n">
        <x:v>0</x:v>
      </x:c>
      <x:c r="P1149" s="62" t="n">
        <x:v>0</x:v>
      </x:c>
      <x:c r="Q1149" s="22" t="n">
        <x:v>0</x:v>
      </x:c>
      <x:c r="R1149" s="22" t="str">
        <x:v>Works particular bill</x:v>
      </x:c>
      <x:c r="S1149" s="22" t="str">
        <x:v>visible</x:v>
      </x:c>
      <x:c r="T1149" s="22" t="str"/>
    </x:row>
    <x:row r="1150">
      <x:c r="A1150" s="22" t="str">
        <x:v>2020-00119</x:v>
      </x:c>
      <x:c r="B1150" s="22" t="str">
        <x:v>L2025-00071-1</x:v>
      </x:c>
      <x:c r="C1150" s="22" t="str">
        <x:v>공사</x:v>
      </x:c>
      <x:c r="D1150" s="25" t="str">
        <x:v>한-이라크 심장병 어린이 전문병원 신축공사(재공고)</x:v>
      </x:c>
      <x:c r="E1150" s="22" t="n">
        <x:v>1</x:v>
      </x:c>
      <x:c r="F1150" s="22" t="str">
        <x:v>.xlsx</x:v>
      </x:c>
      <x:c r="G1150" s="25" t="str">
        <x:v>L2025-00071-1/붙임2. 현지입찰(재공고입찰) 서류 및 계약서류(안)/IKHCC Section 4 - IKHCC BLANK BOQ 250903/1 Architectural &amp; summery/BILL No1 -Architectural Works-03. BRIDGE(BLANK BILL).xlsx</x:v>
      </x:c>
      <x:c r="H1150" s="28" t="n">
        <x:v>643812</x:v>
      </x:c>
      <x:c r="I1150" s="22" t="str">
        <x:v>9af2b1263622fb9487fbf8ea97b31ead65763962f1c58d657985557a58983e83</x:v>
      </x:c>
      <x:c r="J1150" s="22" t="n">
        <x:v>1</x:v>
      </x:c>
      <x:c r="K1150" s="22" t="n">
        <x:v>1</x:v>
      </x:c>
      <x:c r="L1150" s="22" t="n">
        <x:v>1</x:v>
      </x:c>
      <x:c r="M1150" s="28" t="n">
        <x:v>2</x:v>
      </x:c>
      <x:c r="N1150" s="28" t="n">
        <x:v>48</x:v>
      </x:c>
      <x:c r="O1150" s="28" t="n">
        <x:v>0</x:v>
      </x:c>
      <x:c r="P1150" s="62" t="n">
        <x:v>0</x:v>
      </x:c>
      <x:c r="Q1150" s="22" t="n">
        <x:v>0</x:v>
      </x:c>
      <x:c r="R1150" s="22" t="str">
        <x:v>Works particular bill</x:v>
      </x:c>
      <x:c r="S1150" s="22" t="str">
        <x:v>visible</x:v>
      </x:c>
      <x:c r="T1150" s="22" t="str"/>
    </x:row>
    <x:row r="1151">
      <x:c r="A1151" s="22" t="str">
        <x:v>2020-00119</x:v>
      </x:c>
      <x:c r="B1151" s="22" t="str">
        <x:v>L2025-00071-1</x:v>
      </x:c>
      <x:c r="C1151" s="22" t="str">
        <x:v>공사</x:v>
      </x:c>
      <x:c r="D1151" s="25" t="str">
        <x:v>한-이라크 심장병 어린이 전문병원 신축공사(재공고)</x:v>
      </x:c>
      <x:c r="E1151" s="22" t="n">
        <x:v>1</x:v>
      </x:c>
      <x:c r="F1151" s="22" t="str">
        <x:v>.xlsx</x:v>
      </x:c>
      <x:c r="G1151" s="25" t="str">
        <x:v>L2025-00071-1/붙임2. 현지입찰(재공고입찰) 서류 및 계약서류(안)/IKHCC Section 4 - IKHCC BLANK BOQ 250903/1 Architectural &amp; summery/BILL No1 -Architectural Works-02. MEP BUILDING(BLANK BILL).xlsx</x:v>
      </x:c>
      <x:c r="H1151" s="28" t="n">
        <x:v>670008</x:v>
      </x:c>
      <x:c r="I1151" s="22" t="str">
        <x:v>e882c3f7b2c691fc22ee6ee99fba87f9ca830eb3c133892b8c8800d7d02e97cb</x:v>
      </x:c>
      <x:c r="J1151" s="22" t="n">
        <x:v>1</x:v>
      </x:c>
      <x:c r="K1151" s="22" t="n">
        <x:v>1</x:v>
      </x:c>
      <x:c r="L1151" s="22" t="n">
        <x:v>1</x:v>
      </x:c>
      <x:c r="M1151" s="28" t="n">
        <x:v>2</x:v>
      </x:c>
      <x:c r="N1151" s="28" t="n">
        <x:v>149</x:v>
      </x:c>
      <x:c r="O1151" s="28" t="n">
        <x:v>0</x:v>
      </x:c>
      <x:c r="P1151" s="62" t="n">
        <x:v>0</x:v>
      </x:c>
      <x:c r="Q1151" s="22" t="n">
        <x:v>0</x:v>
      </x:c>
      <x:c r="R1151" s="22" t="str">
        <x:v>Works particular bill</x:v>
      </x:c>
      <x:c r="S1151" s="22" t="str">
        <x:v>visible</x:v>
      </x:c>
      <x:c r="T1151" s="22" t="str"/>
    </x:row>
    <x:row r="1152">
      <x:c r="A1152" s="22" t="str">
        <x:v>2020-00119</x:v>
      </x:c>
      <x:c r="B1152" s="22" t="str">
        <x:v>L2025-00071-1</x:v>
      </x:c>
      <x:c r="C1152" s="22" t="str">
        <x:v>공사</x:v>
      </x:c>
      <x:c r="D1152" s="25" t="str">
        <x:v>한-이라크 심장병 어린이 전문병원 신축공사(재공고)</x:v>
      </x:c>
      <x:c r="E1152" s="22" t="n">
        <x:v>1</x:v>
      </x:c>
      <x:c r="F1152" s="22" t="str">
        <x:v>.xlsx</x:v>
      </x:c>
      <x:c r="G1152" s="25" t="str">
        <x:v>L2025-00071-1/붙임2. 현지입찰(재공고입찰) 서류 및 계약서류(안)/IKHCC Section 4 - IKHCC BLANK BOQ 250903/1 Architectural &amp; summery/Bill _Total Cost Summary-Blank 250306.xlsx</x:v>
      </x:c>
      <x:c r="H1152" s="28" t="n">
        <x:v>636201</x:v>
      </x:c>
      <x:c r="I1152" s="22" t="str">
        <x:v>91332400de69e34ae40026af2416f1b516644fe7da6004e86983efa25e049eac</x:v>
      </x:c>
      <x:c r="J1152" s="22" t="n">
        <x:v>1</x:v>
      </x:c>
      <x:c r="K1152" s="22" t="n">
        <x:v>1</x:v>
      </x:c>
      <x:c r="L1152" s="22" t="n">
        <x:v>1</x:v>
      </x:c>
      <x:c r="M1152" s="28" t="n">
        <x:v>0</x:v>
      </x:c>
      <x:c r="N1152" s="28" t="n">
        <x:v>0</x:v>
      </x:c>
      <x:c r="O1152" s="28" t="n">
        <x:v>0</x:v>
      </x:c>
      <x:c r="P1152" s="62" t="n">
        <x:v>0</x:v>
      </x:c>
      <x:c r="Q1152" s="22" t="n">
        <x:v>0</x:v>
      </x:c>
      <x:c r="R1152" s="22" t="str"/>
      <x:c r="S1152" s="22" t="str"/>
      <x:c r="T1152" s="22" t="str"/>
    </x:row>
    <x:row r="1153">
      <x:c r="A1153" s="22" t="str">
        <x:v>2020-00119</x:v>
      </x:c>
      <x:c r="B1153" s="22" t="str">
        <x:v>L2025-00071-1</x:v>
      </x:c>
      <x:c r="C1153" s="22" t="str">
        <x:v>공사</x:v>
      </x:c>
      <x:c r="D1153" s="25" t="str">
        <x:v>한-이라크 심장병 어린이 전문병원 신축공사(재공고)</x:v>
      </x:c>
      <x:c r="E1153" s="22" t="n">
        <x:v>1</x:v>
      </x:c>
      <x:c r="F1153" s="22" t="str">
        <x:v>.xlsm</x:v>
      </x:c>
      <x:c r="G1153" s="25" t="str">
        <x:v>L2025-00071-1/붙임2. 현지입찰(재공고입찰) 서류 및 계약서류(안)/IKHCC Section 4 - IKHCC BLANK BOQ 250903/6.Blank bill Comm revised 250812/BLANK BILL-COMMUN - 0 (TOTAL).xlsm</x:v>
      </x:c>
      <x:c r="H1153" s="28" t="n">
        <x:v>326212</x:v>
      </x:c>
      <x:c r="I1153" s="22" t="str">
        <x:v>531209bc36fd5556f27cda100673dc9536c73b02d3f9bf7a6a89f35435375b14</x:v>
      </x:c>
      <x:c r="J1153" s="22" t="n">
        <x:v>0</x:v>
      </x:c>
      <x:c r="K1153" s="22" t="n">
        <x:v>1</x:v>
      </x:c>
      <x:c r="L1153" s="22" t="n">
        <x:v>1</x:v>
      </x:c>
      <x:c r="M1153" s="28" t="n">
        <x:v>3</x:v>
      </x:c>
      <x:c r="N1153" s="28" t="n">
        <x:v>826</x:v>
      </x:c>
      <x:c r="O1153" s="28" t="n">
        <x:v>479</x:v>
      </x:c>
      <x:c r="P1153" s="62" t="n">
        <x:v>0.5799031476997578</x:v>
      </x:c>
      <x:c r="Q1153" s="22" t="n">
        <x:v>1</x:v>
      </x:c>
      <x:c r="R1153" s="22" t="str">
        <x:v>일위을지</x:v>
      </x:c>
      <x:c r="S1153" s="22" t="str">
        <x:v>hidden</x:v>
      </x:c>
      <x:c r="T1153" s="22" t="str"/>
    </x:row>
    <x:row r="1154">
      <x:c r="A1154" s="22" t="str">
        <x:v>2020-00119</x:v>
      </x:c>
      <x:c r="B1154" s="22" t="str">
        <x:v>L2025-00071-1</x:v>
      </x:c>
      <x:c r="C1154" s="22" t="str">
        <x:v>공사</x:v>
      </x:c>
      <x:c r="D1154" s="25" t="str">
        <x:v>한-이라크 심장병 어린이 전문병원 신축공사(재공고)</x:v>
      </x:c>
      <x:c r="E1154" s="22" t="n">
        <x:v>1</x:v>
      </x:c>
      <x:c r="F1154" s="22" t="str">
        <x:v>.xlsm</x:v>
      </x:c>
      <x:c r="G1154" s="25" t="str">
        <x:v>L2025-00071-1/붙임2. 현지입찰(재공고입찰) 서류 및 계약서류(안)/IKHCC Section 4 - IKHCC BLANK BOQ 250903/6.Blank bill Comm revised 250812/BLANK BILL-COMMUN - C (BRIDGE).xlsm</x:v>
      </x:c>
      <x:c r="H1154" s="28" t="n">
        <x:v>330971</x:v>
      </x:c>
      <x:c r="I1154" s="22" t="str">
        <x:v>40e1a242e8e22894db16ff02bc88da5a0378a15809bb07beacad2f113b644167</x:v>
      </x:c>
      <x:c r="J1154" s="22" t="n">
        <x:v>0</x:v>
      </x:c>
      <x:c r="K1154" s="22" t="n">
        <x:v>1</x:v>
      </x:c>
      <x:c r="L1154" s="22" t="n">
        <x:v>1</x:v>
      </x:c>
      <x:c r="M1154" s="28" t="n">
        <x:v>3</x:v>
      </x:c>
      <x:c r="N1154" s="28" t="n">
        <x:v>826</x:v>
      </x:c>
      <x:c r="O1154" s="28" t="n">
        <x:v>479</x:v>
      </x:c>
      <x:c r="P1154" s="62" t="n">
        <x:v>0.5799031476997578</x:v>
      </x:c>
      <x:c r="Q1154" s="22" t="n">
        <x:v>1</x:v>
      </x:c>
      <x:c r="R1154" s="22" t="str">
        <x:v>일위을지</x:v>
      </x:c>
      <x:c r="S1154" s="22" t="str">
        <x:v>hidden</x:v>
      </x:c>
      <x:c r="T1154" s="22" t="str"/>
    </x:row>
    <x:row r="1155">
      <x:c r="A1155" s="22" t="str">
        <x:v>2020-00119</x:v>
      </x:c>
      <x:c r="B1155" s="22" t="str">
        <x:v>L2025-00071-1</x:v>
      </x:c>
      <x:c r="C1155" s="22" t="str">
        <x:v>공사</x:v>
      </x:c>
      <x:c r="D1155" s="25" t="str">
        <x:v>한-이라크 심장병 어린이 전문병원 신축공사(재공고)</x:v>
      </x:c>
      <x:c r="E1155" s="22" t="n">
        <x:v>1</x:v>
      </x:c>
      <x:c r="F1155" s="22" t="str">
        <x:v>.xlsm</x:v>
      </x:c>
      <x:c r="G1155" s="25" t="str">
        <x:v>L2025-00071-1/붙임2. 현지입찰(재공고입찰) 서류 및 계약서류(안)/IKHCC Section 4 - IKHCC BLANK BOQ 250903/6.Blank bill Comm revised 250812/BLANK BILL-COMMUN - B (MEP BUILDING).xlsm</x:v>
      </x:c>
      <x:c r="H1155" s="28" t="n">
        <x:v>326315</x:v>
      </x:c>
      <x:c r="I1155" s="22" t="str">
        <x:v>3578e3ca6d1f3136990f2e12009056b0b070e80a5e53b0f0746f3c42e9dc0f79</x:v>
      </x:c>
      <x:c r="J1155" s="22" t="n">
        <x:v>0</x:v>
      </x:c>
      <x:c r="K1155" s="22" t="n">
        <x:v>1</x:v>
      </x:c>
      <x:c r="L1155" s="22" t="n">
        <x:v>1</x:v>
      </x:c>
      <x:c r="M1155" s="28" t="n">
        <x:v>3</x:v>
      </x:c>
      <x:c r="N1155" s="28" t="n">
        <x:v>826</x:v>
      </x:c>
      <x:c r="O1155" s="28" t="n">
        <x:v>479</x:v>
      </x:c>
      <x:c r="P1155" s="62" t="n">
        <x:v>0.5799031476997578</x:v>
      </x:c>
      <x:c r="Q1155" s="22" t="n">
        <x:v>1</x:v>
      </x:c>
      <x:c r="R1155" s="22" t="str">
        <x:v>일위을지</x:v>
      </x:c>
      <x:c r="S1155" s="22" t="str">
        <x:v>hidden</x:v>
      </x:c>
      <x:c r="T1155" s="22" t="str"/>
    </x:row>
    <x:row r="1156">
      <x:c r="A1156" s="22" t="str">
        <x:v>2020-00119</x:v>
      </x:c>
      <x:c r="B1156" s="22" t="str">
        <x:v>L2025-00071-1</x:v>
      </x:c>
      <x:c r="C1156" s="22" t="str">
        <x:v>공사</x:v>
      </x:c>
      <x:c r="D1156" s="25" t="str">
        <x:v>한-이라크 심장병 어린이 전문병원 신축공사(재공고)</x:v>
      </x:c>
      <x:c r="E1156" s="22" t="n">
        <x:v>1</x:v>
      </x:c>
      <x:c r="F1156" s="22" t="str">
        <x:v>.xlsm</x:v>
      </x:c>
      <x:c r="G1156" s="25" t="str">
        <x:v>L2025-00071-1/붙임2. 현지입찰(재공고입찰) 서류 및 계약서류(안)/IKHCC Section 4 - IKHCC BLANK BOQ 250903/6.Blank bill Comm revised 250812/BLANK BILL-COMMUN - A (HOSPITAL).xlsm</x:v>
      </x:c>
      <x:c r="H1156" s="28" t="n">
        <x:v>289659</x:v>
      </x:c>
      <x:c r="I1156" s="22" t="str">
        <x:v>e77a6c920e625055518141f190d459882c70792f382551359dd5293c03a7a322</x:v>
      </x:c>
      <x:c r="J1156" s="22" t="n">
        <x:v>0</x:v>
      </x:c>
      <x:c r="K1156" s="22" t="n">
        <x:v>1</x:v>
      </x:c>
      <x:c r="L1156" s="22" t="n">
        <x:v>1</x:v>
      </x:c>
      <x:c r="M1156" s="28" t="n">
        <x:v>3</x:v>
      </x:c>
      <x:c r="N1156" s="28" t="n">
        <x:v>826</x:v>
      </x:c>
      <x:c r="O1156" s="28" t="n">
        <x:v>479</x:v>
      </x:c>
      <x:c r="P1156" s="62" t="n">
        <x:v>0.5799031476997578</x:v>
      </x:c>
      <x:c r="Q1156" s="22" t="n">
        <x:v>0</x:v>
      </x:c>
      <x:c r="R1156" s="22" t="str">
        <x:v>일위을지</x:v>
      </x:c>
      <x:c r="S1156" s="22" t="str">
        <x:v>hidden</x:v>
      </x:c>
      <x:c r="T1156" s="22" t="str"/>
    </x:row>
    <x:row r="1157">
      <x:c r="A1157" s="22" t="str">
        <x:v>2020-00119</x:v>
      </x:c>
      <x:c r="B1157" s="22" t="str">
        <x:v>L2025-00071-1</x:v>
      </x:c>
      <x:c r="C1157" s="22" t="str">
        <x:v>공사</x:v>
      </x:c>
      <x:c r="D1157" s="25" t="str">
        <x:v>한-이라크 심장병 어린이 전문병원 신축공사(재공고)</x:v>
      </x:c>
      <x:c r="E1157" s="22" t="n">
        <x:v>1</x:v>
      </x:c>
      <x:c r="F1157" s="22" t="str">
        <x:v>.xlsx</x:v>
      </x:c>
      <x:c r="G1157" s="25" t="str">
        <x:v>L2025-00071-1/붙임2. 현지입찰(재공고입찰) 서류 및 계약서류(안)/IKHCC Section 4 - IKHCC BLANK BOQ 250903/2 Land/BILL No2-LAND-blank.xlsx</x:v>
      </x:c>
      <x:c r="H1157" s="28" t="n">
        <x:v>61604</x:v>
      </x:c>
      <x:c r="I1157" s="22" t="str">
        <x:v>c1bc5d70f7890380284bc1ac52db2ebd9027a588f1855aab191d262d2d5e98ba</x:v>
      </x:c>
      <x:c r="J1157" s="22" t="n">
        <x:v>1</x:v>
      </x:c>
      <x:c r="K1157" s="22" t="n">
        <x:v>1</x:v>
      </x:c>
      <x:c r="L1157" s="22" t="n">
        <x:v>1</x:v>
      </x:c>
      <x:c r="M1157" s="28" t="n">
        <x:v>0</x:v>
      </x:c>
      <x:c r="N1157" s="28" t="n">
        <x:v>0</x:v>
      </x:c>
      <x:c r="O1157" s="28" t="n">
        <x:v>0</x:v>
      </x:c>
      <x:c r="P1157" s="62" t="n">
        <x:v>0</x:v>
      </x:c>
      <x:c r="Q1157" s="22" t="n">
        <x:v>0</x:v>
      </x:c>
      <x:c r="R1157" s="22" t="str"/>
      <x:c r="S1157" s="22" t="str"/>
      <x:c r="T1157" s="22" t="str"/>
    </x:row>
    <x:row r="1158">
      <x:c r="A1158" s="22" t="str">
        <x:v>2020-00119</x:v>
      </x:c>
      <x:c r="B1158" s="22" t="str">
        <x:v>L2025-00071-1</x:v>
      </x:c>
      <x:c r="C1158" s="22" t="str">
        <x:v>공사</x:v>
      </x:c>
      <x:c r="D1158" s="25" t="str">
        <x:v>한-이라크 심장병 어린이 전문병원 신축공사(재공고)</x:v>
      </x:c>
      <x:c r="E1158" s="22" t="n">
        <x:v>1</x:v>
      </x:c>
      <x:c r="F1158" s="22" t="str">
        <x:v>.xlsm</x:v>
      </x:c>
      <x:c r="G1158" s="25" t="str">
        <x:v>L2025-00071-1/붙임2. 현지입찰(재공고입찰) 서류 및 계약서류(안)/IKHCC Section 4 - IKHCC BLANK BOQ 250903/7. Blank bill Firefighting revised 250811/FIREFIGHTING_ELEC/BLANK BILL-FIRE FIGHTING ELEC - 0 (TOTAL).xlsm</x:v>
      </x:c>
      <x:c r="H1158" s="28" t="n">
        <x:v>107555</x:v>
      </x:c>
      <x:c r="I1158" s="22" t="str">
        <x:v>83f64c03b3ed36d32e44a5a855a050c75a9fdca09e13d0409d4bbfc481a02d66</x:v>
      </x:c>
      <x:c r="J1158" s="22" t="n">
        <x:v>1</x:v>
      </x:c>
      <x:c r="K1158" s="22" t="n">
        <x:v>1</x:v>
      </x:c>
      <x:c r="L1158" s="22" t="n">
        <x:v>1</x:v>
      </x:c>
      <x:c r="M1158" s="28" t="n">
        <x:v>3</x:v>
      </x:c>
      <x:c r="N1158" s="28" t="n">
        <x:v>250</x:v>
      </x:c>
      <x:c r="O1158" s="28" t="n">
        <x:v>86</x:v>
      </x:c>
      <x:c r="P1158" s="62" t="n">
        <x:v>0</x:v>
      </x:c>
      <x:c r="Q1158" s="22" t="n">
        <x:v>0</x:v>
      </x:c>
      <x:c r="R1158" s="22" t="str">
        <x:v>일위을지</x:v>
      </x:c>
      <x:c r="S1158" s="22" t="str">
        <x:v>hidden</x:v>
      </x:c>
      <x:c r="T1158" s="22" t="str"/>
    </x:row>
    <x:row r="1159">
      <x:c r="A1159" s="22" t="str">
        <x:v>2020-00119</x:v>
      </x:c>
      <x:c r="B1159" s="22" t="str">
        <x:v>L2025-00071-1</x:v>
      </x:c>
      <x:c r="C1159" s="22" t="str">
        <x:v>공사</x:v>
      </x:c>
      <x:c r="D1159" s="25" t="str">
        <x:v>한-이라크 심장병 어린이 전문병원 신축공사(재공고)</x:v>
      </x:c>
      <x:c r="E1159" s="22" t="n">
        <x:v>1</x:v>
      </x:c>
      <x:c r="F1159" s="22" t="str">
        <x:v>.xlsm</x:v>
      </x:c>
      <x:c r="G1159" s="25" t="str">
        <x:v>L2025-00071-1/붙임2. 현지입찰(재공고입찰) 서류 및 계약서류(안)/IKHCC Section 4 - IKHCC BLANK BOQ 250903/7. Blank bill Firefighting revised 250811/FIREFIGHTING_ELEC/BLANK BILL-FIRE FIGHTING ELEC - C (BRIDGE).xlsm</x:v>
      </x:c>
      <x:c r="H1159" s="28" t="n">
        <x:v>108291</x:v>
      </x:c>
      <x:c r="I1159" s="22" t="str">
        <x:v>a66b56e34694551d25d1c71e5d21cdd34ef6cdc5d1fe9913d7a8fdd2168407ed</x:v>
      </x:c>
      <x:c r="J1159" s="22" t="n">
        <x:v>1</x:v>
      </x:c>
      <x:c r="K1159" s="22" t="n">
        <x:v>1</x:v>
      </x:c>
      <x:c r="L1159" s="22" t="n">
        <x:v>1</x:v>
      </x:c>
      <x:c r="M1159" s="28" t="n">
        <x:v>3</x:v>
      </x:c>
      <x:c r="N1159" s="28" t="n">
        <x:v>250</x:v>
      </x:c>
      <x:c r="O1159" s="28" t="n">
        <x:v>75</x:v>
      </x:c>
      <x:c r="P1159" s="62" t="n">
        <x:v>0</x:v>
      </x:c>
      <x:c r="Q1159" s="22" t="n">
        <x:v>0</x:v>
      </x:c>
      <x:c r="R1159" s="22" t="str">
        <x:v>일위을지</x:v>
      </x:c>
      <x:c r="S1159" s="22" t="str">
        <x:v>hidden</x:v>
      </x:c>
      <x:c r="T1159" s="22" t="str"/>
    </x:row>
    <x:row r="1160">
      <x:c r="A1160" s="22" t="str">
        <x:v>2020-00119</x:v>
      </x:c>
      <x:c r="B1160" s="22" t="str">
        <x:v>L2025-00071-1</x:v>
      </x:c>
      <x:c r="C1160" s="22" t="str">
        <x:v>공사</x:v>
      </x:c>
      <x:c r="D1160" s="25" t="str">
        <x:v>한-이라크 심장병 어린이 전문병원 신축공사(재공고)</x:v>
      </x:c>
      <x:c r="E1160" s="22" t="n">
        <x:v>1</x:v>
      </x:c>
      <x:c r="F1160" s="22" t="str">
        <x:v>.xlsm</x:v>
      </x:c>
      <x:c r="G1160" s="25" t="str">
        <x:v>L2025-00071-1/붙임2. 현지입찰(재공고입찰) 서류 및 계약서류(안)/IKHCC Section 4 - IKHCC BLANK BOQ 250903/7. Blank bill Firefighting revised 250811/FIREFIGHTING_ELEC/BLANK BILL-FIRE FIGHTING ELEC - B (MEP BUILDING).xlsm</x:v>
      </x:c>
      <x:c r="H1160" s="28" t="n">
        <x:v>105175</x:v>
      </x:c>
      <x:c r="I1160" s="22" t="str">
        <x:v>21ba91bb3b87cc4a3fbb83a64a4685c946ad254bee1449d1f253a46e3fbf8544</x:v>
      </x:c>
      <x:c r="J1160" s="22" t="n">
        <x:v>1</x:v>
      </x:c>
      <x:c r="K1160" s="22" t="n">
        <x:v>1</x:v>
      </x:c>
      <x:c r="L1160" s="22" t="n">
        <x:v>1</x:v>
      </x:c>
      <x:c r="M1160" s="28" t="n">
        <x:v>3</x:v>
      </x:c>
      <x:c r="N1160" s="28" t="n">
        <x:v>250</x:v>
      </x:c>
      <x:c r="O1160" s="28" t="n">
        <x:v>51</x:v>
      </x:c>
      <x:c r="P1160" s="62" t="n">
        <x:v>0</x:v>
      </x:c>
      <x:c r="Q1160" s="22" t="n">
        <x:v>0</x:v>
      </x:c>
      <x:c r="R1160" s="22" t="str">
        <x:v>일위을지</x:v>
      </x:c>
      <x:c r="S1160" s="22" t="str">
        <x:v>hidden</x:v>
      </x:c>
      <x:c r="T1160" s="22" t="str"/>
    </x:row>
    <x:row r="1161">
      <x:c r="A1161" s="22" t="str">
        <x:v>2020-00119</x:v>
      </x:c>
      <x:c r="B1161" s="22" t="str">
        <x:v>L2025-00071-1</x:v>
      </x:c>
      <x:c r="C1161" s="22" t="str">
        <x:v>공사</x:v>
      </x:c>
      <x:c r="D1161" s="25" t="str">
        <x:v>한-이라크 심장병 어린이 전문병원 신축공사(재공고)</x:v>
      </x:c>
      <x:c r="E1161" s="22" t="n">
        <x:v>1</x:v>
      </x:c>
      <x:c r="F1161" s="22" t="str">
        <x:v>.xlsm</x:v>
      </x:c>
      <x:c r="G1161" s="25" t="str">
        <x:v>L2025-00071-1/붙임2. 현지입찰(재공고입찰) 서류 및 계약서류(안)/IKHCC Section 4 - IKHCC BLANK BOQ 250903/7. Blank bill Firefighting revised 250811/FIREFIGHTING_ELEC/BLANK BILL-FIRE FIGHTING ELEC - A (HOSPITAL).xlsm</x:v>
      </x:c>
      <x:c r="H1161" s="28" t="n">
        <x:v>105228</x:v>
      </x:c>
      <x:c r="I1161" s="22" t="str">
        <x:v>9ffa9d47d2ec91c02914ee0d70e0bb54b361f4e85b738b4d24ed32dc1887b98a</x:v>
      </x:c>
      <x:c r="J1161" s="22" t="n">
        <x:v>1</x:v>
      </x:c>
      <x:c r="K1161" s="22" t="n">
        <x:v>1</x:v>
      </x:c>
      <x:c r="L1161" s="22" t="n">
        <x:v>1</x:v>
      </x:c>
      <x:c r="M1161" s="28" t="n">
        <x:v>3</x:v>
      </x:c>
      <x:c r="N1161" s="28" t="n">
        <x:v>250</x:v>
      </x:c>
      <x:c r="O1161" s="28" t="n">
        <x:v>46</x:v>
      </x:c>
      <x:c r="P1161" s="62" t="n">
        <x:v>0</x:v>
      </x:c>
      <x:c r="Q1161" s="22" t="n">
        <x:v>0</x:v>
      </x:c>
      <x:c r="R1161" s="22" t="str">
        <x:v>일위을지</x:v>
      </x:c>
      <x:c r="S1161" s="22" t="str">
        <x:v>hidden</x:v>
      </x:c>
      <x:c r="T1161" s="22" t="str"/>
    </x:row>
    <x:row r="1162">
      <x:c r="A1162" s="22" t="str">
        <x:v>2020-00119</x:v>
      </x:c>
      <x:c r="B1162" s="22" t="str">
        <x:v>L2025-00071-1</x:v>
      </x:c>
      <x:c r="C1162" s="22" t="str">
        <x:v>공사</x:v>
      </x:c>
      <x:c r="D1162" s="25" t="str">
        <x:v>한-이라크 심장병 어린이 전문병원 신축공사(재공고)</x:v>
      </x:c>
      <x:c r="E1162" s="22" t="n">
        <x:v>1</x:v>
      </x:c>
      <x:c r="F1162" s="22" t="str">
        <x:v>.xls</x:v>
      </x:c>
      <x:c r="G1162" s="25" t="str">
        <x:v>L2025-00071-1/붙임2. 현지입찰(재공고입찰) 서류 및 계약서류(안)/IKHCC Section 4 - IKHCC BLANK BOQ 250903/7. Blank bill Firefighting revised 250811/Fire fighting - Mech revised 250812/BLANK BILL.FIREFIGHTING MECH (TOTAL) revised 250812.xls</x:v>
      </x:c>
      <x:c r="H1162" s="28" t="n">
        <x:v>342528</x:v>
      </x:c>
      <x:c r="I1162" s="22" t="str">
        <x:v>b86f9e7d916e329fa492ae9cc76913ba3ae04e606ab3dd8fc8f2491cad9cfcf4</x:v>
      </x:c>
      <x:c r="J1162" s="22" t="n">
        <x:v>0</x:v>
      </x:c>
      <x:c r="K1162" s="22" t="n">
        <x:v>1</x:v>
      </x:c>
      <x:c r="L1162" s="22" t="n">
        <x:v>1</x:v>
      </x:c>
      <x:c r="M1162" s="28" t="n">
        <x:v>1</x:v>
      </x:c>
      <x:c r="N1162" s="28" t="n">
        <x:v>195</x:v>
      </x:c>
      <x:c r="O1162" s="28" t="n">
        <x:v>195</x:v>
      </x:c>
      <x:c r="P1162" s="62" t="n">
        <x:v>1</x:v>
      </x:c>
      <x:c r="Q1162" s="22" t="n">
        <x:v>1</x:v>
      </x:c>
      <x:c r="R1162" s="22" t="str">
        <x:v>일위대가</x:v>
      </x:c>
      <x:c r="S1162" s="22" t="str">
        <x:v>hidden</x:v>
      </x:c>
      <x:c r="T1162" s="22" t="str"/>
    </x:row>
    <x:row r="1163">
      <x:c r="A1163" s="22" t="str">
        <x:v>2020-00119</x:v>
      </x:c>
      <x:c r="B1163" s="22" t="str">
        <x:v>L2025-00071-1</x:v>
      </x:c>
      <x:c r="C1163" s="22" t="str">
        <x:v>공사</x:v>
      </x:c>
      <x:c r="D1163" s="25" t="str">
        <x:v>한-이라크 심장병 어린이 전문병원 신축공사(재공고)</x:v>
      </x:c>
      <x:c r="E1163" s="22" t="n">
        <x:v>1</x:v>
      </x:c>
      <x:c r="F1163" s="22" t="str">
        <x:v>.xls</x:v>
      </x:c>
      <x:c r="G1163" s="25" t="str">
        <x:v>L2025-00071-1/붙임2. 현지입찰(재공고입찰) 서류 및 계약서류(안)/IKHCC Section 4 - IKHCC BLANK BOQ 250903/7. Blank bill Firefighting revised 250811/Fire fighting - Mech revised 250812/BLANK BILL. FIREFIGHTING MECH (HOSPITAL) revised 250812.xls</x:v>
      </x:c>
      <x:c r="H1163" s="28" t="n">
        <x:v>327168</x:v>
      </x:c>
      <x:c r="I1163" s="22" t="str">
        <x:v>1bce2eb84aabd6f325628ec262acfed2e1741993139ba7d051d86b605fce68c2</x:v>
      </x:c>
      <x:c r="J1163" s="22" t="n">
        <x:v>0</x:v>
      </x:c>
      <x:c r="K1163" s="22" t="n">
        <x:v>1</x:v>
      </x:c>
      <x:c r="L1163" s="22" t="n">
        <x:v>1</x:v>
      </x:c>
      <x:c r="M1163" s="28" t="n">
        <x:v>1</x:v>
      </x:c>
      <x:c r="N1163" s="28" t="n">
        <x:v>195</x:v>
      </x:c>
      <x:c r="O1163" s="28" t="n">
        <x:v>195</x:v>
      </x:c>
      <x:c r="P1163" s="62" t="n">
        <x:v>1</x:v>
      </x:c>
      <x:c r="Q1163" s="22" t="n">
        <x:v>1</x:v>
      </x:c>
      <x:c r="R1163" s="22" t="str">
        <x:v>일위대가</x:v>
      </x:c>
      <x:c r="S1163" s="22" t="str">
        <x:v>hidden</x:v>
      </x:c>
      <x:c r="T1163" s="22" t="str"/>
    </x:row>
    <x:row r="1164">
      <x:c r="A1164" s="22" t="str">
        <x:v>2020-00119</x:v>
      </x:c>
      <x:c r="B1164" s="22" t="str">
        <x:v>L2025-00071-1</x:v>
      </x:c>
      <x:c r="C1164" s="22" t="str">
        <x:v>공사</x:v>
      </x:c>
      <x:c r="D1164" s="25" t="str">
        <x:v>한-이라크 심장병 어린이 전문병원 신축공사(재공고)</x:v>
      </x:c>
      <x:c r="E1164" s="22" t="n">
        <x:v>1</x:v>
      </x:c>
      <x:c r="F1164" s="22" t="str">
        <x:v>.xls</x:v>
      </x:c>
      <x:c r="G1164" s="25" t="str">
        <x:v>L2025-00071-1/붙임2. 현지입찰(재공고입찰) 서류 및 계약서류(안)/IKHCC Section 4 - IKHCC BLANK BOQ 250903/7. Blank bill Firefighting revised 250811/Fire fighting - Mech revised 250812/BLANK BILL. FIRFEIGHTING MECH(MEP BUILDING) revised 250812.xls</x:v>
      </x:c>
      <x:c r="H1164" s="28" t="n">
        <x:v>324096</x:v>
      </x:c>
      <x:c r="I1164" s="22" t="str">
        <x:v>bfa53a58df75fc8fcf1655e49ee0157f687c1027acd02cdd85a11035db84447a</x:v>
      </x:c>
      <x:c r="J1164" s="22" t="n">
        <x:v>0</x:v>
      </x:c>
      <x:c r="K1164" s="22" t="n">
        <x:v>1</x:v>
      </x:c>
      <x:c r="L1164" s="22" t="n">
        <x:v>1</x:v>
      </x:c>
      <x:c r="M1164" s="28" t="n">
        <x:v>1</x:v>
      </x:c>
      <x:c r="N1164" s="28" t="n">
        <x:v>195</x:v>
      </x:c>
      <x:c r="O1164" s="28" t="n">
        <x:v>195</x:v>
      </x:c>
      <x:c r="P1164" s="62" t="n">
        <x:v>1</x:v>
      </x:c>
      <x:c r="Q1164" s="22" t="n">
        <x:v>1</x:v>
      </x:c>
      <x:c r="R1164" s="22" t="str">
        <x:v>일위대가</x:v>
      </x:c>
      <x:c r="S1164" s="22" t="str">
        <x:v>hidden</x:v>
      </x:c>
      <x:c r="T1164" s="22" t="str"/>
    </x:row>
    <x:row r="1165">
      <x:c r="A1165" s="22" t="str">
        <x:v>2020-00119</x:v>
      </x:c>
      <x:c r="B1165" s="22" t="str">
        <x:v>L2025-00085-1</x:v>
      </x:c>
      <x:c r="C1165" s="22" t="str">
        <x:v>공사</x:v>
      </x:c>
      <x:c r="D1165" s="25" t="str">
        <x:v>(긴급) 한-이라크 심장병 어린이 전문 병원 신축공사(신규입찰)</x:v>
      </x:c>
      <x:c r="E1165" s="22" t="n">
        <x:v>1</x:v>
      </x:c>
      <x:c r="F1165" s="22" t="str">
        <x:v>.zip</x:v>
      </x:c>
      <x:c r="G1165" s="25" t="str">
        <x:v>L2025-00085-1/붙임2. 현지입찰(신규입찰) 서류 및 계약서류(안).zip</x:v>
      </x:c>
      <x:c r="H1165" s="28" t="n">
        <x:v>8300339</x:v>
      </x:c>
      <x:c r="I1165" s="22" t="str">
        <x:v>ab4f62fcb5f837ea811c186fba2c9bab732bd60f1f3647b9afe2a597301339db</x:v>
      </x:c>
      <x:c r="J1165" s="22" t="n">
        <x:v>0</x:v>
      </x:c>
      <x:c r="K1165" s="22" t="n">
        <x:v>0</x:v>
      </x:c>
      <x:c r="L1165" s="22" t="n">
        <x:v>0</x:v>
      </x:c>
      <x:c r="M1165" s="28" t="n">
        <x:v>0</x:v>
      </x:c>
      <x:c r="N1165" s="28" t="n">
        <x:v>0</x:v>
      </x:c>
      <x:c r="O1165" s="28" t="n">
        <x:v>0</x:v>
      </x:c>
      <x:c r="P1165" s="62" t="n">
        <x:v>0</x:v>
      </x:c>
      <x:c r="Q1165" s="22" t="n">
        <x:v>0</x:v>
      </x:c>
      <x:c r="R1165" s="22" t="str"/>
      <x:c r="S1165" s="22" t="str"/>
      <x:c r="T1165" s="22" t="str"/>
    </x:row>
    <x:row r="1166">
      <x:c r="A1166" s="22" t="str">
        <x:v>2020-00119</x:v>
      </x:c>
      <x:c r="B1166" s="22" t="str">
        <x:v>L2025-00085-1</x:v>
      </x:c>
      <x:c r="C1166" s="22" t="str">
        <x:v>공사</x:v>
      </x:c>
      <x:c r="D1166" s="25" t="str">
        <x:v>(긴급) 한-이라크 심장병 어린이 전문 병원 신축공사(신규입찰)</x:v>
      </x:c>
      <x:c r="E1166" s="22" t="n">
        <x:v>1</x:v>
      </x:c>
      <x:c r="F1166" s="22" t="str">
        <x:v>.hwp</x:v>
      </x:c>
      <x:c r="G1166" s="25" t="str">
        <x:v>L2025-00085-1/붙임1. 이라크 한-이라크 심장병 어린이 전문 병원 현지시공 신규 입찰 계획(안)-.hwp</x:v>
      </x:c>
      <x:c r="H1166" s="28" t="n">
        <x:v>249344</x:v>
      </x:c>
      <x:c r="I1166" s="22" t="str">
        <x:v>bb68ea6de6aa3db162bd305df0bb4820a01b29b7614f94bb63cc1dcf492c57e3</x:v>
      </x:c>
      <x:c r="J1166" s="22" t="n">
        <x:v>0</x:v>
      </x:c>
      <x:c r="K1166" s="22" t="n">
        <x:v>0</x:v>
      </x:c>
      <x:c r="L1166" s="22" t="n">
        <x:v>0</x:v>
      </x:c>
      <x:c r="M1166" s="28" t="n">
        <x:v>0</x:v>
      </x:c>
      <x:c r="N1166" s="28" t="n">
        <x:v>0</x:v>
      </x:c>
      <x:c r="O1166" s="28" t="n">
        <x:v>0</x:v>
      </x:c>
      <x:c r="P1166" s="62" t="n">
        <x:v>0</x:v>
      </x:c>
      <x:c r="Q1166" s="22" t="n">
        <x:v>0</x:v>
      </x:c>
      <x:c r="R1166" s="22" t="str"/>
      <x:c r="S1166" s="22" t="str"/>
      <x:c r="T1166" s="22" t="str"/>
    </x:row>
    <x:row r="1167">
      <x:c r="A1167" s="22" t="str">
        <x:v>2020-00119</x:v>
      </x:c>
      <x:c r="B1167" s="22" t="str">
        <x:v>L2025-00085-1</x:v>
      </x:c>
      <x:c r="C1167" s="22" t="str">
        <x:v>공사</x:v>
      </x:c>
      <x:c r="D1167" s="25" t="str">
        <x:v>(긴급) 한-이라크 심장병 어린이 전문 병원 신축공사(신규입찰)</x:v>
      </x:c>
      <x:c r="E1167" s="22" t="n">
        <x:v>1</x:v>
      </x:c>
      <x:c r="F1167" s="22" t="str">
        <x:v>.docx</x:v>
      </x:c>
      <x:c r="G1167" s="25" t="str">
        <x:v>L2025-00085-1/붙임2. 현지입찰(신규입찰) 서류 및 계약서류(안)/IKHCC Section 4,5,6 BOQ, Drawing, Spec.docx</x:v>
      </x:c>
      <x:c r="H1167" s="28" t="n">
        <x:v>11941</x:v>
      </x:c>
      <x:c r="I1167" s="22" t="str">
        <x:v>aab74da4619bd3a8a368567d5620e0116eb9da42f75975717f485ef6a83a41b6</x:v>
      </x:c>
      <x:c r="J1167" s="22" t="n">
        <x:v>0</x:v>
      </x:c>
      <x:c r="K1167" s="22" t="n">
        <x:v>1</x:v>
      </x:c>
      <x:c r="L1167" s="22" t="n">
        <x:v>0</x:v>
      </x:c>
      <x:c r="M1167" s="28" t="n">
        <x:v>0</x:v>
      </x:c>
      <x:c r="N1167" s="28" t="n">
        <x:v>0</x:v>
      </x:c>
      <x:c r="O1167" s="28" t="n">
        <x:v>0</x:v>
      </x:c>
      <x:c r="P1167" s="62" t="n">
        <x:v>0</x:v>
      </x:c>
      <x:c r="Q1167" s="22" t="n">
        <x:v>0</x:v>
      </x:c>
      <x:c r="R1167" s="22" t="str"/>
      <x:c r="S1167" s="22" t="str"/>
      <x:c r="T1167" s="22" t="str"/>
    </x:row>
    <x:row r="1168">
      <x:c r="A1168" s="22" t="str">
        <x:v>2020-00119</x:v>
      </x:c>
      <x:c r="B1168" s="22" t="str">
        <x:v>L2025-00085-1</x:v>
      </x:c>
      <x:c r="C1168" s="22" t="str">
        <x:v>공사</x:v>
      </x:c>
      <x:c r="D1168" s="25" t="str">
        <x:v>(긴급) 한-이라크 심장병 어린이 전문 병원 신축공사(신규입찰)</x:v>
      </x:c>
      <x:c r="E1168" s="22" t="n">
        <x:v>1</x:v>
      </x:c>
      <x:c r="F1168" s="22" t="str">
        <x:v>.docx</x:v>
      </x:c>
      <x:c r="G1168" s="25" t="str">
        <x:v>L2025-00085-1/붙임2. 현지입찰(신규입찰) 서류 및 계약서류(안)/IKHCC Section 7,8 - contract conditions - General &amp; Special conditions. of contract 250903.docx</x:v>
      </x:c>
      <x:c r="H1168" s="28" t="n">
        <x:v>216099</x:v>
      </x:c>
      <x:c r="I1168" s="22" t="str">
        <x:v>714e1ab3c885c7d171424a659f58ac25daa2e1c4d1224f805122032cc3023c50</x:v>
      </x:c>
      <x:c r="J1168" s="22" t="n">
        <x:v>0</x:v>
      </x:c>
      <x:c r="K1168" s="22" t="n">
        <x:v>0</x:v>
      </x:c>
      <x:c r="L1168" s="22" t="n">
        <x:v>0</x:v>
      </x:c>
      <x:c r="M1168" s="28" t="n">
        <x:v>0</x:v>
      </x:c>
      <x:c r="N1168" s="28" t="n">
        <x:v>0</x:v>
      </x:c>
      <x:c r="O1168" s="28" t="n">
        <x:v>0</x:v>
      </x:c>
      <x:c r="P1168" s="62" t="n">
        <x:v>0</x:v>
      </x:c>
      <x:c r="Q1168" s="22" t="n">
        <x:v>0</x:v>
      </x:c>
      <x:c r="R1168" s="22" t="str"/>
      <x:c r="S1168" s="22" t="str"/>
      <x:c r="T1168" s="22" t="str"/>
    </x:row>
    <x:row r="1169">
      <x:c r="A1169" s="22" t="str">
        <x:v>2020-00119</x:v>
      </x:c>
      <x:c r="B1169" s="22" t="str">
        <x:v>L2025-00085-1</x:v>
      </x:c>
      <x:c r="C1169" s="22" t="str">
        <x:v>공사</x:v>
      </x:c>
      <x:c r="D1169" s="25" t="str">
        <x:v>(긴급) 한-이라크 심장병 어린이 전문 병원 신축공사(신규입찰)</x:v>
      </x:c>
      <x:c r="E1169" s="22" t="n">
        <x:v>1</x:v>
      </x:c>
      <x:c r="F1169" s="22" t="str">
        <x:v>.docx</x:v>
      </x:c>
      <x:c r="G1169" s="25" t="str">
        <x:v>L2025-00085-1/붙임2. 현지입찰(신규입찰) 서류 및 계약서류(안)/IKHCC Section 1 - Instructions to bidder in the international bidding of KOICA.docx</x:v>
      </x:c>
      <x:c r="H1169" s="28" t="n">
        <x:v>36396</x:v>
      </x:c>
      <x:c r="I1169" s="22" t="str">
        <x:v>f6a88cecc773cd7ac3ef2355462a4ca189a209d8734b4cfaca617149a9d00258</x:v>
      </x:c>
      <x:c r="J1169" s="22" t="n">
        <x:v>0</x:v>
      </x:c>
      <x:c r="K1169" s="22" t="n">
        <x:v>0</x:v>
      </x:c>
      <x:c r="L1169" s="22" t="n">
        <x:v>0</x:v>
      </x:c>
      <x:c r="M1169" s="28" t="n">
        <x:v>0</x:v>
      </x:c>
      <x:c r="N1169" s="28" t="n">
        <x:v>0</x:v>
      </x:c>
      <x:c r="O1169" s="28" t="n">
        <x:v>0</x:v>
      </x:c>
      <x:c r="P1169" s="62" t="n">
        <x:v>0</x:v>
      </x:c>
      <x:c r="Q1169" s="22" t="n">
        <x:v>0</x:v>
      </x:c>
      <x:c r="R1169" s="22" t="str"/>
      <x:c r="S1169" s="22" t="str"/>
      <x:c r="T1169" s="22" t="str"/>
    </x:row>
    <x:row r="1170">
      <x:c r="A1170" s="22" t="str">
        <x:v>2020-00119</x:v>
      </x:c>
      <x:c r="B1170" s="22" t="str">
        <x:v>L2025-00085-1</x:v>
      </x:c>
      <x:c r="C1170" s="22" t="str">
        <x:v>공사</x:v>
      </x:c>
      <x:c r="D1170" s="25" t="str">
        <x:v>(긴급) 한-이라크 심장병 어린이 전문 병원 신축공사(신규입찰)</x:v>
      </x:c>
      <x:c r="E1170" s="22" t="n">
        <x:v>1</x:v>
      </x:c>
      <x:c r="F1170" s="22" t="str">
        <x:v>.zip</x:v>
      </x:c>
      <x:c r="G1170" s="25" t="str">
        <x:v>L2025-00085-1/붙임2. 현지입찰(신규입찰) 서류 및 계약서류(안)/IKHCC Section 4 - IKHCC BLANK BOQ 250903_최종.zip</x:v>
      </x:c>
      <x:c r="H1170" s="28" t="n">
        <x:v>7985017</x:v>
      </x:c>
      <x:c r="I1170" s="22" t="str">
        <x:v>d1fb3cd141e35125508d3af540e47f947a796eb26fb7150c4905876928a5fb10</x:v>
      </x:c>
      <x:c r="J1170" s="22" t="n">
        <x:v>0</x:v>
      </x:c>
      <x:c r="K1170" s="22" t="n">
        <x:v>1</x:v>
      </x:c>
      <x:c r="L1170" s="22" t="n">
        <x:v>1</x:v>
      </x:c>
      <x:c r="M1170" s="28" t="n">
        <x:v>0</x:v>
      </x:c>
      <x:c r="N1170" s="28" t="n">
        <x:v>0</x:v>
      </x:c>
      <x:c r="O1170" s="28" t="n">
        <x:v>0</x:v>
      </x:c>
      <x:c r="P1170" s="62" t="n">
        <x:v>0</x:v>
      </x:c>
      <x:c r="Q1170" s="22" t="n">
        <x:v>0</x:v>
      </x:c>
      <x:c r="R1170" s="22" t="str"/>
      <x:c r="S1170" s="22" t="str"/>
      <x:c r="T1170" s="22" t="str"/>
    </x:row>
    <x:row r="1171">
      <x:c r="A1171" s="22" t="str">
        <x:v>2020-00119</x:v>
      </x:c>
      <x:c r="B1171" s="22" t="str">
        <x:v>L2025-00085-1</x:v>
      </x:c>
      <x:c r="C1171" s="22" t="str">
        <x:v>공사</x:v>
      </x:c>
      <x:c r="D1171" s="25" t="str">
        <x:v>(긴급) 한-이라크 심장병 어린이 전문 병원 신축공사(신규입찰)</x:v>
      </x:c>
      <x:c r="E1171" s="22" t="n">
        <x:v>1</x:v>
      </x:c>
      <x:c r="F1171" s="22" t="str">
        <x:v>.docx</x:v>
      </x:c>
      <x:c r="G1171" s="25" t="str">
        <x:v>L2025-00085-1/붙임2. 현지입찰(신규입찰) 서류 및 계약서류(안)/★Summary of Bidding _공고용 최종.docx</x:v>
      </x:c>
      <x:c r="H1171" s="28" t="n">
        <x:v>19345</x:v>
      </x:c>
      <x:c r="I1171" s="22" t="str">
        <x:v>76accc7470e2680c82815588881744fc71827a5bbd32b31d6a825b8bf5c90329</x:v>
      </x:c>
      <x:c r="J1171" s="22" t="n">
        <x:v>0</x:v>
      </x:c>
      <x:c r="K1171" s="22" t="n">
        <x:v>0</x:v>
      </x:c>
      <x:c r="L1171" s="22" t="n">
        <x:v>0</x:v>
      </x:c>
      <x:c r="M1171" s="28" t="n">
        <x:v>0</x:v>
      </x:c>
      <x:c r="N1171" s="28" t="n">
        <x:v>0</x:v>
      </x:c>
      <x:c r="O1171" s="28" t="n">
        <x:v>0</x:v>
      </x:c>
      <x:c r="P1171" s="62" t="n">
        <x:v>0</x:v>
      </x:c>
      <x:c r="Q1171" s="22" t="n">
        <x:v>0</x:v>
      </x:c>
      <x:c r="R1171" s="22" t="str"/>
      <x:c r="S1171" s="22" t="str"/>
      <x:c r="T1171" s="22" t="str"/>
    </x:row>
    <x:row r="1172">
      <x:c r="A1172" s="22" t="str">
        <x:v>2020-00119</x:v>
      </x:c>
      <x:c r="B1172" s="22" t="str">
        <x:v>L2025-00085-1</x:v>
      </x:c>
      <x:c r="C1172" s="22" t="str">
        <x:v>공사</x:v>
      </x:c>
      <x:c r="D1172" s="25" t="str">
        <x:v>(긴급) 한-이라크 심장병 어린이 전문 병원 신축공사(신규입찰)</x:v>
      </x:c>
      <x:c r="E1172" s="22" t="n">
        <x:v>1</x:v>
      </x:c>
      <x:c r="F1172" s="22" t="str">
        <x:v>.docx</x:v>
      </x:c>
      <x:c r="G1172" s="25" t="str">
        <x:v>L2025-00085-1/붙임2. 현지입찰(신규입찰) 서류 및 계약서류(안)/IKHCC Section 3 - Bidding Forms 250903.docx</x:v>
      </x:c>
      <x:c r="H1172" s="28" t="n">
        <x:v>67889</x:v>
      </x:c>
      <x:c r="I1172" s="22" t="str">
        <x:v>c2b3017af0bcdcb9ad01eb4633ef4946f3a232014384b1630060aab317348c2b</x:v>
      </x:c>
      <x:c r="J1172" s="22" t="n">
        <x:v>0</x:v>
      </x:c>
      <x:c r="K1172" s="22" t="n">
        <x:v>0</x:v>
      </x:c>
      <x:c r="L1172" s="22" t="n">
        <x:v>0</x:v>
      </x:c>
      <x:c r="M1172" s="28" t="n">
        <x:v>0</x:v>
      </x:c>
      <x:c r="N1172" s="28" t="n">
        <x:v>0</x:v>
      </x:c>
      <x:c r="O1172" s="28" t="n">
        <x:v>0</x:v>
      </x:c>
      <x:c r="P1172" s="62" t="n">
        <x:v>0</x:v>
      </x:c>
      <x:c r="Q1172" s="22" t="n">
        <x:v>0</x:v>
      </x:c>
      <x:c r="R1172" s="22" t="str"/>
      <x:c r="S1172" s="22" t="str"/>
      <x:c r="T1172" s="22" t="str"/>
    </x:row>
    <x:row r="1173">
      <x:c r="A1173" s="22" t="str">
        <x:v>2020-00119</x:v>
      </x:c>
      <x:c r="B1173" s="22" t="str">
        <x:v>L2025-00085-1</x:v>
      </x:c>
      <x:c r="C1173" s="22" t="str">
        <x:v>공사</x:v>
      </x:c>
      <x:c r="D1173" s="25" t="str">
        <x:v>(긴급) 한-이라크 심장병 어린이 전문 병원 신축공사(신규입찰)</x:v>
      </x:c>
      <x:c r="E1173" s="22" t="n">
        <x:v>1</x:v>
      </x:c>
      <x:c r="F1173" s="22" t="str">
        <x:v>.docx</x:v>
      </x:c>
      <x:c r="G1173" s="25" t="str">
        <x:v>L2025-00085-1/붙임2. 현지입찰(신규입찰) 서류 및 계약서류(안)/IKHCC Section 2 - Bid Data Sheet (ITB) (English)  250930 final★.docx</x:v>
      </x:c>
      <x:c r="H1173" s="28" t="n">
        <x:v>73167</x:v>
      </x:c>
      <x:c r="I1173" s="22" t="str">
        <x:v>7908f29806dfaf7fc06c141a1c78fba2bcc3faeae5bf091ae153b01ec8db06b9</x:v>
      </x:c>
      <x:c r="J1173" s="22" t="n">
        <x:v>0</x:v>
      </x:c>
      <x:c r="K1173" s="22" t="n">
        <x:v>0</x:v>
      </x:c>
      <x:c r="L1173" s="22" t="n">
        <x:v>0</x:v>
      </x:c>
      <x:c r="M1173" s="28" t="n">
        <x:v>0</x:v>
      </x:c>
      <x:c r="N1173" s="28" t="n">
        <x:v>0</x:v>
      </x:c>
      <x:c r="O1173" s="28" t="n">
        <x:v>0</x:v>
      </x:c>
      <x:c r="P1173" s="62" t="n">
        <x:v>0</x:v>
      </x:c>
      <x:c r="Q1173" s="22" t="n">
        <x:v>0</x:v>
      </x:c>
      <x:c r="R1173" s="22" t="str"/>
      <x:c r="S1173" s="22" t="str"/>
      <x:c r="T1173" s="22" t="str"/>
    </x:row>
    <x:row r="1174">
      <x:c r="A1174" s="22" t="str">
        <x:v>2020-00119</x:v>
      </x:c>
      <x:c r="B1174" s="22" t="str">
        <x:v>L2025-00085-1</x:v>
      </x:c>
      <x:c r="C1174" s="22" t="str">
        <x:v>공사</x:v>
      </x:c>
      <x:c r="D1174" s="25" t="str">
        <x:v>(긴급) 한-이라크 심장병 어린이 전문 병원 신축공사(신규입찰)</x:v>
      </x:c>
      <x:c r="E1174" s="22" t="n">
        <x:v>1</x:v>
      </x:c>
      <x:c r="F1174" s="22" t="str">
        <x:v>.docx</x:v>
      </x:c>
      <x:c r="G1174" s="25" t="str">
        <x:v>L2025-00085-1/붙임2. 현지입찰(신규입찰) 서류 및 계약서류(안)/IKHCC Section 9 - Contract Forms 250903-1.docx</x:v>
      </x:c>
      <x:c r="H1174" s="28" t="n">
        <x:v>37725</x:v>
      </x:c>
      <x:c r="I1174" s="22" t="str">
        <x:v>ff44cbdfa22ffe60647fa169d583f2c81da67d6776d1c82a46baae7ad063297e</x:v>
      </x:c>
      <x:c r="J1174" s="22" t="n">
        <x:v>0</x:v>
      </x:c>
      <x:c r="K1174" s="22" t="n">
        <x:v>0</x:v>
      </x:c>
      <x:c r="L1174" s="22" t="n">
        <x:v>0</x:v>
      </x:c>
      <x:c r="M1174" s="28" t="n">
        <x:v>0</x:v>
      </x:c>
      <x:c r="N1174" s="28" t="n">
        <x:v>0</x:v>
      </x:c>
      <x:c r="O1174" s="28" t="n">
        <x:v>0</x:v>
      </x:c>
      <x:c r="P1174" s="62" t="n">
        <x:v>0</x:v>
      </x:c>
      <x:c r="Q1174" s="22" t="n">
        <x:v>0</x:v>
      </x:c>
      <x:c r="R1174" s="22" t="str"/>
      <x:c r="S1174" s="22" t="str"/>
      <x:c r="T1174" s="22" t="str"/>
    </x:row>
    <x:row r="1175">
      <x:c r="A1175" s="22" t="str">
        <x:v>2020-00119</x:v>
      </x:c>
      <x:c r="B1175" s="22" t="str">
        <x:v>L2025-00085-1</x:v>
      </x:c>
      <x:c r="C1175" s="22" t="str">
        <x:v>공사</x:v>
      </x:c>
      <x:c r="D1175" s="25" t="str">
        <x:v>(긴급) 한-이라크 심장병 어린이 전문 병원 신축공사(신규입찰)</x:v>
      </x:c>
      <x:c r="E1175" s="22" t="n">
        <x:v>1</x:v>
      </x:c>
      <x:c r="F1175" s="22" t="str">
        <x:v>.xlsm</x:v>
      </x:c>
      <x:c r="G1175" s="25" t="str">
        <x:v>L2025-00085-1/붙임2. 현지입찰(신규입찰) 서류 및 계약서류(안)/IKHCC Section 4 - IKHCC BLANK BOQ 250903_최종/5. Blank bill Elec revised 250812/BLANK BILL-ELEC - B (MEP BUILDING).xlsm</x:v>
      </x:c>
      <x:c r="H1175" s="28" t="n">
        <x:v>501858</x:v>
      </x:c>
      <x:c r="I1175" s="22" t="str">
        <x:v>91dd2575abb4beee6373cfeec8125758dfdc79a1c61a375c7ca02a671198036f</x:v>
      </x:c>
      <x:c r="J1175" s="22" t="n">
        <x:v>1</x:v>
      </x:c>
      <x:c r="K1175" s="22" t="n">
        <x:v>1</x:v>
      </x:c>
      <x:c r="L1175" s="22" t="n">
        <x:v>1</x:v>
      </x:c>
      <x:c r="M1175" s="28" t="n">
        <x:v>3</x:v>
      </x:c>
      <x:c r="N1175" s="28" t="n">
        <x:v>1476</x:v>
      </x:c>
      <x:c r="O1175" s="28" t="n">
        <x:v>782</x:v>
      </x:c>
      <x:c r="P1175" s="62" t="n">
        <x:v>0.5298102981029811</x:v>
      </x:c>
      <x:c r="Q1175" s="22" t="n">
        <x:v>1</x:v>
      </x:c>
      <x:c r="R1175" s="22" t="str">
        <x:v>일위을지</x:v>
      </x:c>
      <x:c r="S1175" s="22" t="str">
        <x:v>hidden</x:v>
      </x:c>
      <x:c r="T1175" s="22" t="str"/>
    </x:row>
    <x:row r="1176">
      <x:c r="A1176" s="22" t="str">
        <x:v>2020-00119</x:v>
      </x:c>
      <x:c r="B1176" s="22" t="str">
        <x:v>L2025-00085-1</x:v>
      </x:c>
      <x:c r="C1176" s="22" t="str">
        <x:v>공사</x:v>
      </x:c>
      <x:c r="D1176" s="25" t="str">
        <x:v>(긴급) 한-이라크 심장병 어린이 전문 병원 신축공사(신규입찰)</x:v>
      </x:c>
      <x:c r="E1176" s="22" t="n">
        <x:v>1</x:v>
      </x:c>
      <x:c r="F1176" s="22" t="str">
        <x:v>.xlsm</x:v>
      </x:c>
      <x:c r="G1176" s="25" t="str">
        <x:v>L2025-00085-1/붙임2. 현지입찰(신규입찰) 서류 및 계약서류(안)/IKHCC Section 4 - IKHCC BLANK BOQ 250903_최종/5. Blank bill Elec revised 250812/BLANK BILL-ELEC - 0 (TOTAL).xlsm</x:v>
      </x:c>
      <x:c r="H1176" s="28" t="n">
        <x:v>526626</x:v>
      </x:c>
      <x:c r="I1176" s="22" t="str">
        <x:v>21096095d93be985d074b4a1e68330275ef71f2824b32410d598c7a1594b07f6</x:v>
      </x:c>
      <x:c r="J1176" s="22" t="n">
        <x:v>1</x:v>
      </x:c>
      <x:c r="K1176" s="22" t="n">
        <x:v>1</x:v>
      </x:c>
      <x:c r="L1176" s="22" t="n">
        <x:v>1</x:v>
      </x:c>
      <x:c r="M1176" s="28" t="n">
        <x:v>3</x:v>
      </x:c>
      <x:c r="N1176" s="28" t="n">
        <x:v>1476</x:v>
      </x:c>
      <x:c r="O1176" s="28" t="n">
        <x:v>782</x:v>
      </x:c>
      <x:c r="P1176" s="62" t="n">
        <x:v>0.5298102981029811</x:v>
      </x:c>
      <x:c r="Q1176" s="22" t="n">
        <x:v>1</x:v>
      </x:c>
      <x:c r="R1176" s="22" t="str">
        <x:v>일위을지</x:v>
      </x:c>
      <x:c r="S1176" s="22" t="str">
        <x:v>hidden</x:v>
      </x:c>
      <x:c r="T1176" s="22" t="str"/>
    </x:row>
    <x:row r="1177">
      <x:c r="A1177" s="22" t="str">
        <x:v>2020-00119</x:v>
      </x:c>
      <x:c r="B1177" s="22" t="str">
        <x:v>L2025-00085-1</x:v>
      </x:c>
      <x:c r="C1177" s="22" t="str">
        <x:v>공사</x:v>
      </x:c>
      <x:c r="D1177" s="25" t="str">
        <x:v>(긴급) 한-이라크 심장병 어린이 전문 병원 신축공사(신규입찰)</x:v>
      </x:c>
      <x:c r="E1177" s="22" t="n">
        <x:v>1</x:v>
      </x:c>
      <x:c r="F1177" s="22" t="str">
        <x:v>.xlsm</x:v>
      </x:c>
      <x:c r="G1177" s="25" t="str">
        <x:v>L2025-00085-1/붙임2. 현지입찰(신규입찰) 서류 및 계약서류(안)/IKHCC Section 4 - IKHCC BLANK BOQ 250903_최종/5. Blank bill Elec revised 250812/BLANK BILL-ELEC - A (HOSPITAL).xlsm</x:v>
      </x:c>
      <x:c r="H1177" s="28" t="n">
        <x:v>481577</x:v>
      </x:c>
      <x:c r="I1177" s="22" t="str">
        <x:v>33433bc4c641e89eb4c2ef46824bdc7e1a1d079f323f9d96823049336987ae6e</x:v>
      </x:c>
      <x:c r="J1177" s="22" t="n">
        <x:v>1</x:v>
      </x:c>
      <x:c r="K1177" s="22" t="n">
        <x:v>1</x:v>
      </x:c>
      <x:c r="L1177" s="22" t="n">
        <x:v>1</x:v>
      </x:c>
      <x:c r="M1177" s="28" t="n">
        <x:v>3</x:v>
      </x:c>
      <x:c r="N1177" s="28" t="n">
        <x:v>1476</x:v>
      </x:c>
      <x:c r="O1177" s="28" t="n">
        <x:v>782</x:v>
      </x:c>
      <x:c r="P1177" s="62" t="n">
        <x:v>0.5298102981029811</x:v>
      </x:c>
      <x:c r="Q1177" s="22" t="n">
        <x:v>0</x:v>
      </x:c>
      <x:c r="R1177" s="22" t="str">
        <x:v>일위을지</x:v>
      </x:c>
      <x:c r="S1177" s="22" t="str">
        <x:v>hidden</x:v>
      </x:c>
      <x:c r="T1177" s="22" t="str"/>
    </x:row>
    <x:row r="1178">
      <x:c r="A1178" s="22" t="str">
        <x:v>2020-00119</x:v>
      </x:c>
      <x:c r="B1178" s="22" t="str">
        <x:v>L2025-00085-1</x:v>
      </x:c>
      <x:c r="C1178" s="22" t="str">
        <x:v>공사</x:v>
      </x:c>
      <x:c r="D1178" s="25" t="str">
        <x:v>(긴급) 한-이라크 심장병 어린이 전문 병원 신축공사(신규입찰)</x:v>
      </x:c>
      <x:c r="E1178" s="22" t="n">
        <x:v>1</x:v>
      </x:c>
      <x:c r="F1178" s="22" t="str">
        <x:v>.xlsm</x:v>
      </x:c>
      <x:c r="G1178" s="25" t="str">
        <x:v>L2025-00085-1/붙임2. 현지입찰(신규입찰) 서류 및 계약서류(안)/IKHCC Section 4 - IKHCC BLANK BOQ 250903_최종/5. Blank bill Elec revised 250812/BLANK BILL-ELEC - C (BRIDGE).xlsm</x:v>
      </x:c>
      <x:c r="H1178" s="28" t="n">
        <x:v>528512</x:v>
      </x:c>
      <x:c r="I1178" s="22" t="str">
        <x:v>e9e9c097356f19ace92baa9eb41371ddaf6c4410bacb4fd4aeccd3016a75f597</x:v>
      </x:c>
      <x:c r="J1178" s="22" t="n">
        <x:v>1</x:v>
      </x:c>
      <x:c r="K1178" s="22" t="n">
        <x:v>1</x:v>
      </x:c>
      <x:c r="L1178" s="22" t="n">
        <x:v>1</x:v>
      </x:c>
      <x:c r="M1178" s="28" t="n">
        <x:v>3</x:v>
      </x:c>
      <x:c r="N1178" s="28" t="n">
        <x:v>1476</x:v>
      </x:c>
      <x:c r="O1178" s="28" t="n">
        <x:v>782</x:v>
      </x:c>
      <x:c r="P1178" s="62" t="n">
        <x:v>0.5298102981029811</x:v>
      </x:c>
      <x:c r="Q1178" s="22" t="n">
        <x:v>1</x:v>
      </x:c>
      <x:c r="R1178" s="22" t="str">
        <x:v>일위을지</x:v>
      </x:c>
      <x:c r="S1178" s="22" t="str">
        <x:v>hidden</x:v>
      </x:c>
      <x:c r="T1178" s="22" t="str"/>
    </x:row>
    <x:row r="1179">
      <x:c r="A1179" s="22" t="str">
        <x:v>2020-00119</x:v>
      </x:c>
      <x:c r="B1179" s="22" t="str">
        <x:v>L2025-00085-1</x:v>
      </x:c>
      <x:c r="C1179" s="22" t="str">
        <x:v>공사</x:v>
      </x:c>
      <x:c r="D1179" s="25" t="str">
        <x:v>(긴급) 한-이라크 심장병 어린이 전문 병원 신축공사(신규입찰)</x:v>
      </x:c>
      <x:c r="E1179" s="22" t="n">
        <x:v>1</x:v>
      </x:c>
      <x:c r="F1179" s="22" t="str">
        <x:v>.xls</x:v>
      </x:c>
      <x:c r="G1179" s="25" t="str">
        <x:v>L2025-00085-1/붙임2. 현지입찰(신규입찰) 서류 및 계약서류(안)/IKHCC Section 4 - IKHCC BLANK BOQ 250903_최종/3 CIVIL/BLANK BILL.CIVIL(HOSPITAL) .xls</x:v>
      </x:c>
      <x:c r="H1179" s="28" t="n">
        <x:v>81920</x:v>
      </x:c>
      <x:c r="I1179" s="22" t="str">
        <x:v>c0b0e1d857d357e06310785027eb14b6c6e3c28491c19fed4dfc9e3030f34ef2</x:v>
      </x:c>
      <x:c r="J1179" s="22" t="n">
        <x:v>1</x:v>
      </x:c>
      <x:c r="K1179" s="22" t="n">
        <x:v>1</x:v>
      </x:c>
      <x:c r="L1179" s="22" t="n">
        <x:v>1</x:v>
      </x:c>
      <x:c r="M1179" s="28" t="n">
        <x:v>0</x:v>
      </x:c>
      <x:c r="N1179" s="28" t="n">
        <x:v>0</x:v>
      </x:c>
      <x:c r="O1179" s="28" t="n">
        <x:v>0</x:v>
      </x:c>
      <x:c r="P1179" s="62" t="n">
        <x:v>0</x:v>
      </x:c>
      <x:c r="Q1179" s="22" t="n">
        <x:v>0</x:v>
      </x:c>
      <x:c r="R1179" s="22" t="str"/>
      <x:c r="S1179" s="22" t="str"/>
      <x:c r="T1179" s="22" t="str"/>
    </x:row>
    <x:row r="1180">
      <x:c r="A1180" s="22" t="str">
        <x:v>2020-00119</x:v>
      </x:c>
      <x:c r="B1180" s="22" t="str">
        <x:v>L2025-00085-1</x:v>
      </x:c>
      <x:c r="C1180" s="22" t="str">
        <x:v>공사</x:v>
      </x:c>
      <x:c r="D1180" s="25" t="str">
        <x:v>(긴급) 한-이라크 심장병 어린이 전문 병원 신축공사(신규입찰)</x:v>
      </x:c>
      <x:c r="E1180" s="22" t="n">
        <x:v>1</x:v>
      </x:c>
      <x:c r="F1180" s="22" t="str">
        <x:v>.xls</x:v>
      </x:c>
      <x:c r="G1180" s="25" t="str">
        <x:v>L2025-00085-1/붙임2. 현지입찰(신규입찰) 서류 및 계약서류(안)/IKHCC Section 4 - IKHCC BLANK BOQ 250903_최종/3 CIVIL/BLANK BILL.CIVIL(PARKING LOT).xls</x:v>
      </x:c>
      <x:c r="H1180" s="28" t="n">
        <x:v>58368</x:v>
      </x:c>
      <x:c r="I1180" s="22" t="str">
        <x:v>33510cb6918366ccd2e38ca39a6fe6a3a14e1ad8a37570bc850277811837ef6a</x:v>
      </x:c>
      <x:c r="J1180" s="22" t="n">
        <x:v>1</x:v>
      </x:c>
      <x:c r="K1180" s="22" t="n">
        <x:v>1</x:v>
      </x:c>
      <x:c r="L1180" s="22" t="n">
        <x:v>1</x:v>
      </x:c>
      <x:c r="M1180" s="28" t="n">
        <x:v>0</x:v>
      </x:c>
      <x:c r="N1180" s="28" t="n">
        <x:v>0</x:v>
      </x:c>
      <x:c r="O1180" s="28" t="n">
        <x:v>0</x:v>
      </x:c>
      <x:c r="P1180" s="62" t="n">
        <x:v>0</x:v>
      </x:c>
      <x:c r="Q1180" s="22" t="n">
        <x:v>0</x:v>
      </x:c>
      <x:c r="R1180" s="22" t="str"/>
      <x:c r="S1180" s="22" t="str"/>
      <x:c r="T1180" s="22" t="str"/>
    </x:row>
    <x:row r="1181">
      <x:c r="A1181" s="22" t="str">
        <x:v>2020-00119</x:v>
      </x:c>
      <x:c r="B1181" s="22" t="str">
        <x:v>L2025-00085-1</x:v>
      </x:c>
      <x:c r="C1181" s="22" t="str">
        <x:v>공사</x:v>
      </x:c>
      <x:c r="D1181" s="25" t="str">
        <x:v>(긴급) 한-이라크 심장병 어린이 전문 병원 신축공사(신규입찰)</x:v>
      </x:c>
      <x:c r="E1181" s="22" t="n">
        <x:v>1</x:v>
      </x:c>
      <x:c r="F1181" s="22" t="str">
        <x:v>.xls</x:v>
      </x:c>
      <x:c r="G1181" s="25" t="str">
        <x:v>L2025-00085-1/붙임2. 현지입찰(신규입찰) 서류 및 계약서류(안)/IKHCC Section 4 - IKHCC BLANK BOQ 250903_최종/3 CIVIL/BLANK BILL.CIVIL(BRIDGE)).xls</x:v>
      </x:c>
      <x:c r="H1181" s="28" t="n">
        <x:v>74240</x:v>
      </x:c>
      <x:c r="I1181" s="22" t="str">
        <x:v>7fbae1f3c71758b2f9dd4d91fc045323ea1864b4be9d2d301a2cbf63a5072570</x:v>
      </x:c>
      <x:c r="J1181" s="22" t="n">
        <x:v>1</x:v>
      </x:c>
      <x:c r="K1181" s="22" t="n">
        <x:v>1</x:v>
      </x:c>
      <x:c r="L1181" s="22" t="n">
        <x:v>1</x:v>
      </x:c>
      <x:c r="M1181" s="28" t="n">
        <x:v>0</x:v>
      </x:c>
      <x:c r="N1181" s="28" t="n">
        <x:v>0</x:v>
      </x:c>
      <x:c r="O1181" s="28" t="n">
        <x:v>0</x:v>
      </x:c>
      <x:c r="P1181" s="62" t="n">
        <x:v>0</x:v>
      </x:c>
      <x:c r="Q1181" s="22" t="n">
        <x:v>0</x:v>
      </x:c>
      <x:c r="R1181" s="22" t="str"/>
      <x:c r="S1181" s="22" t="str"/>
      <x:c r="T1181" s="22" t="str"/>
    </x:row>
    <x:row r="1182">
      <x:c r="A1182" s="22" t="str">
        <x:v>2020-00119</x:v>
      </x:c>
      <x:c r="B1182" s="22" t="str">
        <x:v>L2025-00085-1</x:v>
      </x:c>
      <x:c r="C1182" s="22" t="str">
        <x:v>공사</x:v>
      </x:c>
      <x:c r="D1182" s="25" t="str">
        <x:v>(긴급) 한-이라크 심장병 어린이 전문 병원 신축공사(신규입찰)</x:v>
      </x:c>
      <x:c r="E1182" s="22" t="n">
        <x:v>1</x:v>
      </x:c>
      <x:c r="F1182" s="22" t="str">
        <x:v>.xls</x:v>
      </x:c>
      <x:c r="G1182" s="25" t="str">
        <x:v>L2025-00085-1/붙임2. 현지입찰(신규입찰) 서류 및 계약서류(안)/IKHCC Section 4 - IKHCC BLANK BOQ 250903_최종/3 CIVIL/BLANK BILL.CIVIL (MEP).xls</x:v>
      </x:c>
      <x:c r="H1182" s="28" t="n">
        <x:v>74240</x:v>
      </x:c>
      <x:c r="I1182" s="22" t="str">
        <x:v>1c50470f6121836494e92fb616d765f06e8b3bc5153b11a3c8540a29ac1ec615</x:v>
      </x:c>
      <x:c r="J1182" s="22" t="n">
        <x:v>1</x:v>
      </x:c>
      <x:c r="K1182" s="22" t="n">
        <x:v>1</x:v>
      </x:c>
      <x:c r="L1182" s="22" t="n">
        <x:v>1</x:v>
      </x:c>
      <x:c r="M1182" s="28" t="n">
        <x:v>0</x:v>
      </x:c>
      <x:c r="N1182" s="28" t="n">
        <x:v>0</x:v>
      </x:c>
      <x:c r="O1182" s="28" t="n">
        <x:v>0</x:v>
      </x:c>
      <x:c r="P1182" s="62" t="n">
        <x:v>0</x:v>
      </x:c>
      <x:c r="Q1182" s="22" t="n">
        <x:v>0</x:v>
      </x:c>
      <x:c r="R1182" s="22" t="str"/>
      <x:c r="S1182" s="22" t="str"/>
      <x:c r="T1182" s="22" t="str"/>
    </x:row>
    <x:row r="1183">
      <x:c r="A1183" s="22" t="str">
        <x:v>2020-00119</x:v>
      </x:c>
      <x:c r="B1183" s="22" t="str">
        <x:v>L2025-00085-1</x:v>
      </x:c>
      <x:c r="C1183" s="22" t="str">
        <x:v>공사</x:v>
      </x:c>
      <x:c r="D1183" s="25" t="str">
        <x:v>(긴급) 한-이라크 심장병 어린이 전문 병원 신축공사(신규입찰)</x:v>
      </x:c>
      <x:c r="E1183" s="22" t="n">
        <x:v>1</x:v>
      </x:c>
      <x:c r="F1183" s="22" t="str">
        <x:v>.xlsx</x:v>
      </x:c>
      <x:c r="G1183" s="25" t="str">
        <x:v>L2025-00085-1/붙임2. 현지입찰(신규입찰) 서류 및 계약서류(안)/IKHCC Section 4 - IKHCC BLANK BOQ 250903_최종/8 Mob &amp; Signage/BILL No8-2 Signages-blank.xlsx</x:v>
      </x:c>
      <x:c r="H1183" s="28" t="n">
        <x:v>31619</x:v>
      </x:c>
      <x:c r="I1183" s="22" t="str">
        <x:v>4421d3cb9982d35873aa1763a4a7b1ee4b0d235faaeed68ee92551a4fa1c803f</x:v>
      </x:c>
      <x:c r="J1183" s="22" t="n">
        <x:v>1</x:v>
      </x:c>
      <x:c r="K1183" s="22" t="n">
        <x:v>1</x:v>
      </x:c>
      <x:c r="L1183" s="22" t="n">
        <x:v>1</x:v>
      </x:c>
      <x:c r="M1183" s="28" t="n">
        <x:v>1</x:v>
      </x:c>
      <x:c r="N1183" s="28" t="n">
        <x:v>6</x:v>
      </x:c>
      <x:c r="O1183" s="28" t="n">
        <x:v>0</x:v>
      </x:c>
      <x:c r="P1183" s="62" t="n">
        <x:v>0</x:v>
      </x:c>
      <x:c r="Q1183" s="22" t="n">
        <x:v>0</x:v>
      </x:c>
      <x:c r="R1183" s="22" t="str">
        <x:v>Works particular bill</x:v>
      </x:c>
      <x:c r="S1183" s="22" t="str">
        <x:v>visible</x:v>
      </x:c>
      <x:c r="T1183" s="22" t="str"/>
    </x:row>
    <x:row r="1184">
      <x:c r="A1184" s="22" t="str">
        <x:v>2020-00119</x:v>
      </x:c>
      <x:c r="B1184" s="22" t="str">
        <x:v>L2025-00085-1</x:v>
      </x:c>
      <x:c r="C1184" s="22" t="str">
        <x:v>공사</x:v>
      </x:c>
      <x:c r="D1184" s="25" t="str">
        <x:v>(긴급) 한-이라크 심장병 어린이 전문 병원 신축공사(신규입찰)</x:v>
      </x:c>
      <x:c r="E1184" s="22" t="n">
        <x:v>1</x:v>
      </x:c>
      <x:c r="F1184" s="22" t="str">
        <x:v>.xlsx</x:v>
      </x:c>
      <x:c r="G1184" s="25" t="str">
        <x:v>L2025-00085-1/붙임2. 현지입찰(신규입찰) 서류 및 계약서류(안)/IKHCC Section 4 - IKHCC BLANK BOQ 250903_최종/8 Mob &amp; Signage/BILL No8-1 -Mobilization Works-blank.xlsx</x:v>
      </x:c>
      <x:c r="H1184" s="28" t="n">
        <x:v>638347</x:v>
      </x:c>
      <x:c r="I1184" s="22" t="str">
        <x:v>95772272ef1568157e0f604c1bb0cae64d776ffaf2b58cf9d26e389a796bb67e</x:v>
      </x:c>
      <x:c r="J1184" s="22" t="n">
        <x:v>1</x:v>
      </x:c>
      <x:c r="K1184" s="22" t="n">
        <x:v>1</x:v>
      </x:c>
      <x:c r="L1184" s="22" t="n">
        <x:v>1</x:v>
      </x:c>
      <x:c r="M1184" s="28" t="n">
        <x:v>1</x:v>
      </x:c>
      <x:c r="N1184" s="28" t="n">
        <x:v>34</x:v>
      </x:c>
      <x:c r="O1184" s="28" t="n">
        <x:v>0</x:v>
      </x:c>
      <x:c r="P1184" s="62" t="n">
        <x:v>0</x:v>
      </x:c>
      <x:c r="Q1184" s="22" t="n">
        <x:v>0</x:v>
      </x:c>
      <x:c r="R1184" s="22" t="str">
        <x:v>Mobilization</x:v>
      </x:c>
      <x:c r="S1184" s="22" t="str">
        <x:v>visible</x:v>
      </x:c>
      <x:c r="T1184" s="22" t="str"/>
    </x:row>
    <x:row r="1185">
      <x:c r="A1185" s="22" t="str">
        <x:v>2020-00119</x:v>
      </x:c>
      <x:c r="B1185" s="22" t="str">
        <x:v>L2025-00085-1</x:v>
      </x:c>
      <x:c r="C1185" s="22" t="str">
        <x:v>공사</x:v>
      </x:c>
      <x:c r="D1185" s="25" t="str">
        <x:v>(긴급) 한-이라크 심장병 어린이 전문 병원 신축공사(신규입찰)</x:v>
      </x:c>
      <x:c r="E1185" s="22" t="n">
        <x:v>1</x:v>
      </x:c>
      <x:c r="F1185" s="22" t="str">
        <x:v>.xls</x:v>
      </x:c>
      <x:c r="G1185" s="25" t="str">
        <x:v>L2025-00085-1/붙임2. 현지입찰(신규입찰) 서류 및 계약서류(안)/IKHCC Section 4 - IKHCC BLANK BOQ 250903_최종/4 MECH/BLANK  BILL.MECH(TOTAL).xls</x:v>
      </x:c>
      <x:c r="H1185" s="28" t="n">
        <x:v>1402880</x:v>
      </x:c>
      <x:c r="I1185" s="22" t="str">
        <x:v>943c92d368e4e26e68ff2d5dc17a80fc0672c2766d586d3aa6c68578e0614040</x:v>
      </x:c>
      <x:c r="J1185" s="22" t="n">
        <x:v>1</x:v>
      </x:c>
      <x:c r="K1185" s="22" t="n">
        <x:v>1</x:v>
      </x:c>
      <x:c r="L1185" s="22" t="n">
        <x:v>1</x:v>
      </x:c>
      <x:c r="M1185" s="28" t="n">
        <x:v>1</x:v>
      </x:c>
      <x:c r="N1185" s="28" t="n">
        <x:v>831</x:v>
      </x:c>
      <x:c r="O1185" s="28" t="n">
        <x:v>823</x:v>
      </x:c>
      <x:c r="P1185" s="62" t="n">
        <x:v>0.9903730445246691</x:v>
      </x:c>
      <x:c r="Q1185" s="22" t="n">
        <x:v>1</x:v>
      </x:c>
      <x:c r="R1185" s="22" t="str">
        <x:v>일위대가</x:v>
      </x:c>
      <x:c r="S1185" s="22" t="str">
        <x:v>hidden</x:v>
      </x:c>
      <x:c r="T1185" s="22" t="str"/>
    </x:row>
    <x:row r="1186">
      <x:c r="A1186" s="22" t="str">
        <x:v>2020-00119</x:v>
      </x:c>
      <x:c r="B1186" s="22" t="str">
        <x:v>L2025-00085-1</x:v>
      </x:c>
      <x:c r="C1186" s="22" t="str">
        <x:v>공사</x:v>
      </x:c>
      <x:c r="D1186" s="25" t="str">
        <x:v>(긴급) 한-이라크 심장병 어린이 전문 병원 신축공사(신규입찰)</x:v>
      </x:c>
      <x:c r="E1186" s="22" t="n">
        <x:v>1</x:v>
      </x:c>
      <x:c r="F1186" s="22" t="str">
        <x:v>.xls</x:v>
      </x:c>
      <x:c r="G1186" s="25" t="str">
        <x:v>L2025-00085-1/붙임2. 현지입찰(신규입찰) 서류 및 계약서류(안)/IKHCC Section 4 - IKHCC BLANK BOQ 250903_최종/4 MECH/BLANK BILL.MECH(MEP).xls</x:v>
      </x:c>
      <x:c r="H1186" s="28" t="n">
        <x:v>1337344</x:v>
      </x:c>
      <x:c r="I1186" s="22" t="str">
        <x:v>2d0e5689227e4bbd2311904d4351ff0bca308e5b11c4d1d202496909acd5388c</x:v>
      </x:c>
      <x:c r="J1186" s="22" t="n">
        <x:v>1</x:v>
      </x:c>
      <x:c r="K1186" s="22" t="n">
        <x:v>1</x:v>
      </x:c>
      <x:c r="L1186" s="22" t="n">
        <x:v>1</x:v>
      </x:c>
      <x:c r="M1186" s="28" t="n">
        <x:v>1</x:v>
      </x:c>
      <x:c r="N1186" s="28" t="n">
        <x:v>831</x:v>
      </x:c>
      <x:c r="O1186" s="28" t="n">
        <x:v>823</x:v>
      </x:c>
      <x:c r="P1186" s="62" t="n">
        <x:v>0.9903730445246691</x:v>
      </x:c>
      <x:c r="Q1186" s="22" t="n">
        <x:v>1</x:v>
      </x:c>
      <x:c r="R1186" s="22" t="str">
        <x:v>일위대가</x:v>
      </x:c>
      <x:c r="S1186" s="22" t="str">
        <x:v>hidden</x:v>
      </x:c>
      <x:c r="T1186" s="22" t="str"/>
    </x:row>
    <x:row r="1187">
      <x:c r="A1187" s="22" t="str">
        <x:v>2020-00119</x:v>
      </x:c>
      <x:c r="B1187" s="22" t="str">
        <x:v>L2025-00085-1</x:v>
      </x:c>
      <x:c r="C1187" s="22" t="str">
        <x:v>공사</x:v>
      </x:c>
      <x:c r="D1187" s="25" t="str">
        <x:v>(긴급) 한-이라크 심장병 어린이 전문 병원 신축공사(신규입찰)</x:v>
      </x:c>
      <x:c r="E1187" s="22" t="n">
        <x:v>1</x:v>
      </x:c>
      <x:c r="F1187" s="22" t="str">
        <x:v>.xls</x:v>
      </x:c>
      <x:c r="G1187" s="25" t="str">
        <x:v>L2025-00085-1/붙임2. 현지입찰(신규입찰) 서류 및 계약서류(안)/IKHCC Section 4 - IKHCC BLANK BOQ 250903_최종/4 MECH/BLANK BILL.MECH(HOSPITAL).xls</x:v>
      </x:c>
      <x:c r="H1187" s="28" t="n">
        <x:v>1235968</x:v>
      </x:c>
      <x:c r="I1187" s="22" t="str">
        <x:v>8720d754cc3e986be036e1cfdef45baf74559f7549f20d481b8bac23e8336af7</x:v>
      </x:c>
      <x:c r="J1187" s="22" t="n">
        <x:v>1</x:v>
      </x:c>
      <x:c r="K1187" s="22" t="n">
        <x:v>1</x:v>
      </x:c>
      <x:c r="L1187" s="22" t="n">
        <x:v>1</x:v>
      </x:c>
      <x:c r="M1187" s="28" t="n">
        <x:v>1</x:v>
      </x:c>
      <x:c r="N1187" s="28" t="n">
        <x:v>831</x:v>
      </x:c>
      <x:c r="O1187" s="28" t="n">
        <x:v>823</x:v>
      </x:c>
      <x:c r="P1187" s="62" t="n">
        <x:v>0.9903730445246691</x:v>
      </x:c>
      <x:c r="Q1187" s="22" t="n">
        <x:v>1</x:v>
      </x:c>
      <x:c r="R1187" s="22" t="str">
        <x:v>일위대가</x:v>
      </x:c>
      <x:c r="S1187" s="22" t="str">
        <x:v>hidden</x:v>
      </x:c>
      <x:c r="T1187" s="22" t="str"/>
    </x:row>
    <x:row r="1188">
      <x:c r="A1188" s="22" t="str">
        <x:v>2020-00119</x:v>
      </x:c>
      <x:c r="B1188" s="22" t="str">
        <x:v>L2025-00085-1</x:v>
      </x:c>
      <x:c r="C1188" s="22" t="str">
        <x:v>공사</x:v>
      </x:c>
      <x:c r="D1188" s="25" t="str">
        <x:v>(긴급) 한-이라크 심장병 어린이 전문 병원 신축공사(신규입찰)</x:v>
      </x:c>
      <x:c r="E1188" s="22" t="n">
        <x:v>1</x:v>
      </x:c>
      <x:c r="F1188" s="22" t="str">
        <x:v>.xls</x:v>
      </x:c>
      <x:c r="G1188" s="25" t="str">
        <x:v>L2025-00085-1/붙임2. 현지입찰(신규입찰) 서류 및 계약서류(안)/IKHCC Section 4 - IKHCC BLANK BOQ 250903_최종/4 MECH/BLANK BILL.MECH(BRIDGE).xls</x:v>
      </x:c>
      <x:c r="H1188" s="28" t="n">
        <x:v>1424896</x:v>
      </x:c>
      <x:c r="I1188" s="22" t="str">
        <x:v>b61e26e6dff7092b2fe58420cc843f0e7722f7a0335f7bcb6684128a02b6ec16</x:v>
      </x:c>
      <x:c r="J1188" s="22" t="n">
        <x:v>1</x:v>
      </x:c>
      <x:c r="K1188" s="22" t="n">
        <x:v>1</x:v>
      </x:c>
      <x:c r="L1188" s="22" t="n">
        <x:v>1</x:v>
      </x:c>
      <x:c r="M1188" s="28" t="n">
        <x:v>1</x:v>
      </x:c>
      <x:c r="N1188" s="28" t="n">
        <x:v>831</x:v>
      </x:c>
      <x:c r="O1188" s="28" t="n">
        <x:v>823</x:v>
      </x:c>
      <x:c r="P1188" s="62" t="n">
        <x:v>0.9903730445246691</x:v>
      </x:c>
      <x:c r="Q1188" s="22" t="n">
        <x:v>1</x:v>
      </x:c>
      <x:c r="R1188" s="22" t="str">
        <x:v>일위대가</x:v>
      </x:c>
      <x:c r="S1188" s="22" t="str">
        <x:v>hidden</x:v>
      </x:c>
      <x:c r="T1188" s="22" t="str"/>
    </x:row>
    <x:row r="1189">
      <x:c r="A1189" s="22" t="str">
        <x:v>2020-00119</x:v>
      </x:c>
      <x:c r="B1189" s="22" t="str">
        <x:v>L2025-00085-1</x:v>
      </x:c>
      <x:c r="C1189" s="22" t="str">
        <x:v>공사</x:v>
      </x:c>
      <x:c r="D1189" s="25" t="str">
        <x:v>(긴급) 한-이라크 심장병 어린이 전문 병원 신축공사(신규입찰)</x:v>
      </x:c>
      <x:c r="E1189" s="22" t="n">
        <x:v>1</x:v>
      </x:c>
      <x:c r="F1189" s="22" t="str">
        <x:v>.xlsx</x:v>
      </x:c>
      <x:c r="G1189" s="25" t="str">
        <x:v>L2025-00085-1/붙임2. 현지입찰(신규입찰) 서류 및 계약서류(안)/IKHCC Section 4 - IKHCC BLANK BOQ 250903_최종/1 Architectural &amp; summery/BILL No1 -Architectural Works-01. HOSPITAL(BLANK BILL).xlsx</x:v>
      </x:c>
      <x:c r="H1189" s="28" t="n">
        <x:v>677921</x:v>
      </x:c>
      <x:c r="I1189" s="22" t="str">
        <x:v>47d79c95e2c3273f84778935276c94526e369cc1b1bc057f6b03c998f44e253f</x:v>
      </x:c>
      <x:c r="J1189" s="22" t="n">
        <x:v>1</x:v>
      </x:c>
      <x:c r="K1189" s="22" t="n">
        <x:v>1</x:v>
      </x:c>
      <x:c r="L1189" s="22" t="n">
        <x:v>1</x:v>
      </x:c>
      <x:c r="M1189" s="28" t="n">
        <x:v>2</x:v>
      </x:c>
      <x:c r="N1189" s="28" t="n">
        <x:v>377</x:v>
      </x:c>
      <x:c r="O1189" s="28" t="n">
        <x:v>0</x:v>
      </x:c>
      <x:c r="P1189" s="62" t="n">
        <x:v>0</x:v>
      </x:c>
      <x:c r="Q1189" s="22" t="n">
        <x:v>0</x:v>
      </x:c>
      <x:c r="R1189" s="22" t="str">
        <x:v>Works particular bill</x:v>
      </x:c>
      <x:c r="S1189" s="22" t="str">
        <x:v>visible</x:v>
      </x:c>
      <x:c r="T1189" s="22" t="str"/>
    </x:row>
    <x:row r="1190">
      <x:c r="A1190" s="22" t="str">
        <x:v>2020-00119</x:v>
      </x:c>
      <x:c r="B1190" s="22" t="str">
        <x:v>L2025-00085-1</x:v>
      </x:c>
      <x:c r="C1190" s="22" t="str">
        <x:v>공사</x:v>
      </x:c>
      <x:c r="D1190" s="25" t="str">
        <x:v>(긴급) 한-이라크 심장병 어린이 전문 병원 신축공사(신규입찰)</x:v>
      </x:c>
      <x:c r="E1190" s="22" t="n">
        <x:v>1</x:v>
      </x:c>
      <x:c r="F1190" s="22" t="str">
        <x:v>.xlsx</x:v>
      </x:c>
      <x:c r="G1190" s="25" t="str">
        <x:v>L2025-00085-1/붙임2. 현지입찰(신규입찰) 서류 및 계약서류(안)/IKHCC Section 4 - IKHCC BLANK BOQ 250903_최종/1 Architectural &amp; summery/BILL No1 -Architectural Works-03. BRIDGE(BLANK BILL).xlsx</x:v>
      </x:c>
      <x:c r="H1190" s="28" t="n">
        <x:v>643812</x:v>
      </x:c>
      <x:c r="I1190" s="22" t="str">
        <x:v>9af2b1263622fb9487fbf8ea97b31ead65763962f1c58d657985557a58983e83</x:v>
      </x:c>
      <x:c r="J1190" s="22" t="n">
        <x:v>1</x:v>
      </x:c>
      <x:c r="K1190" s="22" t="n">
        <x:v>1</x:v>
      </x:c>
      <x:c r="L1190" s="22" t="n">
        <x:v>1</x:v>
      </x:c>
      <x:c r="M1190" s="28" t="n">
        <x:v>2</x:v>
      </x:c>
      <x:c r="N1190" s="28" t="n">
        <x:v>48</x:v>
      </x:c>
      <x:c r="O1190" s="28" t="n">
        <x:v>0</x:v>
      </x:c>
      <x:c r="P1190" s="62" t="n">
        <x:v>0</x:v>
      </x:c>
      <x:c r="Q1190" s="22" t="n">
        <x:v>0</x:v>
      </x:c>
      <x:c r="R1190" s="22" t="str">
        <x:v>Works particular bill</x:v>
      </x:c>
      <x:c r="S1190" s="22" t="str">
        <x:v>visible</x:v>
      </x:c>
      <x:c r="T1190" s="22" t="str"/>
    </x:row>
    <x:row r="1191">
      <x:c r="A1191" s="22" t="str">
        <x:v>2020-00119</x:v>
      </x:c>
      <x:c r="B1191" s="22" t="str">
        <x:v>L2025-00085-1</x:v>
      </x:c>
      <x:c r="C1191" s="22" t="str">
        <x:v>공사</x:v>
      </x:c>
      <x:c r="D1191" s="25" t="str">
        <x:v>(긴급) 한-이라크 심장병 어린이 전문 병원 신축공사(신규입찰)</x:v>
      </x:c>
      <x:c r="E1191" s="22" t="n">
        <x:v>1</x:v>
      </x:c>
      <x:c r="F1191" s="22" t="str">
        <x:v>.xlsx</x:v>
      </x:c>
      <x:c r="G1191" s="25" t="str">
        <x:v>L2025-00085-1/붙임2. 현지입찰(신규입찰) 서류 및 계약서류(안)/IKHCC Section 4 - IKHCC BLANK BOQ 250903_최종/1 Architectural &amp; summery/BILL No1 -Architectural Works-02. MEP BUILDING(BLANK BILL).xlsx</x:v>
      </x:c>
      <x:c r="H1191" s="28" t="n">
        <x:v>670008</x:v>
      </x:c>
      <x:c r="I1191" s="22" t="str">
        <x:v>e882c3f7b2c691fc22ee6ee99fba87f9ca830eb3c133892b8c8800d7d02e97cb</x:v>
      </x:c>
      <x:c r="J1191" s="22" t="n">
        <x:v>1</x:v>
      </x:c>
      <x:c r="K1191" s="22" t="n">
        <x:v>1</x:v>
      </x:c>
      <x:c r="L1191" s="22" t="n">
        <x:v>1</x:v>
      </x:c>
      <x:c r="M1191" s="28" t="n">
        <x:v>2</x:v>
      </x:c>
      <x:c r="N1191" s="28" t="n">
        <x:v>149</x:v>
      </x:c>
      <x:c r="O1191" s="28" t="n">
        <x:v>0</x:v>
      </x:c>
      <x:c r="P1191" s="62" t="n">
        <x:v>0</x:v>
      </x:c>
      <x:c r="Q1191" s="22" t="n">
        <x:v>0</x:v>
      </x:c>
      <x:c r="R1191" s="22" t="str">
        <x:v>Works particular bill</x:v>
      </x:c>
      <x:c r="S1191" s="22" t="str">
        <x:v>visible</x:v>
      </x:c>
      <x:c r="T1191" s="22" t="str"/>
    </x:row>
    <x:row r="1192">
      <x:c r="A1192" s="22" t="str">
        <x:v>2020-00119</x:v>
      </x:c>
      <x:c r="B1192" s="22" t="str">
        <x:v>L2025-00085-1</x:v>
      </x:c>
      <x:c r="C1192" s="22" t="str">
        <x:v>공사</x:v>
      </x:c>
      <x:c r="D1192" s="25" t="str">
        <x:v>(긴급) 한-이라크 심장병 어린이 전문 병원 신축공사(신규입찰)</x:v>
      </x:c>
      <x:c r="E1192" s="22" t="n">
        <x:v>1</x:v>
      </x:c>
      <x:c r="F1192" s="22" t="str">
        <x:v>.xlsx</x:v>
      </x:c>
      <x:c r="G1192" s="25" t="str">
        <x:v>L2025-00085-1/붙임2. 현지입찰(신규입찰) 서류 및 계약서류(안)/IKHCC Section 4 - IKHCC BLANK BOQ 250903_최종/1 Architectural &amp; summery/Bill _Total Cost Summary-Blank 250306.xlsx</x:v>
      </x:c>
      <x:c r="H1192" s="28" t="n">
        <x:v>636201</x:v>
      </x:c>
      <x:c r="I1192" s="22" t="str">
        <x:v>91332400de69e34ae40026af2416f1b516644fe7da6004e86983efa25e049eac</x:v>
      </x:c>
      <x:c r="J1192" s="22" t="n">
        <x:v>1</x:v>
      </x:c>
      <x:c r="K1192" s="22" t="n">
        <x:v>1</x:v>
      </x:c>
      <x:c r="L1192" s="22" t="n">
        <x:v>1</x:v>
      </x:c>
      <x:c r="M1192" s="28" t="n">
        <x:v>0</x:v>
      </x:c>
      <x:c r="N1192" s="28" t="n">
        <x:v>0</x:v>
      </x:c>
      <x:c r="O1192" s="28" t="n">
        <x:v>0</x:v>
      </x:c>
      <x:c r="P1192" s="62" t="n">
        <x:v>0</x:v>
      </x:c>
      <x:c r="Q1192" s="22" t="n">
        <x:v>0</x:v>
      </x:c>
      <x:c r="R1192" s="22" t="str"/>
      <x:c r="S1192" s="22" t="str"/>
      <x:c r="T1192" s="22" t="str"/>
    </x:row>
    <x:row r="1193">
      <x:c r="A1193" s="22" t="str">
        <x:v>2020-00119</x:v>
      </x:c>
      <x:c r="B1193" s="22" t="str">
        <x:v>L2025-00085-1</x:v>
      </x:c>
      <x:c r="C1193" s="22" t="str">
        <x:v>공사</x:v>
      </x:c>
      <x:c r="D1193" s="25" t="str">
        <x:v>(긴급) 한-이라크 심장병 어린이 전문 병원 신축공사(신규입찰)</x:v>
      </x:c>
      <x:c r="E1193" s="22" t="n">
        <x:v>1</x:v>
      </x:c>
      <x:c r="F1193" s="22" t="str">
        <x:v>.xlsm</x:v>
      </x:c>
      <x:c r="G1193" s="25" t="str">
        <x:v>L2025-00085-1/붙임2. 현지입찰(신규입찰) 서류 및 계약서류(안)/IKHCC Section 4 - IKHCC BLANK BOQ 250903_최종/6.Blank bill Comm revised 250812/BLANK BILL-COMMUN - 0 (TOTAL).xlsm</x:v>
      </x:c>
      <x:c r="H1193" s="28" t="n">
        <x:v>326212</x:v>
      </x:c>
      <x:c r="I1193" s="22" t="str">
        <x:v>531209bc36fd5556f27cda100673dc9536c73b02d3f9bf7a6a89f35435375b14</x:v>
      </x:c>
      <x:c r="J1193" s="22" t="n">
        <x:v>1</x:v>
      </x:c>
      <x:c r="K1193" s="22" t="n">
        <x:v>1</x:v>
      </x:c>
      <x:c r="L1193" s="22" t="n">
        <x:v>1</x:v>
      </x:c>
      <x:c r="M1193" s="28" t="n">
        <x:v>3</x:v>
      </x:c>
      <x:c r="N1193" s="28" t="n">
        <x:v>826</x:v>
      </x:c>
      <x:c r="O1193" s="28" t="n">
        <x:v>479</x:v>
      </x:c>
      <x:c r="P1193" s="62" t="n">
        <x:v>0.5799031476997578</x:v>
      </x:c>
      <x:c r="Q1193" s="22" t="n">
        <x:v>1</x:v>
      </x:c>
      <x:c r="R1193" s="22" t="str">
        <x:v>일위을지</x:v>
      </x:c>
      <x:c r="S1193" s="22" t="str">
        <x:v>hidden</x:v>
      </x:c>
      <x:c r="T1193" s="22" t="str"/>
    </x:row>
    <x:row r="1194">
      <x:c r="A1194" s="22" t="str">
        <x:v>2020-00119</x:v>
      </x:c>
      <x:c r="B1194" s="22" t="str">
        <x:v>L2025-00085-1</x:v>
      </x:c>
      <x:c r="C1194" s="22" t="str">
        <x:v>공사</x:v>
      </x:c>
      <x:c r="D1194" s="25" t="str">
        <x:v>(긴급) 한-이라크 심장병 어린이 전문 병원 신축공사(신규입찰)</x:v>
      </x:c>
      <x:c r="E1194" s="22" t="n">
        <x:v>1</x:v>
      </x:c>
      <x:c r="F1194" s="22" t="str">
        <x:v>.xlsm</x:v>
      </x:c>
      <x:c r="G1194" s="25" t="str">
        <x:v>L2025-00085-1/붙임2. 현지입찰(신규입찰) 서류 및 계약서류(안)/IKHCC Section 4 - IKHCC BLANK BOQ 250903_최종/6.Blank bill Comm revised 250812/BLANK BILL-COMMUN - C (BRIDGE).xlsm</x:v>
      </x:c>
      <x:c r="H1194" s="28" t="n">
        <x:v>330971</x:v>
      </x:c>
      <x:c r="I1194" s="22" t="str">
        <x:v>40e1a242e8e22894db16ff02bc88da5a0378a15809bb07beacad2f113b644167</x:v>
      </x:c>
      <x:c r="J1194" s="22" t="n">
        <x:v>1</x:v>
      </x:c>
      <x:c r="K1194" s="22" t="n">
        <x:v>1</x:v>
      </x:c>
      <x:c r="L1194" s="22" t="n">
        <x:v>1</x:v>
      </x:c>
      <x:c r="M1194" s="28" t="n">
        <x:v>3</x:v>
      </x:c>
      <x:c r="N1194" s="28" t="n">
        <x:v>826</x:v>
      </x:c>
      <x:c r="O1194" s="28" t="n">
        <x:v>479</x:v>
      </x:c>
      <x:c r="P1194" s="62" t="n">
        <x:v>0.5799031476997578</x:v>
      </x:c>
      <x:c r="Q1194" s="22" t="n">
        <x:v>1</x:v>
      </x:c>
      <x:c r="R1194" s="22" t="str">
        <x:v>일위을지</x:v>
      </x:c>
      <x:c r="S1194" s="22" t="str">
        <x:v>hidden</x:v>
      </x:c>
      <x:c r="T1194" s="22" t="str"/>
    </x:row>
    <x:row r="1195">
      <x:c r="A1195" s="22" t="str">
        <x:v>2020-00119</x:v>
      </x:c>
      <x:c r="B1195" s="22" t="str">
        <x:v>L2025-00085-1</x:v>
      </x:c>
      <x:c r="C1195" s="22" t="str">
        <x:v>공사</x:v>
      </x:c>
      <x:c r="D1195" s="25" t="str">
        <x:v>(긴급) 한-이라크 심장병 어린이 전문 병원 신축공사(신규입찰)</x:v>
      </x:c>
      <x:c r="E1195" s="22" t="n">
        <x:v>1</x:v>
      </x:c>
      <x:c r="F1195" s="22" t="str">
        <x:v>.xlsm</x:v>
      </x:c>
      <x:c r="G1195" s="25" t="str">
        <x:v>L2025-00085-1/붙임2. 현지입찰(신규입찰) 서류 및 계약서류(안)/IKHCC Section 4 - IKHCC BLANK BOQ 250903_최종/6.Blank bill Comm revised 250812/BLANK BILL-COMMUN - B (MEP BUILDING).xlsm</x:v>
      </x:c>
      <x:c r="H1195" s="28" t="n">
        <x:v>326315</x:v>
      </x:c>
      <x:c r="I1195" s="22" t="str">
        <x:v>3578e3ca6d1f3136990f2e12009056b0b070e80a5e53b0f0746f3c42e9dc0f79</x:v>
      </x:c>
      <x:c r="J1195" s="22" t="n">
        <x:v>1</x:v>
      </x:c>
      <x:c r="K1195" s="22" t="n">
        <x:v>1</x:v>
      </x:c>
      <x:c r="L1195" s="22" t="n">
        <x:v>1</x:v>
      </x:c>
      <x:c r="M1195" s="28" t="n">
        <x:v>3</x:v>
      </x:c>
      <x:c r="N1195" s="28" t="n">
        <x:v>826</x:v>
      </x:c>
      <x:c r="O1195" s="28" t="n">
        <x:v>479</x:v>
      </x:c>
      <x:c r="P1195" s="62" t="n">
        <x:v>0.5799031476997578</x:v>
      </x:c>
      <x:c r="Q1195" s="22" t="n">
        <x:v>1</x:v>
      </x:c>
      <x:c r="R1195" s="22" t="str">
        <x:v>일위을지</x:v>
      </x:c>
      <x:c r="S1195" s="22" t="str">
        <x:v>hidden</x:v>
      </x:c>
      <x:c r="T1195" s="22" t="str"/>
    </x:row>
    <x:row r="1196">
      <x:c r="A1196" s="22" t="str">
        <x:v>2020-00119</x:v>
      </x:c>
      <x:c r="B1196" s="22" t="str">
        <x:v>L2025-00085-1</x:v>
      </x:c>
      <x:c r="C1196" s="22" t="str">
        <x:v>공사</x:v>
      </x:c>
      <x:c r="D1196" s="25" t="str">
        <x:v>(긴급) 한-이라크 심장병 어린이 전문 병원 신축공사(신규입찰)</x:v>
      </x:c>
      <x:c r="E1196" s="22" t="n">
        <x:v>1</x:v>
      </x:c>
      <x:c r="F1196" s="22" t="str">
        <x:v>.xlsm</x:v>
      </x:c>
      <x:c r="G1196" s="25" t="str">
        <x:v>L2025-00085-1/붙임2. 현지입찰(신규입찰) 서류 및 계약서류(안)/IKHCC Section 4 - IKHCC BLANK BOQ 250903_최종/6.Blank bill Comm revised 250812/BLANK BILL-COMMUN - A (HOSPITAL).xlsm</x:v>
      </x:c>
      <x:c r="H1196" s="28" t="n">
        <x:v>289659</x:v>
      </x:c>
      <x:c r="I1196" s="22" t="str">
        <x:v>e77a6c920e625055518141f190d459882c70792f382551359dd5293c03a7a322</x:v>
      </x:c>
      <x:c r="J1196" s="22" t="n">
        <x:v>1</x:v>
      </x:c>
      <x:c r="K1196" s="22" t="n">
        <x:v>1</x:v>
      </x:c>
      <x:c r="L1196" s="22" t="n">
        <x:v>1</x:v>
      </x:c>
      <x:c r="M1196" s="28" t="n">
        <x:v>3</x:v>
      </x:c>
      <x:c r="N1196" s="28" t="n">
        <x:v>826</x:v>
      </x:c>
      <x:c r="O1196" s="28" t="n">
        <x:v>479</x:v>
      </x:c>
      <x:c r="P1196" s="62" t="n">
        <x:v>0.5799031476997578</x:v>
      </x:c>
      <x:c r="Q1196" s="22" t="n">
        <x:v>0</x:v>
      </x:c>
      <x:c r="R1196" s="22" t="str">
        <x:v>일위을지</x:v>
      </x:c>
      <x:c r="S1196" s="22" t="str">
        <x:v>hidden</x:v>
      </x:c>
      <x:c r="T1196" s="22" t="str"/>
    </x:row>
    <x:row r="1197">
      <x:c r="A1197" s="22" t="str">
        <x:v>2020-00119</x:v>
      </x:c>
      <x:c r="B1197" s="22" t="str">
        <x:v>L2025-00085-1</x:v>
      </x:c>
      <x:c r="C1197" s="22" t="str">
        <x:v>공사</x:v>
      </x:c>
      <x:c r="D1197" s="25" t="str">
        <x:v>(긴급) 한-이라크 심장병 어린이 전문 병원 신축공사(신규입찰)</x:v>
      </x:c>
      <x:c r="E1197" s="22" t="n">
        <x:v>1</x:v>
      </x:c>
      <x:c r="F1197" s="22" t="str">
        <x:v>.xlsx</x:v>
      </x:c>
      <x:c r="G1197" s="25" t="str">
        <x:v>L2025-00085-1/붙임2. 현지입찰(신규입찰) 서류 및 계약서류(안)/IKHCC Section 4 - IKHCC BLANK BOQ 250903_최종/2 Land/BILL No2-LAND-blank.xlsx</x:v>
      </x:c>
      <x:c r="H1197" s="28" t="n">
        <x:v>61604</x:v>
      </x:c>
      <x:c r="I1197" s="22" t="str">
        <x:v>c1bc5d70f7890380284bc1ac52db2ebd9027a588f1855aab191d262d2d5e98ba</x:v>
      </x:c>
      <x:c r="J1197" s="22" t="n">
        <x:v>1</x:v>
      </x:c>
      <x:c r="K1197" s="22" t="n">
        <x:v>1</x:v>
      </x:c>
      <x:c r="L1197" s="22" t="n">
        <x:v>1</x:v>
      </x:c>
      <x:c r="M1197" s="28" t="n">
        <x:v>0</x:v>
      </x:c>
      <x:c r="N1197" s="28" t="n">
        <x:v>0</x:v>
      </x:c>
      <x:c r="O1197" s="28" t="n">
        <x:v>0</x:v>
      </x:c>
      <x:c r="P1197" s="62" t="n">
        <x:v>0</x:v>
      </x:c>
      <x:c r="Q1197" s="22" t="n">
        <x:v>0</x:v>
      </x:c>
      <x:c r="R1197" s="22" t="str"/>
      <x:c r="S1197" s="22" t="str"/>
      <x:c r="T1197" s="22" t="str"/>
    </x:row>
    <x:row r="1198">
      <x:c r="A1198" s="22" t="str">
        <x:v>2020-00119</x:v>
      </x:c>
      <x:c r="B1198" s="22" t="str">
        <x:v>L2025-00085-1</x:v>
      </x:c>
      <x:c r="C1198" s="22" t="str">
        <x:v>공사</x:v>
      </x:c>
      <x:c r="D1198" s="25" t="str">
        <x:v>(긴급) 한-이라크 심장병 어린이 전문 병원 신축공사(신규입찰)</x:v>
      </x:c>
      <x:c r="E1198" s="22" t="n">
        <x:v>1</x:v>
      </x:c>
      <x:c r="F1198" s="22" t="str">
        <x:v>.xlsm</x:v>
      </x:c>
      <x:c r="G1198" s="25" t="str">
        <x:v>L2025-00085-1/붙임2. 현지입찰(신규입찰) 서류 및 계약서류(안)/IKHCC Section 4 - IKHCC BLANK BOQ 250903_최종/7. Blank bill Firefighting revised 250811/FIREFIGHTING_ELEC/BLANK BILL-FIRE FIGHTING ELEC - 0 (TOTAL).xlsm</x:v>
      </x:c>
      <x:c r="H1198" s="28" t="n">
        <x:v>107555</x:v>
      </x:c>
      <x:c r="I1198" s="22" t="str">
        <x:v>83f64c03b3ed36d32e44a5a855a050c75a9fdca09e13d0409d4bbfc481a02d66</x:v>
      </x:c>
      <x:c r="J1198" s="22" t="n">
        <x:v>1</x:v>
      </x:c>
      <x:c r="K1198" s="22" t="n">
        <x:v>1</x:v>
      </x:c>
      <x:c r="L1198" s="22" t="n">
        <x:v>1</x:v>
      </x:c>
      <x:c r="M1198" s="28" t="n">
        <x:v>3</x:v>
      </x:c>
      <x:c r="N1198" s="28" t="n">
        <x:v>250</x:v>
      </x:c>
      <x:c r="O1198" s="28" t="n">
        <x:v>86</x:v>
      </x:c>
      <x:c r="P1198" s="62" t="n">
        <x:v>0</x:v>
      </x:c>
      <x:c r="Q1198" s="22" t="n">
        <x:v>0</x:v>
      </x:c>
      <x:c r="R1198" s="22" t="str">
        <x:v>일위을지</x:v>
      </x:c>
      <x:c r="S1198" s="22" t="str">
        <x:v>hidden</x:v>
      </x:c>
      <x:c r="T1198" s="22" t="str"/>
    </x:row>
    <x:row r="1199">
      <x:c r="A1199" s="22" t="str">
        <x:v>2020-00119</x:v>
      </x:c>
      <x:c r="B1199" s="22" t="str">
        <x:v>L2025-00085-1</x:v>
      </x:c>
      <x:c r="C1199" s="22" t="str">
        <x:v>공사</x:v>
      </x:c>
      <x:c r="D1199" s="25" t="str">
        <x:v>(긴급) 한-이라크 심장병 어린이 전문 병원 신축공사(신규입찰)</x:v>
      </x:c>
      <x:c r="E1199" s="22" t="n">
        <x:v>1</x:v>
      </x:c>
      <x:c r="F1199" s="22" t="str">
        <x:v>.xlsm</x:v>
      </x:c>
      <x:c r="G1199" s="25" t="str">
        <x:v>L2025-00085-1/붙임2. 현지입찰(신규입찰) 서류 및 계약서류(안)/IKHCC Section 4 - IKHCC BLANK BOQ 250903_최종/7. Blank bill Firefighting revised 250811/FIREFIGHTING_ELEC/BLANK BILL-FIRE FIGHTING ELEC - C (BRIDGE).xlsm</x:v>
      </x:c>
      <x:c r="H1199" s="28" t="n">
        <x:v>108291</x:v>
      </x:c>
      <x:c r="I1199" s="22" t="str">
        <x:v>a66b56e34694551d25d1c71e5d21cdd34ef6cdc5d1fe9913d7a8fdd2168407ed</x:v>
      </x:c>
      <x:c r="J1199" s="22" t="n">
        <x:v>1</x:v>
      </x:c>
      <x:c r="K1199" s="22" t="n">
        <x:v>1</x:v>
      </x:c>
      <x:c r="L1199" s="22" t="n">
        <x:v>1</x:v>
      </x:c>
      <x:c r="M1199" s="28" t="n">
        <x:v>3</x:v>
      </x:c>
      <x:c r="N1199" s="28" t="n">
        <x:v>250</x:v>
      </x:c>
      <x:c r="O1199" s="28" t="n">
        <x:v>75</x:v>
      </x:c>
      <x:c r="P1199" s="62" t="n">
        <x:v>0</x:v>
      </x:c>
      <x:c r="Q1199" s="22" t="n">
        <x:v>0</x:v>
      </x:c>
      <x:c r="R1199" s="22" t="str">
        <x:v>일위을지</x:v>
      </x:c>
      <x:c r="S1199" s="22" t="str">
        <x:v>hidden</x:v>
      </x:c>
      <x:c r="T1199" s="22" t="str"/>
    </x:row>
    <x:row r="1200">
      <x:c r="A1200" s="22" t="str">
        <x:v>2020-00119</x:v>
      </x:c>
      <x:c r="B1200" s="22" t="str">
        <x:v>L2025-00085-1</x:v>
      </x:c>
      <x:c r="C1200" s="22" t="str">
        <x:v>공사</x:v>
      </x:c>
      <x:c r="D1200" s="25" t="str">
        <x:v>(긴급) 한-이라크 심장병 어린이 전문 병원 신축공사(신규입찰)</x:v>
      </x:c>
      <x:c r="E1200" s="22" t="n">
        <x:v>1</x:v>
      </x:c>
      <x:c r="F1200" s="22" t="str">
        <x:v>.xlsm</x:v>
      </x:c>
      <x:c r="G1200" s="25" t="str">
        <x:v>L2025-00085-1/붙임2. 현지입찰(신규입찰) 서류 및 계약서류(안)/IKHCC Section 4 - IKHCC BLANK BOQ 250903_최종/7. Blank bill Firefighting revised 250811/FIREFIGHTING_ELEC/BLANK BILL-FIRE FIGHTING ELEC - B (MEP BUILDING).xlsm</x:v>
      </x:c>
      <x:c r="H1200" s="28" t="n">
        <x:v>105175</x:v>
      </x:c>
      <x:c r="I1200" s="22" t="str">
        <x:v>21ba91bb3b87cc4a3fbb83a64a4685c946ad254bee1449d1f253a46e3fbf8544</x:v>
      </x:c>
      <x:c r="J1200" s="22" t="n">
        <x:v>1</x:v>
      </x:c>
      <x:c r="K1200" s="22" t="n">
        <x:v>1</x:v>
      </x:c>
      <x:c r="L1200" s="22" t="n">
        <x:v>1</x:v>
      </x:c>
      <x:c r="M1200" s="28" t="n">
        <x:v>3</x:v>
      </x:c>
      <x:c r="N1200" s="28" t="n">
        <x:v>250</x:v>
      </x:c>
      <x:c r="O1200" s="28" t="n">
        <x:v>51</x:v>
      </x:c>
      <x:c r="P1200" s="62" t="n">
        <x:v>0</x:v>
      </x:c>
      <x:c r="Q1200" s="22" t="n">
        <x:v>0</x:v>
      </x:c>
      <x:c r="R1200" s="22" t="str">
        <x:v>일위을지</x:v>
      </x:c>
      <x:c r="S1200" s="22" t="str">
        <x:v>hidden</x:v>
      </x:c>
      <x:c r="T1200" s="22" t="str"/>
    </x:row>
    <x:row r="1201">
      <x:c r="A1201" s="22" t="str">
        <x:v>2020-00119</x:v>
      </x:c>
      <x:c r="B1201" s="22" t="str">
        <x:v>L2025-00085-1</x:v>
      </x:c>
      <x:c r="C1201" s="22" t="str">
        <x:v>공사</x:v>
      </x:c>
      <x:c r="D1201" s="25" t="str">
        <x:v>(긴급) 한-이라크 심장병 어린이 전문 병원 신축공사(신규입찰)</x:v>
      </x:c>
      <x:c r="E1201" s="22" t="n">
        <x:v>1</x:v>
      </x:c>
      <x:c r="F1201" s="22" t="str">
        <x:v>.xlsm</x:v>
      </x:c>
      <x:c r="G1201" s="25" t="str">
        <x:v>L2025-00085-1/붙임2. 현지입찰(신규입찰) 서류 및 계약서류(안)/IKHCC Section 4 - IKHCC BLANK BOQ 250903_최종/7. Blank bill Firefighting revised 250811/FIREFIGHTING_ELEC/BLANK BILL-FIRE FIGHTING ELEC - A (HOSPITAL).xlsm</x:v>
      </x:c>
      <x:c r="H1201" s="28" t="n">
        <x:v>105228</x:v>
      </x:c>
      <x:c r="I1201" s="22" t="str">
        <x:v>9ffa9d47d2ec91c02914ee0d70e0bb54b361f4e85b738b4d24ed32dc1887b98a</x:v>
      </x:c>
      <x:c r="J1201" s="22" t="n">
        <x:v>1</x:v>
      </x:c>
      <x:c r="K1201" s="22" t="n">
        <x:v>1</x:v>
      </x:c>
      <x:c r="L1201" s="22" t="n">
        <x:v>1</x:v>
      </x:c>
      <x:c r="M1201" s="28" t="n">
        <x:v>3</x:v>
      </x:c>
      <x:c r="N1201" s="28" t="n">
        <x:v>250</x:v>
      </x:c>
      <x:c r="O1201" s="28" t="n">
        <x:v>46</x:v>
      </x:c>
      <x:c r="P1201" s="62" t="n">
        <x:v>0</x:v>
      </x:c>
      <x:c r="Q1201" s="22" t="n">
        <x:v>0</x:v>
      </x:c>
      <x:c r="R1201" s="22" t="str">
        <x:v>일위을지</x:v>
      </x:c>
      <x:c r="S1201" s="22" t="str">
        <x:v>hidden</x:v>
      </x:c>
      <x:c r="T1201" s="22" t="str"/>
    </x:row>
    <x:row r="1202">
      <x:c r="A1202" s="22" t="str">
        <x:v>2020-00119</x:v>
      </x:c>
      <x:c r="B1202" s="22" t="str">
        <x:v>L2025-00085-1</x:v>
      </x:c>
      <x:c r="C1202" s="22" t="str">
        <x:v>공사</x:v>
      </x:c>
      <x:c r="D1202" s="25" t="str">
        <x:v>(긴급) 한-이라크 심장병 어린이 전문 병원 신축공사(신규입찰)</x:v>
      </x:c>
      <x:c r="E1202" s="22" t="n">
        <x:v>1</x:v>
      </x:c>
      <x:c r="F1202" s="22" t="str">
        <x:v>.xls</x:v>
      </x:c>
      <x:c r="G1202" s="25" t="str">
        <x:v>L2025-00085-1/붙임2. 현지입찰(신규입찰) 서류 및 계약서류(안)/IKHCC Section 4 - IKHCC BLANK BOQ 250903_최종/7. Blank bill Firefighting revised 250811/Fire fighting - Mech revised 250812/BILL FIREFIGHTING MECH (TOTAL).xls</x:v>
      </x:c>
      <x:c r="H1202" s="28" t="n">
        <x:v>342528</x:v>
      </x:c>
      <x:c r="I1202" s="22" t="str">
        <x:v>b86f9e7d916e329fa492ae9cc76913ba3ae04e606ab3dd8fc8f2491cad9cfcf4</x:v>
      </x:c>
      <x:c r="J1202" s="22" t="n">
        <x:v>1</x:v>
      </x:c>
      <x:c r="K1202" s="22" t="n">
        <x:v>1</x:v>
      </x:c>
      <x:c r="L1202" s="22" t="n">
        <x:v>1</x:v>
      </x:c>
      <x:c r="M1202" s="28" t="n">
        <x:v>1</x:v>
      </x:c>
      <x:c r="N1202" s="28" t="n">
        <x:v>195</x:v>
      </x:c>
      <x:c r="O1202" s="28" t="n">
        <x:v>195</x:v>
      </x:c>
      <x:c r="P1202" s="62" t="n">
        <x:v>1</x:v>
      </x:c>
      <x:c r="Q1202" s="22" t="n">
        <x:v>1</x:v>
      </x:c>
      <x:c r="R1202" s="22" t="str">
        <x:v>일위대가</x:v>
      </x:c>
      <x:c r="S1202" s="22" t="str">
        <x:v>hidden</x:v>
      </x:c>
      <x:c r="T1202" s="22" t="str"/>
    </x:row>
    <x:row r="1203">
      <x:c r="A1203" s="22" t="str">
        <x:v>2020-00119</x:v>
      </x:c>
      <x:c r="B1203" s="22" t="str">
        <x:v>L2025-00085-1</x:v>
      </x:c>
      <x:c r="C1203" s="22" t="str">
        <x:v>공사</x:v>
      </x:c>
      <x:c r="D1203" s="25" t="str">
        <x:v>(긴급) 한-이라크 심장병 어린이 전문 병원 신축공사(신규입찰)</x:v>
      </x:c>
      <x:c r="E1203" s="22" t="n">
        <x:v>1</x:v>
      </x:c>
      <x:c r="F1203" s="22" t="str">
        <x:v>.xls</x:v>
      </x:c>
      <x:c r="G1203" s="25" t="str">
        <x:v>L2025-00085-1/붙임2. 현지입찰(신규입찰) 서류 및 계약서류(안)/IKHCC Section 4 - IKHCC BLANK BOQ 250903_최종/7. Blank bill Firefighting revised 250811/Fire fighting - Mech revised 250812/BILL. FIREFIGHTING MECH (HOSPITAL).xls</x:v>
      </x:c>
      <x:c r="H1203" s="28" t="n">
        <x:v>327168</x:v>
      </x:c>
      <x:c r="I1203" s="22" t="str">
        <x:v>b5f2993a823a4828a8d8759c31f310612cfe99ec916b0b54f30f251325c90d7b</x:v>
      </x:c>
      <x:c r="J1203" s="22" t="n">
        <x:v>0</x:v>
      </x:c>
      <x:c r="K1203" s="22" t="n">
        <x:v>1</x:v>
      </x:c>
      <x:c r="L1203" s="22" t="n">
        <x:v>1</x:v>
      </x:c>
      <x:c r="M1203" s="28" t="n">
        <x:v>1</x:v>
      </x:c>
      <x:c r="N1203" s="28" t="n">
        <x:v>195</x:v>
      </x:c>
      <x:c r="O1203" s="28" t="n">
        <x:v>195</x:v>
      </x:c>
      <x:c r="P1203" s="62" t="n">
        <x:v>1</x:v>
      </x:c>
      <x:c r="Q1203" s="22" t="n">
        <x:v>1</x:v>
      </x:c>
      <x:c r="R1203" s="22" t="str">
        <x:v>일위대가</x:v>
      </x:c>
      <x:c r="S1203" s="22" t="str">
        <x:v>hidden</x:v>
      </x:c>
      <x:c r="T1203" s="22" t="str"/>
    </x:row>
    <x:row r="1204">
      <x:c r="A1204" s="22" t="str">
        <x:v>2020-00119</x:v>
      </x:c>
      <x:c r="B1204" s="22" t="str">
        <x:v>L2025-00085-1</x:v>
      </x:c>
      <x:c r="C1204" s="22" t="str">
        <x:v>공사</x:v>
      </x:c>
      <x:c r="D1204" s="25" t="str">
        <x:v>(긴급) 한-이라크 심장병 어린이 전문 병원 신축공사(신규입찰)</x:v>
      </x:c>
      <x:c r="E1204" s="22" t="n">
        <x:v>1</x:v>
      </x:c>
      <x:c r="F1204" s="22" t="str">
        <x:v>.xls</x:v>
      </x:c>
      <x:c r="G1204" s="25" t="str">
        <x:v>L2025-00085-1/붙임2. 현지입찰(신규입찰) 서류 및 계약서류(안)/IKHCC Section 4 - IKHCC BLANK BOQ 250903_최종/7. Blank bill Firefighting revised 250811/Fire fighting - Mech revised 250812/BILL. FIRFEIGHTING MECH(MEP BUILDING).xls</x:v>
      </x:c>
      <x:c r="H1204" s="28" t="n">
        <x:v>324096</x:v>
      </x:c>
      <x:c r="I1204" s="22" t="str">
        <x:v>a2c13abecdd649c9d69a323713ec4bff622a5b2b9a0fdccc74e7e12b80429735</x:v>
      </x:c>
      <x:c r="J1204" s="22" t="n">
        <x:v>0</x:v>
      </x:c>
      <x:c r="K1204" s="22" t="n">
        <x:v>1</x:v>
      </x:c>
      <x:c r="L1204" s="22" t="n">
        <x:v>1</x:v>
      </x:c>
      <x:c r="M1204" s="28" t="n">
        <x:v>1</x:v>
      </x:c>
      <x:c r="N1204" s="28" t="n">
        <x:v>195</x:v>
      </x:c>
      <x:c r="O1204" s="28" t="n">
        <x:v>195</x:v>
      </x:c>
      <x:c r="P1204" s="62" t="n">
        <x:v>1</x:v>
      </x:c>
      <x:c r="Q1204" s="22" t="n">
        <x:v>1</x:v>
      </x:c>
      <x:c r="R1204" s="22" t="str">
        <x:v>일위대가</x:v>
      </x:c>
      <x:c r="S1204" s="22" t="str">
        <x:v>hidden</x:v>
      </x:c>
      <x:c r="T1204" s="22" t="str"/>
    </x:row>
    <x:row r="1205">
      <x:c r="A1205" s="22" t="str">
        <x:v>2021-00156</x:v>
      </x:c>
      <x:c r="B1205" s="22" t="str">
        <x:v>L2024-00052-1</x:v>
      </x:c>
      <x:c r="C1205" s="22" t="str">
        <x:v>용역</x:v>
      </x:c>
      <x:c r="D1205" s="25" t="str">
        <x:v>인도네시아 보고르대학교 첨단 연구실험센터 설계 및 시공감리 용역업체 선정</x:v>
      </x:c>
      <x:c r="E1205" s="22" t="n">
        <x:v>0</x:v>
      </x:c>
      <x:c r="F1205" s="22" t="str">
        <x:v>.zip</x:v>
      </x:c>
      <x:c r="G1205" s="25" t="str">
        <x:v>L2024-00052-1/입찰관련서류.zip</x:v>
      </x:c>
      <x:c r="H1205" s="28" t="n">
        <x:v>5907579</x:v>
      </x:c>
      <x:c r="I1205" s="22" t="str">
        <x:v>a989da9dd6b2849b428612341ead633612336cd349d28a3f66a26d4529c76602</x:v>
      </x:c>
      <x:c r="J1205" s="22" t="n">
        <x:v>0</x:v>
      </x:c>
      <x:c r="K1205" s="22" t="n">
        <x:v>0</x:v>
      </x:c>
      <x:c r="L1205" s="22" t="n">
        <x:v>0</x:v>
      </x:c>
      <x:c r="M1205" s="28" t="n">
        <x:v>0</x:v>
      </x:c>
      <x:c r="N1205" s="28" t="n">
        <x:v>0</x:v>
      </x:c>
      <x:c r="O1205" s="28" t="n">
        <x:v>0</x:v>
      </x:c>
      <x:c r="P1205" s="62" t="n">
        <x:v>0</x:v>
      </x:c>
      <x:c r="Q1205" s="22" t="n">
        <x:v>0</x:v>
      </x:c>
      <x:c r="R1205" s="22" t="str"/>
      <x:c r="S1205" s="22" t="str"/>
      <x:c r="T1205" s="22" t="str"/>
    </x:row>
    <x:row r="1206">
      <x:c r="A1206" s="22" t="str">
        <x:v>2021-00156</x:v>
      </x:c>
      <x:c r="B1206" s="22" t="str">
        <x:v>L2024-00052-1</x:v>
      </x:c>
      <x:c r="C1206" s="22" t="str">
        <x:v>용역</x:v>
      </x:c>
      <x:c r="D1206" s="25" t="str">
        <x:v>인도네시아 보고르대학교 첨단 연구실험센터 설계 및 시공감리 용역업체 선정</x:v>
      </x:c>
      <x:c r="E1206" s="22" t="n">
        <x:v>0</x:v>
      </x:c>
      <x:c r="F1206" s="22" t="str">
        <x:v>.docx</x:v>
      </x:c>
      <x:c r="G1206" s="25" t="str">
        <x:v>L2024-00052-1/입찰관련서류/Section 9 - Contract Forms_░Φ╛α╝¡(┐╡╣«)_Final_R2.docx</x:v>
      </x:c>
      <x:c r="H1206" s="28" t="n">
        <x:v>25553</x:v>
      </x:c>
      <x:c r="I1206" s="22" t="str">
        <x:v>e366313f0a31a35d43d4083bb0403ee669ce71b203bdcce474007d54da19b7f2</x:v>
      </x:c>
      <x:c r="J1206" s="22" t="n">
        <x:v>0</x:v>
      </x:c>
      <x:c r="K1206" s="22" t="n">
        <x:v>0</x:v>
      </x:c>
      <x:c r="L1206" s="22" t="n">
        <x:v>0</x:v>
      </x:c>
      <x:c r="M1206" s="28" t="n">
        <x:v>0</x:v>
      </x:c>
      <x:c r="N1206" s="28" t="n">
        <x:v>0</x:v>
      </x:c>
      <x:c r="O1206" s="28" t="n">
        <x:v>0</x:v>
      </x:c>
      <x:c r="P1206" s="62" t="n">
        <x:v>0</x:v>
      </x:c>
      <x:c r="Q1206" s="22" t="n">
        <x:v>0</x:v>
      </x:c>
      <x:c r="R1206" s="22" t="str"/>
      <x:c r="S1206" s="22" t="str"/>
      <x:c r="T1206" s="22" t="str"/>
    </x:row>
    <x:row r="1207">
      <x:c r="A1207" s="22" t="str">
        <x:v>2021-00156</x:v>
      </x:c>
      <x:c r="B1207" s="22" t="str">
        <x:v>L2024-00052-1</x:v>
      </x:c>
      <x:c r="C1207" s="22" t="str">
        <x:v>용역</x:v>
      </x:c>
      <x:c r="D1207" s="25" t="str">
        <x:v>인도네시아 보고르대학교 첨단 연구실험센터 설계 및 시공감리 용역업체 선정</x:v>
      </x:c>
      <x:c r="E1207" s="22" t="n">
        <x:v>0</x:v>
      </x:c>
      <x:c r="F1207" s="22" t="str">
        <x:v>.docx</x:v>
      </x:c>
      <x:c r="G1207" s="25" t="str">
        <x:v>L2024-00052-1/입찰관련서류/Section 2 - Bid Data Sheet (BDS)_└╘┬√░°░φ┐δ ├╓┴╛.docx</x:v>
      </x:c>
      <x:c r="H1207" s="28" t="n">
        <x:v>63578</x:v>
      </x:c>
      <x:c r="I1207" s="22" t="str">
        <x:v>347e81d23e4ae901a13954edce85ada268aa96b6a3356836703c66d229539d29</x:v>
      </x:c>
      <x:c r="J1207" s="22" t="n">
        <x:v>0</x:v>
      </x:c>
      <x:c r="K1207" s="22" t="n">
        <x:v>0</x:v>
      </x:c>
      <x:c r="L1207" s="22" t="n">
        <x:v>0</x:v>
      </x:c>
      <x:c r="M1207" s="28" t="n">
        <x:v>0</x:v>
      </x:c>
      <x:c r="N1207" s="28" t="n">
        <x:v>0</x:v>
      </x:c>
      <x:c r="O1207" s="28" t="n">
        <x:v>0</x:v>
      </x:c>
      <x:c r="P1207" s="62" t="n">
        <x:v>0</x:v>
      </x:c>
      <x:c r="Q1207" s="22" t="n">
        <x:v>0</x:v>
      </x:c>
      <x:c r="R1207" s="22" t="str"/>
      <x:c r="S1207" s="22" t="str"/>
      <x:c r="T1207" s="22" t="str"/>
    </x:row>
    <x:row r="1208">
      <x:c r="A1208" s="22" t="str">
        <x:v>2021-00156</x:v>
      </x:c>
      <x:c r="B1208" s="22" t="str">
        <x:v>L2024-00052-1</x:v>
      </x:c>
      <x:c r="C1208" s="22" t="str">
        <x:v>용역</x:v>
      </x:c>
      <x:c r="D1208" s="25" t="str">
        <x:v>인도네시아 보고르대학교 첨단 연구실험센터 설계 및 시공감리 용역업체 선정</x:v>
      </x:c>
      <x:c r="E1208" s="22" t="n">
        <x:v>0</x:v>
      </x:c>
      <x:c r="F1208" s="22" t="str">
        <x:v>.docx</x:v>
      </x:c>
      <x:c r="G1208" s="25" t="str">
        <x:v>L2024-00052-1/입찰관련서류/Section 3 - Bidding Forms_╝÷┴ñ_R3.docx</x:v>
      </x:c>
      <x:c r="H1208" s="28" t="n">
        <x:v>70077</x:v>
      </x:c>
      <x:c r="I1208" s="22" t="str">
        <x:v>5c83573b733fece76e195a27bafee825d1fc69e1bb8778eaf49065fcac8e513e</x:v>
      </x:c>
      <x:c r="J1208" s="22" t="n">
        <x:v>0</x:v>
      </x:c>
      <x:c r="K1208" s="22" t="n">
        <x:v>0</x:v>
      </x:c>
      <x:c r="L1208" s="22" t="n">
        <x:v>0</x:v>
      </x:c>
      <x:c r="M1208" s="28" t="n">
        <x:v>0</x:v>
      </x:c>
      <x:c r="N1208" s="28" t="n">
        <x:v>0</x:v>
      </x:c>
      <x:c r="O1208" s="28" t="n">
        <x:v>0</x:v>
      </x:c>
      <x:c r="P1208" s="62" t="n">
        <x:v>0</x:v>
      </x:c>
      <x:c r="Q1208" s="22" t="n">
        <x:v>0</x:v>
      </x:c>
      <x:c r="R1208" s="22" t="str"/>
      <x:c r="S1208" s="22" t="str"/>
      <x:c r="T1208" s="22" t="str"/>
    </x:row>
    <x:row r="1209">
      <x:c r="A1209" s="22" t="str">
        <x:v>2021-00156</x:v>
      </x:c>
      <x:c r="B1209" s="22" t="str">
        <x:v>L2024-00052-1</x:v>
      </x:c>
      <x:c r="C1209" s="22" t="str">
        <x:v>용역</x:v>
      </x:c>
      <x:c r="D1209" s="25" t="str">
        <x:v>인도네시아 보고르대학교 첨단 연구실험센터 설계 및 시공감리 용역업체 선정</x:v>
      </x:c>
      <x:c r="E1209" s="22" t="n">
        <x:v>0</x:v>
      </x:c>
      <x:c r="F1209" s="22" t="str">
        <x:v>.docx</x:v>
      </x:c>
      <x:c r="G1209" s="25" t="str">
        <x:v>L2024-00052-1/입찰관련서류/Section 1 - Instructions to Bidders (ITB)_╝÷┴ñ.docx</x:v>
      </x:c>
      <x:c r="H1209" s="28" t="n">
        <x:v>31609</x:v>
      </x:c>
      <x:c r="I1209" s="22" t="str">
        <x:v>58bcccae4368e59a75496c8eb175b1c15cd30ed1fca12b46e2a52a16b0b742b7</x:v>
      </x:c>
      <x:c r="J1209" s="22" t="n">
        <x:v>0</x:v>
      </x:c>
      <x:c r="K1209" s="22" t="n">
        <x:v>0</x:v>
      </x:c>
      <x:c r="L1209" s="22" t="n">
        <x:v>0</x:v>
      </x:c>
      <x:c r="M1209" s="28" t="n">
        <x:v>0</x:v>
      </x:c>
      <x:c r="N1209" s="28" t="n">
        <x:v>0</x:v>
      </x:c>
      <x:c r="O1209" s="28" t="n">
        <x:v>0</x:v>
      </x:c>
      <x:c r="P1209" s="62" t="n">
        <x:v>0</x:v>
      </x:c>
      <x:c r="Q1209" s="22" t="n">
        <x:v>0</x:v>
      </x:c>
      <x:c r="R1209" s="22" t="str"/>
      <x:c r="S1209" s="22" t="str"/>
      <x:c r="T1209" s="22" t="str"/>
    </x:row>
    <x:row r="1210">
      <x:c r="A1210" s="22" t="str">
        <x:v>2021-00156</x:v>
      </x:c>
      <x:c r="B1210" s="22" t="str">
        <x:v>L2024-00052-1</x:v>
      </x:c>
      <x:c r="C1210" s="22" t="str">
        <x:v>용역</x:v>
      </x:c>
      <x:c r="D1210" s="25" t="str">
        <x:v>인도네시아 보고르대학교 첨단 연구실험센터 설계 및 시공감리 용역업체 선정</x:v>
      </x:c>
      <x:c r="E1210" s="22" t="n">
        <x:v>0</x:v>
      </x:c>
      <x:c r="F1210" s="22" t="str">
        <x:v>.docx</x:v>
      </x:c>
      <x:c r="G1210" s="25" t="str">
        <x:v>L2024-00052-1/입찰관련서류/Power of Attorney for the authority to sign and execute contracts (░Φ╛α╝¡ ╝¡╕φ▒╟╟╤ └º└╙└σ).docx</x:v>
      </x:c>
      <x:c r="H1210" s="28" t="n">
        <x:v>18360</x:v>
      </x:c>
      <x:c r="I1210" s="22" t="str">
        <x:v>6cc95c9ca4e7c4c9c0737e41ae9deb81824a6a98abbd2ec37d08ebad561971b4</x:v>
      </x:c>
      <x:c r="J1210" s="22" t="n">
        <x:v>0</x:v>
      </x:c>
      <x:c r="K1210" s="22" t="n">
        <x:v>0</x:v>
      </x:c>
      <x:c r="L1210" s="22" t="n">
        <x:v>0</x:v>
      </x:c>
      <x:c r="M1210" s="28" t="n">
        <x:v>0</x:v>
      </x:c>
      <x:c r="N1210" s="28" t="n">
        <x:v>0</x:v>
      </x:c>
      <x:c r="O1210" s="28" t="n">
        <x:v>0</x:v>
      </x:c>
      <x:c r="P1210" s="62" t="n">
        <x:v>0</x:v>
      </x:c>
      <x:c r="Q1210" s="22" t="n">
        <x:v>0</x:v>
      </x:c>
      <x:c r="R1210" s="22" t="str"/>
      <x:c r="S1210" s="22" t="str"/>
      <x:c r="T1210" s="22" t="str"/>
    </x:row>
    <x:row r="1211">
      <x:c r="A1211" s="22" t="str">
        <x:v>2021-00156</x:v>
      </x:c>
      <x:c r="B1211" s="22" t="str">
        <x:v>L2024-00052-1</x:v>
      </x:c>
      <x:c r="C1211" s="22" t="str">
        <x:v>용역</x:v>
      </x:c>
      <x:c r="D1211" s="25" t="str">
        <x:v>인도네시아 보고르대학교 첨단 연구실험센터 설계 및 시공감리 용역업체 선정</x:v>
      </x:c>
      <x:c r="E1211" s="22" t="n">
        <x:v>0</x:v>
      </x:c>
      <x:c r="F1211" s="22" t="str">
        <x:v>.docx</x:v>
      </x:c>
      <x:c r="G1211" s="25" t="str">
        <x:v>L2024-00052-1/입찰관련서류/Section 6 - Selection method of successful bidder_│½┬√└┌ ╝▒┴ñ╣µ╜─ ╛╚│╗╣«(┐╡╣«)_Final.docx</x:v>
      </x:c>
      <x:c r="H1211" s="28" t="n">
        <x:v>32574</x:v>
      </x:c>
      <x:c r="I1211" s="22" t="str">
        <x:v>f13c96bc154b575b1cac959f33c6b2b36e35b8cb3dda44408c62d9b983c7cce0</x:v>
      </x:c>
      <x:c r="J1211" s="22" t="n">
        <x:v>0</x:v>
      </x:c>
      <x:c r="K1211" s="22" t="n">
        <x:v>0</x:v>
      </x:c>
      <x:c r="L1211" s="22" t="n">
        <x:v>0</x:v>
      </x:c>
      <x:c r="M1211" s="28" t="n">
        <x:v>0</x:v>
      </x:c>
      <x:c r="N1211" s="28" t="n">
        <x:v>0</x:v>
      </x:c>
      <x:c r="O1211" s="28" t="n">
        <x:v>0</x:v>
      </x:c>
      <x:c r="P1211" s="62" t="n">
        <x:v>0</x:v>
      </x:c>
      <x:c r="Q1211" s="22" t="n">
        <x:v>0</x:v>
      </x:c>
      <x:c r="R1211" s="22" t="str"/>
      <x:c r="S1211" s="22" t="str"/>
      <x:c r="T1211" s="22" t="str"/>
    </x:row>
    <x:row r="1212">
      <x:c r="A1212" s="22" t="str">
        <x:v>2021-00156</x:v>
      </x:c>
      <x:c r="B1212" s="22" t="str">
        <x:v>L2024-00052-1</x:v>
      </x:c>
      <x:c r="C1212" s="22" t="str">
        <x:v>용역</x:v>
      </x:c>
      <x:c r="D1212" s="25" t="str">
        <x:v>인도네시아 보고르대학교 첨단 연구실험센터 설계 및 시공감리 용역업체 선정</x:v>
      </x:c>
      <x:c r="E1212" s="22" t="n">
        <x:v>0</x:v>
      </x:c>
      <x:c r="F1212" s="22" t="str">
        <x:v>.zip</x:v>
      </x:c>
      <x:c r="G1212" s="25" t="str">
        <x:v>L2024-00052-1/입찰관련서류/Section 10 - Pledges.zip</x:v>
      </x:c>
      <x:c r="H1212" s="28" t="n">
        <x:v>85586</x:v>
      </x:c>
      <x:c r="I1212" s="22" t="str">
        <x:v>ace77f0c472bac41b05b3348d76f2fece600d55060d9bc370047c00e36f9a7da</x:v>
      </x:c>
      <x:c r="J1212" s="22" t="n">
        <x:v>0</x:v>
      </x:c>
      <x:c r="K1212" s="22" t="n">
        <x:v>0</x:v>
      </x:c>
      <x:c r="L1212" s="22" t="n">
        <x:v>0</x:v>
      </x:c>
      <x:c r="M1212" s="28" t="n">
        <x:v>0</x:v>
      </x:c>
      <x:c r="N1212" s="28" t="n">
        <x:v>0</x:v>
      </x:c>
      <x:c r="O1212" s="28" t="n">
        <x:v>0</x:v>
      </x:c>
      <x:c r="P1212" s="62" t="n">
        <x:v>0</x:v>
      </x:c>
      <x:c r="Q1212" s="22" t="n">
        <x:v>0</x:v>
      </x:c>
      <x:c r="R1212" s="22" t="str"/>
      <x:c r="S1212" s="22" t="str"/>
      <x:c r="T1212" s="22" t="str"/>
    </x:row>
    <x:row r="1213">
      <x:c r="A1213" s="22" t="str">
        <x:v>2021-00156</x:v>
      </x:c>
      <x:c r="B1213" s="22" t="str">
        <x:v>L2024-00052-1</x:v>
      </x:c>
      <x:c r="C1213" s="22" t="str">
        <x:v>용역</x:v>
      </x:c>
      <x:c r="D1213" s="25" t="str">
        <x:v>인도네시아 보고르대학교 첨단 연구실험센터 설계 및 시공감리 용역업체 선정</x:v>
      </x:c>
      <x:c r="E1213" s="22" t="n">
        <x:v>0</x:v>
      </x:c>
      <x:c r="F1213" s="22" t="str">
        <x:v>.docx</x:v>
      </x:c>
      <x:c r="G1213" s="25" t="str">
        <x:v>L2024-00052-1/입찰관련서류/Section 7 - General Conditions of Contract_R1.docx</x:v>
      </x:c>
      <x:c r="H1213" s="28" t="n">
        <x:v>38267</x:v>
      </x:c>
      <x:c r="I1213" s="22" t="str">
        <x:v>5a80f5fa33d10e9b27548cae0d1431c4d10231751a786201a6805a295e76740a</x:v>
      </x:c>
      <x:c r="J1213" s="22" t="n">
        <x:v>0</x:v>
      </x:c>
      <x:c r="K1213" s="22" t="n">
        <x:v>0</x:v>
      </x:c>
      <x:c r="L1213" s="22" t="n">
        <x:v>0</x:v>
      </x:c>
      <x:c r="M1213" s="28" t="n">
        <x:v>0</x:v>
      </x:c>
      <x:c r="N1213" s="28" t="n">
        <x:v>0</x:v>
      </x:c>
      <x:c r="O1213" s="28" t="n">
        <x:v>0</x:v>
      </x:c>
      <x:c r="P1213" s="62" t="n">
        <x:v>0</x:v>
      </x:c>
      <x:c r="Q1213" s="22" t="n">
        <x:v>0</x:v>
      </x:c>
      <x:c r="R1213" s="22" t="str"/>
      <x:c r="S1213" s="22" t="str"/>
      <x:c r="T1213" s="22" t="str"/>
    </x:row>
    <x:row r="1214">
      <x:c r="A1214" s="22" t="str">
        <x:v>2021-00156</x:v>
      </x:c>
      <x:c r="B1214" s="22" t="str">
        <x:v>L2024-00052-1</x:v>
      </x:c>
      <x:c r="C1214" s="22" t="str">
        <x:v>용역</x:v>
      </x:c>
      <x:c r="D1214" s="25" t="str">
        <x:v>인도네시아 보고르대학교 첨단 연구실험센터 설계 및 시공감리 용역업체 선정</x:v>
      </x:c>
      <x:c r="E1214" s="22" t="n">
        <x:v>0</x:v>
      </x:c>
      <x:c r="F1214" s="22" t="str">
        <x:v>.docx</x:v>
      </x:c>
      <x:c r="G1214" s="25" t="str">
        <x:v>L2024-00052-1/입찰관련서류/Section 5 - Guideline of Construction Supervision_╜├░°░¿╕« ╝÷╟α ┴÷─º ╣╫ ┴╓┐Σ ╛τ╜─(┐╡╣«)_Final.docx</x:v>
      </x:c>
      <x:c r="H1214" s="28" t="n">
        <x:v>23895</x:v>
      </x:c>
      <x:c r="I1214" s="22" t="str">
        <x:v>9a95b16d19a0fcedd5bd3ddc133ca0cf4ea394bc1b1e705b7a84e28c1bfdc3d8</x:v>
      </x:c>
      <x:c r="J1214" s="22" t="n">
        <x:v>0</x:v>
      </x:c>
      <x:c r="K1214" s="22" t="n">
        <x:v>0</x:v>
      </x:c>
      <x:c r="L1214" s="22" t="n">
        <x:v>0</x:v>
      </x:c>
      <x:c r="M1214" s="28" t="n">
        <x:v>0</x:v>
      </x:c>
      <x:c r="N1214" s="28" t="n">
        <x:v>0</x:v>
      </x:c>
      <x:c r="O1214" s="28" t="n">
        <x:v>0</x:v>
      </x:c>
      <x:c r="P1214" s="62" t="n">
        <x:v>0</x:v>
      </x:c>
      <x:c r="Q1214" s="22" t="n">
        <x:v>0</x:v>
      </x:c>
      <x:c r="R1214" s="22" t="str"/>
      <x:c r="S1214" s="22" t="str"/>
      <x:c r="T1214" s="22" t="str"/>
    </x:row>
    <x:row r="1215">
      <x:c r="A1215" s="22" t="str">
        <x:v>2021-00156</x:v>
      </x:c>
      <x:c r="B1215" s="22" t="str">
        <x:v>L2024-00052-1</x:v>
      </x:c>
      <x:c r="C1215" s="22" t="str">
        <x:v>용역</x:v>
      </x:c>
      <x:c r="D1215" s="25" t="str">
        <x:v>인도네시아 보고르대학교 첨단 연구실험센터 설계 및 시공감리 용역업체 선정</x:v>
      </x:c>
      <x:c r="E1215" s="22" t="n">
        <x:v>0</x:v>
      </x:c>
      <x:c r="F1215" s="22" t="str">
        <x:v>.pdf</x:v>
      </x:c>
      <x:c r="G1215" s="25" t="str">
        <x:v>L2024-00052-1/입찰관련서류/Section 4 - Request for Proposal (RFP)_Design Service_╝│░Φ░·╛≈┴÷╜├╝¡(┐╡╣«)_Final_R2.pdf</x:v>
      </x:c>
      <x:c r="H1215" s="28" t="n">
        <x:v>5761639</x:v>
      </x:c>
      <x:c r="I1215" s="22" t="str">
        <x:v>f66030eb4979178b15f548f1a2e120928b7c117c890d02a03043decd1e352665</x:v>
      </x:c>
      <x:c r="J1215" s="22" t="n">
        <x:v>0</x:v>
      </x:c>
      <x:c r="K1215" s="22" t="n">
        <x:v>0</x:v>
      </x:c>
      <x:c r="L1215" s="22" t="n">
        <x:v>0</x:v>
      </x:c>
      <x:c r="M1215" s="28" t="n">
        <x:v>0</x:v>
      </x:c>
      <x:c r="N1215" s="28" t="n">
        <x:v>0</x:v>
      </x:c>
      <x:c r="O1215" s="28" t="n">
        <x:v>0</x:v>
      </x:c>
      <x:c r="P1215" s="62" t="n">
        <x:v>0</x:v>
      </x:c>
      <x:c r="Q1215" s="22" t="n">
        <x:v>0</x:v>
      </x:c>
      <x:c r="R1215" s="22" t="str"/>
      <x:c r="S1215" s="22" t="str"/>
      <x:c r="T1215" s="22" t="str"/>
    </x:row>
    <x:row r="1216">
      <x:c r="A1216" s="22" t="str">
        <x:v>2021-00156</x:v>
      </x:c>
      <x:c r="B1216" s="22" t="str">
        <x:v>L2024-00052-1</x:v>
      </x:c>
      <x:c r="C1216" s="22" t="str">
        <x:v>용역</x:v>
      </x:c>
      <x:c r="D1216" s="25" t="str">
        <x:v>인도네시아 보고르대학교 첨단 연구실험센터 설계 및 시공감리 용역업체 선정</x:v>
      </x:c>
      <x:c r="E1216" s="22" t="n">
        <x:v>0</x:v>
      </x:c>
      <x:c r="F1216" s="22" t="str">
        <x:v>.docx</x:v>
      </x:c>
      <x:c r="G1216" s="25" t="str">
        <x:v>L2024-00052-1/입찰관련서류/Section 8 - Special Conditions of Contract_R3.docx</x:v>
      </x:c>
      <x:c r="H1216" s="28" t="n">
        <x:v>41944</x:v>
      </x:c>
      <x:c r="I1216" s="22" t="str">
        <x:v>7f2e5c3e0c9e7ffa87e764381c255bba01c67917704479e36eaf325017e04ecd</x:v>
      </x:c>
      <x:c r="J1216" s="22" t="n">
        <x:v>0</x:v>
      </x:c>
      <x:c r="K1216" s="22" t="n">
        <x:v>0</x:v>
      </x:c>
      <x:c r="L1216" s="22" t="n">
        <x:v>0</x:v>
      </x:c>
      <x:c r="M1216" s="28" t="n">
        <x:v>0</x:v>
      </x:c>
      <x:c r="N1216" s="28" t="n">
        <x:v>0</x:v>
      </x:c>
      <x:c r="O1216" s="28" t="n">
        <x:v>0</x:v>
      </x:c>
      <x:c r="P1216" s="62" t="n">
        <x:v>0</x:v>
      </x:c>
      <x:c r="Q1216" s="22" t="n">
        <x:v>0</x:v>
      </x:c>
      <x:c r="R1216" s="22" t="str"/>
      <x:c r="S1216" s="22" t="str"/>
      <x:c r="T1216" s="22" t="str"/>
    </x:row>
    <x:row r="1217">
      <x:c r="A1217" s="22" t="str">
        <x:v>2021-00156</x:v>
      </x:c>
      <x:c r="B1217" s="22" t="str">
        <x:v>L2024-00052-1</x:v>
      </x:c>
      <x:c r="C1217" s="22" t="str">
        <x:v>용역</x:v>
      </x:c>
      <x:c r="D1217" s="25" t="str">
        <x:v>인도네시아 보고르대학교 첨단 연구실험센터 설계 및 시공감리 용역업체 선정</x:v>
      </x:c>
      <x:c r="E1217" s="22" t="n">
        <x:v>0</x:v>
      </x:c>
      <x:c r="F1217" s="22" t="str">
        <x:v>.docx</x:v>
      </x:c>
      <x:c r="G1217" s="25" t="str">
        <x:v>L2024-00052-1/입찰관련서류/Section 10 - Pledges/Integrity Pledge (청렴계약서).docx</x:v>
      </x:c>
      <x:c r="H1217" s="28" t="n">
        <x:v>36507</x:v>
      </x:c>
      <x:c r="I1217" s="22" t="str">
        <x:v>bbf88b1bc23c5ed931639e65f36d47df7d7fbdb8447562024b0cf9f04ec6d6b6</x:v>
      </x:c>
      <x:c r="J1217" s="22" t="n">
        <x:v>0</x:v>
      </x:c>
      <x:c r="K1217" s="22" t="n">
        <x:v>0</x:v>
      </x:c>
      <x:c r="L1217" s="22" t="n">
        <x:v>0</x:v>
      </x:c>
      <x:c r="M1217" s="28" t="n">
        <x:v>0</x:v>
      </x:c>
      <x:c r="N1217" s="28" t="n">
        <x:v>0</x:v>
      </x:c>
      <x:c r="O1217" s="28" t="n">
        <x:v>0</x:v>
      </x:c>
      <x:c r="P1217" s="62" t="n">
        <x:v>0</x:v>
      </x:c>
      <x:c r="Q1217" s="22" t="n">
        <x:v>0</x:v>
      </x:c>
      <x:c r="R1217" s="22" t="str"/>
      <x:c r="S1217" s="22" t="str"/>
      <x:c r="T1217" s="22" t="str"/>
    </x:row>
    <x:row r="1218">
      <x:c r="A1218" s="22" t="str">
        <x:v>2021-00156</x:v>
      </x:c>
      <x:c r="B1218" s="22" t="str">
        <x:v>L2024-00052-1</x:v>
      </x:c>
      <x:c r="C1218" s="22" t="str">
        <x:v>용역</x:v>
      </x:c>
      <x:c r="D1218" s="25" t="str">
        <x:v>인도네시아 보고르대학교 첨단 연구실험센터 설계 및 시공감리 용역업체 선정</x:v>
      </x:c>
      <x:c r="E1218" s="22" t="n">
        <x:v>0</x:v>
      </x:c>
      <x:c r="F1218" s="22" t="str">
        <x:v>.docx</x:v>
      </x:c>
      <x:c r="G1218" s="25" t="str">
        <x:v>L2024-00052-1/입찰관련서류/Section 10 - Pledges/Fair Contract Pledge Letter (공정계약 서약서).docx</x:v>
      </x:c>
      <x:c r="H1218" s="28" t="n">
        <x:v>18756</x:v>
      </x:c>
      <x:c r="I1218" s="22" t="str">
        <x:v>379cc784a159e5c15ba0045a32dd793d03827ad46a1e4a966b9810ad99102277</x:v>
      </x:c>
      <x:c r="J1218" s="22" t="n">
        <x:v>0</x:v>
      </x:c>
      <x:c r="K1218" s="22" t="n">
        <x:v>0</x:v>
      </x:c>
      <x:c r="L1218" s="22" t="n">
        <x:v>0</x:v>
      </x:c>
      <x:c r="M1218" s="28" t="n">
        <x:v>0</x:v>
      </x:c>
      <x:c r="N1218" s="28" t="n">
        <x:v>0</x:v>
      </x:c>
      <x:c r="O1218" s="28" t="n">
        <x:v>0</x:v>
      </x:c>
      <x:c r="P1218" s="62" t="n">
        <x:v>0</x:v>
      </x:c>
      <x:c r="Q1218" s="22" t="n">
        <x:v>0</x:v>
      </x:c>
      <x:c r="R1218" s="22" t="str"/>
      <x:c r="S1218" s="22" t="str"/>
      <x:c r="T1218" s="22" t="str"/>
    </x:row>
    <x:row r="1219">
      <x:c r="A1219" s="22" t="str">
        <x:v>2021-00156</x:v>
      </x:c>
      <x:c r="B1219" s="22" t="str">
        <x:v>L2024-00052-1</x:v>
      </x:c>
      <x:c r="C1219" s="22" t="str">
        <x:v>용역</x:v>
      </x:c>
      <x:c r="D1219" s="25" t="str">
        <x:v>인도네시아 보고르대학교 첨단 연구실험센터 설계 및 시공감리 용역업체 선정</x:v>
      </x:c>
      <x:c r="E1219" s="22" t="n">
        <x:v>0</x:v>
      </x:c>
      <x:c r="F1219" s="22" t="str">
        <x:v>.docx</x:v>
      </x:c>
      <x:c r="G1219" s="25" t="str">
        <x:v>L2024-00052-1/입찰관련서류/Section 10 - Pledges/Action Pledge to Integrate Human Rights into Business Management of International Development Cooperation Projects (국제개발협력사업 인권경영 실천 서야.docx</x:v>
      </x:c>
      <x:c r="H1219" s="28" t="n">
        <x:v>19215</x:v>
      </x:c>
      <x:c r="I1219" s="22" t="str">
        <x:v>46af17d37aeab4e26df886f92c4955b1f059d0e3597f97e7e54f4f35fcbf63bf</x:v>
      </x:c>
      <x:c r="J1219" s="22" t="n">
        <x:v>0</x:v>
      </x:c>
      <x:c r="K1219" s="22" t="n">
        <x:v>0</x:v>
      </x:c>
      <x:c r="L1219" s="22" t="n">
        <x:v>0</x:v>
      </x:c>
      <x:c r="M1219" s="28" t="n">
        <x:v>0</x:v>
      </x:c>
      <x:c r="N1219" s="28" t="n">
        <x:v>0</x:v>
      </x:c>
      <x:c r="O1219" s="28" t="n">
        <x:v>0</x:v>
      </x:c>
      <x:c r="P1219" s="62" t="n">
        <x:v>0</x:v>
      </x:c>
      <x:c r="Q1219" s="22" t="n">
        <x:v>0</x:v>
      </x:c>
      <x:c r="R1219" s="22" t="str"/>
      <x:c r="S1219" s="22" t="str"/>
      <x:c r="T1219" s="22" t="str"/>
    </x:row>
    <x:row r="1220">
      <x:c r="A1220" s="22" t="str">
        <x:v>2021-00156</x:v>
      </x:c>
      <x:c r="B1220" s="22" t="str">
        <x:v>L2024-00052-1</x:v>
      </x:c>
      <x:c r="C1220" s="22" t="str">
        <x:v>용역</x:v>
      </x:c>
      <x:c r="D1220" s="25" t="str">
        <x:v>인도네시아 보고르대학교 첨단 연구실험센터 설계 및 시공감리 용역업체 선정</x:v>
      </x:c>
      <x:c r="E1220" s="22" t="n">
        <x:v>0</x:v>
      </x:c>
      <x:c r="F1220" s="22" t="str">
        <x:v>.docx</x:v>
      </x:c>
      <x:c r="G1220" s="25" t="str">
        <x:v>L2024-00052-1/입찰관련서류/Section 10 - Pledges/Declaration of Anti_Corruption (반부패 선언서).docx</x:v>
      </x:c>
      <x:c r="H1220" s="28" t="n">
        <x:v>23026</x:v>
      </x:c>
      <x:c r="I1220" s="22" t="str">
        <x:v>81e22a438491f4d1b5a12be15e95b5278073d1be929b00b0cd4fe23da8b9d496</x:v>
      </x:c>
      <x:c r="J1220" s="22" t="n">
        <x:v>0</x:v>
      </x:c>
      <x:c r="K1220" s="22" t="n">
        <x:v>0</x:v>
      </x:c>
      <x:c r="L1220" s="22" t="n">
        <x:v>0</x:v>
      </x:c>
      <x:c r="M1220" s="28" t="n">
        <x:v>0</x:v>
      </x:c>
      <x:c r="N1220" s="28" t="n">
        <x:v>0</x:v>
      </x:c>
      <x:c r="O1220" s="28" t="n">
        <x:v>0</x:v>
      </x:c>
      <x:c r="P1220" s="62" t="n">
        <x:v>0</x:v>
      </x:c>
      <x:c r="Q1220" s="22" t="n">
        <x:v>0</x:v>
      </x:c>
      <x:c r="R1220" s="22" t="str"/>
      <x:c r="S1220" s="22" t="str"/>
      <x:c r="T1220" s="22" t="str"/>
    </x:row>
    <x:row r="1221">
      <x:c r="A1221" s="22" t="str">
        <x:v>2022-00079</x:v>
      </x:c>
      <x:c r="B1221" s="22" t="str">
        <x:v>L2023-00071-1</x:v>
      </x:c>
      <x:c r="C1221" s="22" t="str">
        <x:v>용역</x:v>
      </x:c>
      <x:c r="D1221" s="25" t="str">
        <x:v>인도네시아 사이버보안 전문인력양성 역량강화 사업 설계 및 시공 감리 용역사 선정</x:v>
      </x:c>
      <x:c r="E1221" s="22" t="n">
        <x:v>0</x:v>
      </x:c>
      <x:c r="F1221" s="22" t="str">
        <x:v>.docx</x:v>
      </x:c>
      <x:c r="G1221" s="25" t="str">
        <x:v>L2023-00071-1/붙임 2. Bid Announcement_입찰공고문(영문)_Final.docx</x:v>
      </x:c>
      <x:c r="H1221" s="28" t="n">
        <x:v>32735</x:v>
      </x:c>
      <x:c r="I1221" s="22" t="str">
        <x:v>2f258d8e85d5667fbad91088bbb11c2d1238c78ce39da9a135eb40ba4304bb5c</x:v>
      </x:c>
      <x:c r="J1221" s="22" t="n">
        <x:v>0</x:v>
      </x:c>
      <x:c r="K1221" s="22" t="n">
        <x:v>0</x:v>
      </x:c>
      <x:c r="L1221" s="22" t="n">
        <x:v>0</x:v>
      </x:c>
      <x:c r="M1221" s="28" t="n">
        <x:v>0</x:v>
      </x:c>
      <x:c r="N1221" s="28" t="n">
        <x:v>0</x:v>
      </x:c>
      <x:c r="O1221" s="28" t="n">
        <x:v>0</x:v>
      </x:c>
      <x:c r="P1221" s="62" t="n">
        <x:v>0</x:v>
      </x:c>
      <x:c r="Q1221" s="22" t="n">
        <x:v>0</x:v>
      </x:c>
      <x:c r="R1221" s="22" t="str"/>
      <x:c r="S1221" s="22" t="str"/>
      <x:c r="T1221" s="22" t="str"/>
    </x:row>
    <x:row r="1222">
      <x:c r="A1222" s="22" t="str">
        <x:v>2022-00079</x:v>
      </x:c>
      <x:c r="B1222" s="22" t="str">
        <x:v>L2023-00071-1</x:v>
      </x:c>
      <x:c r="C1222" s="22" t="str">
        <x:v>용역</x:v>
      </x:c>
      <x:c r="D1222" s="25" t="str">
        <x:v>인도네시아 사이버보안 전문인력양성 역량강화 사업 설계 및 시공 감리 용역사 선정</x:v>
      </x:c>
      <x:c r="E1222" s="22" t="n">
        <x:v>0</x:v>
      </x:c>
      <x:c r="F1222" s="22" t="str">
        <x:v>.zip</x:v>
      </x:c>
      <x:c r="G1222" s="25" t="str">
        <x:v>L2023-00071-1/붙임 3. 기타 입찰서류.zip</x:v>
      </x:c>
      <x:c r="H1222" s="28" t="n">
        <x:v>1053417</x:v>
      </x:c>
      <x:c r="I1222" s="22" t="str">
        <x:v>cd930a5afbfd26840c13c7c105f8b4c8835866cb05d41654da5e409c359148ed</x:v>
      </x:c>
      <x:c r="J1222" s="22" t="n">
        <x:v>0</x:v>
      </x:c>
      <x:c r="K1222" s="22" t="n">
        <x:v>0</x:v>
      </x:c>
      <x:c r="L1222" s="22" t="n">
        <x:v>0</x:v>
      </x:c>
      <x:c r="M1222" s="28" t="n">
        <x:v>0</x:v>
      </x:c>
      <x:c r="N1222" s="28" t="n">
        <x:v>0</x:v>
      </x:c>
      <x:c r="O1222" s="28" t="n">
        <x:v>0</x:v>
      </x:c>
      <x:c r="P1222" s="62" t="n">
        <x:v>0</x:v>
      </x:c>
      <x:c r="Q1222" s="22" t="n">
        <x:v>0</x:v>
      </x:c>
      <x:c r="R1222" s="22" t="str"/>
      <x:c r="S1222" s="22" t="str"/>
      <x:c r="T1222" s="22" t="str"/>
    </x:row>
    <x:row r="1223">
      <x:c r="A1223" s="22" t="str">
        <x:v>2022-00079</x:v>
      </x:c>
      <x:c r="B1223" s="22" t="str">
        <x:v>L2023-00071-1</x:v>
      </x:c>
      <x:c r="C1223" s="22" t="str">
        <x:v>용역</x:v>
      </x:c>
      <x:c r="D1223" s="25" t="str">
        <x:v>인도네시아 사이버보안 전문인력양성 역량강화 사업 설계 및 시공 감리 용역사 선정</x:v>
      </x:c>
      <x:c r="E1223" s="22" t="n">
        <x:v>0</x:v>
      </x:c>
      <x:c r="F1223" s="22" t="str">
        <x:v>.docx</x:v>
      </x:c>
      <x:c r="G1223" s="25" t="str">
        <x:v>L2023-00071-1/붙임 3. 기타 입찰서류/[Section 1] Instructions to Bidders(ITB)_└╘┬√└┌ └»└╟╝¡(┐╡╣«)_Final.docx</x:v>
      </x:c>
      <x:c r="H1223" s="28" t="n">
        <x:v>54999</x:v>
      </x:c>
      <x:c r="I1223" s="22" t="str">
        <x:v>544e7e20878ec563ad31cc779c9ff4d2e4db69648d9f5e7490278ded07997ec2</x:v>
      </x:c>
      <x:c r="J1223" s="22" t="n">
        <x:v>0</x:v>
      </x:c>
      <x:c r="K1223" s="22" t="n">
        <x:v>0</x:v>
      </x:c>
      <x:c r="L1223" s="22" t="n">
        <x:v>0</x:v>
      </x:c>
      <x:c r="M1223" s="28" t="n">
        <x:v>0</x:v>
      </x:c>
      <x:c r="N1223" s="28" t="n">
        <x:v>0</x:v>
      </x:c>
      <x:c r="O1223" s="28" t="n">
        <x:v>0</x:v>
      </x:c>
      <x:c r="P1223" s="62" t="n">
        <x:v>0</x:v>
      </x:c>
      <x:c r="Q1223" s="22" t="n">
        <x:v>0</x:v>
      </x:c>
      <x:c r="R1223" s="22" t="str"/>
      <x:c r="S1223" s="22" t="str"/>
      <x:c r="T1223" s="22" t="str"/>
    </x:row>
    <x:row r="1224">
      <x:c r="A1224" s="22" t="str">
        <x:v>2022-00079</x:v>
      </x:c>
      <x:c r="B1224" s="22" t="str">
        <x:v>L2023-00071-1</x:v>
      </x:c>
      <x:c r="C1224" s="22" t="str">
        <x:v>용역</x:v>
      </x:c>
      <x:c r="D1224" s="25" t="str">
        <x:v>인도네시아 사이버보안 전문인력양성 역량강화 사업 설계 및 시공 감리 용역사 선정</x:v>
      </x:c>
      <x:c r="E1224" s="22" t="n">
        <x:v>0</x:v>
      </x:c>
      <x:c r="F1224" s="22" t="str">
        <x:v>.pdf</x:v>
      </x:c>
      <x:c r="G1224" s="25" t="str">
        <x:v>L2023-00071-1/붙임 3. 기타 입찰서류/[Section 9] Specail Conditions of Contract.pdf</x:v>
      </x:c>
      <x:c r="H1224" s="28" t="n">
        <x:v>84613</x:v>
      </x:c>
      <x:c r="I1224" s="22" t="str">
        <x:v>5b1230fd7e5a24a5302ca598d3f15f25710e7ef8593ad21fd09213a3fd2aa275</x:v>
      </x:c>
      <x:c r="J1224" s="22" t="n">
        <x:v>0</x:v>
      </x:c>
      <x:c r="K1224" s="22" t="n">
        <x:v>0</x:v>
      </x:c>
      <x:c r="L1224" s="22" t="n">
        <x:v>0</x:v>
      </x:c>
      <x:c r="M1224" s="28" t="n">
        <x:v>0</x:v>
      </x:c>
      <x:c r="N1224" s="28" t="n">
        <x:v>0</x:v>
      </x:c>
      <x:c r="O1224" s="28" t="n">
        <x:v>0</x:v>
      </x:c>
      <x:c r="P1224" s="62" t="n">
        <x:v>0</x:v>
      </x:c>
      <x:c r="Q1224" s="22" t="n">
        <x:v>0</x:v>
      </x:c>
      <x:c r="R1224" s="22" t="str"/>
      <x:c r="S1224" s="22" t="str"/>
      <x:c r="T1224" s="22" t="str"/>
    </x:row>
    <x:row r="1225">
      <x:c r="A1225" s="22" t="str">
        <x:v>2022-00079</x:v>
      </x:c>
      <x:c r="B1225" s="22" t="str">
        <x:v>L2023-00071-1</x:v>
      </x:c>
      <x:c r="C1225" s="22" t="str">
        <x:v>용역</x:v>
      </x:c>
      <x:c r="D1225" s="25" t="str">
        <x:v>인도네시아 사이버보안 전문인력양성 역량강화 사업 설계 및 시공 감리 용역사 선정</x:v>
      </x:c>
      <x:c r="E1225" s="22" t="n">
        <x:v>0</x:v>
      </x:c>
      <x:c r="F1225" s="22" t="str">
        <x:v>.docx</x:v>
      </x:c>
      <x:c r="G1225" s="25" t="str">
        <x:v>L2023-00071-1/붙임 3. 기타 입찰서류/[Section 2] Request for Proposal(RFP)_┴ª╛╚┐Σ├╗╝¡(┐╡╣«)_Finalv2.docx</x:v>
      </x:c>
      <x:c r="H1225" s="28" t="n">
        <x:v>64495</x:v>
      </x:c>
      <x:c r="I1225" s="22" t="str">
        <x:v>6a991cd5e12782b21db784f475d48f2db2f146fa0c2a6b2bcc56995b39f0e748</x:v>
      </x:c>
      <x:c r="J1225" s="22" t="n">
        <x:v>0</x:v>
      </x:c>
      <x:c r="K1225" s="22" t="n">
        <x:v>0</x:v>
      </x:c>
      <x:c r="L1225" s="22" t="n">
        <x:v>0</x:v>
      </x:c>
      <x:c r="M1225" s="28" t="n">
        <x:v>0</x:v>
      </x:c>
      <x:c r="N1225" s="28" t="n">
        <x:v>0</x:v>
      </x:c>
      <x:c r="O1225" s="28" t="n">
        <x:v>0</x:v>
      </x:c>
      <x:c r="P1225" s="62" t="n">
        <x:v>0</x:v>
      </x:c>
      <x:c r="Q1225" s="22" t="n">
        <x:v>0</x:v>
      </x:c>
      <x:c r="R1225" s="22" t="str"/>
      <x:c r="S1225" s="22" t="str"/>
      <x:c r="T1225" s="22" t="str"/>
    </x:row>
    <x:row r="1226">
      <x:c r="A1226" s="22" t="str">
        <x:v>2022-00079</x:v>
      </x:c>
      <x:c r="B1226" s="22" t="str">
        <x:v>L2023-00071-1</x:v>
      </x:c>
      <x:c r="C1226" s="22" t="str">
        <x:v>용역</x:v>
      </x:c>
      <x:c r="D1226" s="25" t="str">
        <x:v>인도네시아 사이버보안 전문인력양성 역량강화 사업 설계 및 시공 감리 용역사 선정</x:v>
      </x:c>
      <x:c r="E1226" s="22" t="n">
        <x:v>0</x:v>
      </x:c>
      <x:c r="F1226" s="22" t="str">
        <x:v>.docx</x:v>
      </x:c>
      <x:c r="G1226" s="25" t="str">
        <x:v>L2023-00071-1/붙임 3. 기타 입찰서류/[Section 6] Selection method of successful bidder_│½┬√└┌ ╝▒┴ñ╣µ╜─ ╛╚│╗╣«(┐╡╣«)_Final.docx</x:v>
      </x:c>
      <x:c r="H1226" s="28" t="n">
        <x:v>50938</x:v>
      </x:c>
      <x:c r="I1226" s="22" t="str">
        <x:v>db27e252b6fa6ae65fa7760b06d85f3ceb382a759c38982aa78ced0eeb54b9ad</x:v>
      </x:c>
      <x:c r="J1226" s="22" t="n">
        <x:v>0</x:v>
      </x:c>
      <x:c r="K1226" s="22" t="n">
        <x:v>0</x:v>
      </x:c>
      <x:c r="L1226" s="22" t="n">
        <x:v>0</x:v>
      </x:c>
      <x:c r="M1226" s="28" t="n">
        <x:v>0</x:v>
      </x:c>
      <x:c r="N1226" s="28" t="n">
        <x:v>0</x:v>
      </x:c>
      <x:c r="O1226" s="28" t="n">
        <x:v>0</x:v>
      </x:c>
      <x:c r="P1226" s="62" t="n">
        <x:v>0</x:v>
      </x:c>
      <x:c r="Q1226" s="22" t="n">
        <x:v>0</x:v>
      </x:c>
      <x:c r="R1226" s="22" t="str"/>
      <x:c r="S1226" s="22" t="str"/>
      <x:c r="T1226" s="22" t="str"/>
    </x:row>
    <x:row r="1227">
      <x:c r="A1227" s="22" t="str">
        <x:v>2022-00079</x:v>
      </x:c>
      <x:c r="B1227" s="22" t="str">
        <x:v>L2023-00071-1</x:v>
      </x:c>
      <x:c r="C1227" s="22" t="str">
        <x:v>용역</x:v>
      </x:c>
      <x:c r="D1227" s="25" t="str">
        <x:v>인도네시아 사이버보안 전문인력양성 역량강화 사업 설계 및 시공 감리 용역사 선정</x:v>
      </x:c>
      <x:c r="E1227" s="22" t="n">
        <x:v>0</x:v>
      </x:c>
      <x:c r="F1227" s="22" t="str">
        <x:v>.docx</x:v>
      </x:c>
      <x:c r="G1227" s="25" t="str">
        <x:v>L2023-00071-1/붙임 3. 기타 입찰서류/(║┘└╙2) Invitation to Bid_├╩├╗└σ(┐╡╣«)_final.docx</x:v>
      </x:c>
      <x:c r="H1227" s="28" t="n">
        <x:v>43689</x:v>
      </x:c>
      <x:c r="I1227" s="22" t="str">
        <x:v>36dafa11b18d1eadea2b429f6ef7faf48af770a9a66a21d1ce36dcb04949d3d5</x:v>
      </x:c>
      <x:c r="J1227" s="22" t="n">
        <x:v>0</x:v>
      </x:c>
      <x:c r="K1227" s="22" t="n">
        <x:v>0</x:v>
      </x:c>
      <x:c r="L1227" s="22" t="n">
        <x:v>0</x:v>
      </x:c>
      <x:c r="M1227" s="28" t="n">
        <x:v>0</x:v>
      </x:c>
      <x:c r="N1227" s="28" t="n">
        <x:v>0</x:v>
      </x:c>
      <x:c r="O1227" s="28" t="n">
        <x:v>0</x:v>
      </x:c>
      <x:c r="P1227" s="62" t="n">
        <x:v>0</x:v>
      </x:c>
      <x:c r="Q1227" s="22" t="n">
        <x:v>0</x:v>
      </x:c>
      <x:c r="R1227" s="22" t="str"/>
      <x:c r="S1227" s="22" t="str"/>
      <x:c r="T1227" s="22" t="str"/>
    </x:row>
    <x:row r="1228">
      <x:c r="A1228" s="22" t="str">
        <x:v>2022-00079</x:v>
      </x:c>
      <x:c r="B1228" s="22" t="str">
        <x:v>L2023-00071-1</x:v>
      </x:c>
      <x:c r="C1228" s="22" t="str">
        <x:v>용역</x:v>
      </x:c>
      <x:c r="D1228" s="25" t="str">
        <x:v>인도네시아 사이버보안 전문인력양성 역량강화 사업 설계 및 시공 감리 용역사 선정</x:v>
      </x:c>
      <x:c r="E1228" s="22" t="n">
        <x:v>0</x:v>
      </x:c>
      <x:c r="F1228" s="22" t="str">
        <x:v>.docx</x:v>
      </x:c>
      <x:c r="G1228" s="25" t="str">
        <x:v>L2023-00071-1/붙임 3. 기타 입찰서류/[Section 4] Design Work Scope_╝│░Φ░·╛≈┴÷╜├╝¡(┐╡╣«)_Final.docx</x:v>
      </x:c>
      <x:c r="H1228" s="28" t="n">
        <x:v>428138</x:v>
      </x:c>
      <x:c r="I1228" s="22" t="str">
        <x:v>2f76bea149b2d535b35f6febae54a17f1e6b0b38f7b19fc02260d75ac8211453</x:v>
      </x:c>
      <x:c r="J1228" s="22" t="n">
        <x:v>0</x:v>
      </x:c>
      <x:c r="K1228" s="22" t="n">
        <x:v>0</x:v>
      </x:c>
      <x:c r="L1228" s="22" t="n">
        <x:v>0</x:v>
      </x:c>
      <x:c r="M1228" s="28" t="n">
        <x:v>0</x:v>
      </x:c>
      <x:c r="N1228" s="28" t="n">
        <x:v>0</x:v>
      </x:c>
      <x:c r="O1228" s="28" t="n">
        <x:v>0</x:v>
      </x:c>
      <x:c r="P1228" s="62" t="n">
        <x:v>0</x:v>
      </x:c>
      <x:c r="Q1228" s="22" t="n">
        <x:v>0</x:v>
      </x:c>
      <x:c r="R1228" s="22" t="str"/>
      <x:c r="S1228" s="22" t="str"/>
      <x:c r="T1228" s="22" t="str"/>
    </x:row>
    <x:row r="1229">
      <x:c r="A1229" s="22" t="str">
        <x:v>2022-00079</x:v>
      </x:c>
      <x:c r="B1229" s="22" t="str">
        <x:v>L2023-00071-1</x:v>
      </x:c>
      <x:c r="C1229" s="22" t="str">
        <x:v>용역</x:v>
      </x:c>
      <x:c r="D1229" s="25" t="str">
        <x:v>인도네시아 사이버보안 전문인력양성 역량강화 사업 설계 및 시공 감리 용역사 선정</x:v>
      </x:c>
      <x:c r="E1229" s="22" t="n">
        <x:v>0</x:v>
      </x:c>
      <x:c r="F1229" s="22" t="str">
        <x:v>.pdf</x:v>
      </x:c>
      <x:c r="G1229" s="25" t="str">
        <x:v>L2023-00071-1/붙임 3. 기타 입찰서류/[Section 8] General Conditions of Contract.pdf</x:v>
      </x:c>
      <x:c r="H1229" s="28" t="n">
        <x:v>146892</x:v>
      </x:c>
      <x:c r="I1229" s="22" t="str">
        <x:v>c9be125b608aa1b03a3c08596656a948cafed732ec49014988305d5682263257</x:v>
      </x:c>
      <x:c r="J1229" s="22" t="n">
        <x:v>0</x:v>
      </x:c>
      <x:c r="K1229" s="22" t="n">
        <x:v>0</x:v>
      </x:c>
      <x:c r="L1229" s="22" t="n">
        <x:v>0</x:v>
      </x:c>
      <x:c r="M1229" s="28" t="n">
        <x:v>0</x:v>
      </x:c>
      <x:c r="N1229" s="28" t="n">
        <x:v>0</x:v>
      </x:c>
      <x:c r="O1229" s="28" t="n">
        <x:v>0</x:v>
      </x:c>
      <x:c r="P1229" s="62" t="n">
        <x:v>0</x:v>
      </x:c>
      <x:c r="Q1229" s="22" t="n">
        <x:v>0</x:v>
      </x:c>
      <x:c r="R1229" s="22" t="str"/>
      <x:c r="S1229" s="22" t="str"/>
      <x:c r="T1229" s="22" t="str"/>
    </x:row>
    <x:row r="1230">
      <x:c r="A1230" s="22" t="str">
        <x:v>2022-00079</x:v>
      </x:c>
      <x:c r="B1230" s="22" t="str">
        <x:v>L2023-00071-1</x:v>
      </x:c>
      <x:c r="C1230" s="22" t="str">
        <x:v>용역</x:v>
      </x:c>
      <x:c r="D1230" s="25" t="str">
        <x:v>인도네시아 사이버보안 전문인력양성 역량강화 사업 설계 및 시공 감리 용역사 선정</x:v>
      </x:c>
      <x:c r="E1230" s="22" t="n">
        <x:v>0</x:v>
      </x:c>
      <x:c r="F1230" s="22" t="str">
        <x:v>.docx</x:v>
      </x:c>
      <x:c r="G1230" s="25" t="str">
        <x:v>L2023-00071-1/붙임 3. 기타 입찰서류/[Section 3] Bidding Forms_└╘┬√╛τ╜─(┐╡╣«)_Final.docx</x:v>
      </x:c>
      <x:c r="H1230" s="28" t="n">
        <x:v>39737</x:v>
      </x:c>
      <x:c r="I1230" s="22" t="str">
        <x:v>78aa048b596d7d7dec2870ad241e3c3db74de5cd6d9ca6b723cc8566b1e168c7</x:v>
      </x:c>
      <x:c r="J1230" s="22" t="n">
        <x:v>0</x:v>
      </x:c>
      <x:c r="K1230" s="22" t="n">
        <x:v>0</x:v>
      </x:c>
      <x:c r="L1230" s="22" t="n">
        <x:v>0</x:v>
      </x:c>
      <x:c r="M1230" s="28" t="n">
        <x:v>0</x:v>
      </x:c>
      <x:c r="N1230" s="28" t="n">
        <x:v>0</x:v>
      </x:c>
      <x:c r="O1230" s="28" t="n">
        <x:v>0</x:v>
      </x:c>
      <x:c r="P1230" s="62" t="n">
        <x:v>0</x:v>
      </x:c>
      <x:c r="Q1230" s="22" t="n">
        <x:v>0</x:v>
      </x:c>
      <x:c r="R1230" s="22" t="str"/>
      <x:c r="S1230" s="22" t="str"/>
      <x:c r="T1230" s="22" t="str"/>
    </x:row>
    <x:row r="1231">
      <x:c r="A1231" s="22" t="str">
        <x:v>2022-00079</x:v>
      </x:c>
      <x:c r="B1231" s="22" t="str">
        <x:v>L2023-00071-1</x:v>
      </x:c>
      <x:c r="C1231" s="22" t="str">
        <x:v>용역</x:v>
      </x:c>
      <x:c r="D1231" s="25" t="str">
        <x:v>인도네시아 사이버보안 전문인력양성 역량강화 사업 설계 및 시공 감리 용역사 선정</x:v>
      </x:c>
      <x:c r="E1231" s="22" t="n">
        <x:v>0</x:v>
      </x:c>
      <x:c r="F1231" s="22" t="str">
        <x:v>.docx</x:v>
      </x:c>
      <x:c r="G1231" s="25" t="str">
        <x:v>L2023-00071-1/붙임 3. 기타 입찰서류/[Section 7] Contract Agreement_░Φ╛α╝¡(┐╡╣«)_Final.docx</x:v>
      </x:c>
      <x:c r="H1231" s="28" t="n">
        <x:v>172570</x:v>
      </x:c>
      <x:c r="I1231" s="22" t="str">
        <x:v>017ff1285f66bc2dfbceb12447bb69ef7bbd9159b846eb1e1209256de683fc66</x:v>
      </x:c>
      <x:c r="J1231" s="22" t="n">
        <x:v>0</x:v>
      </x:c>
      <x:c r="K1231" s="22" t="n">
        <x:v>0</x:v>
      </x:c>
      <x:c r="L1231" s="22" t="n">
        <x:v>0</x:v>
      </x:c>
      <x:c r="M1231" s="28" t="n">
        <x:v>0</x:v>
      </x:c>
      <x:c r="N1231" s="28" t="n">
        <x:v>0</x:v>
      </x:c>
      <x:c r="O1231" s="28" t="n">
        <x:v>0</x:v>
      </x:c>
      <x:c r="P1231" s="62" t="n">
        <x:v>0</x:v>
      </x:c>
      <x:c r="Q1231" s="22" t="n">
        <x:v>0</x:v>
      </x:c>
      <x:c r="R1231" s="22" t="str"/>
      <x:c r="S1231" s="22" t="str"/>
      <x:c r="T1231" s="22" t="str"/>
    </x:row>
    <x:row r="1232">
      <x:c r="A1232" s="22" t="str">
        <x:v>2022-00079</x:v>
      </x:c>
      <x:c r="B1232" s="22" t="str">
        <x:v>L2023-00071-1</x:v>
      </x:c>
      <x:c r="C1232" s="22" t="str">
        <x:v>용역</x:v>
      </x:c>
      <x:c r="D1232" s="25" t="str">
        <x:v>인도네시아 사이버보안 전문인력양성 역량강화 사업 설계 및 시공 감리 용역사 선정</x:v>
      </x:c>
      <x:c r="E1232" s="22" t="n">
        <x:v>0</x:v>
      </x:c>
      <x:c r="F1232" s="22" t="str">
        <x:v>.docx</x:v>
      </x:c>
      <x:c r="G1232" s="25" t="str">
        <x:v>L2023-00071-1/붙임 3. 기타 입찰서류/[Section 5] Guideline of Construction Supervision_╜├░°░¿╕« ╝÷╟α ┴÷─º ╣╫ ┴╓┐Σ ╛τ╜─(┐╡╣«)_Final.docx</x:v>
      </x:c>
      <x:c r="H1232" s="28" t="n">
        <x:v>23895</x:v>
      </x:c>
      <x:c r="I1232" s="22" t="str">
        <x:v>9a95b16d19a0fcedd5bd3ddc133ca0cf4ea394bc1b1e705b7a84e28c1bfdc3d8</x:v>
      </x:c>
      <x:c r="J1232" s="22" t="n">
        <x:v>0</x:v>
      </x:c>
      <x:c r="K1232" s="22" t="n">
        <x:v>0</x:v>
      </x:c>
      <x:c r="L1232" s="22" t="n">
        <x:v>0</x:v>
      </x:c>
      <x:c r="M1232" s="28" t="n">
        <x:v>0</x:v>
      </x:c>
      <x:c r="N1232" s="28" t="n">
        <x:v>0</x:v>
      </x:c>
      <x:c r="O1232" s="28" t="n">
        <x:v>0</x:v>
      </x:c>
      <x:c r="P1232" s="62" t="n">
        <x:v>0</x:v>
      </x:c>
      <x:c r="Q1232" s="22" t="n">
        <x:v>0</x:v>
      </x:c>
      <x:c r="R1232" s="22" t="str"/>
      <x:c r="S1232" s="22" t="str"/>
      <x:c r="T1232" s="22" t="str"/>
    </x:row>
    <x:row r="1233">
      <x:c r="A1233" s="22" t="str">
        <x:v>2022-00079</x:v>
      </x:c>
      <x:c r="B1233" s="22" t="str">
        <x:v>L2025-00002-1</x:v>
      </x:c>
      <x:c r="C1233" s="22" t="str">
        <x:v>공사</x:v>
      </x:c>
      <x:c r="D1233" s="25" t="str">
        <x:v>인도네시아 사이버보안 훈련센터 신축공사 시공사 선정</x:v>
      </x:c>
      <x:c r="E1233" s="22" t="n">
        <x:v>1</x:v>
      </x:c>
      <x:c r="F1233" s="22" t="str">
        <x:v>.docx</x:v>
      </x:c>
      <x:c r="G1233" s="25" t="str">
        <x:v>L2025-00002-1/Section 2 - Bid Data Sheet_Final.docx</x:v>
      </x:c>
      <x:c r="H1233" s="28" t="n">
        <x:v>67488</x:v>
      </x:c>
      <x:c r="I1233" s="22" t="str">
        <x:v>c4a183f361a9c2143948481acca4ed0b560f6f856a39e7350ad6e80cb3a7195c</x:v>
      </x:c>
      <x:c r="J1233" s="22" t="n">
        <x:v>0</x:v>
      </x:c>
      <x:c r="K1233" s="22" t="n">
        <x:v>0</x:v>
      </x:c>
      <x:c r="L1233" s="22" t="n">
        <x:v>0</x:v>
      </x:c>
      <x:c r="M1233" s="28" t="n">
        <x:v>0</x:v>
      </x:c>
      <x:c r="N1233" s="28" t="n">
        <x:v>0</x:v>
      </x:c>
      <x:c r="O1233" s="28" t="n">
        <x:v>0</x:v>
      </x:c>
      <x:c r="P1233" s="62" t="n">
        <x:v>0</x:v>
      </x:c>
      <x:c r="Q1233" s="22" t="n">
        <x:v>0</x:v>
      </x:c>
      <x:c r="R1233" s="22" t="str"/>
      <x:c r="S1233" s="22" t="str"/>
      <x:c r="T1233" s="22" t="str"/>
    </x:row>
    <x:row r="1234">
      <x:c r="A1234" s="22" t="str">
        <x:v>2022-00079</x:v>
      </x:c>
      <x:c r="B1234" s="22" t="str">
        <x:v>L2025-00002-1</x:v>
      </x:c>
      <x:c r="C1234" s="22" t="str">
        <x:v>공사</x:v>
      </x:c>
      <x:c r="D1234" s="25" t="str">
        <x:v>인도네시아 사이버보안 훈련센터 신축공사 시공사 선정</x:v>
      </x:c>
      <x:c r="E1234" s="22" t="n">
        <x:v>1</x:v>
      </x:c>
      <x:c r="F1234" s="22" t="str">
        <x:v>.docx</x:v>
      </x:c>
      <x:c r="G1234" s="25" t="str">
        <x:v>L2025-00002-1/Section 9 - Contract Forms.docx</x:v>
      </x:c>
      <x:c r="H1234" s="28" t="n">
        <x:v>38414</x:v>
      </x:c>
      <x:c r="I1234" s="22" t="str">
        <x:v>20607712ca95649baf62937a6b15895949a4cda747c0f31aded7ed4d228e85a8</x:v>
      </x:c>
      <x:c r="J1234" s="22" t="n">
        <x:v>0</x:v>
      </x:c>
      <x:c r="K1234" s="22" t="n">
        <x:v>0</x:v>
      </x:c>
      <x:c r="L1234" s="22" t="n">
        <x:v>0</x:v>
      </x:c>
      <x:c r="M1234" s="28" t="n">
        <x:v>0</x:v>
      </x:c>
      <x:c r="N1234" s="28" t="n">
        <x:v>0</x:v>
      </x:c>
      <x:c r="O1234" s="28" t="n">
        <x:v>0</x:v>
      </x:c>
      <x:c r="P1234" s="62" t="n">
        <x:v>0</x:v>
      </x:c>
      <x:c r="Q1234" s="22" t="n">
        <x:v>0</x:v>
      </x:c>
      <x:c r="R1234" s="22" t="str"/>
      <x:c r="S1234" s="22" t="str"/>
      <x:c r="T1234" s="22" t="str"/>
    </x:row>
    <x:row r="1235">
      <x:c r="A1235" s="22" t="str">
        <x:v>2022-00079</x:v>
      </x:c>
      <x:c r="B1235" s="22" t="str">
        <x:v>L2025-00002-1</x:v>
      </x:c>
      <x:c r="C1235" s="22" t="str">
        <x:v>공사</x:v>
      </x:c>
      <x:c r="D1235" s="25" t="str">
        <x:v>인도네시아 사이버보안 훈련센터 신축공사 시공사 선정</x:v>
      </x:c>
      <x:c r="E1235" s="22" t="n">
        <x:v>1</x:v>
      </x:c>
      <x:c r="F1235" s="22" t="str">
        <x:v>.docx</x:v>
      </x:c>
      <x:c r="G1235" s="25" t="str">
        <x:v>L2025-00002-1/Section 7 - General Conditions of Contract.docx</x:v>
      </x:c>
      <x:c r="H1235" s="28" t="n">
        <x:v>203654</x:v>
      </x:c>
      <x:c r="I1235" s="22" t="str">
        <x:v>93f53220c64c27e79d122c101a362cce68e477cf3791a7cbc545b60211ded753</x:v>
      </x:c>
      <x:c r="J1235" s="22" t="n">
        <x:v>0</x:v>
      </x:c>
      <x:c r="K1235" s="22" t="n">
        <x:v>0</x:v>
      </x:c>
      <x:c r="L1235" s="22" t="n">
        <x:v>0</x:v>
      </x:c>
      <x:c r="M1235" s="28" t="n">
        <x:v>0</x:v>
      </x:c>
      <x:c r="N1235" s="28" t="n">
        <x:v>0</x:v>
      </x:c>
      <x:c r="O1235" s="28" t="n">
        <x:v>0</x:v>
      </x:c>
      <x:c r="P1235" s="62" t="n">
        <x:v>0</x:v>
      </x:c>
      <x:c r="Q1235" s="22" t="n">
        <x:v>0</x:v>
      </x:c>
      <x:c r="R1235" s="22" t="str"/>
      <x:c r="S1235" s="22" t="str"/>
      <x:c r="T1235" s="22" t="str"/>
    </x:row>
    <x:row r="1236">
      <x:c r="A1236" s="22" t="str">
        <x:v>2022-00079</x:v>
      </x:c>
      <x:c r="B1236" s="22" t="str">
        <x:v>L2025-00002-1</x:v>
      </x:c>
      <x:c r="C1236" s="22" t="str">
        <x:v>공사</x:v>
      </x:c>
      <x:c r="D1236" s="25" t="str">
        <x:v>인도네시아 사이버보안 훈련센터 신축공사 시공사 선정</x:v>
      </x:c>
      <x:c r="E1236" s="22" t="n">
        <x:v>1</x:v>
      </x:c>
      <x:c r="F1236" s="22" t="str">
        <x:v>.zip</x:v>
      </x:c>
      <x:c r="G1236" s="25" t="str">
        <x:v>L2025-00002-1/Section 10 - Pledges(Additional Form).zip</x:v>
      </x:c>
      <x:c r="H1236" s="28" t="n">
        <x:v>85586</x:v>
      </x:c>
      <x:c r="I1236" s="22" t="str">
        <x:v>ace77f0c472bac41b05b3348d76f2fece600d55060d9bc370047c00e36f9a7da</x:v>
      </x:c>
      <x:c r="J1236" s="22" t="n">
        <x:v>0</x:v>
      </x:c>
      <x:c r="K1236" s="22" t="n">
        <x:v>0</x:v>
      </x:c>
      <x:c r="L1236" s="22" t="n">
        <x:v>0</x:v>
      </x:c>
      <x:c r="M1236" s="28" t="n">
        <x:v>0</x:v>
      </x:c>
      <x:c r="N1236" s="28" t="n">
        <x:v>0</x:v>
      </x:c>
      <x:c r="O1236" s="28" t="n">
        <x:v>0</x:v>
      </x:c>
      <x:c r="P1236" s="62" t="n">
        <x:v>0</x:v>
      </x:c>
      <x:c r="Q1236" s="22" t="n">
        <x:v>0</x:v>
      </x:c>
      <x:c r="R1236" s="22" t="str"/>
      <x:c r="S1236" s="22" t="str"/>
      <x:c r="T1236" s="22" t="str"/>
    </x:row>
    <x:row r="1237">
      <x:c r="A1237" s="22" t="str">
        <x:v>2022-00079</x:v>
      </x:c>
      <x:c r="B1237" s="22" t="str">
        <x:v>L2025-00002-1</x:v>
      </x:c>
      <x:c r="C1237" s="22" t="str">
        <x:v>공사</x:v>
      </x:c>
      <x:c r="D1237" s="25" t="str">
        <x:v>인도네시아 사이버보안 훈련센터 신축공사 시공사 선정</x:v>
      </x:c>
      <x:c r="E1237" s="22" t="n">
        <x:v>1</x:v>
      </x:c>
      <x:c r="F1237" s="22" t="str">
        <x:v>.docx</x:v>
      </x:c>
      <x:c r="G1237" s="25" t="str">
        <x:v>L2025-00002-1/Section 3 - Bidding Forms_Final.docx</x:v>
      </x:c>
      <x:c r="H1237" s="28" t="n">
        <x:v>50099</x:v>
      </x:c>
      <x:c r="I1237" s="22" t="str">
        <x:v>8e511f4e4b8646e0ae753b189572ca19192bf5b14b186675867a5a70b7cac9c1</x:v>
      </x:c>
      <x:c r="J1237" s="22" t="n">
        <x:v>0</x:v>
      </x:c>
      <x:c r="K1237" s="22" t="n">
        <x:v>0</x:v>
      </x:c>
      <x:c r="L1237" s="22" t="n">
        <x:v>0</x:v>
      </x:c>
      <x:c r="M1237" s="28" t="n">
        <x:v>0</x:v>
      </x:c>
      <x:c r="N1237" s="28" t="n">
        <x:v>0</x:v>
      </x:c>
      <x:c r="O1237" s="28" t="n">
        <x:v>0</x:v>
      </x:c>
      <x:c r="P1237" s="62" t="n">
        <x:v>0</x:v>
      </x:c>
      <x:c r="Q1237" s="22" t="n">
        <x:v>0</x:v>
      </x:c>
      <x:c r="R1237" s="22" t="str"/>
      <x:c r="S1237" s="22" t="str"/>
      <x:c r="T1237" s="22" t="str"/>
    </x:row>
    <x:row r="1238">
      <x:c r="A1238" s="22" t="str">
        <x:v>2022-00079</x:v>
      </x:c>
      <x:c r="B1238" s="22" t="str">
        <x:v>L2025-00002-1</x:v>
      </x:c>
      <x:c r="C1238" s="22" t="str">
        <x:v>공사</x:v>
      </x:c>
      <x:c r="D1238" s="25" t="str">
        <x:v>인도네시아 사이버보안 훈련센터 신축공사 시공사 선정</x:v>
      </x:c>
      <x:c r="E1238" s="22" t="n">
        <x:v>1</x:v>
      </x:c>
      <x:c r="F1238" s="22" t="str">
        <x:v>.pdf</x:v>
      </x:c>
      <x:c r="G1238" s="25" t="str">
        <x:v>L2025-00002-1/Section 2 - Bid Data Sheet_Final.pdf</x:v>
      </x:c>
      <x:c r="H1238" s="28" t="n">
        <x:v>420119</x:v>
      </x:c>
      <x:c r="I1238" s="22" t="str">
        <x:v>ce53ed8d442668effd9b7278778347666774cad5b0c7fc6b30b920ec96eddfe5</x:v>
      </x:c>
      <x:c r="J1238" s="22" t="n">
        <x:v>0</x:v>
      </x:c>
      <x:c r="K1238" s="22" t="n">
        <x:v>0</x:v>
      </x:c>
      <x:c r="L1238" s="22" t="n">
        <x:v>0</x:v>
      </x:c>
      <x:c r="M1238" s="28" t="n">
        <x:v>0</x:v>
      </x:c>
      <x:c r="N1238" s="28" t="n">
        <x:v>0</x:v>
      </x:c>
      <x:c r="O1238" s="28" t="n">
        <x:v>0</x:v>
      </x:c>
      <x:c r="P1238" s="62" t="n">
        <x:v>0</x:v>
      </x:c>
      <x:c r="Q1238" s="22" t="n">
        <x:v>0</x:v>
      </x:c>
      <x:c r="R1238" s="22" t="str"/>
      <x:c r="S1238" s="22" t="str"/>
      <x:c r="T1238" s="22" t="str"/>
    </x:row>
    <x:row r="1239">
      <x:c r="A1239" s="22" t="str">
        <x:v>2022-00079</x:v>
      </x:c>
      <x:c r="B1239" s="22" t="str">
        <x:v>L2025-00002-1</x:v>
      </x:c>
      <x:c r="C1239" s="22" t="str">
        <x:v>공사</x:v>
      </x:c>
      <x:c r="D1239" s="25" t="str">
        <x:v>인도네시아 사이버보안 훈련센터 신축공사 시공사 선정</x:v>
      </x:c>
      <x:c r="E1239" s="22" t="n">
        <x:v>1</x:v>
      </x:c>
      <x:c r="F1239" s="22" t="str">
        <x:v>.docx</x:v>
      </x:c>
      <x:c r="G1239" s="25" t="str">
        <x:v>L2025-00002-1/Section 8 - Special Conditions of Contract.docx</x:v>
      </x:c>
      <x:c r="H1239" s="28" t="n">
        <x:v>61076</x:v>
      </x:c>
      <x:c r="I1239" s="22" t="str">
        <x:v>ab1cc62d3795429fbad44bd6065ea17d4f981677f9f279bd93a292281f2f3942</x:v>
      </x:c>
      <x:c r="J1239" s="22" t="n">
        <x:v>0</x:v>
      </x:c>
      <x:c r="K1239" s="22" t="n">
        <x:v>0</x:v>
      </x:c>
      <x:c r="L1239" s="22" t="n">
        <x:v>0</x:v>
      </x:c>
      <x:c r="M1239" s="28" t="n">
        <x:v>0</x:v>
      </x:c>
      <x:c r="N1239" s="28" t="n">
        <x:v>0</x:v>
      </x:c>
      <x:c r="O1239" s="28" t="n">
        <x:v>0</x:v>
      </x:c>
      <x:c r="P1239" s="62" t="n">
        <x:v>0</x:v>
      </x:c>
      <x:c r="Q1239" s="22" t="n">
        <x:v>0</x:v>
      </x:c>
      <x:c r="R1239" s="22" t="str"/>
      <x:c r="S1239" s="22" t="str"/>
      <x:c r="T1239" s="22" t="str"/>
    </x:row>
    <x:row r="1240">
      <x:c r="A1240" s="22" t="str">
        <x:v>2022-00079</x:v>
      </x:c>
      <x:c r="B1240" s="22" t="str">
        <x:v>L2025-00002-1</x:v>
      </x:c>
      <x:c r="C1240" s="22" t="str">
        <x:v>공사</x:v>
      </x:c>
      <x:c r="D1240" s="25" t="str">
        <x:v>인도네시아 사이버보안 훈련센터 신축공사 시공사 선정</x:v>
      </x:c>
      <x:c r="E1240" s="22" t="n">
        <x:v>1</x:v>
      </x:c>
      <x:c r="F1240" s="22" t="str">
        <x:v>.pdf</x:v>
      </x:c>
      <x:c r="G1240" s="25" t="str">
        <x:v>L2025-00002-1/Section 1 - Instructions to Bidders (ITB).pdf</x:v>
      </x:c>
      <x:c r="H1240" s="28" t="n">
        <x:v>165225</x:v>
      </x:c>
      <x:c r="I1240" s="22" t="str">
        <x:v>691b98a077b07f2ded55da96b6a6b74440d6c0d010357f2fa9cf5033f65b51c9</x:v>
      </x:c>
      <x:c r="J1240" s="22" t="n">
        <x:v>0</x:v>
      </x:c>
      <x:c r="K1240" s="22" t="n">
        <x:v>0</x:v>
      </x:c>
      <x:c r="L1240" s="22" t="n">
        <x:v>0</x:v>
      </x:c>
      <x:c r="M1240" s="28" t="n">
        <x:v>0</x:v>
      </x:c>
      <x:c r="N1240" s="28" t="n">
        <x:v>0</x:v>
      </x:c>
      <x:c r="O1240" s="28" t="n">
        <x:v>0</x:v>
      </x:c>
      <x:c r="P1240" s="62" t="n">
        <x:v>0</x:v>
      </x:c>
      <x:c r="Q1240" s="22" t="n">
        <x:v>0</x:v>
      </x:c>
      <x:c r="R1240" s="22" t="str"/>
      <x:c r="S1240" s="22" t="str"/>
      <x:c r="T1240" s="22" t="str"/>
    </x:row>
    <x:row r="1241">
      <x:c r="A1241" s="22" t="str">
        <x:v>2022-00079</x:v>
      </x:c>
      <x:c r="B1241" s="22" t="str">
        <x:v>L2025-00002-1</x:v>
      </x:c>
      <x:c r="C1241" s="22" t="str">
        <x:v>공사</x:v>
      </x:c>
      <x:c r="D1241" s="25" t="str">
        <x:v>인도네시아 사이버보안 훈련센터 신축공사 시공사 선정</x:v>
      </x:c>
      <x:c r="E1241" s="22" t="n">
        <x:v>1</x:v>
      </x:c>
      <x:c r="F1241" s="22" t="str">
        <x:v>.docx</x:v>
      </x:c>
      <x:c r="G1241" s="25" t="str">
        <x:v>L2025-00002-1/Section 10 - Pledges(Additional Form)/Declaration of Anti_Corruption (╣▌║╬╞╨ ╝▒╛≡╝¡).docx</x:v>
      </x:c>
      <x:c r="H1241" s="28" t="n">
        <x:v>23026</x:v>
      </x:c>
      <x:c r="I1241" s="22" t="str">
        <x:v>81e22a438491f4d1b5a12be15e95b5278073d1be929b00b0cd4fe23da8b9d496</x:v>
      </x:c>
      <x:c r="J1241" s="22" t="n">
        <x:v>0</x:v>
      </x:c>
      <x:c r="K1241" s="22" t="n">
        <x:v>0</x:v>
      </x:c>
      <x:c r="L1241" s="22" t="n">
        <x:v>0</x:v>
      </x:c>
      <x:c r="M1241" s="28" t="n">
        <x:v>0</x:v>
      </x:c>
      <x:c r="N1241" s="28" t="n">
        <x:v>0</x:v>
      </x:c>
      <x:c r="O1241" s="28" t="n">
        <x:v>0</x:v>
      </x:c>
      <x:c r="P1241" s="62" t="n">
        <x:v>0</x:v>
      </x:c>
      <x:c r="Q1241" s="22" t="n">
        <x:v>0</x:v>
      </x:c>
      <x:c r="R1241" s="22" t="str"/>
      <x:c r="S1241" s="22" t="str"/>
      <x:c r="T1241" s="22" t="str"/>
    </x:row>
    <x:row r="1242">
      <x:c r="A1242" s="22" t="str">
        <x:v>2022-00079</x:v>
      </x:c>
      <x:c r="B1242" s="22" t="str">
        <x:v>L2025-00002-1</x:v>
      </x:c>
      <x:c r="C1242" s="22" t="str">
        <x:v>공사</x:v>
      </x:c>
      <x:c r="D1242" s="25" t="str">
        <x:v>인도네시아 사이버보안 훈련센터 신축공사 시공사 선정</x:v>
      </x:c>
      <x:c r="E1242" s="22" t="n">
        <x:v>1</x:v>
      </x:c>
      <x:c r="F1242" s="22" t="str">
        <x:v>.docx</x:v>
      </x:c>
      <x:c r="G1242" s="25" t="str">
        <x:v>L2025-00002-1/Section 10 - Pledges(Additional Form)/Fair Contract Pledge Letter (░°┴ñ░Φ╛α ╝¡╛α╝¡).docx</x:v>
      </x:c>
      <x:c r="H1242" s="28" t="n">
        <x:v>18756</x:v>
      </x:c>
      <x:c r="I1242" s="22" t="str">
        <x:v>379cc784a159e5c15ba0045a32dd793d03827ad46a1e4a966b9810ad99102277</x:v>
      </x:c>
      <x:c r="J1242" s="22" t="n">
        <x:v>0</x:v>
      </x:c>
      <x:c r="K1242" s="22" t="n">
        <x:v>0</x:v>
      </x:c>
      <x:c r="L1242" s="22" t="n">
        <x:v>0</x:v>
      </x:c>
      <x:c r="M1242" s="28" t="n">
        <x:v>0</x:v>
      </x:c>
      <x:c r="N1242" s="28" t="n">
        <x:v>0</x:v>
      </x:c>
      <x:c r="O1242" s="28" t="n">
        <x:v>0</x:v>
      </x:c>
      <x:c r="P1242" s="62" t="n">
        <x:v>0</x:v>
      </x:c>
      <x:c r="Q1242" s="22" t="n">
        <x:v>0</x:v>
      </x:c>
      <x:c r="R1242" s="22" t="str"/>
      <x:c r="S1242" s="22" t="str"/>
      <x:c r="T1242" s="22" t="str"/>
    </x:row>
    <x:row r="1243">
      <x:c r="A1243" s="22" t="str">
        <x:v>2022-00079</x:v>
      </x:c>
      <x:c r="B1243" s="22" t="str">
        <x:v>L2025-00002-1</x:v>
      </x:c>
      <x:c r="C1243" s="22" t="str">
        <x:v>공사</x:v>
      </x:c>
      <x:c r="D1243" s="25" t="str">
        <x:v>인도네시아 사이버보안 훈련센터 신축공사 시공사 선정</x:v>
      </x:c>
      <x:c r="E1243" s="22" t="n">
        <x:v>1</x:v>
      </x:c>
      <x:c r="F1243" s="22" t="str">
        <x:v>.docx</x:v>
      </x:c>
      <x:c r="G1243" s="25" t="str">
        <x:v>L2025-00002-1/Section 10 - Pledges(Additional Form)/Integrity Pledge (├╗╖┼░Φ╛α╝¡).docx</x:v>
      </x:c>
      <x:c r="H1243" s="28" t="n">
        <x:v>36507</x:v>
      </x:c>
      <x:c r="I1243" s="22" t="str">
        <x:v>bbf88b1bc23c5ed931639e65f36d47df7d7fbdb8447562024b0cf9f04ec6d6b6</x:v>
      </x:c>
      <x:c r="J1243" s="22" t="n">
        <x:v>0</x:v>
      </x:c>
      <x:c r="K1243" s="22" t="n">
        <x:v>0</x:v>
      </x:c>
      <x:c r="L1243" s="22" t="n">
        <x:v>0</x:v>
      </x:c>
      <x:c r="M1243" s="28" t="n">
        <x:v>0</x:v>
      </x:c>
      <x:c r="N1243" s="28" t="n">
        <x:v>0</x:v>
      </x:c>
      <x:c r="O1243" s="28" t="n">
        <x:v>0</x:v>
      </x:c>
      <x:c r="P1243" s="62" t="n">
        <x:v>0</x:v>
      </x:c>
      <x:c r="Q1243" s="22" t="n">
        <x:v>0</x:v>
      </x:c>
      <x:c r="R1243" s="22" t="str"/>
      <x:c r="S1243" s="22" t="str"/>
      <x:c r="T1243" s="22" t="str"/>
    </x:row>
    <x:row r="1244">
      <x:c r="A1244" s="22" t="str">
        <x:v>2022-00079</x:v>
      </x:c>
      <x:c r="B1244" s="22" t="str">
        <x:v>L2025-00002-1</x:v>
      </x:c>
      <x:c r="C1244" s="22" t="str">
        <x:v>공사</x:v>
      </x:c>
      <x:c r="D1244" s="25" t="str">
        <x:v>인도네시아 사이버보안 훈련센터 신축공사 시공사 선정</x:v>
      </x:c>
      <x:c r="E1244" s="22" t="n">
        <x:v>1</x:v>
      </x:c>
      <x:c r="F1244" s="22" t="str">
        <x:v>.docx</x:v>
      </x:c>
      <x:c r="G1244" s="25" t="str">
        <x:v>L2025-00002-1/Section 10 - Pledges(Additional Form)/Action Pledge to Integrate Human Rights into Business Management of International Development Cooperation Projects (▒╣┴ª░│╣▀╟∙╖┬╗τ╛≈ └╬▒╟░µ┐╡ ╜╟├╡ ╝¡╛α╝¡).docx</x:v>
      </x:c>
      <x:c r="H1244" s="28" t="n">
        <x:v>19215</x:v>
      </x:c>
      <x:c r="I1244" s="22" t="str">
        <x:v>46af17d37aeab4e26df886f92c4955b1f059d0e3597f97e7e54f4f35fcbf63bf</x:v>
      </x:c>
      <x:c r="J1244" s="22" t="n">
        <x:v>0</x:v>
      </x:c>
      <x:c r="K1244" s="22" t="n">
        <x:v>0</x:v>
      </x:c>
      <x:c r="L1244" s="22" t="n">
        <x:v>0</x:v>
      </x:c>
      <x:c r="M1244" s="28" t="n">
        <x:v>0</x:v>
      </x:c>
      <x:c r="N1244" s="28" t="n">
        <x:v>0</x:v>
      </x:c>
      <x:c r="O1244" s="28" t="n">
        <x:v>0</x:v>
      </x:c>
      <x:c r="P1244" s="62" t="n">
        <x:v>0</x:v>
      </x:c>
      <x:c r="Q1244" s="22" t="n">
        <x:v>0</x:v>
      </x:c>
      <x:c r="R1244" s="22" t="str"/>
      <x:c r="S1244" s="22" t="str"/>
      <x:c r="T1244" s="22" t="str"/>
    </x:row>
    <x:row r="1245">
      <x:c r="A1245" s="22" t="str">
        <x:v>2022-00027</x:v>
      </x:c>
      <x:c r="B1245" s="22" t="str">
        <x:v>L2025-00073-1</x:v>
      </x:c>
      <x:c r="C1245" s="22" t="str">
        <x:v>공사</x:v>
      </x:c>
      <x:c r="D1245" s="25" t="str">
        <x:v>캄보디아 국립어린이병원 내과계 병동건립 및 의료인력역량 강화사업 내과계 병동 신축공사 시공사 선정 입찰</x:v>
      </x:c>
      <x:c r="E1245" s="22" t="n">
        <x:v>1</x:v>
      </x:c>
      <x:c r="F1245" s="22" t="str">
        <x:v>.zip</x:v>
      </x:c>
      <x:c r="G1245" s="25" t="str">
        <x:v>L2025-00073-1/(붙임2) 입찰서류(영문)_도면, 시방서, 프로젝트리포트 제외.zip</x:v>
      </x:c>
      <x:c r="H1245" s="28" t="n">
        <x:v>1408588</x:v>
      </x:c>
      <x:c r="I1245" s="22" t="str">
        <x:v>49800ea8c56518c3ae2b36eea4a4b28209a712362b94aaa4c42c36459fa99984</x:v>
      </x:c>
      <x:c r="J1245" s="22" t="n">
        <x:v>0</x:v>
      </x:c>
      <x:c r="K1245" s="22" t="n">
        <x:v>0</x:v>
      </x:c>
      <x:c r="L1245" s="22" t="n">
        <x:v>0</x:v>
      </x:c>
      <x:c r="M1245" s="28" t="n">
        <x:v>0</x:v>
      </x:c>
      <x:c r="N1245" s="28" t="n">
        <x:v>0</x:v>
      </x:c>
      <x:c r="O1245" s="28" t="n">
        <x:v>0</x:v>
      </x:c>
      <x:c r="P1245" s="62" t="n">
        <x:v>0</x:v>
      </x:c>
      <x:c r="Q1245" s="22" t="n">
        <x:v>0</x:v>
      </x:c>
      <x:c r="R1245" s="22" t="str"/>
      <x:c r="S1245" s="22" t="str"/>
      <x:c r="T1245" s="22" t="str"/>
    </x:row>
    <x:row r="1246">
      <x:c r="A1246" s="22" t="str">
        <x:v>2022-00027</x:v>
      </x:c>
      <x:c r="B1246" s="22" t="str">
        <x:v>L2025-00073-1</x:v>
      </x:c>
      <x:c r="C1246" s="22" t="str">
        <x:v>공사</x:v>
      </x:c>
      <x:c r="D1246" s="25" t="str">
        <x:v>캄보디아 국립어린이병원 내과계 병동건립 및 의료인력역량 강화사업 내과계 병동 신축공사 시공사 선정 입찰</x:v>
      </x:c>
      <x:c r="E1246" s="22" t="n">
        <x:v>1</x:v>
      </x:c>
      <x:c r="F1246" s="22" t="str">
        <x:v>.pdf</x:v>
      </x:c>
      <x:c r="G1246" s="25" t="str">
        <x:v>L2025-00073-1/(붙임1) 입찰공고문(국문).pdf</x:v>
      </x:c>
      <x:c r="H1246" s="28" t="n">
        <x:v>270250</x:v>
      </x:c>
      <x:c r="I1246" s="22" t="str">
        <x:v>07e2a7fb7a2d149f03323362f53586bbb01064e8ad673a80a403f881ff7cc746</x:v>
      </x:c>
      <x:c r="J1246" s="22" t="n">
        <x:v>0</x:v>
      </x:c>
      <x:c r="K1246" s="22" t="n">
        <x:v>0</x:v>
      </x:c>
      <x:c r="L1246" s="22" t="n">
        <x:v>0</x:v>
      </x:c>
      <x:c r="M1246" s="28" t="n">
        <x:v>0</x:v>
      </x:c>
      <x:c r="N1246" s="28" t="n">
        <x:v>0</x:v>
      </x:c>
      <x:c r="O1246" s="28" t="n">
        <x:v>0</x:v>
      </x:c>
      <x:c r="P1246" s="62" t="n">
        <x:v>0</x:v>
      </x:c>
      <x:c r="Q1246" s="22" t="n">
        <x:v>0</x:v>
      </x:c>
      <x:c r="R1246" s="22" t="str"/>
      <x:c r="S1246" s="22" t="str"/>
      <x:c r="T1246" s="22" t="str"/>
    </x:row>
    <x:row r="1247">
      <x:c r="A1247" s="22" t="str">
        <x:v>2022-00027</x:v>
      </x:c>
      <x:c r="B1247" s="22" t="str">
        <x:v>L2025-00073-1</x:v>
      </x:c>
      <x:c r="C1247" s="22" t="str">
        <x:v>공사</x:v>
      </x:c>
      <x:c r="D1247" s="25" t="str">
        <x:v>캄보디아 국립어린이병원 내과계 병동건립 및 의료인력역량 강화사업 내과계 병동 신축공사 시공사 선정 입찰</x:v>
      </x:c>
      <x:c r="E1247" s="22" t="n">
        <x:v>1</x:v>
      </x:c>
      <x:c r="F1247" s="22" t="str">
        <x:v>.docx</x:v>
      </x:c>
      <x:c r="G1247" s="25" t="str">
        <x:v>L2025-00073-1/(붙임2) 입찰서류(영문)_도면, 시방서, 프로젝트리포트 제외/Section 8_Special Conditions of Contract.docx</x:v>
      </x:c>
      <x:c r="H1247" s="28" t="n">
        <x:v>61232</x:v>
      </x:c>
      <x:c r="I1247" s="22" t="str">
        <x:v>5e63a677fad9361ebee66e7b890567146488062cc22c24d4240e9bad9caf9182</x:v>
      </x:c>
      <x:c r="J1247" s="22" t="n">
        <x:v>0</x:v>
      </x:c>
      <x:c r="K1247" s="22" t="n">
        <x:v>0</x:v>
      </x:c>
      <x:c r="L1247" s="22" t="n">
        <x:v>0</x:v>
      </x:c>
      <x:c r="M1247" s="28" t="n">
        <x:v>0</x:v>
      </x:c>
      <x:c r="N1247" s="28" t="n">
        <x:v>0</x:v>
      </x:c>
      <x:c r="O1247" s="28" t="n">
        <x:v>0</x:v>
      </x:c>
      <x:c r="P1247" s="62" t="n">
        <x:v>0</x:v>
      </x:c>
      <x:c r="Q1247" s="22" t="n">
        <x:v>0</x:v>
      </x:c>
      <x:c r="R1247" s="22" t="str"/>
      <x:c r="S1247" s="22" t="str"/>
      <x:c r="T1247" s="22" t="str"/>
    </x:row>
    <x:row r="1248">
      <x:c r="A1248" s="22" t="str">
        <x:v>2022-00027</x:v>
      </x:c>
      <x:c r="B1248" s="22" t="str">
        <x:v>L2025-00073-1</x:v>
      </x:c>
      <x:c r="C1248" s="22" t="str">
        <x:v>공사</x:v>
      </x:c>
      <x:c r="D1248" s="25" t="str">
        <x:v>캄보디아 국립어린이병원 내과계 병동건립 및 의료인력역량 강화사업 내과계 병동 신축공사 시공사 선정 입찰</x:v>
      </x:c>
      <x:c r="E1248" s="22" t="n">
        <x:v>1</x:v>
      </x:c>
      <x:c r="F1248" s="22" t="str">
        <x:v>.hwp</x:v>
      </x:c>
      <x:c r="G1248" s="25" t="str">
        <x:v>L2025-00073-1/(붙임2) 입찰서류(영문)_도면, 시방서, 프로젝트리포트 제외/Section 1_Instructions to Bidders(ITB).hwp</x:v>
      </x:c>
      <x:c r="H1248" s="28" t="n">
        <x:v>105984</x:v>
      </x:c>
      <x:c r="I1248" s="22" t="str">
        <x:v>afb59d8421c67ea2fe53e19f0b34ffc56063aaa575e120c8fe55e0eeddc35d74</x:v>
      </x:c>
      <x:c r="J1248" s="22" t="n">
        <x:v>0</x:v>
      </x:c>
      <x:c r="K1248" s="22" t="n">
        <x:v>0</x:v>
      </x:c>
      <x:c r="L1248" s="22" t="n">
        <x:v>0</x:v>
      </x:c>
      <x:c r="M1248" s="28" t="n">
        <x:v>0</x:v>
      </x:c>
      <x:c r="N1248" s="28" t="n">
        <x:v>0</x:v>
      </x:c>
      <x:c r="O1248" s="28" t="n">
        <x:v>0</x:v>
      </x:c>
      <x:c r="P1248" s="62" t="n">
        <x:v>0</x:v>
      </x:c>
      <x:c r="Q1248" s="22" t="n">
        <x:v>0</x:v>
      </x:c>
      <x:c r="R1248" s="22" t="str"/>
      <x:c r="S1248" s="22" t="str"/>
      <x:c r="T1248" s="22" t="str"/>
    </x:row>
    <x:row r="1249">
      <x:c r="A1249" s="22" t="str">
        <x:v>2022-00027</x:v>
      </x:c>
      <x:c r="B1249" s="22" t="str">
        <x:v>L2025-00073-1</x:v>
      </x:c>
      <x:c r="C1249" s="22" t="str">
        <x:v>공사</x:v>
      </x:c>
      <x:c r="D1249" s="25" t="str">
        <x:v>캄보디아 국립어린이병원 내과계 병동건립 및 의료인력역량 강화사업 내과계 병동 신축공사 시공사 선정 입찰</x:v>
      </x:c>
      <x:c r="E1249" s="22" t="n">
        <x:v>1</x:v>
      </x:c>
      <x:c r="F1249" s="22" t="str">
        <x:v>.docx</x:v>
      </x:c>
      <x:c r="G1249" s="25" t="str">
        <x:v>L2025-00073-1/(붙임2) 입찰서류(영문)_도면, 시방서, 프로젝트리포트 제외/Section 3_Bid Forms.docx</x:v>
      </x:c>
      <x:c r="H1249" s="28" t="n">
        <x:v>105730</x:v>
      </x:c>
      <x:c r="I1249" s="22" t="str">
        <x:v>d1879f3dc0dcee36c21fe55b5a2db289b9d4e147afb148bb588424d6aad47b3d</x:v>
      </x:c>
      <x:c r="J1249" s="22" t="n">
        <x:v>0</x:v>
      </x:c>
      <x:c r="K1249" s="22" t="n">
        <x:v>0</x:v>
      </x:c>
      <x:c r="L1249" s="22" t="n">
        <x:v>0</x:v>
      </x:c>
      <x:c r="M1249" s="28" t="n">
        <x:v>0</x:v>
      </x:c>
      <x:c r="N1249" s="28" t="n">
        <x:v>0</x:v>
      </x:c>
      <x:c r="O1249" s="28" t="n">
        <x:v>0</x:v>
      </x:c>
      <x:c r="P1249" s="62" t="n">
        <x:v>0</x:v>
      </x:c>
      <x:c r="Q1249" s="22" t="n">
        <x:v>0</x:v>
      </x:c>
      <x:c r="R1249" s="22" t="str"/>
      <x:c r="S1249" s="22" t="str"/>
      <x:c r="T1249" s="22" t="str"/>
    </x:row>
    <x:row r="1250">
      <x:c r="A1250" s="22" t="str">
        <x:v>2022-00027</x:v>
      </x:c>
      <x:c r="B1250" s="22" t="str">
        <x:v>L2025-00073-1</x:v>
      </x:c>
      <x:c r="C1250" s="22" t="str">
        <x:v>공사</x:v>
      </x:c>
      <x:c r="D1250" s="25" t="str">
        <x:v>캄보디아 국립어린이병원 내과계 병동건립 및 의료인력역량 강화사업 내과계 병동 신축공사 시공사 선정 입찰</x:v>
      </x:c>
      <x:c r="E1250" s="22" t="n">
        <x:v>1</x:v>
      </x:c>
      <x:c r="F1250" s="22" t="str">
        <x:v>.xlsx</x:v>
      </x:c>
      <x:c r="G1250" s="25" t="str">
        <x:v>L2025-00073-1/(붙임2) 입찰서류(영문)_도면, 시방서, 프로젝트리포트 제외/Section 4_BLANK BOQ.xlsx</x:v>
      </x:c>
      <x:c r="H1250" s="28" t="n">
        <x:v>875472</x:v>
      </x:c>
      <x:c r="I1250" s="22" t="str">
        <x:v>95c1a9e61d364b09d02099a7f668a3a757b3cb9e9601e0a03ad252ce300ddae9</x:v>
      </x:c>
      <x:c r="J1250" s="22" t="n">
        <x:v>0</x:v>
      </x:c>
      <x:c r="K1250" s="22" t="n">
        <x:v>1</x:v>
      </x:c>
      <x:c r="L1250" s="22" t="n">
        <x:v>1</x:v>
      </x:c>
      <x:c r="M1250" s="28" t="n">
        <x:v>16</x:v>
      </x:c>
      <x:c r="N1250" s="28" t="n">
        <x:v>452</x:v>
      </x:c>
      <x:c r="O1250" s="28" t="n">
        <x:v>0</x:v>
      </x:c>
      <x:c r="P1250" s="62" t="n">
        <x:v>0</x:v>
      </x:c>
      <x:c r="Q1250" s="22" t="n">
        <x:v>0</x:v>
      </x:c>
      <x:c r="R1250" s="22" t="str">
        <x:v>Bill 4.3</x:v>
      </x:c>
      <x:c r="S1250" s="22" t="str">
        <x:v>visible</x:v>
      </x:c>
      <x:c r="T1250" s="22" t="str"/>
    </x:row>
    <x:row r="1251">
      <x:c r="A1251" s="22" t="str">
        <x:v>2022-00027</x:v>
      </x:c>
      <x:c r="B1251" s="22" t="str">
        <x:v>L2025-00073-1</x:v>
      </x:c>
      <x:c r="C1251" s="22" t="str">
        <x:v>공사</x:v>
      </x:c>
      <x:c r="D1251" s="25" t="str">
        <x:v>캄보디아 국립어린이병원 내과계 병동건립 및 의료인력역량 강화사업 내과계 병동 신축공사 시공사 선정 입찰</x:v>
      </x:c>
      <x:c r="E1251" s="22" t="n">
        <x:v>1</x:v>
      </x:c>
      <x:c r="F1251" s="22" t="str">
        <x:v>.docx</x:v>
      </x:c>
      <x:c r="G1251" s="25" t="str">
        <x:v>L2025-00073-1/(붙임2) 입찰서류(영문)_도면, 시방서, 프로젝트리포트 제외/Section 9_Contract Forms.docx</x:v>
      </x:c>
      <x:c r="H1251" s="28" t="n">
        <x:v>40462</x:v>
      </x:c>
      <x:c r="I1251" s="22" t="str">
        <x:v>f94bcb8c8908abf883c4f3d601791a19f93a31348c50fb78f1cfe712a14f0168</x:v>
      </x:c>
      <x:c r="J1251" s="22" t="n">
        <x:v>0</x:v>
      </x:c>
      <x:c r="K1251" s="22" t="n">
        <x:v>0</x:v>
      </x:c>
      <x:c r="L1251" s="22" t="n">
        <x:v>0</x:v>
      </x:c>
      <x:c r="M1251" s="28" t="n">
        <x:v>0</x:v>
      </x:c>
      <x:c r="N1251" s="28" t="n">
        <x:v>0</x:v>
      </x:c>
      <x:c r="O1251" s="28" t="n">
        <x:v>0</x:v>
      </x:c>
      <x:c r="P1251" s="62" t="n">
        <x:v>0</x:v>
      </x:c>
      <x:c r="Q1251" s="22" t="n">
        <x:v>0</x:v>
      </x:c>
      <x:c r="R1251" s="22" t="str"/>
      <x:c r="S1251" s="22" t="str"/>
      <x:c r="T1251" s="22" t="str"/>
    </x:row>
    <x:row r="1252">
      <x:c r="A1252" s="22" t="str">
        <x:v>2022-00027</x:v>
      </x:c>
      <x:c r="B1252" s="22" t="str">
        <x:v>L2025-00073-1</x:v>
      </x:c>
      <x:c r="C1252" s="22" t="str">
        <x:v>공사</x:v>
      </x:c>
      <x:c r="D1252" s="25" t="str">
        <x:v>캄보디아 국립어린이병원 내과계 병동건립 및 의료인력역량 강화사업 내과계 병동 신축공사 시공사 선정 입찰</x:v>
      </x:c>
      <x:c r="E1252" s="22" t="n">
        <x:v>1</x:v>
      </x:c>
      <x:c r="F1252" s="22" t="str">
        <x:v>.docx</x:v>
      </x:c>
      <x:c r="G1252" s="25" t="str">
        <x:v>L2025-00073-1/(붙임2) 입찰서류(영문)_도면, 시방서, 프로젝트리포트 제외/Section 2_Bid Data Sheet(BDS).docx</x:v>
      </x:c>
      <x:c r="H1252" s="28" t="n">
        <x:v>89464</x:v>
      </x:c>
      <x:c r="I1252" s="22" t="str">
        <x:v>ead11bf22a790d6fd521fed662068ae6c8a6c74b17f39d75cd461eeff65c591c</x:v>
      </x:c>
      <x:c r="J1252" s="22" t="n">
        <x:v>0</x:v>
      </x:c>
      <x:c r="K1252" s="22" t="n">
        <x:v>0</x:v>
      </x:c>
      <x:c r="L1252" s="22" t="n">
        <x:v>0</x:v>
      </x:c>
      <x:c r="M1252" s="28" t="n">
        <x:v>0</x:v>
      </x:c>
      <x:c r="N1252" s="28" t="n">
        <x:v>0</x:v>
      </x:c>
      <x:c r="O1252" s="28" t="n">
        <x:v>0</x:v>
      </x:c>
      <x:c r="P1252" s="62" t="n">
        <x:v>0</x:v>
      </x:c>
      <x:c r="Q1252" s="22" t="n">
        <x:v>0</x:v>
      </x:c>
      <x:c r="R1252" s="22" t="str"/>
      <x:c r="S1252" s="22" t="str"/>
      <x:c r="T1252" s="22" t="str"/>
    </x:row>
    <x:row r="1253">
      <x:c r="A1253" s="22" t="str">
        <x:v>2022-00027</x:v>
      </x:c>
      <x:c r="B1253" s="22" t="str">
        <x:v>L2025-00073-1</x:v>
      </x:c>
      <x:c r="C1253" s="22" t="str">
        <x:v>공사</x:v>
      </x:c>
      <x:c r="D1253" s="25" t="str">
        <x:v>캄보디아 국립어린이병원 내과계 병동건립 및 의료인력역량 강화사업 내과계 병동 신축공사 시공사 선정 입찰</x:v>
      </x:c>
      <x:c r="E1253" s="22" t="n">
        <x:v>1</x:v>
      </x:c>
      <x:c r="F1253" s="22" t="str">
        <x:v>.docx</x:v>
      </x:c>
      <x:c r="G1253" s="25" t="str">
        <x:v>L2025-00073-1/(붙임2) 입찰서류(영문)_도면, 시방서, 프로젝트리포트 제외/Section 7_General Conditions of Contract.docx</x:v>
      </x:c>
      <x:c r="H1253" s="28" t="n">
        <x:v>205732</x:v>
      </x:c>
      <x:c r="I1253" s="22" t="str">
        <x:v>357d46d46a9cf041e213b4881d767df97481e4251b8e5660f90e7e4e1aa99de0</x:v>
      </x:c>
      <x:c r="J1253" s="22" t="n">
        <x:v>0</x:v>
      </x:c>
      <x:c r="K1253" s="22" t="n">
        <x:v>0</x:v>
      </x:c>
      <x:c r="L1253" s="22" t="n">
        <x:v>0</x:v>
      </x:c>
      <x:c r="M1253" s="28" t="n">
        <x:v>0</x:v>
      </x:c>
      <x:c r="N1253" s="28" t="n">
        <x:v>0</x:v>
      </x:c>
      <x:c r="O1253" s="28" t="n">
        <x:v>0</x:v>
      </x:c>
      <x:c r="P1253" s="62" t="n">
        <x:v>0</x:v>
      </x:c>
      <x:c r="Q1253" s="22" t="n">
        <x:v>0</x:v>
      </x:c>
      <x:c r="R1253" s="22" t="str"/>
      <x:c r="S1253" s="22" t="str"/>
      <x:c r="T1253" s="22" t="str"/>
    </x:row>
    <x:row r="1254">
      <x:c r="A1254" s="22" t="str">
        <x:v>2024-00015</x:v>
      </x:c>
      <x:c r="B1254" s="22" t="str">
        <x:v>L2025-00036-1</x:v>
      </x:c>
      <x:c r="C1254" s="22" t="str">
        <x:v>용역</x:v>
      </x:c>
      <x:c r="D1254" s="25" t="str">
        <x:v>캄보디아 당까오 후송병원 공공의료서비스 개선사업 병원신축 설계감리용역</x:v>
      </x:c>
      <x:c r="E1254" s="22" t="n">
        <x:v>0</x:v>
      </x:c>
      <x:c r="F1254" s="22" t="str">
        <x:v>.zip</x:v>
      </x:c>
      <x:c r="G1254" s="25" t="str">
        <x:v>L2025-00036-1/정정공고서류.zip</x:v>
      </x:c>
      <x:c r="H1254" s="28" t="n">
        <x:v>79739</x:v>
      </x:c>
      <x:c r="I1254" s="22" t="str">
        <x:v>b84930591758eb9321594303834be9a49c60dccba6725fd30d0b26bb9176a691</x:v>
      </x:c>
      <x:c r="J1254" s="22" t="n">
        <x:v>0</x:v>
      </x:c>
      <x:c r="K1254" s="22" t="n">
        <x:v>0</x:v>
      </x:c>
      <x:c r="L1254" s="22" t="n">
        <x:v>0</x:v>
      </x:c>
      <x:c r="M1254" s="28" t="n">
        <x:v>0</x:v>
      </x:c>
      <x:c r="N1254" s="28" t="n">
        <x:v>0</x:v>
      </x:c>
      <x:c r="O1254" s="28" t="n">
        <x:v>0</x:v>
      </x:c>
      <x:c r="P1254" s="62" t="n">
        <x:v>0</x:v>
      </x:c>
      <x:c r="Q1254" s="22" t="n">
        <x:v>0</x:v>
      </x:c>
      <x:c r="R1254" s="22" t="str"/>
      <x:c r="S1254" s="22" t="str"/>
      <x:c r="T1254" s="22" t="str"/>
    </x:row>
    <x:row r="1255">
      <x:c r="A1255" s="22" t="str">
        <x:v>2024-00015</x:v>
      </x:c>
      <x:c r="B1255" s="22" t="str">
        <x:v>L2025-00036-1</x:v>
      </x:c>
      <x:c r="C1255" s="22" t="str">
        <x:v>용역</x:v>
      </x:c>
      <x:c r="D1255" s="25" t="str">
        <x:v>캄보디아 당까오 후송병원 공공의료서비스 개선사업 병원신축 설계감리용역</x:v>
      </x:c>
      <x:c r="E1255" s="22" t="n">
        <x:v>0</x:v>
      </x:c>
      <x:c r="F1255" s="22" t="str">
        <x:v>.zip</x:v>
      </x:c>
      <x:c r="G1255" s="25" t="str">
        <x:v>L2025-00036-1/붙임2. 입찰서류 영문본 일체.zip</x:v>
      </x:c>
      <x:c r="H1255" s="28" t="n">
        <x:v>5271869</x:v>
      </x:c>
      <x:c r="I1255" s="22" t="str">
        <x:v>fd2849082f7db68caab88bea7064dfa2930ff36c4d5c9e7b7655f2bac12b9e07</x:v>
      </x:c>
      <x:c r="J1255" s="22" t="n">
        <x:v>0</x:v>
      </x:c>
      <x:c r="K1255" s="22" t="n">
        <x:v>0</x:v>
      </x:c>
      <x:c r="L1255" s="22" t="n">
        <x:v>0</x:v>
      </x:c>
      <x:c r="M1255" s="28" t="n">
        <x:v>0</x:v>
      </x:c>
      <x:c r="N1255" s="28" t="n">
        <x:v>0</x:v>
      </x:c>
      <x:c r="O1255" s="28" t="n">
        <x:v>0</x:v>
      </x:c>
      <x:c r="P1255" s="62" t="n">
        <x:v>0</x:v>
      </x:c>
      <x:c r="Q1255" s="22" t="n">
        <x:v>0</x:v>
      </x:c>
      <x:c r="R1255" s="22" t="str"/>
      <x:c r="S1255" s="22" t="str"/>
      <x:c r="T1255" s="22" t="str"/>
    </x:row>
    <x:row r="1256">
      <x:c r="A1256" s="22" t="str">
        <x:v>2024-00015</x:v>
      </x:c>
      <x:c r="B1256" s="22" t="str">
        <x:v>L2025-00036-1</x:v>
      </x:c>
      <x:c r="C1256" s="22" t="str">
        <x:v>용역</x:v>
      </x:c>
      <x:c r="D1256" s="25" t="str">
        <x:v>캄보디아 당까오 후송병원 공공의료서비스 개선사업 병원신축 설계감리용역</x:v>
      </x:c>
      <x:c r="E1256" s="22" t="n">
        <x:v>0</x:v>
      </x:c>
      <x:c r="F1256" s="22" t="str">
        <x:v>.doc</x:v>
      </x:c>
      <x:c r="G1256" s="25" t="str">
        <x:v>L2025-00036-1/붙임2. 입찰서류 영문본 일체/Section 5 - Terms of Reference (ToR).doc</x:v>
      </x:c>
      <x:c r="H1256" s="28" t="n">
        <x:v>528163</x:v>
      </x:c>
      <x:c r="I1256" s="22" t="str">
        <x:v>d5b81c0ecba1f064263369ab4a1a3b76179b3afcf993e98dfc161c66d6d0be89</x:v>
      </x:c>
      <x:c r="J1256" s="22" t="n">
        <x:v>0</x:v>
      </x:c>
      <x:c r="K1256" s="22" t="n">
        <x:v>0</x:v>
      </x:c>
      <x:c r="L1256" s="22" t="n">
        <x:v>0</x:v>
      </x:c>
      <x:c r="M1256" s="28" t="n">
        <x:v>0</x:v>
      </x:c>
      <x:c r="N1256" s="28" t="n">
        <x:v>0</x:v>
      </x:c>
      <x:c r="O1256" s="28" t="n">
        <x:v>0</x:v>
      </x:c>
      <x:c r="P1256" s="62" t="n">
        <x:v>0</x:v>
      </x:c>
      <x:c r="Q1256" s="22" t="n">
        <x:v>0</x:v>
      </x:c>
      <x:c r="R1256" s="22" t="str"/>
      <x:c r="S1256" s="22" t="str"/>
      <x:c r="T1256" s="22" t="str"/>
    </x:row>
    <x:row r="1257">
      <x:c r="A1257" s="22" t="str">
        <x:v>2024-00015</x:v>
      </x:c>
      <x:c r="B1257" s="22" t="str">
        <x:v>L2025-00036-1</x:v>
      </x:c>
      <x:c r="C1257" s="22" t="str">
        <x:v>용역</x:v>
      </x:c>
      <x:c r="D1257" s="25" t="str">
        <x:v>캄보디아 당까오 후송병원 공공의료서비스 개선사업 병원신축 설계감리용역</x:v>
      </x:c>
      <x:c r="E1257" s="22" t="n">
        <x:v>0</x:v>
      </x:c>
      <x:c r="F1257" s="22" t="str">
        <x:v>.docx</x:v>
      </x:c>
      <x:c r="G1257" s="25" t="str">
        <x:v>L2025-00036-1/붙임2. 입찰서류 영문본 일체/Section 0. Summary_of_Bidding.docx</x:v>
      </x:c>
      <x:c r="H1257" s="28" t="n">
        <x:v>26824</x:v>
      </x:c>
      <x:c r="I1257" s="22" t="str">
        <x:v>ac4179c38eaf1f7aaf7767d226f5ef5f4ed73fcce3253e5422ccb6a2815aea91</x:v>
      </x:c>
      <x:c r="J1257" s="22" t="n">
        <x:v>0</x:v>
      </x:c>
      <x:c r="K1257" s="22" t="n">
        <x:v>0</x:v>
      </x:c>
      <x:c r="L1257" s="22" t="n">
        <x:v>0</x:v>
      </x:c>
      <x:c r="M1257" s="28" t="n">
        <x:v>0</x:v>
      </x:c>
      <x:c r="N1257" s="28" t="n">
        <x:v>0</x:v>
      </x:c>
      <x:c r="O1257" s="28" t="n">
        <x:v>0</x:v>
      </x:c>
      <x:c r="P1257" s="62" t="n">
        <x:v>0</x:v>
      </x:c>
      <x:c r="Q1257" s="22" t="n">
        <x:v>0</x:v>
      </x:c>
      <x:c r="R1257" s="22" t="str"/>
      <x:c r="S1257" s="22" t="str"/>
      <x:c r="T1257" s="22" t="str"/>
    </x:row>
    <x:row r="1258">
      <x:c r="A1258" s="22" t="str">
        <x:v>2024-00015</x:v>
      </x:c>
      <x:c r="B1258" s="22" t="str">
        <x:v>L2025-00036-1</x:v>
      </x:c>
      <x:c r="C1258" s="22" t="str">
        <x:v>용역</x:v>
      </x:c>
      <x:c r="D1258" s="25" t="str">
        <x:v>캄보디아 당까오 후송병원 공공의료서비스 개선사업 병원신축 설계감리용역</x:v>
      </x:c>
      <x:c r="E1258" s="22" t="n">
        <x:v>0</x:v>
      </x:c>
      <x:c r="F1258" s="22" t="str">
        <x:v>.docx</x:v>
      </x:c>
      <x:c r="G1258" s="25" t="str">
        <x:v>L2025-00036-1/붙임2. 입찰서류 영문본 일체/Section 8. Special Condition of Contract.docx</x:v>
      </x:c>
      <x:c r="H1258" s="28" t="n">
        <x:v>24657</x:v>
      </x:c>
      <x:c r="I1258" s="22" t="str">
        <x:v>ded9c332cd717463e6a4ee24ecf85c02fa2af5e58a73bce89e9c06ee5444477a</x:v>
      </x:c>
      <x:c r="J1258" s="22" t="n">
        <x:v>0</x:v>
      </x:c>
      <x:c r="K1258" s="22" t="n">
        <x:v>0</x:v>
      </x:c>
      <x:c r="L1258" s="22" t="n">
        <x:v>0</x:v>
      </x:c>
      <x:c r="M1258" s="28" t="n">
        <x:v>0</x:v>
      </x:c>
      <x:c r="N1258" s="28" t="n">
        <x:v>0</x:v>
      </x:c>
      <x:c r="O1258" s="28" t="n">
        <x:v>0</x:v>
      </x:c>
      <x:c r="P1258" s="62" t="n">
        <x:v>0</x:v>
      </x:c>
      <x:c r="Q1258" s="22" t="n">
        <x:v>0</x:v>
      </x:c>
      <x:c r="R1258" s="22" t="str"/>
      <x:c r="S1258" s="22" t="str"/>
      <x:c r="T1258" s="22" t="str"/>
    </x:row>
    <x:row r="1259">
      <x:c r="A1259" s="22" t="str">
        <x:v>2024-00015</x:v>
      </x:c>
      <x:c r="B1259" s="22" t="str">
        <x:v>L2025-00036-1</x:v>
      </x:c>
      <x:c r="C1259" s="22" t="str">
        <x:v>용역</x:v>
      </x:c>
      <x:c r="D1259" s="25" t="str">
        <x:v>캄보디아 당까오 후송병원 공공의료서비스 개선사업 병원신축 설계감리용역</x:v>
      </x:c>
      <x:c r="E1259" s="22" t="n">
        <x:v>0</x:v>
      </x:c>
      <x:c r="F1259" s="22" t="str">
        <x:v>.docx</x:v>
      </x:c>
      <x:c r="G1259" s="25" t="str">
        <x:v>L2025-00036-1/붙임2. 입찰서류 영문본 일체/Section 9 - Contract Forms.docx</x:v>
      </x:c>
      <x:c r="H1259" s="28" t="n">
        <x:v>22415</x:v>
      </x:c>
      <x:c r="I1259" s="22" t="str">
        <x:v>48a07042b1a83feb55547f61fc153ae3dfae889777de0e5f7402fcbb2af3f33e</x:v>
      </x:c>
      <x:c r="J1259" s="22" t="n">
        <x:v>0</x:v>
      </x:c>
      <x:c r="K1259" s="22" t="n">
        <x:v>0</x:v>
      </x:c>
      <x:c r="L1259" s="22" t="n">
        <x:v>0</x:v>
      </x:c>
      <x:c r="M1259" s="28" t="n">
        <x:v>0</x:v>
      </x:c>
      <x:c r="N1259" s="28" t="n">
        <x:v>0</x:v>
      </x:c>
      <x:c r="O1259" s="28" t="n">
        <x:v>0</x:v>
      </x:c>
      <x:c r="P1259" s="62" t="n">
        <x:v>0</x:v>
      </x:c>
      <x:c r="Q1259" s="22" t="n">
        <x:v>0</x:v>
      </x:c>
      <x:c r="R1259" s="22" t="str"/>
      <x:c r="S1259" s="22" t="str"/>
      <x:c r="T1259" s="22" t="str"/>
    </x:row>
    <x:row r="1260">
      <x:c r="A1260" s="22" t="str">
        <x:v>2024-00015</x:v>
      </x:c>
      <x:c r="B1260" s="22" t="str">
        <x:v>L2025-00036-1</x:v>
      </x:c>
      <x:c r="C1260" s="22" t="str">
        <x:v>용역</x:v>
      </x:c>
      <x:c r="D1260" s="25" t="str">
        <x:v>캄보디아 당까오 후송병원 공공의료서비스 개선사업 병원신축 설계감리용역</x:v>
      </x:c>
      <x:c r="E1260" s="22" t="n">
        <x:v>0</x:v>
      </x:c>
      <x:c r="F1260" s="22" t="str">
        <x:v>.docx</x:v>
      </x:c>
      <x:c r="G1260" s="25" t="str">
        <x:v>L2025-00036-1/붙임2. 입찰서류 영문본 일체/Section 7 - General Conditions of Contract.docx</x:v>
      </x:c>
      <x:c r="H1260" s="28" t="n">
        <x:v>34911</x:v>
      </x:c>
      <x:c r="I1260" s="22" t="str">
        <x:v>83d7fcabe51ad328fb7329da081d4f921110e5e42367cc1598173d635bbc979e</x:v>
      </x:c>
      <x:c r="J1260" s="22" t="n">
        <x:v>0</x:v>
      </x:c>
      <x:c r="K1260" s="22" t="n">
        <x:v>0</x:v>
      </x:c>
      <x:c r="L1260" s="22" t="n">
        <x:v>0</x:v>
      </x:c>
      <x:c r="M1260" s="28" t="n">
        <x:v>0</x:v>
      </x:c>
      <x:c r="N1260" s="28" t="n">
        <x:v>0</x:v>
      </x:c>
      <x:c r="O1260" s="28" t="n">
        <x:v>0</x:v>
      </x:c>
      <x:c r="P1260" s="62" t="n">
        <x:v>0</x:v>
      </x:c>
      <x:c r="Q1260" s="22" t="n">
        <x:v>0</x:v>
      </x:c>
      <x:c r="R1260" s="22" t="str"/>
      <x:c r="S1260" s="22" t="str"/>
      <x:c r="T1260" s="22" t="str"/>
    </x:row>
    <x:row r="1261">
      <x:c r="A1261" s="22" t="str">
        <x:v>2024-00015</x:v>
      </x:c>
      <x:c r="B1261" s="22" t="str">
        <x:v>L2025-00036-1</x:v>
      </x:c>
      <x:c r="C1261" s="22" t="str">
        <x:v>용역</x:v>
      </x:c>
      <x:c r="D1261" s="25" t="str">
        <x:v>캄보디아 당까오 후송병원 공공의료서비스 개선사업 병원신축 설계감리용역</x:v>
      </x:c>
      <x:c r="E1261" s="22" t="n">
        <x:v>0</x:v>
      </x:c>
      <x:c r="F1261" s="22" t="str">
        <x:v>.docx</x:v>
      </x:c>
      <x:c r="G1261" s="25" t="str">
        <x:v>L2025-00036-1/붙임2. 입찰서류 영문본 일체/Power of Attorney for the authority to sign and execute contracts (계약서 서명권한 위임장).docx</x:v>
      </x:c>
      <x:c r="H1261" s="28" t="n">
        <x:v>18873</x:v>
      </x:c>
      <x:c r="I1261" s="22" t="str">
        <x:v>95980e87e2e0d59c5cac2e1e79d11ce556ffa784f97d6c22dff412ff86e3c15f</x:v>
      </x:c>
      <x:c r="J1261" s="22" t="n">
        <x:v>0</x:v>
      </x:c>
      <x:c r="K1261" s="22" t="n">
        <x:v>0</x:v>
      </x:c>
      <x:c r="L1261" s="22" t="n">
        <x:v>0</x:v>
      </x:c>
      <x:c r="M1261" s="28" t="n">
        <x:v>0</x:v>
      </x:c>
      <x:c r="N1261" s="28" t="n">
        <x:v>0</x:v>
      </x:c>
      <x:c r="O1261" s="28" t="n">
        <x:v>0</x:v>
      </x:c>
      <x:c r="P1261" s="62" t="n">
        <x:v>0</x:v>
      </x:c>
      <x:c r="Q1261" s="22" t="n">
        <x:v>0</x:v>
      </x:c>
      <x:c r="R1261" s="22" t="str"/>
      <x:c r="S1261" s="22" t="str"/>
      <x:c r="T1261" s="22" t="str"/>
    </x:row>
    <x:row r="1262">
      <x:c r="A1262" s="22" t="str">
        <x:v>2024-00015</x:v>
      </x:c>
      <x:c r="B1262" s="22" t="str">
        <x:v>L2025-00036-1</x:v>
      </x:c>
      <x:c r="C1262" s="22" t="str">
        <x:v>용역</x:v>
      </x:c>
      <x:c r="D1262" s="25" t="str">
        <x:v>캄보디아 당까오 후송병원 공공의료서비스 개선사업 병원신축 설계감리용역</x:v>
      </x:c>
      <x:c r="E1262" s="22" t="n">
        <x:v>0</x:v>
      </x:c>
      <x:c r="F1262" s="22" t="str">
        <x:v>.docx</x:v>
      </x:c>
      <x:c r="G1262" s="25" t="str">
        <x:v>L2025-00036-1/붙임2. 입찰서류 영문본 일체/Section 2_ Bid_Data_Sheet(BDS).docx</x:v>
      </x:c>
      <x:c r="H1262" s="28" t="n">
        <x:v>56161</x:v>
      </x:c>
      <x:c r="I1262" s="22" t="str">
        <x:v>7a5af3724b2b4267857260729388b2fe6a12bec328671ff4d7dcbe4147fe314b</x:v>
      </x:c>
      <x:c r="J1262" s="22" t="n">
        <x:v>0</x:v>
      </x:c>
      <x:c r="K1262" s="22" t="n">
        <x:v>0</x:v>
      </x:c>
      <x:c r="L1262" s="22" t="n">
        <x:v>0</x:v>
      </x:c>
      <x:c r="M1262" s="28" t="n">
        <x:v>0</x:v>
      </x:c>
      <x:c r="N1262" s="28" t="n">
        <x:v>0</x:v>
      </x:c>
      <x:c r="O1262" s="28" t="n">
        <x:v>0</x:v>
      </x:c>
      <x:c r="P1262" s="62" t="n">
        <x:v>0</x:v>
      </x:c>
      <x:c r="Q1262" s="22" t="n">
        <x:v>0</x:v>
      </x:c>
      <x:c r="R1262" s="22" t="str"/>
      <x:c r="S1262" s="22" t="str"/>
      <x:c r="T1262" s="22" t="str"/>
    </x:row>
    <x:row r="1263">
      <x:c r="A1263" s="22" t="str">
        <x:v>2024-00015</x:v>
      </x:c>
      <x:c r="B1263" s="22" t="str">
        <x:v>L2025-00036-1</x:v>
      </x:c>
      <x:c r="C1263" s="22" t="str">
        <x:v>용역</x:v>
      </x:c>
      <x:c r="D1263" s="25" t="str">
        <x:v>캄보디아 당까오 후송병원 공공의료서비스 개선사업 병원신축 설계감리용역</x:v>
      </x:c>
      <x:c r="E1263" s="22" t="n">
        <x:v>0</x:v>
      </x:c>
      <x:c r="F1263" s="22" t="str">
        <x:v>.pdf</x:v>
      </x:c>
      <x:c r="G1263" s="25" t="str">
        <x:v>L2025-00036-1/붙임2. 입찰서류 영문본 일체/Section 6 - Related Project Information of RFP.pdf</x:v>
      </x:c>
      <x:c r="H1263" s="28" t="n">
        <x:v>5592395</x:v>
      </x:c>
      <x:c r="I1263" s="22" t="str">
        <x:v>d59d90144afa54fd4f611bdc8c72a52a21b8b3b74b9905eaba075da96650de5f</x:v>
      </x:c>
      <x:c r="J1263" s="22" t="n">
        <x:v>0</x:v>
      </x:c>
      <x:c r="K1263" s="22" t="n">
        <x:v>0</x:v>
      </x:c>
      <x:c r="L1263" s="22" t="n">
        <x:v>0</x:v>
      </x:c>
      <x:c r="M1263" s="28" t="n">
        <x:v>0</x:v>
      </x:c>
      <x:c r="N1263" s="28" t="n">
        <x:v>0</x:v>
      </x:c>
      <x:c r="O1263" s="28" t="n">
        <x:v>0</x:v>
      </x:c>
      <x:c r="P1263" s="62" t="n">
        <x:v>0</x:v>
      </x:c>
      <x:c r="Q1263" s="22" t="n">
        <x:v>0</x:v>
      </x:c>
      <x:c r="R1263" s="22" t="str"/>
      <x:c r="S1263" s="22" t="str"/>
      <x:c r="T1263" s="22" t="str"/>
    </x:row>
    <x:row r="1264">
      <x:c r="A1264" s="22" t="str">
        <x:v>2024-00015</x:v>
      </x:c>
      <x:c r="B1264" s="22" t="str">
        <x:v>L2025-00036-1</x:v>
      </x:c>
      <x:c r="C1264" s="22" t="str">
        <x:v>용역</x:v>
      </x:c>
      <x:c r="D1264" s="25" t="str">
        <x:v>캄보디아 당까오 후송병원 공공의료서비스 개선사업 병원신축 설계감리용역</x:v>
      </x:c>
      <x:c r="E1264" s="22" t="n">
        <x:v>0</x:v>
      </x:c>
      <x:c r="F1264" s="22" t="str">
        <x:v>.zip</x:v>
      </x:c>
      <x:c r="G1264" s="25" t="str">
        <x:v>L2025-00036-1/붙임2. 입찰서류 영문본 일체/Section 9-1 - Pledges.zip</x:v>
      </x:c>
      <x:c r="H1264" s="28" t="n">
        <x:v>68969</x:v>
      </x:c>
      <x:c r="I1264" s="22" t="str">
        <x:v>be41ad8b1be27399f4b0834267a59ee947dda1002b43deecc08cdf6f2033a3b5</x:v>
      </x:c>
      <x:c r="J1264" s="22" t="n">
        <x:v>0</x:v>
      </x:c>
      <x:c r="K1264" s="22" t="n">
        <x:v>0</x:v>
      </x:c>
      <x:c r="L1264" s="22" t="n">
        <x:v>0</x:v>
      </x:c>
      <x:c r="M1264" s="28" t="n">
        <x:v>0</x:v>
      </x:c>
      <x:c r="N1264" s="28" t="n">
        <x:v>0</x:v>
      </x:c>
      <x:c r="O1264" s="28" t="n">
        <x:v>0</x:v>
      </x:c>
      <x:c r="P1264" s="62" t="n">
        <x:v>0</x:v>
      </x:c>
      <x:c r="Q1264" s="22" t="n">
        <x:v>0</x:v>
      </x:c>
      <x:c r="R1264" s="22" t="str"/>
      <x:c r="S1264" s="22" t="str"/>
      <x:c r="T1264" s="22" t="str"/>
    </x:row>
    <x:row r="1265">
      <x:c r="A1265" s="22" t="str">
        <x:v>2024-00015</x:v>
      </x:c>
      <x:c r="B1265" s="22" t="str">
        <x:v>L2025-00036-1</x:v>
      </x:c>
      <x:c r="C1265" s="22" t="str">
        <x:v>용역</x:v>
      </x:c>
      <x:c r="D1265" s="25" t="str">
        <x:v>캄보디아 당까오 후송병원 공공의료서비스 개선사업 병원신축 설계감리용역</x:v>
      </x:c>
      <x:c r="E1265" s="22" t="n">
        <x:v>0</x:v>
      </x:c>
      <x:c r="F1265" s="22" t="str">
        <x:v>.docx</x:v>
      </x:c>
      <x:c r="G1265" s="25" t="str">
        <x:v>L2025-00036-1/붙임2. 입찰서류 영문본 일체/Section 3 - Bidding Forms.docx</x:v>
      </x:c>
      <x:c r="H1265" s="28" t="n">
        <x:v>45262</x:v>
      </x:c>
      <x:c r="I1265" s="22" t="str">
        <x:v>8898b63936a8f3edfeded3df7ba0f5ff61848f3cbc059530c57b0b0ba6828982</x:v>
      </x:c>
      <x:c r="J1265" s="22" t="n">
        <x:v>0</x:v>
      </x:c>
      <x:c r="K1265" s="22" t="n">
        <x:v>0</x:v>
      </x:c>
      <x:c r="L1265" s="22" t="n">
        <x:v>0</x:v>
      </x:c>
      <x:c r="M1265" s="28" t="n">
        <x:v>0</x:v>
      </x:c>
      <x:c r="N1265" s="28" t="n">
        <x:v>0</x:v>
      </x:c>
      <x:c r="O1265" s="28" t="n">
        <x:v>0</x:v>
      </x:c>
      <x:c r="P1265" s="62" t="n">
        <x:v>0</x:v>
      </x:c>
      <x:c r="Q1265" s="22" t="n">
        <x:v>0</x:v>
      </x:c>
      <x:c r="R1265" s="22" t="str"/>
      <x:c r="S1265" s="22" t="str"/>
      <x:c r="T1265" s="22" t="str"/>
    </x:row>
    <x:row r="1266">
      <x:c r="A1266" s="22" t="str">
        <x:v>2024-00015</x:v>
      </x:c>
      <x:c r="B1266" s="22" t="str">
        <x:v>L2025-00036-1</x:v>
      </x:c>
      <x:c r="C1266" s="22" t="str">
        <x:v>용역</x:v>
      </x:c>
      <x:c r="D1266" s="25" t="str">
        <x:v>캄보디아 당까오 후송병원 공공의료서비스 개선사업 병원신축 설계감리용역</x:v>
      </x:c>
      <x:c r="E1266" s="22" t="n">
        <x:v>0</x:v>
      </x:c>
      <x:c r="F1266" s="22" t="str">
        <x:v>.docx</x:v>
      </x:c>
      <x:c r="G1266" s="25" t="str">
        <x:v>L2025-00036-1/붙임2. 입찰서류 영문본 일체/Section 4 - Request for Proposal (RFP).docx</x:v>
      </x:c>
      <x:c r="H1266" s="28" t="n">
        <x:v>30897</x:v>
      </x:c>
      <x:c r="I1266" s="22" t="str">
        <x:v>2b03b0ad8d42862ab730ad52e21e70fe282c372005823734c6711fc3953bf37f</x:v>
      </x:c>
      <x:c r="J1266" s="22" t="n">
        <x:v>0</x:v>
      </x:c>
      <x:c r="K1266" s="22" t="n">
        <x:v>0</x:v>
      </x:c>
      <x:c r="L1266" s="22" t="n">
        <x:v>0</x:v>
      </x:c>
      <x:c r="M1266" s="28" t="n">
        <x:v>0</x:v>
      </x:c>
      <x:c r="N1266" s="28" t="n">
        <x:v>0</x:v>
      </x:c>
      <x:c r="O1266" s="28" t="n">
        <x:v>0</x:v>
      </x:c>
      <x:c r="P1266" s="62" t="n">
        <x:v>0</x:v>
      </x:c>
      <x:c r="Q1266" s="22" t="n">
        <x:v>0</x:v>
      </x:c>
      <x:c r="R1266" s="22" t="str"/>
      <x:c r="S1266" s="22" t="str"/>
      <x:c r="T1266" s="22" t="str"/>
    </x:row>
    <x:row r="1267">
      <x:c r="A1267" s="22" t="str">
        <x:v>2024-00015</x:v>
      </x:c>
      <x:c r="B1267" s="22" t="str">
        <x:v>L2025-00036-1</x:v>
      </x:c>
      <x:c r="C1267" s="22" t="str">
        <x:v>용역</x:v>
      </x:c>
      <x:c r="D1267" s="25" t="str">
        <x:v>캄보디아 당까오 후송병원 공공의료서비스 개선사업 병원신축 설계감리용역</x:v>
      </x:c>
      <x:c r="E1267" s="22" t="n">
        <x:v>0</x:v>
      </x:c>
      <x:c r="F1267" s="22" t="str">
        <x:v>.pdf</x:v>
      </x:c>
      <x:c r="G1267" s="25" t="str">
        <x:v>L2025-00036-1/붙임2. 입찰서류 영문본 일체/Section 1 - Instructions to Bidders (ITB).pdf</x:v>
      </x:c>
      <x:c r="H1267" s="28" t="n">
        <x:v>152903</x:v>
      </x:c>
      <x:c r="I1267" s="22" t="str">
        <x:v>0751cf28300e4124d0398c7f843a3d87ac954711fb070d0af7a13e6b3e71eb4c</x:v>
      </x:c>
      <x:c r="J1267" s="22" t="n">
        <x:v>0</x:v>
      </x:c>
      <x:c r="K1267" s="22" t="n">
        <x:v>0</x:v>
      </x:c>
      <x:c r="L1267" s="22" t="n">
        <x:v>0</x:v>
      </x:c>
      <x:c r="M1267" s="28" t="n">
        <x:v>0</x:v>
      </x:c>
      <x:c r="N1267" s="28" t="n">
        <x:v>0</x:v>
      </x:c>
      <x:c r="O1267" s="28" t="n">
        <x:v>0</x:v>
      </x:c>
      <x:c r="P1267" s="62" t="n">
        <x:v>0</x:v>
      </x:c>
      <x:c r="Q1267" s="22" t="n">
        <x:v>0</x:v>
      </x:c>
      <x:c r="R1267" s="22" t="str"/>
      <x:c r="S1267" s="22" t="str"/>
      <x:c r="T1267" s="22" t="str"/>
    </x:row>
    <x:row r="1268">
      <x:c r="A1268" s="22" t="str">
        <x:v>2024-00015</x:v>
      </x:c>
      <x:c r="B1268" s="22" t="str">
        <x:v>L2025-00036-1</x:v>
      </x:c>
      <x:c r="C1268" s="22" t="str">
        <x:v>용역</x:v>
      </x:c>
      <x:c r="D1268" s="25" t="str">
        <x:v>캄보디아 당까오 후송병원 공공의료서비스 개선사업 병원신축 설계감리용역</x:v>
      </x:c>
      <x:c r="E1268" s="22" t="n">
        <x:v>0</x:v>
      </x:c>
      <x:c r="F1268" s="22" t="str">
        <x:v>.docx</x:v>
      </x:c>
      <x:c r="G1268" s="25" t="str">
        <x:v>L2025-00036-1/정정공고서류/Section 2_ Bid_Data_Sheet(BDS)-rev.docx</x:v>
      </x:c>
      <x:c r="H1268" s="28" t="n">
        <x:v>57124</x:v>
      </x:c>
      <x:c r="I1268" s="22" t="str">
        <x:v>8f0d398e7580e13ea90a3bcada42e2d9da2456c8562e1a5239251c487a6ced84</x:v>
      </x:c>
      <x:c r="J1268" s="22" t="n">
        <x:v>0</x:v>
      </x:c>
      <x:c r="K1268" s="22" t="n">
        <x:v>0</x:v>
      </x:c>
      <x:c r="L1268" s="22" t="n">
        <x:v>0</x:v>
      </x:c>
      <x:c r="M1268" s="28" t="n">
        <x:v>0</x:v>
      </x:c>
      <x:c r="N1268" s="28" t="n">
        <x:v>0</x:v>
      </x:c>
      <x:c r="O1268" s="28" t="n">
        <x:v>0</x:v>
      </x:c>
      <x:c r="P1268" s="62" t="n">
        <x:v>0</x:v>
      </x:c>
      <x:c r="Q1268" s="22" t="n">
        <x:v>0</x:v>
      </x:c>
      <x:c r="R1268" s="22" t="str"/>
      <x:c r="S1268" s="22" t="str"/>
      <x:c r="T1268" s="22" t="str"/>
    </x:row>
    <x:row r="1269">
      <x:c r="A1269" s="22" t="str">
        <x:v>2024-00015</x:v>
      </x:c>
      <x:c r="B1269" s="22" t="str">
        <x:v>L2025-00036-1</x:v>
      </x:c>
      <x:c r="C1269" s="22" t="str">
        <x:v>용역</x:v>
      </x:c>
      <x:c r="D1269" s="25" t="str">
        <x:v>캄보디아 당까오 후송병원 공공의료서비스 개선사업 병원신축 설계감리용역</x:v>
      </x:c>
      <x:c r="E1269" s="22" t="n">
        <x:v>0</x:v>
      </x:c>
      <x:c r="F1269" s="22" t="str">
        <x:v>.docx</x:v>
      </x:c>
      <x:c r="G1269" s="25" t="str">
        <x:v>L2025-00036-1/정정공고서류/Section 0. Summary_of_Bidding-rev.docx</x:v>
      </x:c>
      <x:c r="H1269" s="28" t="n">
        <x:v>28940</x:v>
      </x:c>
      <x:c r="I1269" s="22" t="str">
        <x:v>e9685947d8523c074a6df7f19da884e68ffbfab4d91f9c4476668965b9276bcb</x:v>
      </x:c>
      <x:c r="J1269" s="22" t="n">
        <x:v>0</x:v>
      </x:c>
      <x:c r="K1269" s="22" t="n">
        <x:v>0</x:v>
      </x:c>
      <x:c r="L1269" s="22" t="n">
        <x:v>0</x:v>
      </x:c>
      <x:c r="M1269" s="28" t="n">
        <x:v>0</x:v>
      </x:c>
      <x:c r="N1269" s="28" t="n">
        <x:v>0</x:v>
      </x:c>
      <x:c r="O1269" s="28" t="n">
        <x:v>0</x:v>
      </x:c>
      <x:c r="P1269" s="62" t="n">
        <x:v>0</x:v>
      </x:c>
      <x:c r="Q1269" s="22" t="n">
        <x:v>0</x:v>
      </x:c>
      <x:c r="R1269" s="22" t="str"/>
      <x:c r="S1269" s="22" t="str"/>
      <x:c r="T1269" s="22" t="str"/>
    </x:row>
    <x:row r="1270">
      <x:c r="A1270" s="22" t="str">
        <x:v>2024-00015</x:v>
      </x:c>
      <x:c r="B1270" s="22" t="str">
        <x:v>L2025-00036-1</x:v>
      </x:c>
      <x:c r="C1270" s="22" t="str">
        <x:v>용역</x:v>
      </x:c>
      <x:c r="D1270" s="25" t="str">
        <x:v>캄보디아 당까오 후송병원 공공의료서비스 개선사업 병원신축 설계감리용역</x:v>
      </x:c>
      <x:c r="E1270" s="22" t="n">
        <x:v>0</x:v>
      </x:c>
      <x:c r="F1270" s="22" t="str">
        <x:v>.docx</x:v>
      </x:c>
      <x:c r="G1270" s="25" t="str">
        <x:v>L2025-00036-1/붙임2. 입찰서류 영문본 일체/Section 9-1 - Pledges/9-1-3. Fair Contract Pledge Letter (공정계약 서약서).docx</x:v>
      </x:c>
      <x:c r="H1270" s="28" t="n">
        <x:v>18756</x:v>
      </x:c>
      <x:c r="I1270" s="22" t="str">
        <x:v>379cc784a159e5c15ba0045a32dd793d03827ad46a1e4a966b9810ad99102277</x:v>
      </x:c>
      <x:c r="J1270" s="22" t="n">
        <x:v>0</x:v>
      </x:c>
      <x:c r="K1270" s="22" t="n">
        <x:v>0</x:v>
      </x:c>
      <x:c r="L1270" s="22" t="n">
        <x:v>0</x:v>
      </x:c>
      <x:c r="M1270" s="28" t="n">
        <x:v>0</x:v>
      </x:c>
      <x:c r="N1270" s="28" t="n">
        <x:v>0</x:v>
      </x:c>
      <x:c r="O1270" s="28" t="n">
        <x:v>0</x:v>
      </x:c>
      <x:c r="P1270" s="62" t="n">
        <x:v>0</x:v>
      </x:c>
      <x:c r="Q1270" s="22" t="n">
        <x:v>0</x:v>
      </x:c>
      <x:c r="R1270" s="22" t="str"/>
      <x:c r="S1270" s="22" t="str"/>
      <x:c r="T1270" s="22" t="str"/>
    </x:row>
    <x:row r="1271">
      <x:c r="A1271" s="22" t="str">
        <x:v>2024-00015</x:v>
      </x:c>
      <x:c r="B1271" s="22" t="str">
        <x:v>L2025-00036-1</x:v>
      </x:c>
      <x:c r="C1271" s="22" t="str">
        <x:v>용역</x:v>
      </x:c>
      <x:c r="D1271" s="25" t="str">
        <x:v>캄보디아 당까오 후송병원 공공의료서비스 개선사업 병원신축 설계감리용역</x:v>
      </x:c>
      <x:c r="E1271" s="22" t="n">
        <x:v>0</x:v>
      </x:c>
      <x:c r="F1271" s="22" t="str">
        <x:v>.docx</x:v>
      </x:c>
      <x:c r="G1271" s="25" t="str">
        <x:v>L2025-00036-1/붙임2. 입찰서류 영문본 일체/Section 9-1 - Pledges/9-1-2. Integrity Pledge (청렴계약서).docx</x:v>
      </x:c>
      <x:c r="H1271" s="28" t="n">
        <x:v>36507</x:v>
      </x:c>
      <x:c r="I1271" s="22" t="str">
        <x:v>bbf88b1bc23c5ed931639e65f36d47df7d7fbdb8447562024b0cf9f04ec6d6b6</x:v>
      </x:c>
      <x:c r="J1271" s="22" t="n">
        <x:v>0</x:v>
      </x:c>
      <x:c r="K1271" s="22" t="n">
        <x:v>0</x:v>
      </x:c>
      <x:c r="L1271" s="22" t="n">
        <x:v>0</x:v>
      </x:c>
      <x:c r="M1271" s="28" t="n">
        <x:v>0</x:v>
      </x:c>
      <x:c r="N1271" s="28" t="n">
        <x:v>0</x:v>
      </x:c>
      <x:c r="O1271" s="28" t="n">
        <x:v>0</x:v>
      </x:c>
      <x:c r="P1271" s="62" t="n">
        <x:v>0</x:v>
      </x:c>
      <x:c r="Q1271" s="22" t="n">
        <x:v>0</x:v>
      </x:c>
      <x:c r="R1271" s="22" t="str"/>
      <x:c r="S1271" s="22" t="str"/>
      <x:c r="T1271" s="22" t="str"/>
    </x:row>
    <x:row r="1272">
      <x:c r="A1272" s="22" t="str">
        <x:v>2024-00015</x:v>
      </x:c>
      <x:c r="B1272" s="22" t="str">
        <x:v>L2025-00036-1</x:v>
      </x:c>
      <x:c r="C1272" s="22" t="str">
        <x:v>용역</x:v>
      </x:c>
      <x:c r="D1272" s="25" t="str">
        <x:v>캄보디아 당까오 후송병원 공공의료서비스 개선사업 병원신축 설계감리용역</x:v>
      </x:c>
      <x:c r="E1272" s="22" t="n">
        <x:v>0</x:v>
      </x:c>
      <x:c r="F1272" s="22" t="str">
        <x:v>.docx</x:v>
      </x:c>
      <x:c r="G1272" s="25" t="str">
        <x:v>L2025-00036-1/붙임2. 입찰서류 영문본 일체/Section 9-1 - Pledges/9-1-1. Declaration of Anti_Corruption (반부패 선언서).docx</x:v>
      </x:c>
      <x:c r="H1272" s="28" t="n">
        <x:v>23026</x:v>
      </x:c>
      <x:c r="I1272" s="22" t="str">
        <x:v>81e22a438491f4d1b5a12be15e95b5278073d1be929b00b0cd4fe23da8b9d496</x:v>
      </x:c>
      <x:c r="J1272" s="22" t="n">
        <x:v>0</x:v>
      </x:c>
      <x:c r="K1272" s="22" t="n">
        <x:v>0</x:v>
      </x:c>
      <x:c r="L1272" s="22" t="n">
        <x:v>0</x:v>
      </x:c>
      <x:c r="M1272" s="28" t="n">
        <x:v>0</x:v>
      </x:c>
      <x:c r="N1272" s="28" t="n">
        <x:v>0</x:v>
      </x:c>
      <x:c r="O1272" s="28" t="n">
        <x:v>0</x:v>
      </x:c>
      <x:c r="P1272" s="62" t="n">
        <x:v>0</x:v>
      </x:c>
      <x:c r="Q1272" s="22" t="n">
        <x:v>0</x:v>
      </x:c>
      <x:c r="R1272" s="22" t="str"/>
      <x:c r="S1272" s="22" t="str"/>
      <x:c r="T1272" s="22" t="str"/>
    </x:row>
    <x:row r="1273">
      <x:c r="A1273" s="22" t="str">
        <x:v>2024-00029</x:v>
      </x:c>
      <x:c r="B1273" s="22" t="str">
        <x:v>L2025-00060-1</x:v>
      </x:c>
      <x:c r="C1273" s="22" t="str">
        <x:v>용역</x:v>
      </x:c>
      <x:c r="D1273" s="25" t="str">
        <x:v>코트디부아르 지역균형발전을 위한 중부지역 직업전문학교 역량강화사업 설계 및 시공감리용역</x:v>
      </x:c>
      <x:c r="E1273" s="22" t="n">
        <x:v>0</x:v>
      </x:c>
      <x:c r="F1273" s="22" t="str">
        <x:v>.hwp</x:v>
      </x:c>
      <x:c r="G1273" s="25" t="str">
        <x:v>L2025-00060-1/(붙임 1) (국문) 입찰서류_코트디부아르 부아케 설계 및 감리 용역_최종.hwp</x:v>
      </x:c>
      <x:c r="H1273" s="28" t="n">
        <x:v>79872</x:v>
      </x:c>
      <x:c r="I1273" s="22" t="str">
        <x:v>0b2de28ac00b8efd831b7e421e524da7bc8d3eac63a7aa1f49f3c0f45f69192c</x:v>
      </x:c>
      <x:c r="J1273" s="22" t="n">
        <x:v>0</x:v>
      </x:c>
      <x:c r="K1273" s="22" t="n">
        <x:v>0</x:v>
      </x:c>
      <x:c r="L1273" s="22" t="n">
        <x:v>0</x:v>
      </x:c>
      <x:c r="M1273" s="28" t="n">
        <x:v>0</x:v>
      </x:c>
      <x:c r="N1273" s="28" t="n">
        <x:v>0</x:v>
      </x:c>
      <x:c r="O1273" s="28" t="n">
        <x:v>0</x:v>
      </x:c>
      <x:c r="P1273" s="62" t="n">
        <x:v>0</x:v>
      </x:c>
      <x:c r="Q1273" s="22" t="n">
        <x:v>0</x:v>
      </x:c>
      <x:c r="R1273" s="22" t="str"/>
      <x:c r="S1273" s="22" t="str"/>
      <x:c r="T1273" s="22" t="str"/>
    </x:row>
    <x:row r="1274">
      <x:c r="A1274" s="22" t="str">
        <x:v>2024-00029</x:v>
      </x:c>
      <x:c r="B1274" s="22" t="str">
        <x:v>L2025-00060-1</x:v>
      </x:c>
      <x:c r="C1274" s="22" t="str">
        <x:v>용역</x:v>
      </x:c>
      <x:c r="D1274" s="25" t="str">
        <x:v>코트디부아르 지역균형발전을 위한 중부지역 직업전문학교 역량강화사업 설계 및 시공감리용역</x:v>
      </x:c>
      <x:c r="E1274" s="22" t="n">
        <x:v>0</x:v>
      </x:c>
      <x:c r="F1274" s="22" t="str">
        <x:v>.zip</x:v>
      </x:c>
      <x:c r="G1274" s="25" t="str">
        <x:v>L2025-00060-1/(붙임 2) (영문) 입찰서류_코트디부아르 부아케 설계 및 감리 용역_최종.zip</x:v>
      </x:c>
      <x:c r="H1274" s="28" t="n">
        <x:v>4365186</x:v>
      </x:c>
      <x:c r="I1274" s="22" t="str">
        <x:v>a1ba29a92fa6ae5a9a59df352425bc86753cb8580c2e63186e70fe7607754c95</x:v>
      </x:c>
      <x:c r="J1274" s="22" t="n">
        <x:v>0</x:v>
      </x:c>
      <x:c r="K1274" s="22" t="n">
        <x:v>0</x:v>
      </x:c>
      <x:c r="L1274" s="22" t="n">
        <x:v>0</x:v>
      </x:c>
      <x:c r="M1274" s="28" t="n">
        <x:v>0</x:v>
      </x:c>
      <x:c r="N1274" s="28" t="n">
        <x:v>0</x:v>
      </x:c>
      <x:c r="O1274" s="28" t="n">
        <x:v>0</x:v>
      </x:c>
      <x:c r="P1274" s="62" t="n">
        <x:v>0</x:v>
      </x:c>
      <x:c r="Q1274" s="22" t="n">
        <x:v>0</x:v>
      </x:c>
      <x:c r="R1274" s="22" t="str"/>
      <x:c r="S1274" s="22" t="str"/>
      <x:c r="T1274" s="22" t="str"/>
    </x:row>
    <x:row r="1275">
      <x:c r="A1275" s="22" t="str">
        <x:v>2024-00029</x:v>
      </x:c>
      <x:c r="B1275" s="22" t="str">
        <x:v>L2025-00060-1</x:v>
      </x:c>
      <x:c r="C1275" s="22" t="str">
        <x:v>용역</x:v>
      </x:c>
      <x:c r="D1275" s="25" t="str">
        <x:v>코트디부아르 지역균형발전을 위한 중부지역 직업전문학교 역량강화사업 설계 및 시공감리용역</x:v>
      </x:c>
      <x:c r="E1275" s="22" t="n">
        <x:v>0</x:v>
      </x:c>
      <x:c r="F1275" s="22" t="str">
        <x:v>.docx</x:v>
      </x:c>
      <x:c r="G1275" s="25" t="str">
        <x:v>L2025-00060-1/(붙임 2) (영문) 입찰서류_코트디부아르 부아케 설계 및 감리 용역_최종/Section 8 - Contract Forms_Bouake Project Design.docx</x:v>
      </x:c>
      <x:c r="H1275" s="28" t="n">
        <x:v>22736</x:v>
      </x:c>
      <x:c r="I1275" s="22" t="str">
        <x:v>367d75edf9970fc709cfe36895805583b1b0a353b708dab5e1b3b8619f54fea7</x:v>
      </x:c>
      <x:c r="J1275" s="22" t="n">
        <x:v>0</x:v>
      </x:c>
      <x:c r="K1275" s="22" t="n">
        <x:v>0</x:v>
      </x:c>
      <x:c r="L1275" s="22" t="n">
        <x:v>0</x:v>
      </x:c>
      <x:c r="M1275" s="28" t="n">
        <x:v>0</x:v>
      </x:c>
      <x:c r="N1275" s="28" t="n">
        <x:v>0</x:v>
      </x:c>
      <x:c r="O1275" s="28" t="n">
        <x:v>0</x:v>
      </x:c>
      <x:c r="P1275" s="62" t="n">
        <x:v>0</x:v>
      </x:c>
      <x:c r="Q1275" s="22" t="n">
        <x:v>0</x:v>
      </x:c>
      <x:c r="R1275" s="22" t="str"/>
      <x:c r="S1275" s="22" t="str"/>
      <x:c r="T1275" s="22" t="str"/>
    </x:row>
    <x:row r="1276">
      <x:c r="A1276" s="22" t="str">
        <x:v>2024-00029</x:v>
      </x:c>
      <x:c r="B1276" s="22" t="str">
        <x:v>L2025-00060-1</x:v>
      </x:c>
      <x:c r="C1276" s="22" t="str">
        <x:v>용역</x:v>
      </x:c>
      <x:c r="D1276" s="25" t="str">
        <x:v>코트디부아르 지역균형발전을 위한 중부지역 직업전문학교 역량강화사업 설계 및 시공감리용역</x:v>
      </x:c>
      <x:c r="E1276" s="22" t="n">
        <x:v>0</x:v>
      </x:c>
      <x:c r="F1276" s="22" t="str">
        <x:v>.docx</x:v>
      </x:c>
      <x:c r="G1276" s="25" t="str">
        <x:v>L2025-00060-1/(붙임 2) (영문) 입찰서류_코트디부아르 부아케 설계 및 감리 용역_최종/Section 3 - Bidding Forms_Bouake Project Design.docx</x:v>
      </x:c>
      <x:c r="H1276" s="28" t="n">
        <x:v>57087</x:v>
      </x:c>
      <x:c r="I1276" s="22" t="str">
        <x:v>e653ddaf7ba5deb225ac5baf9a1b4d7c2f5bcabcc190dbdce89ac6af775e1d0c</x:v>
      </x:c>
      <x:c r="J1276" s="22" t="n">
        <x:v>0</x:v>
      </x:c>
      <x:c r="K1276" s="22" t="n">
        <x:v>0</x:v>
      </x:c>
      <x:c r="L1276" s="22" t="n">
        <x:v>0</x:v>
      </x:c>
      <x:c r="M1276" s="28" t="n">
        <x:v>0</x:v>
      </x:c>
      <x:c r="N1276" s="28" t="n">
        <x:v>0</x:v>
      </x:c>
      <x:c r="O1276" s="28" t="n">
        <x:v>0</x:v>
      </x:c>
      <x:c r="P1276" s="62" t="n">
        <x:v>0</x:v>
      </x:c>
      <x:c r="Q1276" s="22" t="n">
        <x:v>0</x:v>
      </x:c>
      <x:c r="R1276" s="22" t="str"/>
      <x:c r="S1276" s="22" t="str"/>
      <x:c r="T1276" s="22" t="str"/>
    </x:row>
    <x:row r="1277">
      <x:c r="A1277" s="22" t="str">
        <x:v>2024-00029</x:v>
      </x:c>
      <x:c r="B1277" s="22" t="str">
        <x:v>L2025-00060-1</x:v>
      </x:c>
      <x:c r="C1277" s="22" t="str">
        <x:v>용역</x:v>
      </x:c>
      <x:c r="D1277" s="25" t="str">
        <x:v>코트디부아르 지역균형발전을 위한 중부지역 직업전문학교 역량강화사업 설계 및 시공감리용역</x:v>
      </x:c>
      <x:c r="E1277" s="22" t="n">
        <x:v>0</x:v>
      </x:c>
      <x:c r="F1277" s="22" t="str">
        <x:v>.docx</x:v>
      </x:c>
      <x:c r="G1277" s="25" t="str">
        <x:v>L2025-00060-1/(붙임 2) (영문) 입찰서류_코트디부아르 부아케 설계 및 감리 용역_최종/Section 6 - General Conditions of Contract_Bouake Project Design.docx</x:v>
      </x:c>
      <x:c r="H1277" s="28" t="n">
        <x:v>35387</x:v>
      </x:c>
      <x:c r="I1277" s="22" t="str">
        <x:v>3f6ac1448828260ea110ed4386b4d06f2106e3856473460672a3c6f0005813d5</x:v>
      </x:c>
      <x:c r="J1277" s="22" t="n">
        <x:v>0</x:v>
      </x:c>
      <x:c r="K1277" s="22" t="n">
        <x:v>0</x:v>
      </x:c>
      <x:c r="L1277" s="22" t="n">
        <x:v>0</x:v>
      </x:c>
      <x:c r="M1277" s="28" t="n">
        <x:v>0</x:v>
      </x:c>
      <x:c r="N1277" s="28" t="n">
        <x:v>0</x:v>
      </x:c>
      <x:c r="O1277" s="28" t="n">
        <x:v>0</x:v>
      </x:c>
      <x:c r="P1277" s="62" t="n">
        <x:v>0</x:v>
      </x:c>
      <x:c r="Q1277" s="22" t="n">
        <x:v>0</x:v>
      </x:c>
      <x:c r="R1277" s="22" t="str"/>
      <x:c r="S1277" s="22" t="str"/>
      <x:c r="T1277" s="22" t="str"/>
    </x:row>
    <x:row r="1278">
      <x:c r="A1278" s="22" t="str">
        <x:v>2024-00029</x:v>
      </x:c>
      <x:c r="B1278" s="22" t="str">
        <x:v>L2025-00060-1</x:v>
      </x:c>
      <x:c r="C1278" s="22" t="str">
        <x:v>용역</x:v>
      </x:c>
      <x:c r="D1278" s="25" t="str">
        <x:v>코트디부아르 지역균형발전을 위한 중부지역 직업전문학교 역량강화사업 설계 및 시공감리용역</x:v>
      </x:c>
      <x:c r="E1278" s="22" t="n">
        <x:v>0</x:v>
      </x:c>
      <x:c r="F1278" s="22" t="str">
        <x:v>.zip</x:v>
      </x:c>
      <x:c r="G1278" s="25" t="str">
        <x:v>L2025-00060-1/(붙임 2) (영문) 입찰서류_코트디부아르 부아케 설계 및 감리 용역_최종/Section 5 - Reference Documents_Bouake Project Design.zip</x:v>
      </x:c>
      <x:c r="H1278" s="28" t="n">
        <x:v>40679</x:v>
      </x:c>
      <x:c r="I1278" s="22" t="str">
        <x:v>9c5105381b437a4859976c36dc484f7e771bae0f62030b1e99de9bc2a1f08adb</x:v>
      </x:c>
      <x:c r="J1278" s="22" t="n">
        <x:v>0</x:v>
      </x:c>
      <x:c r="K1278" s="22" t="n">
        <x:v>0</x:v>
      </x:c>
      <x:c r="L1278" s="22" t="n">
        <x:v>0</x:v>
      </x:c>
      <x:c r="M1278" s="28" t="n">
        <x:v>0</x:v>
      </x:c>
      <x:c r="N1278" s="28" t="n">
        <x:v>0</x:v>
      </x:c>
      <x:c r="O1278" s="28" t="n">
        <x:v>0</x:v>
      </x:c>
      <x:c r="P1278" s="62" t="n">
        <x:v>0</x:v>
      </x:c>
      <x:c r="Q1278" s="22" t="n">
        <x:v>0</x:v>
      </x:c>
      <x:c r="R1278" s="22" t="str"/>
      <x:c r="S1278" s="22" t="str"/>
      <x:c r="T1278" s="22" t="str"/>
    </x:row>
    <x:row r="1279">
      <x:c r="A1279" s="22" t="str">
        <x:v>2024-00029</x:v>
      </x:c>
      <x:c r="B1279" s="22" t="str">
        <x:v>L2025-00060-1</x:v>
      </x:c>
      <x:c r="C1279" s="22" t="str">
        <x:v>용역</x:v>
      </x:c>
      <x:c r="D1279" s="25" t="str">
        <x:v>코트디부아르 지역균형발전을 위한 중부지역 직업전문학교 역량강화사업 설계 및 시공감리용역</x:v>
      </x:c>
      <x:c r="E1279" s="22" t="n">
        <x:v>0</x:v>
      </x:c>
      <x:c r="F1279" s="22" t="str">
        <x:v>.docx</x:v>
      </x:c>
      <x:c r="G1279" s="25" t="str">
        <x:v>L2025-00060-1/(붙임 2) (영문) 입찰서류_코트디부아르 부아케 설계 및 감리 용역_최종/Section 4 - Request for Proposal_Bouake Project Design.docx</x:v>
      </x:c>
      <x:c r="H1279" s="28" t="n">
        <x:v>4098941</x:v>
      </x:c>
      <x:c r="I1279" s="22" t="str">
        <x:v>1462dccd60ebfe986c67559f2c6ada9de4731874093e231acb309c9394f43c10</x:v>
      </x:c>
      <x:c r="J1279" s="22" t="n">
        <x:v>0</x:v>
      </x:c>
      <x:c r="K1279" s="22" t="n">
        <x:v>0</x:v>
      </x:c>
      <x:c r="L1279" s="22" t="n">
        <x:v>0</x:v>
      </x:c>
      <x:c r="M1279" s="28" t="n">
        <x:v>0</x:v>
      </x:c>
      <x:c r="N1279" s="28" t="n">
        <x:v>0</x:v>
      </x:c>
      <x:c r="O1279" s="28" t="n">
        <x:v>0</x:v>
      </x:c>
      <x:c r="P1279" s="62" t="n">
        <x:v>0</x:v>
      </x:c>
      <x:c r="Q1279" s="22" t="n">
        <x:v>0</x:v>
      </x:c>
      <x:c r="R1279" s="22" t="str"/>
      <x:c r="S1279" s="22" t="str"/>
      <x:c r="T1279" s="22" t="str"/>
    </x:row>
    <x:row r="1280">
      <x:c r="A1280" s="22" t="str">
        <x:v>2024-00029</x:v>
      </x:c>
      <x:c r="B1280" s="22" t="str">
        <x:v>L2025-00060-1</x:v>
      </x:c>
      <x:c r="C1280" s="22" t="str">
        <x:v>용역</x:v>
      </x:c>
      <x:c r="D1280" s="25" t="str">
        <x:v>코트디부아르 지역균형발전을 위한 중부지역 직업전문학교 역량강화사업 설계 및 시공감리용역</x:v>
      </x:c>
      <x:c r="E1280" s="22" t="n">
        <x:v>0</x:v>
      </x:c>
      <x:c r="F1280" s="22" t="str">
        <x:v>.zip</x:v>
      </x:c>
      <x:c r="G1280" s="25" t="str">
        <x:v>L2025-00060-1/(붙임 2) (영문) 입찰서류_코트디부아르 부아케 설계 및 감리 용역_최종/Section 1 - Instructions to Bidders (ITB)_Bouake Project Design.zip</x:v>
      </x:c>
      <x:c r="H1280" s="28" t="n">
        <x:v>216187</x:v>
      </x:c>
      <x:c r="I1280" s="22" t="str">
        <x:v>83a30a1bbd3428eb43da9ed6bec2f82a599b96c216b6ae1e7a616f346880363c</x:v>
      </x:c>
      <x:c r="J1280" s="22" t="n">
        <x:v>0</x:v>
      </x:c>
      <x:c r="K1280" s="22" t="n">
        <x:v>0</x:v>
      </x:c>
      <x:c r="L1280" s="22" t="n">
        <x:v>0</x:v>
      </x:c>
      <x:c r="M1280" s="28" t="n">
        <x:v>0</x:v>
      </x:c>
      <x:c r="N1280" s="28" t="n">
        <x:v>0</x:v>
      </x:c>
      <x:c r="O1280" s="28" t="n">
        <x:v>0</x:v>
      </x:c>
      <x:c r="P1280" s="62" t="n">
        <x:v>0</x:v>
      </x:c>
      <x:c r="Q1280" s="22" t="n">
        <x:v>0</x:v>
      </x:c>
      <x:c r="R1280" s="22" t="str"/>
      <x:c r="S1280" s="22" t="str"/>
      <x:c r="T1280" s="22" t="str"/>
    </x:row>
    <x:row r="1281">
      <x:c r="A1281" s="22" t="str">
        <x:v>2024-00029</x:v>
      </x:c>
      <x:c r="B1281" s="22" t="str">
        <x:v>L2025-00060-1</x:v>
      </x:c>
      <x:c r="C1281" s="22" t="str">
        <x:v>용역</x:v>
      </x:c>
      <x:c r="D1281" s="25" t="str">
        <x:v>코트디부아르 지역균형발전을 위한 중부지역 직업전문학교 역량강화사업 설계 및 시공감리용역</x:v>
      </x:c>
      <x:c r="E1281" s="22" t="n">
        <x:v>0</x:v>
      </x:c>
      <x:c r="F1281" s="22" t="str">
        <x:v>.docx</x:v>
      </x:c>
      <x:c r="G1281" s="25" t="str">
        <x:v>L2025-00060-1/(붙임 2) (영문) 입찰서류_코트디부아르 부아케 설계 및 감리 용역_최종/Section 7 - Special Conditions of Contract_Bouake Project Design.docx</x:v>
      </x:c>
      <x:c r="H1281" s="28" t="n">
        <x:v>26551</x:v>
      </x:c>
      <x:c r="I1281" s="22" t="str">
        <x:v>de063de9b89ded019eef2afee4d4cc644ea036f9d6e09b1f48c80b3e976809e1</x:v>
      </x:c>
      <x:c r="J1281" s="22" t="n">
        <x:v>0</x:v>
      </x:c>
      <x:c r="K1281" s="22" t="n">
        <x:v>0</x:v>
      </x:c>
      <x:c r="L1281" s="22" t="n">
        <x:v>0</x:v>
      </x:c>
      <x:c r="M1281" s="28" t="n">
        <x:v>0</x:v>
      </x:c>
      <x:c r="N1281" s="28" t="n">
        <x:v>0</x:v>
      </x:c>
      <x:c r="O1281" s="28" t="n">
        <x:v>0</x:v>
      </x:c>
      <x:c r="P1281" s="62" t="n">
        <x:v>0</x:v>
      </x:c>
      <x:c r="Q1281" s="22" t="n">
        <x:v>0</x:v>
      </x:c>
      <x:c r="R1281" s="22" t="str"/>
      <x:c r="S1281" s="22" t="str"/>
      <x:c r="T1281" s="22" t="str"/>
    </x:row>
    <x:row r="1282">
      <x:c r="A1282" s="22" t="str">
        <x:v>2024-00029</x:v>
      </x:c>
      <x:c r="B1282" s="22" t="str">
        <x:v>L2025-00060-1</x:v>
      </x:c>
      <x:c r="C1282" s="22" t="str">
        <x:v>용역</x:v>
      </x:c>
      <x:c r="D1282" s="25" t="str">
        <x:v>코트디부아르 지역균형발전을 위한 중부지역 직업전문학교 역량강화사업 설계 및 시공감리용역</x:v>
      </x:c>
      <x:c r="E1282" s="22" t="n">
        <x:v>0</x:v>
      </x:c>
      <x:c r="F1282" s="22" t="str">
        <x:v>.docx</x:v>
      </x:c>
      <x:c r="G1282" s="25" t="str">
        <x:v>L2025-00060-1/(붙임 2) (영문) 입찰서류_코트디부아르 부아케 설계 및 감리 용역_최종/Section 2 - Bid Data Sheet (BDS)_EN_Bouake Project Design.docx</x:v>
      </x:c>
      <x:c r="H1282" s="28" t="n">
        <x:v>78529</x:v>
      </x:c>
      <x:c r="I1282" s="22" t="str">
        <x:v>2332f4136d9c3e65d2368c85ff30c62bcc79e0c525a1753cfa9fef7351d18941</x:v>
      </x:c>
      <x:c r="J1282" s="22" t="n">
        <x:v>0</x:v>
      </x:c>
      <x:c r="K1282" s="22" t="n">
        <x:v>0</x:v>
      </x:c>
      <x:c r="L1282" s="22" t="n">
        <x:v>0</x:v>
      </x:c>
      <x:c r="M1282" s="28" t="n">
        <x:v>0</x:v>
      </x:c>
      <x:c r="N1282" s="28" t="n">
        <x:v>0</x:v>
      </x:c>
      <x:c r="O1282" s="28" t="n">
        <x:v>0</x:v>
      </x:c>
      <x:c r="P1282" s="62" t="n">
        <x:v>0</x:v>
      </x:c>
      <x:c r="Q1282" s="22" t="n">
        <x:v>0</x:v>
      </x:c>
      <x:c r="R1282" s="22" t="str"/>
      <x:c r="S1282" s="22" t="str"/>
      <x:c r="T1282" s="22" t="str"/>
    </x:row>
    <x:row r="1283">
      <x:c r="A1283" s="22" t="str">
        <x:v>2024-00029</x:v>
      </x:c>
      <x:c r="B1283" s="22" t="str">
        <x:v>L2025-00060-1</x:v>
      </x:c>
      <x:c r="C1283" s="22" t="str">
        <x:v>용역</x:v>
      </x:c>
      <x:c r="D1283" s="25" t="str">
        <x:v>코트디부아르 지역균형발전을 위한 중부지역 직업전문학교 역량강화사업 설계 및 시공감리용역</x:v>
      </x:c>
      <x:c r="E1283" s="22" t="n">
        <x:v>0</x:v>
      </x:c>
      <x:c r="F1283" s="22" t="str">
        <x:v>.zip</x:v>
      </x:c>
      <x:c r="G1283" s="25" t="str">
        <x:v>L2025-00060-1/(붙임 2) (영문) 입찰서류_코트디부아르 부아케 설계 및 감리 용역_최종/Section 9 - Pledges_Bouake Project Design.zip</x:v>
      </x:c>
      <x:c r="H1283" s="28" t="n">
        <x:v>85586</x:v>
      </x:c>
      <x:c r="I1283" s="22" t="str">
        <x:v>ace77f0c472bac41b05b3348d76f2fece600d55060d9bc370047c00e36f9a7da</x:v>
      </x:c>
      <x:c r="J1283" s="22" t="n">
        <x:v>0</x:v>
      </x:c>
      <x:c r="K1283" s="22" t="n">
        <x:v>0</x:v>
      </x:c>
      <x:c r="L1283" s="22" t="n">
        <x:v>0</x:v>
      </x:c>
      <x:c r="M1283" s="28" t="n">
        <x:v>0</x:v>
      </x:c>
      <x:c r="N1283" s="28" t="n">
        <x:v>0</x:v>
      </x:c>
      <x:c r="O1283" s="28" t="n">
        <x:v>0</x:v>
      </x:c>
      <x:c r="P1283" s="62" t="n">
        <x:v>0</x:v>
      </x:c>
      <x:c r="Q1283" s="22" t="n">
        <x:v>0</x:v>
      </x:c>
      <x:c r="R1283" s="22" t="str"/>
      <x:c r="S1283" s="22" t="str"/>
      <x:c r="T1283" s="22" t="str"/>
    </x:row>
    <x:row r="1284">
      <x:c r="A1284" s="22" t="str">
        <x:v>2024-00029</x:v>
      </x:c>
      <x:c r="B1284" s="22" t="str">
        <x:v>L2025-00060-1</x:v>
      </x:c>
      <x:c r="C1284" s="22" t="str">
        <x:v>용역</x:v>
      </x:c>
      <x:c r="D1284" s="25" t="str">
        <x:v>코트디부아르 지역균형발전을 위한 중부지역 직업전문학교 역량강화사업 설계 및 시공감리용역</x:v>
      </x:c>
      <x:c r="E1284" s="22" t="n">
        <x:v>0</x:v>
      </x:c>
      <x:c r="F1284" s="22" t="str">
        <x:v>.docx</x:v>
      </x:c>
      <x:c r="G1284" s="25" t="str">
        <x:v>L2025-00060-1/(붙임 2) (영문) 입찰서류_코트디부아르 부아케 설계 및 감리 용역_최종/Section 9 - Pledges_Bouake Project Design/Integrity Pledge (청렴계약서).docx</x:v>
      </x:c>
      <x:c r="H1284" s="28" t="n">
        <x:v>36507</x:v>
      </x:c>
      <x:c r="I1284" s="22" t="str">
        <x:v>bbf88b1bc23c5ed931639e65f36d47df7d7fbdb8447562024b0cf9f04ec6d6b6</x:v>
      </x:c>
      <x:c r="J1284" s="22" t="n">
        <x:v>0</x:v>
      </x:c>
      <x:c r="K1284" s="22" t="n">
        <x:v>0</x:v>
      </x:c>
      <x:c r="L1284" s="22" t="n">
        <x:v>0</x:v>
      </x:c>
      <x:c r="M1284" s="28" t="n">
        <x:v>0</x:v>
      </x:c>
      <x:c r="N1284" s="28" t="n">
        <x:v>0</x:v>
      </x:c>
      <x:c r="O1284" s="28" t="n">
        <x:v>0</x:v>
      </x:c>
      <x:c r="P1284" s="62" t="n">
        <x:v>0</x:v>
      </x:c>
      <x:c r="Q1284" s="22" t="n">
        <x:v>0</x:v>
      </x:c>
      <x:c r="R1284" s="22" t="str"/>
      <x:c r="S1284" s="22" t="str"/>
      <x:c r="T1284" s="22" t="str"/>
    </x:row>
    <x:row r="1285">
      <x:c r="A1285" s="22" t="str">
        <x:v>2024-00029</x:v>
      </x:c>
      <x:c r="B1285" s="22" t="str">
        <x:v>L2025-00060-1</x:v>
      </x:c>
      <x:c r="C1285" s="22" t="str">
        <x:v>용역</x:v>
      </x:c>
      <x:c r="D1285" s="25" t="str">
        <x:v>코트디부아르 지역균형발전을 위한 중부지역 직업전문학교 역량강화사업 설계 및 시공감리용역</x:v>
      </x:c>
      <x:c r="E1285" s="22" t="n">
        <x:v>0</x:v>
      </x:c>
      <x:c r="F1285" s="22" t="str">
        <x:v>.docx</x:v>
      </x:c>
      <x:c r="G1285" s="25" t="str">
        <x:v>L2025-00060-1/(붙임 2) (영문) 입찰서류_코트디부아르 부아케 설계 및 감리 용역_최종/Section 9 - Pledges_Bouake Project Design/Fair Contract Pledge Letter (공정계약 서약서).docx</x:v>
      </x:c>
      <x:c r="H1285" s="28" t="n">
        <x:v>18756</x:v>
      </x:c>
      <x:c r="I1285" s="22" t="str">
        <x:v>379cc784a159e5c15ba0045a32dd793d03827ad46a1e4a966b9810ad99102277</x:v>
      </x:c>
      <x:c r="J1285" s="22" t="n">
        <x:v>0</x:v>
      </x:c>
      <x:c r="K1285" s="22" t="n">
        <x:v>0</x:v>
      </x:c>
      <x:c r="L1285" s="22" t="n">
        <x:v>0</x:v>
      </x:c>
      <x:c r="M1285" s="28" t="n">
        <x:v>0</x:v>
      </x:c>
      <x:c r="N1285" s="28" t="n">
        <x:v>0</x:v>
      </x:c>
      <x:c r="O1285" s="28" t="n">
        <x:v>0</x:v>
      </x:c>
      <x:c r="P1285" s="62" t="n">
        <x:v>0</x:v>
      </x:c>
      <x:c r="Q1285" s="22" t="n">
        <x:v>0</x:v>
      </x:c>
      <x:c r="R1285" s="22" t="str"/>
      <x:c r="S1285" s="22" t="str"/>
      <x:c r="T1285" s="22" t="str"/>
    </x:row>
    <x:row r="1286">
      <x:c r="A1286" s="22" t="str">
        <x:v>2024-00029</x:v>
      </x:c>
      <x:c r="B1286" s="22" t="str">
        <x:v>L2025-00060-1</x:v>
      </x:c>
      <x:c r="C1286" s="22" t="str">
        <x:v>용역</x:v>
      </x:c>
      <x:c r="D1286" s="25" t="str">
        <x:v>코트디부아르 지역균형발전을 위한 중부지역 직업전문학교 역량강화사업 설계 및 시공감리용역</x:v>
      </x:c>
      <x:c r="E1286" s="22" t="n">
        <x:v>0</x:v>
      </x:c>
      <x:c r="F1286" s="22" t="str">
        <x:v>.docx</x:v>
      </x:c>
      <x:c r="G1286" s="25" t="str">
        <x:v>L2025-00060-1/(붙임 2) (영문) 입찰서류_코트디부아르 부아케 설계 및 감리 용역_최종/Section 9 - Pledges_Bouake Project Design/Action Pledge to Integrate Human Rights into Business Management of International Development Cooperation Projects (국제개발협력사업 인권경영 실천 서야.docx</x:v>
      </x:c>
      <x:c r="H1286" s="28" t="n">
        <x:v>19215</x:v>
      </x:c>
      <x:c r="I1286" s="22" t="str">
        <x:v>46af17d37aeab4e26df886f92c4955b1f059d0e3597f97e7e54f4f35fcbf63bf</x:v>
      </x:c>
      <x:c r="J1286" s="22" t="n">
        <x:v>0</x:v>
      </x:c>
      <x:c r="K1286" s="22" t="n">
        <x:v>0</x:v>
      </x:c>
      <x:c r="L1286" s="22" t="n">
        <x:v>0</x:v>
      </x:c>
      <x:c r="M1286" s="28" t="n">
        <x:v>0</x:v>
      </x:c>
      <x:c r="N1286" s="28" t="n">
        <x:v>0</x:v>
      </x:c>
      <x:c r="O1286" s="28" t="n">
        <x:v>0</x:v>
      </x:c>
      <x:c r="P1286" s="62" t="n">
        <x:v>0</x:v>
      </x:c>
      <x:c r="Q1286" s="22" t="n">
        <x:v>0</x:v>
      </x:c>
      <x:c r="R1286" s="22" t="str"/>
      <x:c r="S1286" s="22" t="str"/>
      <x:c r="T1286" s="22" t="str"/>
    </x:row>
    <x:row r="1287">
      <x:c r="A1287" s="22" t="str">
        <x:v>2024-00029</x:v>
      </x:c>
      <x:c r="B1287" s="22" t="str">
        <x:v>L2025-00060-1</x:v>
      </x:c>
      <x:c r="C1287" s="22" t="str">
        <x:v>용역</x:v>
      </x:c>
      <x:c r="D1287" s="25" t="str">
        <x:v>코트디부아르 지역균형발전을 위한 중부지역 직업전문학교 역량강화사업 설계 및 시공감리용역</x:v>
      </x:c>
      <x:c r="E1287" s="22" t="n">
        <x:v>0</x:v>
      </x:c>
      <x:c r="F1287" s="22" t="str">
        <x:v>.docx</x:v>
      </x:c>
      <x:c r="G1287" s="25" t="str">
        <x:v>L2025-00060-1/(붙임 2) (영문) 입찰서류_코트디부아르 부아케 설계 및 감리 용역_최종/Section 9 - Pledges_Bouake Project Design/Declaration of Anti_Corruption (반부패 선언서).docx</x:v>
      </x:c>
      <x:c r="H1287" s="28" t="n">
        <x:v>23026</x:v>
      </x:c>
      <x:c r="I1287" s="22" t="str">
        <x:v>81e22a438491f4d1b5a12be15e95b5278073d1be929b00b0cd4fe23da8b9d496</x:v>
      </x:c>
      <x:c r="J1287" s="22" t="n">
        <x:v>0</x:v>
      </x:c>
      <x:c r="K1287" s="22" t="n">
        <x:v>0</x:v>
      </x:c>
      <x:c r="L1287" s="22" t="n">
        <x:v>0</x:v>
      </x:c>
      <x:c r="M1287" s="28" t="n">
        <x:v>0</x:v>
      </x:c>
      <x:c r="N1287" s="28" t="n">
        <x:v>0</x:v>
      </x:c>
      <x:c r="O1287" s="28" t="n">
        <x:v>0</x:v>
      </x:c>
      <x:c r="P1287" s="62" t="n">
        <x:v>0</x:v>
      </x:c>
      <x:c r="Q1287" s="22" t="n">
        <x:v>0</x:v>
      </x:c>
      <x:c r="R1287" s="22" t="str"/>
      <x:c r="S1287" s="22" t="str"/>
      <x:c r="T1287" s="22" t="str"/>
    </x:row>
    <x:row r="1288">
      <x:c r="A1288" s="22" t="str">
        <x:v>2024-00029</x:v>
      </x:c>
      <x:c r="B1288" s="22" t="str">
        <x:v>L2025-00060-1</x:v>
      </x:c>
      <x:c r="C1288" s="22" t="str">
        <x:v>용역</x:v>
      </x:c>
      <x:c r="D1288" s="25" t="str">
        <x:v>코트디부아르 지역균형발전을 위한 중부지역 직업전문학교 역량강화사업 설계 및 시공감리용역</x:v>
      </x:c>
      <x:c r="E1288" s="22" t="n">
        <x:v>0</x:v>
      </x:c>
      <x:c r="F1288" s="22" t="str">
        <x:v>.xlsx</x:v>
      </x:c>
      <x:c r="G1288" s="25" t="str">
        <x:v>L2025-00060-1/(붙임 2) (영문) 입찰서류_코트디부아르 부아케 설계 및 감리 용역_최종/Section 5 - Reference Documents_Bouake Project Design/Section 5 - Bid Document Checklist.xlsx</x:v>
      </x:c>
      <x:c r="H1288" s="28" t="n">
        <x:v>25025</x:v>
      </x:c>
      <x:c r="I1288" s="22" t="str">
        <x:v>eeacc1c81c2e5265f9e2bbe52fc65a8def190f7280a9e776a48b948c1b3345ad</x:v>
      </x:c>
      <x:c r="J1288" s="22" t="n">
        <x:v>0</x:v>
      </x:c>
      <x:c r="K1288" s="22" t="n">
        <x:v>0</x:v>
      </x:c>
      <x:c r="L1288" s="22" t="n">
        <x:v>0</x:v>
      </x:c>
      <x:c r="M1288" s="28" t="n">
        <x:v>0</x:v>
      </x:c>
      <x:c r="N1288" s="28" t="n">
        <x:v>0</x:v>
      </x:c>
      <x:c r="O1288" s="28" t="n">
        <x:v>0</x:v>
      </x:c>
      <x:c r="P1288" s="62" t="n">
        <x:v>0</x:v>
      </x:c>
      <x:c r="Q1288" s="22" t="n">
        <x:v>0</x:v>
      </x:c>
      <x:c r="R1288" s="22" t="str"/>
      <x:c r="S1288" s="22" t="str"/>
      <x:c r="T1288" s="22" t="str"/>
    </x:row>
    <x:row r="1289">
      <x:c r="A1289" s="22" t="str">
        <x:v>2024-00029</x:v>
      </x:c>
      <x:c r="B1289" s="22" t="str">
        <x:v>L2025-00060-1</x:v>
      </x:c>
      <x:c r="C1289" s="22" t="str">
        <x:v>용역</x:v>
      </x:c>
      <x:c r="D1289" s="25" t="str">
        <x:v>코트디부아르 지역균형발전을 위한 중부지역 직업전문학교 역량강화사업 설계 및 시공감리용역</x:v>
      </x:c>
      <x:c r="E1289" s="22" t="n">
        <x:v>0</x:v>
      </x:c>
      <x:c r="F1289" s="22" t="str">
        <x:v>.docx</x:v>
      </x:c>
      <x:c r="G1289" s="25" t="str">
        <x:v>L2025-00060-1/(붙임 2) (영문) 입찰서류_코트디부아르 부아케 설계 및 감리 용역_최종/Section 5 - Reference Documents_Bouake Project Design/Section 5 - Construction Supervision Forms.docx</x:v>
      </x:c>
      <x:c r="H1289" s="28" t="n">
        <x:v>21655</x:v>
      </x:c>
      <x:c r="I1289" s="22" t="str">
        <x:v>6faffa7eea1b98283c98661c3d3929bc4a00e93b2a2dcb33ff3180dcdef6c55b</x:v>
      </x:c>
      <x:c r="J1289" s="22" t="n">
        <x:v>0</x:v>
      </x:c>
      <x:c r="K1289" s="22" t="n">
        <x:v>0</x:v>
      </x:c>
      <x:c r="L1289" s="22" t="n">
        <x:v>0</x:v>
      </x:c>
      <x:c r="M1289" s="28" t="n">
        <x:v>0</x:v>
      </x:c>
      <x:c r="N1289" s="28" t="n">
        <x:v>0</x:v>
      </x:c>
      <x:c r="O1289" s="28" t="n">
        <x:v>0</x:v>
      </x:c>
      <x:c r="P1289" s="62" t="n">
        <x:v>0</x:v>
      </x:c>
      <x:c r="Q1289" s="22" t="n">
        <x:v>0</x:v>
      </x:c>
      <x:c r="R1289" s="22" t="str"/>
      <x:c r="S1289" s="22" t="str"/>
      <x:c r="T1289" s="22" t="str"/>
    </x:row>
    <x:row r="1290">
      <x:c r="A1290" s="22" t="str">
        <x:v>2024-00029</x:v>
      </x:c>
      <x:c r="B1290" s="22" t="str">
        <x:v>L2025-00060-1</x:v>
      </x:c>
      <x:c r="C1290" s="22" t="str">
        <x:v>용역</x:v>
      </x:c>
      <x:c r="D1290" s="25" t="str">
        <x:v>코트디부아르 지역균형발전을 위한 중부지역 직업전문학교 역량강화사업 설계 및 시공감리용역</x:v>
      </x:c>
      <x:c r="E1290" s="22" t="n">
        <x:v>0</x:v>
      </x:c>
      <x:c r="F1290" s="22" t="str">
        <x:v>.hwp</x:v>
      </x:c>
      <x:c r="G1290" s="25" t="str">
        <x:v>L2025-00060-1/(붙임 2) (영문) 입찰서류_코트디부아르 부아케 설계 및 감리 용역_최종/Section 1 - Instructions to Bidders (ITB)_Bouake Project Design/Section 1 - Instructions to Bidders (ITB).hwp</x:v>
      </x:c>
      <x:c r="H1290" s="28" t="n">
        <x:v>168448</x:v>
      </x:c>
      <x:c r="I1290" s="22" t="str">
        <x:v>66c44d5b34cd4bade85de8cda544a7f534cfac5022bcf25bb3755d6680315e9a</x:v>
      </x:c>
      <x:c r="J1290" s="22" t="n">
        <x:v>0</x:v>
      </x:c>
      <x:c r="K1290" s="22" t="n">
        <x:v>0</x:v>
      </x:c>
      <x:c r="L1290" s="22" t="n">
        <x:v>0</x:v>
      </x:c>
      <x:c r="M1290" s="28" t="n">
        <x:v>0</x:v>
      </x:c>
      <x:c r="N1290" s="28" t="n">
        <x:v>0</x:v>
      </x:c>
      <x:c r="O1290" s="28" t="n">
        <x:v>0</x:v>
      </x:c>
      <x:c r="P1290" s="62" t="n">
        <x:v>0</x:v>
      </x:c>
      <x:c r="Q1290" s="22" t="n">
        <x:v>0</x:v>
      </x:c>
      <x:c r="R1290" s="22" t="str"/>
      <x:c r="S1290" s="22" t="str"/>
      <x:c r="T1290" s="22" t="str"/>
    </x:row>
    <x:row r="1291">
      <x:c r="A1291" s="22" t="str">
        <x:v>2024-00029</x:v>
      </x:c>
      <x:c r="B1291" s="22" t="str">
        <x:v>L2025-00060-1</x:v>
      </x:c>
      <x:c r="C1291" s="22" t="str">
        <x:v>용역</x:v>
      </x:c>
      <x:c r="D1291" s="25" t="str">
        <x:v>코트디부아르 지역균형발전을 위한 중부지역 직업전문학교 역량강화사업 설계 및 시공감리용역</x:v>
      </x:c>
      <x:c r="E1291" s="22" t="n">
        <x:v>0</x:v>
      </x:c>
      <x:c r="F1291" s="22" t="str">
        <x:v>.hwp</x:v>
      </x:c>
      <x:c r="G1291" s="25" t="str">
        <x:v>L2025-00060-1/(붙임 2) (영문) 입찰서류_코트디부아르 부아케 설계 및 감리 용역_최종/Section 1 - Instructions to Bidders (ITB)_Bouake Project Design/Section 1 - 국제입찰유의서 (ITB).hwp</x:v>
      </x:c>
      <x:c r="H1291" s="28" t="n">
        <x:v>92672</x:v>
      </x:c>
      <x:c r="I1291" s="22" t="str">
        <x:v>30c8d093217b1908eadd23ff85989ab13790b4f29f255670b5c4478dcb302c5a</x:v>
      </x:c>
      <x:c r="J1291" s="22" t="n">
        <x:v>0</x:v>
      </x:c>
      <x:c r="K1291" s="22" t="n">
        <x:v>0</x:v>
      </x:c>
      <x:c r="L1291" s="22" t="n">
        <x:v>0</x:v>
      </x:c>
      <x:c r="M1291" s="28" t="n">
        <x:v>0</x:v>
      </x:c>
      <x:c r="N1291" s="28" t="n">
        <x:v>0</x:v>
      </x:c>
      <x:c r="O1291" s="28" t="n">
        <x:v>0</x:v>
      </x:c>
      <x:c r="P1291" s="62" t="n">
        <x:v>0</x:v>
      </x:c>
      <x:c r="Q1291" s="22" t="n">
        <x:v>0</x:v>
      </x:c>
      <x:c r="R1291" s="22" t="str"/>
      <x:c r="S1291" s="22" t="str"/>
      <x:c r="T1291" s="22" t="str"/>
    </x:row>
    <x:row r="1292">
      <x:c r="A1292" s="22" t="str">
        <x:v>2023-00067</x:v>
      </x:c>
      <x:c r="B1292" s="22" t="str">
        <x:v>L2024-00048-1</x:v>
      </x:c>
      <x:c r="C1292" s="22" t="str">
        <x:v>용역</x:v>
      </x:c>
      <x:c r="D1292" s="25" t="str">
        <x:v>코트디부아르 펠릭스우푸에부아니대학교 ICT 고등교육 역량강화 및 디지털 교육 개선사업 설계 및 감리용역</x:v>
      </x:c>
      <x:c r="E1292" s="22" t="n">
        <x:v>0</x:v>
      </x:c>
      <x:c r="F1292" s="22" t="str">
        <x:v>.docx</x:v>
      </x:c>
      <x:c r="G1292" s="25" t="str">
        <x:v>L2024-00048-1/입찰 초청장.docx</x:v>
      </x:c>
      <x:c r="H1292" s="28" t="n">
        <x:v>22352</x:v>
      </x:c>
      <x:c r="I1292" s="22" t="str">
        <x:v>00823c89b7cce3205a0990a65ea10eee9f595a101ce797a44ca0b5343199425e</x:v>
      </x:c>
      <x:c r="J1292" s="22" t="n">
        <x:v>0</x:v>
      </x:c>
      <x:c r="K1292" s="22" t="n">
        <x:v>0</x:v>
      </x:c>
      <x:c r="L1292" s="22" t="n">
        <x:v>0</x:v>
      </x:c>
      <x:c r="M1292" s="28" t="n">
        <x:v>0</x:v>
      </x:c>
      <x:c r="N1292" s="28" t="n">
        <x:v>0</x:v>
      </x:c>
      <x:c r="O1292" s="28" t="n">
        <x:v>0</x:v>
      </x:c>
      <x:c r="P1292" s="62" t="n">
        <x:v>0</x:v>
      </x:c>
      <x:c r="Q1292" s="22" t="n">
        <x:v>0</x:v>
      </x:c>
      <x:c r="R1292" s="22" t="str"/>
      <x:c r="S1292" s="22" t="str"/>
      <x:c r="T1292" s="22" t="str"/>
    </x:row>
    <x:row r="1293">
      <x:c r="A1293" s="22" t="str">
        <x:v>2023-00067</x:v>
      </x:c>
      <x:c r="B1293" s="22" t="str">
        <x:v>L2024-00048-1</x:v>
      </x:c>
      <x:c r="C1293" s="22" t="str">
        <x:v>용역</x:v>
      </x:c>
      <x:c r="D1293" s="25" t="str">
        <x:v>코트디부아르 펠릭스우푸에부아니대학교 ICT 고등교육 역량강화 및 디지털 교육 개선사업 설계 및 감리용역</x:v>
      </x:c>
      <x:c r="E1293" s="22" t="n">
        <x:v>0</x:v>
      </x:c>
      <x:c r="F1293" s="22" t="str">
        <x:v>.zip</x:v>
      </x:c>
      <x:c r="G1293" s="25" t="str">
        <x:v>L2024-00048-1/Section 1 - Instructions to Bidders (ITB).zip</x:v>
      </x:c>
      <x:c r="H1293" s="28" t="n">
        <x:v>216187</x:v>
      </x:c>
      <x:c r="I1293" s="22" t="str">
        <x:v>83a30a1bbd3428eb43da9ed6bec2f82a599b96c216b6ae1e7a616f346880363c</x:v>
      </x:c>
      <x:c r="J1293" s="22" t="n">
        <x:v>0</x:v>
      </x:c>
      <x:c r="K1293" s="22" t="n">
        <x:v>0</x:v>
      </x:c>
      <x:c r="L1293" s="22" t="n">
        <x:v>0</x:v>
      </x:c>
      <x:c r="M1293" s="28" t="n">
        <x:v>0</x:v>
      </x:c>
      <x:c r="N1293" s="28" t="n">
        <x:v>0</x:v>
      </x:c>
      <x:c r="O1293" s="28" t="n">
        <x:v>0</x:v>
      </x:c>
      <x:c r="P1293" s="62" t="n">
        <x:v>0</x:v>
      </x:c>
      <x:c r="Q1293" s="22" t="n">
        <x:v>0</x:v>
      </x:c>
      <x:c r="R1293" s="22" t="str"/>
      <x:c r="S1293" s="22" t="str"/>
      <x:c r="T1293" s="22" t="str"/>
    </x:row>
    <x:row r="1294">
      <x:c r="A1294" s="22" t="str">
        <x:v>2023-00067</x:v>
      </x:c>
      <x:c r="B1294" s="22" t="str">
        <x:v>L2024-00048-1</x:v>
      </x:c>
      <x:c r="C1294" s="22" t="str">
        <x:v>용역</x:v>
      </x:c>
      <x:c r="D1294" s="25" t="str">
        <x:v>코트디부아르 펠릭스우푸에부아니대학교 ICT 고등교육 역량강화 및 디지털 교육 개선사업 설계 및 감리용역</x:v>
      </x:c>
      <x:c r="E1294" s="22" t="n">
        <x:v>0</x:v>
      </x:c>
      <x:c r="F1294" s="22" t="str">
        <x:v>.docx</x:v>
      </x:c>
      <x:c r="G1294" s="25" t="str">
        <x:v>L2024-00048-1/Section 4 - Request for Proposal_코트디_ver.1.2_수정.docx</x:v>
      </x:c>
      <x:c r="H1294" s="28" t="n">
        <x:v>4145891</x:v>
      </x:c>
      <x:c r="I1294" s="22" t="str">
        <x:v>9ef7ae6a792bdebd2cde514ccc8dc9b79b146237c3632b9b3773cc3cdc6ea532</x:v>
      </x:c>
      <x:c r="J1294" s="22" t="n">
        <x:v>0</x:v>
      </x:c>
      <x:c r="K1294" s="22" t="n">
        <x:v>0</x:v>
      </x:c>
      <x:c r="L1294" s="22" t="n">
        <x:v>0</x:v>
      </x:c>
      <x:c r="M1294" s="28" t="n">
        <x:v>0</x:v>
      </x:c>
      <x:c r="N1294" s="28" t="n">
        <x:v>0</x:v>
      </x:c>
      <x:c r="O1294" s="28" t="n">
        <x:v>0</x:v>
      </x:c>
      <x:c r="P1294" s="62" t="n">
        <x:v>0</x:v>
      </x:c>
      <x:c r="Q1294" s="22" t="n">
        <x:v>0</x:v>
      </x:c>
      <x:c r="R1294" s="22" t="str"/>
      <x:c r="S1294" s="22" t="str"/>
      <x:c r="T1294" s="22" t="str"/>
    </x:row>
    <x:row r="1295">
      <x:c r="A1295" s="22" t="str">
        <x:v>2023-00067</x:v>
      </x:c>
      <x:c r="B1295" s="22" t="str">
        <x:v>L2024-00048-1</x:v>
      </x:c>
      <x:c r="C1295" s="22" t="str">
        <x:v>용역</x:v>
      </x:c>
      <x:c r="D1295" s="25" t="str">
        <x:v>코트디부아르 펠릭스우푸에부아니대학교 ICT 고등교육 역량강화 및 디지털 교육 개선사업 설계 및 감리용역</x:v>
      </x:c>
      <x:c r="E1295" s="22" t="n">
        <x:v>0</x:v>
      </x:c>
      <x:c r="F1295" s="22" t="str">
        <x:v>.zip</x:v>
      </x:c>
      <x:c r="G1295" s="25" t="str">
        <x:v>L2024-00048-1/Section 5 - Reference Documents.zip</x:v>
      </x:c>
      <x:c r="H1295" s="28" t="n">
        <x:v>71356</x:v>
      </x:c>
      <x:c r="I1295" s="22" t="str">
        <x:v>649c3573e8d58100e0555cb3c522d6f8cf4c83cd76d41c1d46fc31ae399796b0</x:v>
      </x:c>
      <x:c r="J1295" s="22" t="n">
        <x:v>0</x:v>
      </x:c>
      <x:c r="K1295" s="22" t="n">
        <x:v>0</x:v>
      </x:c>
      <x:c r="L1295" s="22" t="n">
        <x:v>0</x:v>
      </x:c>
      <x:c r="M1295" s="28" t="n">
        <x:v>0</x:v>
      </x:c>
      <x:c r="N1295" s="28" t="n">
        <x:v>0</x:v>
      </x:c>
      <x:c r="O1295" s="28" t="n">
        <x:v>0</x:v>
      </x:c>
      <x:c r="P1295" s="62" t="n">
        <x:v>0</x:v>
      </x:c>
      <x:c r="Q1295" s="22" t="n">
        <x:v>0</x:v>
      </x:c>
      <x:c r="R1295" s="22" t="str"/>
      <x:c r="S1295" s="22" t="str"/>
      <x:c r="T1295" s="22" t="str"/>
    </x:row>
    <x:row r="1296">
      <x:c r="A1296" s="22" t="str">
        <x:v>2023-00067</x:v>
      </x:c>
      <x:c r="B1296" s="22" t="str">
        <x:v>L2024-00048-1</x:v>
      </x:c>
      <x:c r="C1296" s="22" t="str">
        <x:v>용역</x:v>
      </x:c>
      <x:c r="D1296" s="25" t="str">
        <x:v>코트디부아르 펠릭스우푸에부아니대학교 ICT 고등교육 역량강화 및 디지털 교육 개선사업 설계 및 감리용역</x:v>
      </x:c>
      <x:c r="E1296" s="22" t="n">
        <x:v>0</x:v>
      </x:c>
      <x:c r="F1296" s="22" t="str">
        <x:v>.docx</x:v>
      </x:c>
      <x:c r="G1296" s="25" t="str">
        <x:v>L2024-00048-1/Section 6 - General Conditions of Contract.docx</x:v>
      </x:c>
      <x:c r="H1296" s="28" t="n">
        <x:v>35387</x:v>
      </x:c>
      <x:c r="I1296" s="22" t="str">
        <x:v>3f6ac1448828260ea110ed4386b4d06f2106e3856473460672a3c6f0005813d5</x:v>
      </x:c>
      <x:c r="J1296" s="22" t="n">
        <x:v>0</x:v>
      </x:c>
      <x:c r="K1296" s="22" t="n">
        <x:v>0</x:v>
      </x:c>
      <x:c r="L1296" s="22" t="n">
        <x:v>0</x:v>
      </x:c>
      <x:c r="M1296" s="28" t="n">
        <x:v>0</x:v>
      </x:c>
      <x:c r="N1296" s="28" t="n">
        <x:v>0</x:v>
      </x:c>
      <x:c r="O1296" s="28" t="n">
        <x:v>0</x:v>
      </x:c>
      <x:c r="P1296" s="62" t="n">
        <x:v>0</x:v>
      </x:c>
      <x:c r="Q1296" s="22" t="n">
        <x:v>0</x:v>
      </x:c>
      <x:c r="R1296" s="22" t="str"/>
      <x:c r="S1296" s="22" t="str"/>
      <x:c r="T1296" s="22" t="str"/>
    </x:row>
    <x:row r="1297">
      <x:c r="A1297" s="22" t="str">
        <x:v>2023-00067</x:v>
      </x:c>
      <x:c r="B1297" s="22" t="str">
        <x:v>L2024-00048-1</x:v>
      </x:c>
      <x:c r="C1297" s="22" t="str">
        <x:v>용역</x:v>
      </x:c>
      <x:c r="D1297" s="25" t="str">
        <x:v>코트디부아르 펠릭스우푸에부아니대학교 ICT 고등교육 역량강화 및 디지털 교육 개선사업 설계 및 감리용역</x:v>
      </x:c>
      <x:c r="E1297" s="22" t="n">
        <x:v>0</x:v>
      </x:c>
      <x:c r="F1297" s="22" t="str">
        <x:v>.docx</x:v>
      </x:c>
      <x:c r="G1297" s="25" t="str">
        <x:v>L2024-00048-1/Section 7 - Special Conditions of Contract.docx</x:v>
      </x:c>
      <x:c r="H1297" s="28" t="n">
        <x:v>25034</x:v>
      </x:c>
      <x:c r="I1297" s="22" t="str">
        <x:v>32fd886fb32403a81618fab17485cedd0df09561734399e4e20ffb730b6bdb6a</x:v>
      </x:c>
      <x:c r="J1297" s="22" t="n">
        <x:v>0</x:v>
      </x:c>
      <x:c r="K1297" s="22" t="n">
        <x:v>0</x:v>
      </x:c>
      <x:c r="L1297" s="22" t="n">
        <x:v>0</x:v>
      </x:c>
      <x:c r="M1297" s="28" t="n">
        <x:v>0</x:v>
      </x:c>
      <x:c r="N1297" s="28" t="n">
        <x:v>0</x:v>
      </x:c>
      <x:c r="O1297" s="28" t="n">
        <x:v>0</x:v>
      </x:c>
      <x:c r="P1297" s="62" t="n">
        <x:v>0</x:v>
      </x:c>
      <x:c r="Q1297" s="22" t="n">
        <x:v>0</x:v>
      </x:c>
      <x:c r="R1297" s="22" t="str"/>
      <x:c r="S1297" s="22" t="str"/>
      <x:c r="T1297" s="22" t="str"/>
    </x:row>
    <x:row r="1298">
      <x:c r="A1298" s="22" t="str">
        <x:v>2023-00067</x:v>
      </x:c>
      <x:c r="B1298" s="22" t="str">
        <x:v>L2024-00048-1</x:v>
      </x:c>
      <x:c r="C1298" s="22" t="str">
        <x:v>용역</x:v>
      </x:c>
      <x:c r="D1298" s="25" t="str">
        <x:v>코트디부아르 펠릭스우푸에부아니대학교 ICT 고등교육 역량강화 및 디지털 교육 개선사업 설계 및 감리용역</x:v>
      </x:c>
      <x:c r="E1298" s="22" t="n">
        <x:v>0</x:v>
      </x:c>
      <x:c r="F1298" s="22" t="str">
        <x:v>.docx</x:v>
      </x:c>
      <x:c r="G1298" s="25" t="str">
        <x:v>L2024-00048-1/Section 2 - (영문) Bid Data Sheet (BDS)_코트디_ver.1.3.docx</x:v>
      </x:c>
      <x:c r="H1298" s="28" t="n">
        <x:v>69703</x:v>
      </x:c>
      <x:c r="I1298" s="22" t="str">
        <x:v>848d286e496e1b928d01fde2cd4edd4ebec4ca4a8d28b0c85a3182ce3d650964</x:v>
      </x:c>
      <x:c r="J1298" s="22" t="n">
        <x:v>0</x:v>
      </x:c>
      <x:c r="K1298" s="22" t="n">
        <x:v>0</x:v>
      </x:c>
      <x:c r="L1298" s="22" t="n">
        <x:v>0</x:v>
      </x:c>
      <x:c r="M1298" s="28" t="n">
        <x:v>0</x:v>
      </x:c>
      <x:c r="N1298" s="28" t="n">
        <x:v>0</x:v>
      </x:c>
      <x:c r="O1298" s="28" t="n">
        <x:v>0</x:v>
      </x:c>
      <x:c r="P1298" s="62" t="n">
        <x:v>0</x:v>
      </x:c>
      <x:c r="Q1298" s="22" t="n">
        <x:v>0</x:v>
      </x:c>
      <x:c r="R1298" s="22" t="str"/>
      <x:c r="S1298" s="22" t="str"/>
      <x:c r="T1298" s="22" t="str"/>
    </x:row>
    <x:row r="1299">
      <x:c r="A1299" s="22" t="str">
        <x:v>2023-00067</x:v>
      </x:c>
      <x:c r="B1299" s="22" t="str">
        <x:v>L2024-00048-1</x:v>
      </x:c>
      <x:c r="C1299" s="22" t="str">
        <x:v>용역</x:v>
      </x:c>
      <x:c r="D1299" s="25" t="str">
        <x:v>코트디부아르 펠릭스우푸에부아니대학교 ICT 고등교육 역량강화 및 디지털 교육 개선사업 설계 및 감리용역</x:v>
      </x:c>
      <x:c r="E1299" s="22" t="n">
        <x:v>0</x:v>
      </x:c>
      <x:c r="F1299" s="22" t="str">
        <x:v>.zip</x:v>
      </x:c>
      <x:c r="G1299" s="25" t="str">
        <x:v>L2024-00048-1/Section 9 - Pledges.zip</x:v>
      </x:c>
      <x:c r="H1299" s="28" t="n">
        <x:v>85586</x:v>
      </x:c>
      <x:c r="I1299" s="22" t="str">
        <x:v>ace77f0c472bac41b05b3348d76f2fece600d55060d9bc370047c00e36f9a7da</x:v>
      </x:c>
      <x:c r="J1299" s="22" t="n">
        <x:v>0</x:v>
      </x:c>
      <x:c r="K1299" s="22" t="n">
        <x:v>0</x:v>
      </x:c>
      <x:c r="L1299" s="22" t="n">
        <x:v>0</x:v>
      </x:c>
      <x:c r="M1299" s="28" t="n">
        <x:v>0</x:v>
      </x:c>
      <x:c r="N1299" s="28" t="n">
        <x:v>0</x:v>
      </x:c>
      <x:c r="O1299" s="28" t="n">
        <x:v>0</x:v>
      </x:c>
      <x:c r="P1299" s="62" t="n">
        <x:v>0</x:v>
      </x:c>
      <x:c r="Q1299" s="22" t="n">
        <x:v>0</x:v>
      </x:c>
      <x:c r="R1299" s="22" t="str"/>
      <x:c r="S1299" s="22" t="str"/>
      <x:c r="T1299" s="22" t="str"/>
    </x:row>
    <x:row r="1300">
      <x:c r="A1300" s="22" t="str">
        <x:v>2023-00067</x:v>
      </x:c>
      <x:c r="B1300" s="22" t="str">
        <x:v>L2024-00048-1</x:v>
      </x:c>
      <x:c r="C1300" s="22" t="str">
        <x:v>용역</x:v>
      </x:c>
      <x:c r="D1300" s="25" t="str">
        <x:v>코트디부아르 펠릭스우푸에부아니대학교 ICT 고등교육 역량강화 및 디지털 교육 개선사업 설계 및 감리용역</x:v>
      </x:c>
      <x:c r="E1300" s="22" t="n">
        <x:v>0</x:v>
      </x:c>
      <x:c r="F1300" s="22" t="str">
        <x:v>.docx</x:v>
      </x:c>
      <x:c r="G1300" s="25" t="str">
        <x:v>L2024-00048-1/Summary of Bidding(FHBU Design).docx</x:v>
      </x:c>
      <x:c r="H1300" s="28" t="n">
        <x:v>35957</x:v>
      </x:c>
      <x:c r="I1300" s="22" t="str">
        <x:v>d1bc5560546326c797ce6395d286035099a55b8858354b69489a023816a118f4</x:v>
      </x:c>
      <x:c r="J1300" s="22" t="n">
        <x:v>0</x:v>
      </x:c>
      <x:c r="K1300" s="22" t="n">
        <x:v>0</x:v>
      </x:c>
      <x:c r="L1300" s="22" t="n">
        <x:v>0</x:v>
      </x:c>
      <x:c r="M1300" s="28" t="n">
        <x:v>0</x:v>
      </x:c>
      <x:c r="N1300" s="28" t="n">
        <x:v>0</x:v>
      </x:c>
      <x:c r="O1300" s="28" t="n">
        <x:v>0</x:v>
      </x:c>
      <x:c r="P1300" s="62" t="n">
        <x:v>0</x:v>
      </x:c>
      <x:c r="Q1300" s="22" t="n">
        <x:v>0</x:v>
      </x:c>
      <x:c r="R1300" s="22" t="str"/>
      <x:c r="S1300" s="22" t="str"/>
      <x:c r="T1300" s="22" t="str"/>
    </x:row>
    <x:row r="1301">
      <x:c r="A1301" s="22" t="str">
        <x:v>2023-00067</x:v>
      </x:c>
      <x:c r="B1301" s="22" t="str">
        <x:v>L2024-00048-1</x:v>
      </x:c>
      <x:c r="C1301" s="22" t="str">
        <x:v>용역</x:v>
      </x:c>
      <x:c r="D1301" s="25" t="str">
        <x:v>코트디부아르 펠릭스우푸에부아니대학교 ICT 고등교육 역량강화 및 디지털 교육 개선사업 설계 및 감리용역</x:v>
      </x:c>
      <x:c r="E1301" s="22" t="n">
        <x:v>0</x:v>
      </x:c>
      <x:c r="F1301" s="22" t="str">
        <x:v>.docx</x:v>
      </x:c>
      <x:c r="G1301" s="25" t="str">
        <x:v>L2024-00048-1/Section 8 - Contract Forms.docx</x:v>
      </x:c>
      <x:c r="H1301" s="28" t="n">
        <x:v>22736</x:v>
      </x:c>
      <x:c r="I1301" s="22" t="str">
        <x:v>367d75edf9970fc709cfe36895805583b1b0a353b708dab5e1b3b8619f54fea7</x:v>
      </x:c>
      <x:c r="J1301" s="22" t="n">
        <x:v>0</x:v>
      </x:c>
      <x:c r="K1301" s="22" t="n">
        <x:v>0</x:v>
      </x:c>
      <x:c r="L1301" s="22" t="n">
        <x:v>0</x:v>
      </x:c>
      <x:c r="M1301" s="28" t="n">
        <x:v>0</x:v>
      </x:c>
      <x:c r="N1301" s="28" t="n">
        <x:v>0</x:v>
      </x:c>
      <x:c r="O1301" s="28" t="n">
        <x:v>0</x:v>
      </x:c>
      <x:c r="P1301" s="62" t="n">
        <x:v>0</x:v>
      </x:c>
      <x:c r="Q1301" s="22" t="n">
        <x:v>0</x:v>
      </x:c>
      <x:c r="R1301" s="22" t="str"/>
      <x:c r="S1301" s="22" t="str"/>
      <x:c r="T1301" s="22" t="str"/>
    </x:row>
    <x:row r="1302">
      <x:c r="A1302" s="22" t="str">
        <x:v>2023-00067</x:v>
      </x:c>
      <x:c r="B1302" s="22" t="str">
        <x:v>L2024-00048-1</x:v>
      </x:c>
      <x:c r="C1302" s="22" t="str">
        <x:v>용역</x:v>
      </x:c>
      <x:c r="D1302" s="25" t="str">
        <x:v>코트디부아르 펠릭스우푸에부아니대학교 ICT 고등교육 역량강화 및 디지털 교육 개선사업 설계 및 감리용역</x:v>
      </x:c>
      <x:c r="E1302" s="22" t="n">
        <x:v>0</x:v>
      </x:c>
      <x:c r="F1302" s="22" t="str">
        <x:v>.docx</x:v>
      </x:c>
      <x:c r="G1302" s="25" t="str">
        <x:v>L2024-00048-1/Section 3 - Bidding Forms_코트디_ver.1.docx</x:v>
      </x:c>
      <x:c r="H1302" s="28" t="n">
        <x:v>57087</x:v>
      </x:c>
      <x:c r="I1302" s="22" t="str">
        <x:v>e653ddaf7ba5deb225ac5baf9a1b4d7c2f5bcabcc190dbdce89ac6af775e1d0c</x:v>
      </x:c>
      <x:c r="J1302" s="22" t="n">
        <x:v>0</x:v>
      </x:c>
      <x:c r="K1302" s="22" t="n">
        <x:v>0</x:v>
      </x:c>
      <x:c r="L1302" s="22" t="n">
        <x:v>0</x:v>
      </x:c>
      <x:c r="M1302" s="28" t="n">
        <x:v>0</x:v>
      </x:c>
      <x:c r="N1302" s="28" t="n">
        <x:v>0</x:v>
      </x:c>
      <x:c r="O1302" s="28" t="n">
        <x:v>0</x:v>
      </x:c>
      <x:c r="P1302" s="62" t="n">
        <x:v>0</x:v>
      </x:c>
      <x:c r="Q1302" s="22" t="n">
        <x:v>0</x:v>
      </x:c>
      <x:c r="R1302" s="22" t="str"/>
      <x:c r="S1302" s="22" t="str"/>
      <x:c r="T1302" s="22" t="str"/>
    </x:row>
    <x:row r="1303">
      <x:c r="A1303" s="22" t="str">
        <x:v>2023-00067</x:v>
      </x:c>
      <x:c r="B1303" s="22" t="str">
        <x:v>L2024-00048-1</x:v>
      </x:c>
      <x:c r="C1303" s="22" t="str">
        <x:v>용역</x:v>
      </x:c>
      <x:c r="D1303" s="25" t="str">
        <x:v>코트디부아르 펠릭스우푸에부아니대학교 ICT 고등교육 역량강화 및 디지털 교육 개선사업 설계 및 감리용역</x:v>
      </x:c>
      <x:c r="E1303" s="22" t="n">
        <x:v>0</x:v>
      </x:c>
      <x:c r="F1303" s="22" t="str">
        <x:v>.hwp</x:v>
      </x:c>
      <x:c r="G1303" s="25" t="str">
        <x:v>L2024-00048-1/(붙임 1) (국문) 입찰공고문_코트디부아르 FHBU 설계 및 감리 용역.hwp</x:v>
      </x:c>
      <x:c r="H1303" s="28" t="n">
        <x:v>70656</x:v>
      </x:c>
      <x:c r="I1303" s="22" t="str">
        <x:v>8d82745021ac5098c92c34cc441fd7a3d9db286a5c36411e1f8466adb1b846a4</x:v>
      </x:c>
      <x:c r="J1303" s="22" t="n">
        <x:v>0</x:v>
      </x:c>
      <x:c r="K1303" s="22" t="n">
        <x:v>0</x:v>
      </x:c>
      <x:c r="L1303" s="22" t="n">
        <x:v>0</x:v>
      </x:c>
      <x:c r="M1303" s="28" t="n">
        <x:v>0</x:v>
      </x:c>
      <x:c r="N1303" s="28" t="n">
        <x:v>0</x:v>
      </x:c>
      <x:c r="O1303" s="28" t="n">
        <x:v>0</x:v>
      </x:c>
      <x:c r="P1303" s="62" t="n">
        <x:v>0</x:v>
      </x:c>
      <x:c r="Q1303" s="22" t="n">
        <x:v>0</x:v>
      </x:c>
      <x:c r="R1303" s="22" t="str"/>
      <x:c r="S1303" s="22" t="str"/>
      <x:c r="T1303" s="22" t="str"/>
    </x:row>
    <x:row r="1304">
      <x:c r="A1304" s="22" t="str">
        <x:v>2023-00067</x:v>
      </x:c>
      <x:c r="B1304" s="22" t="str">
        <x:v>L2024-00048-1</x:v>
      </x:c>
      <x:c r="C1304" s="22" t="str">
        <x:v>용역</x:v>
      </x:c>
      <x:c r="D1304" s="25" t="str">
        <x:v>코트디부아르 펠릭스우푸에부아니대학교 ICT 고등교육 역량강화 및 디지털 교육 개선사업 설계 및 감리용역</x:v>
      </x:c>
      <x:c r="E1304" s="22" t="n">
        <x:v>0</x:v>
      </x:c>
      <x:c r="F1304" s="22" t="str">
        <x:v>.png</x:v>
      </x:c>
      <x:c r="G1304" s="25" t="str">
        <x:v>L2024-00048-1/Section 5 - Reference Documents/Section 5 - BATIMENT PETROCI (Floor plan).png</x:v>
      </x:c>
      <x:c r="H1304" s="28" t="n">
        <x:v>53929</x:v>
      </x:c>
      <x:c r="I1304" s="22" t="str">
        <x:v>1d47ceb1fd7eac3d8837f4ee269eb096c094e8f7facdcf9fcbdeb99e162a823f</x:v>
      </x:c>
      <x:c r="J1304" s="22" t="n">
        <x:v>0</x:v>
      </x:c>
      <x:c r="K1304" s="22" t="n">
        <x:v>0</x:v>
      </x:c>
      <x:c r="L1304" s="22" t="n">
        <x:v>0</x:v>
      </x:c>
      <x:c r="M1304" s="28" t="n">
        <x:v>0</x:v>
      </x:c>
      <x:c r="N1304" s="28" t="n">
        <x:v>0</x:v>
      </x:c>
      <x:c r="O1304" s="28" t="n">
        <x:v>0</x:v>
      </x:c>
      <x:c r="P1304" s="62" t="n">
        <x:v>0</x:v>
      </x:c>
      <x:c r="Q1304" s="22" t="n">
        <x:v>0</x:v>
      </x:c>
      <x:c r="R1304" s="22" t="str"/>
      <x:c r="S1304" s="22" t="str"/>
      <x:c r="T1304" s="22" t="str"/>
    </x:row>
    <x:row r="1305">
      <x:c r="A1305" s="22" t="str">
        <x:v>2023-00067</x:v>
      </x:c>
      <x:c r="B1305" s="22" t="str">
        <x:v>L2024-00048-1</x:v>
      </x:c>
      <x:c r="C1305" s="22" t="str">
        <x:v>용역</x:v>
      </x:c>
      <x:c r="D1305" s="25" t="str">
        <x:v>코트디부아르 펠릭스우푸에부아니대학교 ICT 고등교육 역량강화 및 디지털 교육 개선사업 설계 및 감리용역</x:v>
      </x:c>
      <x:c r="E1305" s="22" t="n">
        <x:v>0</x:v>
      </x:c>
      <x:c r="F1305" s="22" t="str">
        <x:v>.docx</x:v>
      </x:c>
      <x:c r="G1305" s="25" t="str">
        <x:v>L2024-00048-1/Section 5 - Reference Documents/Section 5 - Construction Supervision Forms.docx</x:v>
      </x:c>
      <x:c r="H1305" s="28" t="n">
        <x:v>21655</x:v>
      </x:c>
      <x:c r="I1305" s="22" t="str">
        <x:v>6faffa7eea1b98283c98661c3d3929bc4a00e93b2a2dcb33ff3180dcdef6c55b</x:v>
      </x:c>
      <x:c r="J1305" s="22" t="n">
        <x:v>0</x:v>
      </x:c>
      <x:c r="K1305" s="22" t="n">
        <x:v>0</x:v>
      </x:c>
      <x:c r="L1305" s="22" t="n">
        <x:v>0</x:v>
      </x:c>
      <x:c r="M1305" s="28" t="n">
        <x:v>0</x:v>
      </x:c>
      <x:c r="N1305" s="28" t="n">
        <x:v>0</x:v>
      </x:c>
      <x:c r="O1305" s="28" t="n">
        <x:v>0</x:v>
      </x:c>
      <x:c r="P1305" s="62" t="n">
        <x:v>0</x:v>
      </x:c>
      <x:c r="Q1305" s="22" t="n">
        <x:v>0</x:v>
      </x:c>
      <x:c r="R1305" s="22" t="str"/>
      <x:c r="S1305" s="22" t="str"/>
      <x:c r="T1305" s="22" t="str"/>
    </x:row>
    <x:row r="1306">
      <x:c r="A1306" s="22" t="str">
        <x:v>2023-00067</x:v>
      </x:c>
      <x:c r="B1306" s="22" t="str">
        <x:v>L2024-00048-1</x:v>
      </x:c>
      <x:c r="C1306" s="22" t="str">
        <x:v>용역</x:v>
      </x:c>
      <x:c r="D1306" s="25" t="str">
        <x:v>코트디부아르 펠릭스우푸에부아니대학교 ICT 고등교육 역량강화 및 디지털 교육 개선사업 설계 및 감리용역</x:v>
      </x:c>
      <x:c r="E1306" s="22" t="n">
        <x:v>0</x:v>
      </x:c>
      <x:c r="F1306" s="22" t="str">
        <x:v>.hwp</x:v>
      </x:c>
      <x:c r="G1306" s="25" t="str">
        <x:v>L2024-00048-1/Section 1 - Instructions to Bidders (ITB)/Section 1 - ▒╣┴ª└╘┬√└»└╟╝¡ (ITB).hwp</x:v>
      </x:c>
      <x:c r="H1306" s="28" t="n">
        <x:v>92672</x:v>
      </x:c>
      <x:c r="I1306" s="22" t="str">
        <x:v>30c8d093217b1908eadd23ff85989ab13790b4f29f255670b5c4478dcb302c5a</x:v>
      </x:c>
      <x:c r="J1306" s="22" t="n">
        <x:v>0</x:v>
      </x:c>
      <x:c r="K1306" s="22" t="n">
        <x:v>0</x:v>
      </x:c>
      <x:c r="L1306" s="22" t="n">
        <x:v>0</x:v>
      </x:c>
      <x:c r="M1306" s="28" t="n">
        <x:v>0</x:v>
      </x:c>
      <x:c r="N1306" s="28" t="n">
        <x:v>0</x:v>
      </x:c>
      <x:c r="O1306" s="28" t="n">
        <x:v>0</x:v>
      </x:c>
      <x:c r="P1306" s="62" t="n">
        <x:v>0</x:v>
      </x:c>
      <x:c r="Q1306" s="22" t="n">
        <x:v>0</x:v>
      </x:c>
      <x:c r="R1306" s="22" t="str"/>
      <x:c r="S1306" s="22" t="str"/>
      <x:c r="T1306" s="22" t="str"/>
    </x:row>
    <x:row r="1307">
      <x:c r="A1307" s="22" t="str">
        <x:v>2023-00067</x:v>
      </x:c>
      <x:c r="B1307" s="22" t="str">
        <x:v>L2024-00048-1</x:v>
      </x:c>
      <x:c r="C1307" s="22" t="str">
        <x:v>용역</x:v>
      </x:c>
      <x:c r="D1307" s="25" t="str">
        <x:v>코트디부아르 펠릭스우푸에부아니대학교 ICT 고등교육 역량강화 및 디지털 교육 개선사업 설계 및 감리용역</x:v>
      </x:c>
      <x:c r="E1307" s="22" t="n">
        <x:v>0</x:v>
      </x:c>
      <x:c r="F1307" s="22" t="str">
        <x:v>.hwp</x:v>
      </x:c>
      <x:c r="G1307" s="25" t="str">
        <x:v>L2024-00048-1/Section 1 - Instructions to Bidders (ITB)/Section 1 - Instructions to Bidders (ITB).hwp</x:v>
      </x:c>
      <x:c r="H1307" s="28" t="n">
        <x:v>168448</x:v>
      </x:c>
      <x:c r="I1307" s="22" t="str">
        <x:v>66c44d5b34cd4bade85de8cda544a7f534cfac5022bcf25bb3755d6680315e9a</x:v>
      </x:c>
      <x:c r="J1307" s="22" t="n">
        <x:v>0</x:v>
      </x:c>
      <x:c r="K1307" s="22" t="n">
        <x:v>0</x:v>
      </x:c>
      <x:c r="L1307" s="22" t="n">
        <x:v>0</x:v>
      </x:c>
      <x:c r="M1307" s="28" t="n">
        <x:v>0</x:v>
      </x:c>
      <x:c r="N1307" s="28" t="n">
        <x:v>0</x:v>
      </x:c>
      <x:c r="O1307" s="28" t="n">
        <x:v>0</x:v>
      </x:c>
      <x:c r="P1307" s="62" t="n">
        <x:v>0</x:v>
      </x:c>
      <x:c r="Q1307" s="22" t="n">
        <x:v>0</x:v>
      </x:c>
      <x:c r="R1307" s="22" t="str"/>
      <x:c r="S1307" s="22" t="str"/>
      <x:c r="T1307" s="22" t="str"/>
    </x:row>
    <x:row r="1308">
      <x:c r="A1308" s="22" t="str">
        <x:v>2023-00067</x:v>
      </x:c>
      <x:c r="B1308" s="22" t="str">
        <x:v>L2024-00048-1</x:v>
      </x:c>
      <x:c r="C1308" s="22" t="str">
        <x:v>용역</x:v>
      </x:c>
      <x:c r="D1308" s="25" t="str">
        <x:v>코트디부아르 펠릭스우푸에부아니대학교 ICT 고등교육 역량강화 및 디지털 교육 개선사업 설계 및 감리용역</x:v>
      </x:c>
      <x:c r="E1308" s="22" t="n">
        <x:v>0</x:v>
      </x:c>
      <x:c r="F1308" s="22" t="str">
        <x:v>.docx</x:v>
      </x:c>
      <x:c r="G1308" s="25" t="str">
        <x:v>L2024-00048-1/Section 9 - Pledges/Declaration of Anti_Corruption (╣▌║╬╞╨ ╝▒╛≡╝¡).docx</x:v>
      </x:c>
      <x:c r="H1308" s="28" t="n">
        <x:v>23026</x:v>
      </x:c>
      <x:c r="I1308" s="22" t="str">
        <x:v>81e22a438491f4d1b5a12be15e95b5278073d1be929b00b0cd4fe23da8b9d496</x:v>
      </x:c>
      <x:c r="J1308" s="22" t="n">
        <x:v>0</x:v>
      </x:c>
      <x:c r="K1308" s="22" t="n">
        <x:v>0</x:v>
      </x:c>
      <x:c r="L1308" s="22" t="n">
        <x:v>0</x:v>
      </x:c>
      <x:c r="M1308" s="28" t="n">
        <x:v>0</x:v>
      </x:c>
      <x:c r="N1308" s="28" t="n">
        <x:v>0</x:v>
      </x:c>
      <x:c r="O1308" s="28" t="n">
        <x:v>0</x:v>
      </x:c>
      <x:c r="P1308" s="62" t="n">
        <x:v>0</x:v>
      </x:c>
      <x:c r="Q1308" s="22" t="n">
        <x:v>0</x:v>
      </x:c>
      <x:c r="R1308" s="22" t="str"/>
      <x:c r="S1308" s="22" t="str"/>
      <x:c r="T1308" s="22" t="str"/>
    </x:row>
    <x:row r="1309">
      <x:c r="A1309" s="22" t="str">
        <x:v>2023-00067</x:v>
      </x:c>
      <x:c r="B1309" s="22" t="str">
        <x:v>L2024-00048-1</x:v>
      </x:c>
      <x:c r="C1309" s="22" t="str">
        <x:v>용역</x:v>
      </x:c>
      <x:c r="D1309" s="25" t="str">
        <x:v>코트디부아르 펠릭스우푸에부아니대학교 ICT 고등교육 역량강화 및 디지털 교육 개선사업 설계 및 감리용역</x:v>
      </x:c>
      <x:c r="E1309" s="22" t="n">
        <x:v>0</x:v>
      </x:c>
      <x:c r="F1309" s="22" t="str">
        <x:v>.docx</x:v>
      </x:c>
      <x:c r="G1309" s="25" t="str">
        <x:v>L2024-00048-1/Section 9 - Pledges/Fair Contract Pledge Letter (░°┴ñ░Φ╛α ╝¡╛α╝¡).docx</x:v>
      </x:c>
      <x:c r="H1309" s="28" t="n">
        <x:v>18756</x:v>
      </x:c>
      <x:c r="I1309" s="22" t="str">
        <x:v>379cc784a159e5c15ba0045a32dd793d03827ad46a1e4a966b9810ad99102277</x:v>
      </x:c>
      <x:c r="J1309" s="22" t="n">
        <x:v>0</x:v>
      </x:c>
      <x:c r="K1309" s="22" t="n">
        <x:v>0</x:v>
      </x:c>
      <x:c r="L1309" s="22" t="n">
        <x:v>0</x:v>
      </x:c>
      <x:c r="M1309" s="28" t="n">
        <x:v>0</x:v>
      </x:c>
      <x:c r="N1309" s="28" t="n">
        <x:v>0</x:v>
      </x:c>
      <x:c r="O1309" s="28" t="n">
        <x:v>0</x:v>
      </x:c>
      <x:c r="P1309" s="62" t="n">
        <x:v>0</x:v>
      </x:c>
      <x:c r="Q1309" s="22" t="n">
        <x:v>0</x:v>
      </x:c>
      <x:c r="R1309" s="22" t="str"/>
      <x:c r="S1309" s="22" t="str"/>
      <x:c r="T1309" s="22" t="str"/>
    </x:row>
    <x:row r="1310">
      <x:c r="A1310" s="22" t="str">
        <x:v>2023-00067</x:v>
      </x:c>
      <x:c r="B1310" s="22" t="str">
        <x:v>L2024-00048-1</x:v>
      </x:c>
      <x:c r="C1310" s="22" t="str">
        <x:v>용역</x:v>
      </x:c>
      <x:c r="D1310" s="25" t="str">
        <x:v>코트디부아르 펠릭스우푸에부아니대학교 ICT 고등교육 역량강화 및 디지털 교육 개선사업 설계 및 감리용역</x:v>
      </x:c>
      <x:c r="E1310" s="22" t="n">
        <x:v>0</x:v>
      </x:c>
      <x:c r="F1310" s="22" t="str">
        <x:v>.docx</x:v>
      </x:c>
      <x:c r="G1310" s="25" t="str">
        <x:v>L2024-00048-1/Section 9 - Pledges/Integrity Pledge (├╗╖┼░Φ╛α╝¡).docx</x:v>
      </x:c>
      <x:c r="H1310" s="28" t="n">
        <x:v>36507</x:v>
      </x:c>
      <x:c r="I1310" s="22" t="str">
        <x:v>bbf88b1bc23c5ed931639e65f36d47df7d7fbdb8447562024b0cf9f04ec6d6b6</x:v>
      </x:c>
      <x:c r="J1310" s="22" t="n">
        <x:v>0</x:v>
      </x:c>
      <x:c r="K1310" s="22" t="n">
        <x:v>0</x:v>
      </x:c>
      <x:c r="L1310" s="22" t="n">
        <x:v>0</x:v>
      </x:c>
      <x:c r="M1310" s="28" t="n">
        <x:v>0</x:v>
      </x:c>
      <x:c r="N1310" s="28" t="n">
        <x:v>0</x:v>
      </x:c>
      <x:c r="O1310" s="28" t="n">
        <x:v>0</x:v>
      </x:c>
      <x:c r="P1310" s="62" t="n">
        <x:v>0</x:v>
      </x:c>
      <x:c r="Q1310" s="22" t="n">
        <x:v>0</x:v>
      </x:c>
      <x:c r="R1310" s="22" t="str"/>
      <x:c r="S1310" s="22" t="str"/>
      <x:c r="T1310" s="22" t="str"/>
    </x:row>
    <x:row r="1311">
      <x:c r="A1311" s="22" t="str">
        <x:v>2023-00067</x:v>
      </x:c>
      <x:c r="B1311" s="22" t="str">
        <x:v>L2024-00048-1</x:v>
      </x:c>
      <x:c r="C1311" s="22" t="str">
        <x:v>용역</x:v>
      </x:c>
      <x:c r="D1311" s="25" t="str">
        <x:v>코트디부아르 펠릭스우푸에부아니대학교 ICT 고등교육 역량강화 및 디지털 교육 개선사업 설계 및 감리용역</x:v>
      </x:c>
      <x:c r="E1311" s="22" t="n">
        <x:v>0</x:v>
      </x:c>
      <x:c r="F1311" s="22" t="str">
        <x:v>.docx</x:v>
      </x:c>
      <x:c r="G1311" s="25" t="str">
        <x:v>L2024-00048-1/Section 9 - Pledges/Action Pledge to Integrate Human Rights into Business Management of International Development Cooperation Projects (▒╣┴ª░│╣▀╟∙╖┬╗τ╛≈ └╬▒╟░µ┐╡ ╜╟├╡ ╝¡╛α╝¡).docx</x:v>
      </x:c>
      <x:c r="H1311" s="28" t="n">
        <x:v>19215</x:v>
      </x:c>
      <x:c r="I1311" s="22" t="str">
        <x:v>46af17d37aeab4e26df886f92c4955b1f059d0e3597f97e7e54f4f35fcbf63bf</x:v>
      </x:c>
      <x:c r="J1311" s="22" t="n">
        <x:v>0</x:v>
      </x:c>
      <x:c r="K1311" s="22" t="n">
        <x:v>0</x:v>
      </x:c>
      <x:c r="L1311" s="22" t="n">
        <x:v>0</x:v>
      </x:c>
      <x:c r="M1311" s="28" t="n">
        <x:v>0</x:v>
      </x:c>
      <x:c r="N1311" s="28" t="n">
        <x:v>0</x:v>
      </x:c>
      <x:c r="O1311" s="28" t="n">
        <x:v>0</x:v>
      </x:c>
      <x:c r="P1311" s="62" t="n">
        <x:v>0</x:v>
      </x:c>
      <x:c r="Q1311" s="22" t="n">
        <x:v>0</x:v>
      </x:c>
      <x:c r="R1311" s="22" t="str"/>
      <x:c r="S1311" s="22" t="str"/>
      <x:c r="T1311" s="22" t="str"/>
    </x:row>
    <x:row r="1312">
      <x:c r="A1312" s="22" t="str">
        <x:v>2023-00067</x:v>
      </x:c>
      <x:c r="B1312" s="22" t="str">
        <x:v>L2024-00056-1</x:v>
      </x:c>
      <x:c r="C1312" s="22" t="str">
        <x:v>용역</x:v>
      </x:c>
      <x:c r="D1312" s="25" t="str">
        <x:v>[긴급] 코트디부아르 펠릭스우푸에부아니대학교 ICT 고등교육 역량강화 및 디지털 교육 개선사업 설계 및 감리용역</x:v>
      </x:c>
      <x:c r="E1312" s="22" t="n">
        <x:v>0</x:v>
      </x:c>
      <x:c r="F1312" s="22" t="str">
        <x:v>.xlsx</x:v>
      </x:c>
      <x:c r="G1312" s="25" t="str">
        <x:v>L2024-00056-1/Section 10 - Bid Document Checklist.xlsx</x:v>
      </x:c>
      <x:c r="H1312" s="28" t="n">
        <x:v>24788</x:v>
      </x:c>
      <x:c r="I1312" s="22" t="str">
        <x:v>f0af688635c89a5cd1a44ba189ab51e5e004363bea937c3b7285bbf06b265ef8</x:v>
      </x:c>
      <x:c r="J1312" s="22" t="n">
        <x:v>0</x:v>
      </x:c>
      <x:c r="K1312" s="22" t="n">
        <x:v>0</x:v>
      </x:c>
      <x:c r="L1312" s="22" t="n">
        <x:v>0</x:v>
      </x:c>
      <x:c r="M1312" s="28" t="n">
        <x:v>0</x:v>
      </x:c>
      <x:c r="N1312" s="28" t="n">
        <x:v>0</x:v>
      </x:c>
      <x:c r="O1312" s="28" t="n">
        <x:v>0</x:v>
      </x:c>
      <x:c r="P1312" s="62" t="n">
        <x:v>0</x:v>
      </x:c>
      <x:c r="Q1312" s="22" t="n">
        <x:v>0</x:v>
      </x:c>
      <x:c r="R1312" s="22" t="str"/>
      <x:c r="S1312" s="22" t="str"/>
      <x:c r="T1312" s="22" t="str"/>
    </x:row>
    <x:row r="1313">
      <x:c r="A1313" s="22" t="str">
        <x:v>2023-00067</x:v>
      </x:c>
      <x:c r="B1313" s="22" t="str">
        <x:v>L2024-00056-1</x:v>
      </x:c>
      <x:c r="C1313" s="22" t="str">
        <x:v>용역</x:v>
      </x:c>
      <x:c r="D1313" s="25" t="str">
        <x:v>[긴급] 코트디부아르 펠릭스우푸에부아니대학교 ICT 고등교육 역량강화 및 디지털 교육 개선사업 설계 및 감리용역</x:v>
      </x:c>
      <x:c r="E1313" s="22" t="n">
        <x:v>0</x:v>
      </x:c>
      <x:c r="F1313" s="22" t="str">
        <x:v>.docx</x:v>
      </x:c>
      <x:c r="G1313" s="25" t="str">
        <x:v>L2024-00056-1/Section 4 - Request for Proposal_코트디_ver.1.2_수정.docx</x:v>
      </x:c>
      <x:c r="H1313" s="28" t="n">
        <x:v>4145780</x:v>
      </x:c>
      <x:c r="I1313" s="22" t="str">
        <x:v>8fa1eb64d7a664dab6385d0e0418d24a9b468f694a8ad3089574ba823160816c</x:v>
      </x:c>
      <x:c r="J1313" s="22" t="n">
        <x:v>0</x:v>
      </x:c>
      <x:c r="K1313" s="22" t="n">
        <x:v>0</x:v>
      </x:c>
      <x:c r="L1313" s="22" t="n">
        <x:v>0</x:v>
      </x:c>
      <x:c r="M1313" s="28" t="n">
        <x:v>0</x:v>
      </x:c>
      <x:c r="N1313" s="28" t="n">
        <x:v>0</x:v>
      </x:c>
      <x:c r="O1313" s="28" t="n">
        <x:v>0</x:v>
      </x:c>
      <x:c r="P1313" s="62" t="n">
        <x:v>0</x:v>
      </x:c>
      <x:c r="Q1313" s="22" t="n">
        <x:v>0</x:v>
      </x:c>
      <x:c r="R1313" s="22" t="str"/>
      <x:c r="S1313" s="22" t="str"/>
      <x:c r="T1313" s="22" t="str"/>
    </x:row>
    <x:row r="1314">
      <x:c r="A1314" s="22" t="str">
        <x:v>2023-00067</x:v>
      </x:c>
      <x:c r="B1314" s="22" t="str">
        <x:v>L2024-00056-1</x:v>
      </x:c>
      <x:c r="C1314" s="22" t="str">
        <x:v>용역</x:v>
      </x:c>
      <x:c r="D1314" s="25" t="str">
        <x:v>[긴급] 코트디부아르 펠릭스우푸에부아니대학교 ICT 고등교육 역량강화 및 디지털 교육 개선사업 설계 및 감리용역</x:v>
      </x:c>
      <x:c r="E1314" s="22" t="n">
        <x:v>0</x:v>
      </x:c>
      <x:c r="F1314" s="22" t="str">
        <x:v>.docx</x:v>
      </x:c>
      <x:c r="G1314" s="25" t="str">
        <x:v>L2024-00056-1/Section 6 - General Conditions of Contract.docx</x:v>
      </x:c>
      <x:c r="H1314" s="28" t="n">
        <x:v>35387</x:v>
      </x:c>
      <x:c r="I1314" s="22" t="str">
        <x:v>3f6ac1448828260ea110ed4386b4d06f2106e3856473460672a3c6f0005813d5</x:v>
      </x:c>
      <x:c r="J1314" s="22" t="n">
        <x:v>0</x:v>
      </x:c>
      <x:c r="K1314" s="22" t="n">
        <x:v>0</x:v>
      </x:c>
      <x:c r="L1314" s="22" t="n">
        <x:v>0</x:v>
      </x:c>
      <x:c r="M1314" s="28" t="n">
        <x:v>0</x:v>
      </x:c>
      <x:c r="N1314" s="28" t="n">
        <x:v>0</x:v>
      </x:c>
      <x:c r="O1314" s="28" t="n">
        <x:v>0</x:v>
      </x:c>
      <x:c r="P1314" s="62" t="n">
        <x:v>0</x:v>
      </x:c>
      <x:c r="Q1314" s="22" t="n">
        <x:v>0</x:v>
      </x:c>
      <x:c r="R1314" s="22" t="str"/>
      <x:c r="S1314" s="22" t="str"/>
      <x:c r="T1314" s="22" t="str"/>
    </x:row>
    <x:row r="1315">
      <x:c r="A1315" s="22" t="str">
        <x:v>2023-00067</x:v>
      </x:c>
      <x:c r="B1315" s="22" t="str">
        <x:v>L2024-00056-1</x:v>
      </x:c>
      <x:c r="C1315" s="22" t="str">
        <x:v>용역</x:v>
      </x:c>
      <x:c r="D1315" s="25" t="str">
        <x:v>[긴급] 코트디부아르 펠릭스우푸에부아니대학교 ICT 고등교육 역량강화 및 디지털 교육 개선사업 설계 및 감리용역</x:v>
      </x:c>
      <x:c r="E1315" s="22" t="n">
        <x:v>0</x:v>
      </x:c>
      <x:c r="F1315" s="22" t="str">
        <x:v>.docx</x:v>
      </x:c>
      <x:c r="G1315" s="25" t="str">
        <x:v>L2024-00056-1/Section 2 - Bid Data Sheet (BDS)_Must Read.docx</x:v>
      </x:c>
      <x:c r="H1315" s="28" t="n">
        <x:v>72809</x:v>
      </x:c>
      <x:c r="I1315" s="22" t="str">
        <x:v>0bf837c6148cae34f24f7f351bfb7147d469e9dd9ae37230968cb187906866ff</x:v>
      </x:c>
      <x:c r="J1315" s="22" t="n">
        <x:v>0</x:v>
      </x:c>
      <x:c r="K1315" s="22" t="n">
        <x:v>0</x:v>
      </x:c>
      <x:c r="L1315" s="22" t="n">
        <x:v>0</x:v>
      </x:c>
      <x:c r="M1315" s="28" t="n">
        <x:v>0</x:v>
      </x:c>
      <x:c r="N1315" s="28" t="n">
        <x:v>0</x:v>
      </x:c>
      <x:c r="O1315" s="28" t="n">
        <x:v>0</x:v>
      </x:c>
      <x:c r="P1315" s="62" t="n">
        <x:v>0</x:v>
      </x:c>
      <x:c r="Q1315" s="22" t="n">
        <x:v>0</x:v>
      </x:c>
      <x:c r="R1315" s="22" t="str"/>
      <x:c r="S1315" s="22" t="str"/>
      <x:c r="T1315" s="22" t="str"/>
    </x:row>
    <x:row r="1316">
      <x:c r="A1316" s="22" t="str">
        <x:v>2023-00067</x:v>
      </x:c>
      <x:c r="B1316" s="22" t="str">
        <x:v>L2024-00056-1</x:v>
      </x:c>
      <x:c r="C1316" s="22" t="str">
        <x:v>용역</x:v>
      </x:c>
      <x:c r="D1316" s="25" t="str">
        <x:v>[긴급] 코트디부아르 펠릭스우푸에부아니대학교 ICT 고등교육 역량강화 및 디지털 교육 개선사업 설계 및 감리용역</x:v>
      </x:c>
      <x:c r="E1316" s="22" t="n">
        <x:v>0</x:v>
      </x:c>
      <x:c r="F1316" s="22" t="str">
        <x:v>.docx</x:v>
      </x:c>
      <x:c r="G1316" s="25" t="str">
        <x:v>L2024-00056-1/Section 7 - Special Conditions of Contract.docx</x:v>
      </x:c>
      <x:c r="H1316" s="28" t="n">
        <x:v>25034</x:v>
      </x:c>
      <x:c r="I1316" s="22" t="str">
        <x:v>32fd886fb32403a81618fab17485cedd0df09561734399e4e20ffb730b6bdb6a</x:v>
      </x:c>
      <x:c r="J1316" s="22" t="n">
        <x:v>0</x:v>
      </x:c>
      <x:c r="K1316" s="22" t="n">
        <x:v>0</x:v>
      </x:c>
      <x:c r="L1316" s="22" t="n">
        <x:v>0</x:v>
      </x:c>
      <x:c r="M1316" s="28" t="n">
        <x:v>0</x:v>
      </x:c>
      <x:c r="N1316" s="28" t="n">
        <x:v>0</x:v>
      </x:c>
      <x:c r="O1316" s="28" t="n">
        <x:v>0</x:v>
      </x:c>
      <x:c r="P1316" s="62" t="n">
        <x:v>0</x:v>
      </x:c>
      <x:c r="Q1316" s="22" t="n">
        <x:v>0</x:v>
      </x:c>
      <x:c r="R1316" s="22" t="str"/>
      <x:c r="S1316" s="22" t="str"/>
      <x:c r="T1316" s="22" t="str"/>
    </x:row>
    <x:row r="1317">
      <x:c r="A1317" s="22" t="str">
        <x:v>2023-00067</x:v>
      </x:c>
      <x:c r="B1317" s="22" t="str">
        <x:v>L2024-00056-1</x:v>
      </x:c>
      <x:c r="C1317" s="22" t="str">
        <x:v>용역</x:v>
      </x:c>
      <x:c r="D1317" s="25" t="str">
        <x:v>[긴급] 코트디부아르 펠릭스우푸에부아니대학교 ICT 고등교육 역량강화 및 디지털 교육 개선사업 설계 및 감리용역</x:v>
      </x:c>
      <x:c r="E1317" s="22" t="n">
        <x:v>0</x:v>
      </x:c>
      <x:c r="F1317" s="22" t="str">
        <x:v>.docx</x:v>
      </x:c>
      <x:c r="G1317" s="25" t="str">
        <x:v>L2024-00056-1/Section 9 - Pledges.docx</x:v>
      </x:c>
      <x:c r="H1317" s="28" t="n">
        <x:v>31354</x:v>
      </x:c>
      <x:c r="I1317" s="22" t="str">
        <x:v>1e4bf00b29e640877e686247b8cb9c5e2eb288be72a432c18ab1b3606847cc0c</x:v>
      </x:c>
      <x:c r="J1317" s="22" t="n">
        <x:v>0</x:v>
      </x:c>
      <x:c r="K1317" s="22" t="n">
        <x:v>0</x:v>
      </x:c>
      <x:c r="L1317" s="22" t="n">
        <x:v>0</x:v>
      </x:c>
      <x:c r="M1317" s="28" t="n">
        <x:v>0</x:v>
      </x:c>
      <x:c r="N1317" s="28" t="n">
        <x:v>0</x:v>
      </x:c>
      <x:c r="O1317" s="28" t="n">
        <x:v>0</x:v>
      </x:c>
      <x:c r="P1317" s="62" t="n">
        <x:v>0</x:v>
      </x:c>
      <x:c r="Q1317" s="22" t="n">
        <x:v>0</x:v>
      </x:c>
      <x:c r="R1317" s="22" t="str"/>
      <x:c r="S1317" s="22" t="str"/>
      <x:c r="T1317" s="22" t="str"/>
    </x:row>
    <x:row r="1318">
      <x:c r="A1318" s="22" t="str">
        <x:v>2023-00067</x:v>
      </x:c>
      <x:c r="B1318" s="22" t="str">
        <x:v>L2024-00056-1</x:v>
      </x:c>
      <x:c r="C1318" s="22" t="str">
        <x:v>용역</x:v>
      </x:c>
      <x:c r="D1318" s="25" t="str">
        <x:v>[긴급] 코트디부아르 펠릭스우푸에부아니대학교 ICT 고등교육 역량강화 및 디지털 교육 개선사업 설계 및 감리용역</x:v>
      </x:c>
      <x:c r="E1318" s="22" t="n">
        <x:v>0</x:v>
      </x:c>
      <x:c r="F1318" s="22" t="str">
        <x:v>.docx</x:v>
      </x:c>
      <x:c r="G1318" s="25" t="str">
        <x:v>L2024-00056-1/Section 8 - Contract Forms.docx</x:v>
      </x:c>
      <x:c r="H1318" s="28" t="n">
        <x:v>22736</x:v>
      </x:c>
      <x:c r="I1318" s="22" t="str">
        <x:v>367d75edf9970fc709cfe36895805583b1b0a353b708dab5e1b3b8619f54fea7</x:v>
      </x:c>
      <x:c r="J1318" s="22" t="n">
        <x:v>0</x:v>
      </x:c>
      <x:c r="K1318" s="22" t="n">
        <x:v>0</x:v>
      </x:c>
      <x:c r="L1318" s="22" t="n">
        <x:v>0</x:v>
      </x:c>
      <x:c r="M1318" s="28" t="n">
        <x:v>0</x:v>
      </x:c>
      <x:c r="N1318" s="28" t="n">
        <x:v>0</x:v>
      </x:c>
      <x:c r="O1318" s="28" t="n">
        <x:v>0</x:v>
      </x:c>
      <x:c r="P1318" s="62" t="n">
        <x:v>0</x:v>
      </x:c>
      <x:c r="Q1318" s="22" t="n">
        <x:v>0</x:v>
      </x:c>
      <x:c r="R1318" s="22" t="str"/>
      <x:c r="S1318" s="22" t="str"/>
      <x:c r="T1318" s="22" t="str"/>
    </x:row>
    <x:row r="1319">
      <x:c r="A1319" s="22" t="str">
        <x:v>2023-00067</x:v>
      </x:c>
      <x:c r="B1319" s="22" t="str">
        <x:v>L2024-00056-1</x:v>
      </x:c>
      <x:c r="C1319" s="22" t="str">
        <x:v>용역</x:v>
      </x:c>
      <x:c r="D1319" s="25" t="str">
        <x:v>[긴급] 코트디부아르 펠릭스우푸에부아니대학교 ICT 고등교육 역량강화 및 디지털 교육 개선사업 설계 및 감리용역</x:v>
      </x:c>
      <x:c r="E1319" s="22" t="n">
        <x:v>0</x:v>
      </x:c>
      <x:c r="F1319" s="22" t="str">
        <x:v>.docx</x:v>
      </x:c>
      <x:c r="G1319" s="25" t="str">
        <x:v>L2024-00056-1/Section 3 - Bidding Forms_코트디_ver.1.docx</x:v>
      </x:c>
      <x:c r="H1319" s="28" t="n">
        <x:v>57087</x:v>
      </x:c>
      <x:c r="I1319" s="22" t="str">
        <x:v>e653ddaf7ba5deb225ac5baf9a1b4d7c2f5bcabcc190dbdce89ac6af775e1d0c</x:v>
      </x:c>
      <x:c r="J1319" s="22" t="n">
        <x:v>0</x:v>
      </x:c>
      <x:c r="K1319" s="22" t="n">
        <x:v>0</x:v>
      </x:c>
      <x:c r="L1319" s="22" t="n">
        <x:v>0</x:v>
      </x:c>
      <x:c r="M1319" s="28" t="n">
        <x:v>0</x:v>
      </x:c>
      <x:c r="N1319" s="28" t="n">
        <x:v>0</x:v>
      </x:c>
      <x:c r="O1319" s="28" t="n">
        <x:v>0</x:v>
      </x:c>
      <x:c r="P1319" s="62" t="n">
        <x:v>0</x:v>
      </x:c>
      <x:c r="Q1319" s="22" t="n">
        <x:v>0</x:v>
      </x:c>
      <x:c r="R1319" s="22" t="str"/>
      <x:c r="S1319" s="22" t="str"/>
      <x:c r="T1319" s="22" t="str"/>
    </x:row>
    <x:row r="1320">
      <x:c r="A1320" s="22" t="str">
        <x:v>2023-00067</x:v>
      </x:c>
      <x:c r="B1320" s="22" t="str">
        <x:v>L2024-00056-1</x:v>
      </x:c>
      <x:c r="C1320" s="22" t="str">
        <x:v>용역</x:v>
      </x:c>
      <x:c r="D1320" s="25" t="str">
        <x:v>[긴급] 코트디부아르 펠릭스우푸에부아니대학교 ICT 고등교육 역량강화 및 디지털 교육 개선사업 설계 및 감리용역</x:v>
      </x:c>
      <x:c r="E1320" s="22" t="n">
        <x:v>0</x:v>
      </x:c>
      <x:c r="F1320" s="22" t="str">
        <x:v>.pdf</x:v>
      </x:c>
      <x:c r="G1320" s="25" t="str">
        <x:v>L2024-00056-1/Section 1 - Instructions to Bidders (ITB).pdf</x:v>
      </x:c>
      <x:c r="H1320" s="28" t="n">
        <x:v>161633</x:v>
      </x:c>
      <x:c r="I1320" s="22" t="str">
        <x:v>31f62db7af872ac18bef26a38348c4e5f39cb9887e6190c4a41058130b617084</x:v>
      </x:c>
      <x:c r="J1320" s="22" t="n">
        <x:v>0</x:v>
      </x:c>
      <x:c r="K1320" s="22" t="n">
        <x:v>0</x:v>
      </x:c>
      <x:c r="L1320" s="22" t="n">
        <x:v>0</x:v>
      </x:c>
      <x:c r="M1320" s="28" t="n">
        <x:v>0</x:v>
      </x:c>
      <x:c r="N1320" s="28" t="n">
        <x:v>0</x:v>
      </x:c>
      <x:c r="O1320" s="28" t="n">
        <x:v>0</x:v>
      </x:c>
      <x:c r="P1320" s="62" t="n">
        <x:v>0</x:v>
      </x:c>
      <x:c r="Q1320" s="22" t="n">
        <x:v>0</x:v>
      </x:c>
      <x:c r="R1320" s="22" t="str"/>
      <x:c r="S1320" s="22" t="str"/>
      <x:c r="T1320" s="22" t="str"/>
    </x:row>
    <x:row r="1321">
      <x:c r="A1321" s="22" t="str">
        <x:v>2023-00067</x:v>
      </x:c>
      <x:c r="B1321" s="22" t="str">
        <x:v>L2024-00056-1</x:v>
      </x:c>
      <x:c r="C1321" s="22" t="str">
        <x:v>용역</x:v>
      </x:c>
      <x:c r="D1321" s="25" t="str">
        <x:v>[긴급] 코트디부아르 펠릭스우푸에부아니대학교 ICT 고등교육 역량강화 및 디지털 교육 개선사업 설계 및 감리용역</x:v>
      </x:c>
      <x:c r="E1321" s="22" t="n">
        <x:v>0</x:v>
      </x:c>
      <x:c r="F1321" s="22" t="str">
        <x:v>.docx</x:v>
      </x:c>
      <x:c r="G1321" s="25" t="str">
        <x:v>L2024-00056-1/Section 5 - Construction Supervision Forms.docx</x:v>
      </x:c>
      <x:c r="H1321" s="28" t="n">
        <x:v>21655</x:v>
      </x:c>
      <x:c r="I1321" s="22" t="str">
        <x:v>6faffa7eea1b98283c98661c3d3929bc4a00e93b2a2dcb33ff3180dcdef6c55b</x:v>
      </x:c>
      <x:c r="J1321" s="22" t="n">
        <x:v>0</x:v>
      </x:c>
      <x:c r="K1321" s="22" t="n">
        <x:v>0</x:v>
      </x:c>
      <x:c r="L1321" s="22" t="n">
        <x:v>0</x:v>
      </x:c>
      <x:c r="M1321" s="28" t="n">
        <x:v>0</x:v>
      </x:c>
      <x:c r="N1321" s="28" t="n">
        <x:v>0</x:v>
      </x:c>
      <x:c r="O1321" s="28" t="n">
        <x:v>0</x:v>
      </x:c>
      <x:c r="P1321" s="62" t="n">
        <x:v>0</x:v>
      </x:c>
      <x:c r="Q1321" s="22" t="n">
        <x:v>0</x:v>
      </x:c>
      <x:c r="R1321" s="22" t="str"/>
      <x:c r="S1321" s="22" t="str"/>
      <x:c r="T1321" s="22" t="str"/>
    </x:row>
    <x:row r="1322">
      <x:c r="A1322" s="22" t="str">
        <x:v>2023-00067</x:v>
      </x:c>
      <x:c r="B1322" s="22" t="str">
        <x:v>L2024-00056-2</x:v>
      </x:c>
      <x:c r="C1322" s="22" t="str">
        <x:v>용역</x:v>
      </x:c>
      <x:c r="D1322" s="25" t="str">
        <x:v>[긴급] 코트디부아르 펠릭스우푸에부아니대학교 ICT 고등교육 역량강화 및 디지털 교육 개선사업 설계 및 감리용역</x:v>
      </x:c>
      <x:c r="E1322" s="22" t="n">
        <x:v>0</x:v>
      </x:c>
      <x:c r="F1322" s="22" t="str">
        <x:v>.xlsx</x:v>
      </x:c>
      <x:c r="G1322" s="25" t="str">
        <x:v>L2024-00056-2/Section 10 - Bid Document Checklist.xlsx</x:v>
      </x:c>
      <x:c r="H1322" s="28" t="n">
        <x:v>25005</x:v>
      </x:c>
      <x:c r="I1322" s="22" t="str">
        <x:v>8de71448e9a0b1326043ea8a235afb18716db73322a6c5cd19fb20261c0ce1de</x:v>
      </x:c>
      <x:c r="J1322" s="22" t="n">
        <x:v>0</x:v>
      </x:c>
      <x:c r="K1322" s="22" t="n">
        <x:v>0</x:v>
      </x:c>
      <x:c r="L1322" s="22" t="n">
        <x:v>0</x:v>
      </x:c>
      <x:c r="M1322" s="28" t="n">
        <x:v>0</x:v>
      </x:c>
      <x:c r="N1322" s="28" t="n">
        <x:v>0</x:v>
      </x:c>
      <x:c r="O1322" s="28" t="n">
        <x:v>0</x:v>
      </x:c>
      <x:c r="P1322" s="62" t="n">
        <x:v>0</x:v>
      </x:c>
      <x:c r="Q1322" s="22" t="n">
        <x:v>0</x:v>
      </x:c>
      <x:c r="R1322" s="22" t="str"/>
      <x:c r="S1322" s="22" t="str"/>
      <x:c r="T1322" s="22" t="str"/>
    </x:row>
    <x:row r="1323">
      <x:c r="A1323" s="22" t="str">
        <x:v>2023-00067</x:v>
      </x:c>
      <x:c r="B1323" s="22" t="str">
        <x:v>L2024-00056-2</x:v>
      </x:c>
      <x:c r="C1323" s="22" t="str">
        <x:v>용역</x:v>
      </x:c>
      <x:c r="D1323" s="25" t="str">
        <x:v>[긴급] 코트디부아르 펠릭스우푸에부아니대학교 ICT 고등교육 역량강화 및 디지털 교육 개선사업 설계 및 감리용역</x:v>
      </x:c>
      <x:c r="E1323" s="22" t="n">
        <x:v>0</x:v>
      </x:c>
      <x:c r="F1323" s="22" t="str">
        <x:v>.docx</x:v>
      </x:c>
      <x:c r="G1323" s="25" t="str">
        <x:v>L2024-00056-2/Section 4 - Request for Proposal_코트디_ver.1.2_수정.docx</x:v>
      </x:c>
      <x:c r="H1323" s="28" t="n">
        <x:v>4145780</x:v>
      </x:c>
      <x:c r="I1323" s="22" t="str">
        <x:v>8fa1eb64d7a664dab6385d0e0418d24a9b468f694a8ad3089574ba823160816c</x:v>
      </x:c>
      <x:c r="J1323" s="22" t="n">
        <x:v>0</x:v>
      </x:c>
      <x:c r="K1323" s="22" t="n">
        <x:v>0</x:v>
      </x:c>
      <x:c r="L1323" s="22" t="n">
        <x:v>0</x:v>
      </x:c>
      <x:c r="M1323" s="28" t="n">
        <x:v>0</x:v>
      </x:c>
      <x:c r="N1323" s="28" t="n">
        <x:v>0</x:v>
      </x:c>
      <x:c r="O1323" s="28" t="n">
        <x:v>0</x:v>
      </x:c>
      <x:c r="P1323" s="62" t="n">
        <x:v>0</x:v>
      </x:c>
      <x:c r="Q1323" s="22" t="n">
        <x:v>0</x:v>
      </x:c>
      <x:c r="R1323" s="22" t="str"/>
      <x:c r="S1323" s="22" t="str"/>
      <x:c r="T1323" s="22" t="str"/>
    </x:row>
    <x:row r="1324">
      <x:c r="A1324" s="22" t="str">
        <x:v>2023-00067</x:v>
      </x:c>
      <x:c r="B1324" s="22" t="str">
        <x:v>L2024-00056-2</x:v>
      </x:c>
      <x:c r="C1324" s="22" t="str">
        <x:v>용역</x:v>
      </x:c>
      <x:c r="D1324" s="25" t="str">
        <x:v>[긴급] 코트디부아르 펠릭스우푸에부아니대학교 ICT 고등교육 역량강화 및 디지털 교육 개선사업 설계 및 감리용역</x:v>
      </x:c>
      <x:c r="E1324" s="22" t="n">
        <x:v>0</x:v>
      </x:c>
      <x:c r="F1324" s="22" t="str">
        <x:v>.zip</x:v>
      </x:c>
      <x:c r="G1324" s="25" t="str">
        <x:v>L2024-00056-2/Section 5 - Reference Documents.zip</x:v>
      </x:c>
      <x:c r="H1324" s="28" t="n">
        <x:v>71356</x:v>
      </x:c>
      <x:c r="I1324" s="22" t="str">
        <x:v>649c3573e8d58100e0555cb3c522d6f8cf4c83cd76d41c1d46fc31ae399796b0</x:v>
      </x:c>
      <x:c r="J1324" s="22" t="n">
        <x:v>0</x:v>
      </x:c>
      <x:c r="K1324" s="22" t="n">
        <x:v>0</x:v>
      </x:c>
      <x:c r="L1324" s="22" t="n">
        <x:v>0</x:v>
      </x:c>
      <x:c r="M1324" s="28" t="n">
        <x:v>0</x:v>
      </x:c>
      <x:c r="N1324" s="28" t="n">
        <x:v>0</x:v>
      </x:c>
      <x:c r="O1324" s="28" t="n">
        <x:v>0</x:v>
      </x:c>
      <x:c r="P1324" s="62" t="n">
        <x:v>0</x:v>
      </x:c>
      <x:c r="Q1324" s="22" t="n">
        <x:v>0</x:v>
      </x:c>
      <x:c r="R1324" s="22" t="str"/>
      <x:c r="S1324" s="22" t="str"/>
      <x:c r="T1324" s="22" t="str"/>
    </x:row>
    <x:row r="1325">
      <x:c r="A1325" s="22" t="str">
        <x:v>2023-00067</x:v>
      </x:c>
      <x:c r="B1325" s="22" t="str">
        <x:v>L2024-00056-2</x:v>
      </x:c>
      <x:c r="C1325" s="22" t="str">
        <x:v>용역</x:v>
      </x:c>
      <x:c r="D1325" s="25" t="str">
        <x:v>[긴급] 코트디부아르 펠릭스우푸에부아니대학교 ICT 고등교육 역량강화 및 디지털 교육 개선사업 설계 및 감리용역</x:v>
      </x:c>
      <x:c r="E1325" s="22" t="n">
        <x:v>0</x:v>
      </x:c>
      <x:c r="F1325" s="22" t="str">
        <x:v>.docx</x:v>
      </x:c>
      <x:c r="G1325" s="25" t="str">
        <x:v>L2024-00056-2/Section 6 - General Conditions of Contract.docx</x:v>
      </x:c>
      <x:c r="H1325" s="28" t="n">
        <x:v>35387</x:v>
      </x:c>
      <x:c r="I1325" s="22" t="str">
        <x:v>3f6ac1448828260ea110ed4386b4d06f2106e3856473460672a3c6f0005813d5</x:v>
      </x:c>
      <x:c r="J1325" s="22" t="n">
        <x:v>0</x:v>
      </x:c>
      <x:c r="K1325" s="22" t="n">
        <x:v>0</x:v>
      </x:c>
      <x:c r="L1325" s="22" t="n">
        <x:v>0</x:v>
      </x:c>
      <x:c r="M1325" s="28" t="n">
        <x:v>0</x:v>
      </x:c>
      <x:c r="N1325" s="28" t="n">
        <x:v>0</x:v>
      </x:c>
      <x:c r="O1325" s="28" t="n">
        <x:v>0</x:v>
      </x:c>
      <x:c r="P1325" s="62" t="n">
        <x:v>0</x:v>
      </x:c>
      <x:c r="Q1325" s="22" t="n">
        <x:v>0</x:v>
      </x:c>
      <x:c r="R1325" s="22" t="str"/>
      <x:c r="S1325" s="22" t="str"/>
      <x:c r="T1325" s="22" t="str"/>
    </x:row>
    <x:row r="1326">
      <x:c r="A1326" s="22" t="str">
        <x:v>2023-00067</x:v>
      </x:c>
      <x:c r="B1326" s="22" t="str">
        <x:v>L2024-00056-2</x:v>
      </x:c>
      <x:c r="C1326" s="22" t="str">
        <x:v>용역</x:v>
      </x:c>
      <x:c r="D1326" s="25" t="str">
        <x:v>[긴급] 코트디부아르 펠릭스우푸에부아니대학교 ICT 고등교육 역량강화 및 디지털 교육 개선사업 설계 및 감리용역</x:v>
      </x:c>
      <x:c r="E1326" s="22" t="n">
        <x:v>0</x:v>
      </x:c>
      <x:c r="F1326" s="22" t="str">
        <x:v>.docx</x:v>
      </x:c>
      <x:c r="G1326" s="25" t="str">
        <x:v>L2024-00056-2/Section 2 - Bid Data Sheet (BDS)_Must Read.docx</x:v>
      </x:c>
      <x:c r="H1326" s="28" t="n">
        <x:v>72992</x:v>
      </x:c>
      <x:c r="I1326" s="22" t="str">
        <x:v>41092bad1da10b1027155b813d17988075d565f750fbbcddb385022eba772237</x:v>
      </x:c>
      <x:c r="J1326" s="22" t="n">
        <x:v>0</x:v>
      </x:c>
      <x:c r="K1326" s="22" t="n">
        <x:v>0</x:v>
      </x:c>
      <x:c r="L1326" s="22" t="n">
        <x:v>0</x:v>
      </x:c>
      <x:c r="M1326" s="28" t="n">
        <x:v>0</x:v>
      </x:c>
      <x:c r="N1326" s="28" t="n">
        <x:v>0</x:v>
      </x:c>
      <x:c r="O1326" s="28" t="n">
        <x:v>0</x:v>
      </x:c>
      <x:c r="P1326" s="62" t="n">
        <x:v>0</x:v>
      </x:c>
      <x:c r="Q1326" s="22" t="n">
        <x:v>0</x:v>
      </x:c>
      <x:c r="R1326" s="22" t="str"/>
      <x:c r="S1326" s="22" t="str"/>
      <x:c r="T1326" s="22" t="str"/>
    </x:row>
    <x:row r="1327">
      <x:c r="A1327" s="22" t="str">
        <x:v>2023-00067</x:v>
      </x:c>
      <x:c r="B1327" s="22" t="str">
        <x:v>L2024-00056-2</x:v>
      </x:c>
      <x:c r="C1327" s="22" t="str">
        <x:v>용역</x:v>
      </x:c>
      <x:c r="D1327" s="25" t="str">
        <x:v>[긴급] 코트디부아르 펠릭스우푸에부아니대학교 ICT 고등교육 역량강화 및 디지털 교육 개선사업 설계 및 감리용역</x:v>
      </x:c>
      <x:c r="E1327" s="22" t="n">
        <x:v>0</x:v>
      </x:c>
      <x:c r="F1327" s="22" t="str">
        <x:v>.docx</x:v>
      </x:c>
      <x:c r="G1327" s="25" t="str">
        <x:v>L2024-00056-2/Section 7 - Special Conditions of Contract.docx</x:v>
      </x:c>
      <x:c r="H1327" s="28" t="n">
        <x:v>25034</x:v>
      </x:c>
      <x:c r="I1327" s="22" t="str">
        <x:v>32fd886fb32403a81618fab17485cedd0df09561734399e4e20ffb730b6bdb6a</x:v>
      </x:c>
      <x:c r="J1327" s="22" t="n">
        <x:v>0</x:v>
      </x:c>
      <x:c r="K1327" s="22" t="n">
        <x:v>0</x:v>
      </x:c>
      <x:c r="L1327" s="22" t="n">
        <x:v>0</x:v>
      </x:c>
      <x:c r="M1327" s="28" t="n">
        <x:v>0</x:v>
      </x:c>
      <x:c r="N1327" s="28" t="n">
        <x:v>0</x:v>
      </x:c>
      <x:c r="O1327" s="28" t="n">
        <x:v>0</x:v>
      </x:c>
      <x:c r="P1327" s="62" t="n">
        <x:v>0</x:v>
      </x:c>
      <x:c r="Q1327" s="22" t="n">
        <x:v>0</x:v>
      </x:c>
      <x:c r="R1327" s="22" t="str"/>
      <x:c r="S1327" s="22" t="str"/>
      <x:c r="T1327" s="22" t="str"/>
    </x:row>
    <x:row r="1328">
      <x:c r="A1328" s="22" t="str">
        <x:v>2023-00067</x:v>
      </x:c>
      <x:c r="B1328" s="22" t="str">
        <x:v>L2024-00056-2</x:v>
      </x:c>
      <x:c r="C1328" s="22" t="str">
        <x:v>용역</x:v>
      </x:c>
      <x:c r="D1328" s="25" t="str">
        <x:v>[긴급] 코트디부아르 펠릭스우푸에부아니대학교 ICT 고등교육 역량강화 및 디지털 교육 개선사업 설계 및 감리용역</x:v>
      </x:c>
      <x:c r="E1328" s="22" t="n">
        <x:v>0</x:v>
      </x:c>
      <x:c r="F1328" s="22" t="str">
        <x:v>.docx</x:v>
      </x:c>
      <x:c r="G1328" s="25" t="str">
        <x:v>L2024-00056-2/Section 9 - Pledges.docx</x:v>
      </x:c>
      <x:c r="H1328" s="28" t="n">
        <x:v>31354</x:v>
      </x:c>
      <x:c r="I1328" s="22" t="str">
        <x:v>1e4bf00b29e640877e686247b8cb9c5e2eb288be72a432c18ab1b3606847cc0c</x:v>
      </x:c>
      <x:c r="J1328" s="22" t="n">
        <x:v>0</x:v>
      </x:c>
      <x:c r="K1328" s="22" t="n">
        <x:v>0</x:v>
      </x:c>
      <x:c r="L1328" s="22" t="n">
        <x:v>0</x:v>
      </x:c>
      <x:c r="M1328" s="28" t="n">
        <x:v>0</x:v>
      </x:c>
      <x:c r="N1328" s="28" t="n">
        <x:v>0</x:v>
      </x:c>
      <x:c r="O1328" s="28" t="n">
        <x:v>0</x:v>
      </x:c>
      <x:c r="P1328" s="62" t="n">
        <x:v>0</x:v>
      </x:c>
      <x:c r="Q1328" s="22" t="n">
        <x:v>0</x:v>
      </x:c>
      <x:c r="R1328" s="22" t="str"/>
      <x:c r="S1328" s="22" t="str"/>
      <x:c r="T1328" s="22" t="str"/>
    </x:row>
    <x:row r="1329">
      <x:c r="A1329" s="22" t="str">
        <x:v>2023-00067</x:v>
      </x:c>
      <x:c r="B1329" s="22" t="str">
        <x:v>L2024-00056-2</x:v>
      </x:c>
      <x:c r="C1329" s="22" t="str">
        <x:v>용역</x:v>
      </x:c>
      <x:c r="D1329" s="25" t="str">
        <x:v>[긴급] 코트디부아르 펠릭스우푸에부아니대학교 ICT 고등교육 역량강화 및 디지털 교육 개선사업 설계 및 감리용역</x:v>
      </x:c>
      <x:c r="E1329" s="22" t="n">
        <x:v>0</x:v>
      </x:c>
      <x:c r="F1329" s="22" t="str">
        <x:v>.zip</x:v>
      </x:c>
      <x:c r="G1329" s="25" t="str">
        <x:v>L2024-00056-2/Section 9 - Pledges.zip</x:v>
      </x:c>
      <x:c r="H1329" s="28" t="n">
        <x:v>85586</x:v>
      </x:c>
      <x:c r="I1329" s="22" t="str">
        <x:v>ace77f0c472bac41b05b3348d76f2fece600d55060d9bc370047c00e36f9a7da</x:v>
      </x:c>
      <x:c r="J1329" s="22" t="n">
        <x:v>0</x:v>
      </x:c>
      <x:c r="K1329" s="22" t="n">
        <x:v>0</x:v>
      </x:c>
      <x:c r="L1329" s="22" t="n">
        <x:v>0</x:v>
      </x:c>
      <x:c r="M1329" s="28" t="n">
        <x:v>0</x:v>
      </x:c>
      <x:c r="N1329" s="28" t="n">
        <x:v>0</x:v>
      </x:c>
      <x:c r="O1329" s="28" t="n">
        <x:v>0</x:v>
      </x:c>
      <x:c r="P1329" s="62" t="n">
        <x:v>0</x:v>
      </x:c>
      <x:c r="Q1329" s="22" t="n">
        <x:v>0</x:v>
      </x:c>
      <x:c r="R1329" s="22" t="str"/>
      <x:c r="S1329" s="22" t="str"/>
      <x:c r="T1329" s="22" t="str"/>
    </x:row>
    <x:row r="1330">
      <x:c r="A1330" s="22" t="str">
        <x:v>2023-00067</x:v>
      </x:c>
      <x:c r="B1330" s="22" t="str">
        <x:v>L2024-00056-2</x:v>
      </x:c>
      <x:c r="C1330" s="22" t="str">
        <x:v>용역</x:v>
      </x:c>
      <x:c r="D1330" s="25" t="str">
        <x:v>[긴급] 코트디부아르 펠릭스우푸에부아니대학교 ICT 고등교육 역량강화 및 디지털 교육 개선사업 설계 및 감리용역</x:v>
      </x:c>
      <x:c r="E1330" s="22" t="n">
        <x:v>0</x:v>
      </x:c>
      <x:c r="F1330" s="22" t="str">
        <x:v>.docx</x:v>
      </x:c>
      <x:c r="G1330" s="25" t="str">
        <x:v>L2024-00056-2/Section 8 - Contract Forms.docx</x:v>
      </x:c>
      <x:c r="H1330" s="28" t="n">
        <x:v>22736</x:v>
      </x:c>
      <x:c r="I1330" s="22" t="str">
        <x:v>367d75edf9970fc709cfe36895805583b1b0a353b708dab5e1b3b8619f54fea7</x:v>
      </x:c>
      <x:c r="J1330" s="22" t="n">
        <x:v>0</x:v>
      </x:c>
      <x:c r="K1330" s="22" t="n">
        <x:v>0</x:v>
      </x:c>
      <x:c r="L1330" s="22" t="n">
        <x:v>0</x:v>
      </x:c>
      <x:c r="M1330" s="28" t="n">
        <x:v>0</x:v>
      </x:c>
      <x:c r="N1330" s="28" t="n">
        <x:v>0</x:v>
      </x:c>
      <x:c r="O1330" s="28" t="n">
        <x:v>0</x:v>
      </x:c>
      <x:c r="P1330" s="62" t="n">
        <x:v>0</x:v>
      </x:c>
      <x:c r="Q1330" s="22" t="n">
        <x:v>0</x:v>
      </x:c>
      <x:c r="R1330" s="22" t="str"/>
      <x:c r="S1330" s="22" t="str"/>
      <x:c r="T1330" s="22" t="str"/>
    </x:row>
    <x:row r="1331">
      <x:c r="A1331" s="22" t="str">
        <x:v>2023-00067</x:v>
      </x:c>
      <x:c r="B1331" s="22" t="str">
        <x:v>L2024-00056-2</x:v>
      </x:c>
      <x:c r="C1331" s="22" t="str">
        <x:v>용역</x:v>
      </x:c>
      <x:c r="D1331" s="25" t="str">
        <x:v>[긴급] 코트디부아르 펠릭스우푸에부아니대학교 ICT 고등교육 역량강화 및 디지털 교육 개선사업 설계 및 감리용역</x:v>
      </x:c>
      <x:c r="E1331" s="22" t="n">
        <x:v>0</x:v>
      </x:c>
      <x:c r="F1331" s="22" t="str">
        <x:v>.docx</x:v>
      </x:c>
      <x:c r="G1331" s="25" t="str">
        <x:v>L2024-00056-2/Section 3 - Bidding Forms_코트디_ver.1.docx</x:v>
      </x:c>
      <x:c r="H1331" s="28" t="n">
        <x:v>57087</x:v>
      </x:c>
      <x:c r="I1331" s="22" t="str">
        <x:v>e653ddaf7ba5deb225ac5baf9a1b4d7c2f5bcabcc190dbdce89ac6af775e1d0c</x:v>
      </x:c>
      <x:c r="J1331" s="22" t="n">
        <x:v>0</x:v>
      </x:c>
      <x:c r="K1331" s="22" t="n">
        <x:v>0</x:v>
      </x:c>
      <x:c r="L1331" s="22" t="n">
        <x:v>0</x:v>
      </x:c>
      <x:c r="M1331" s="28" t="n">
        <x:v>0</x:v>
      </x:c>
      <x:c r="N1331" s="28" t="n">
        <x:v>0</x:v>
      </x:c>
      <x:c r="O1331" s="28" t="n">
        <x:v>0</x:v>
      </x:c>
      <x:c r="P1331" s="62" t="n">
        <x:v>0</x:v>
      </x:c>
      <x:c r="Q1331" s="22" t="n">
        <x:v>0</x:v>
      </x:c>
      <x:c r="R1331" s="22" t="str"/>
      <x:c r="S1331" s="22" t="str"/>
      <x:c r="T1331" s="22" t="str"/>
    </x:row>
    <x:row r="1332">
      <x:c r="A1332" s="22" t="str">
        <x:v>2023-00067</x:v>
      </x:c>
      <x:c r="B1332" s="22" t="str">
        <x:v>L2024-00056-2</x:v>
      </x:c>
      <x:c r="C1332" s="22" t="str">
        <x:v>용역</x:v>
      </x:c>
      <x:c r="D1332" s="25" t="str">
        <x:v>[긴급] 코트디부아르 펠릭스우푸에부아니대학교 ICT 고등교육 역량강화 및 디지털 교육 개선사업 설계 및 감리용역</x:v>
      </x:c>
      <x:c r="E1332" s="22" t="n">
        <x:v>0</x:v>
      </x:c>
      <x:c r="F1332" s="22" t="str">
        <x:v>.pdf</x:v>
      </x:c>
      <x:c r="G1332" s="25" t="str">
        <x:v>L2024-00056-2/Section 1 - Instructions to Bidders (ITB).pdf</x:v>
      </x:c>
      <x:c r="H1332" s="28" t="n">
        <x:v>161633</x:v>
      </x:c>
      <x:c r="I1332" s="22" t="str">
        <x:v>31f62db7af872ac18bef26a38348c4e5f39cb9887e6190c4a41058130b617084</x:v>
      </x:c>
      <x:c r="J1332" s="22" t="n">
        <x:v>0</x:v>
      </x:c>
      <x:c r="K1332" s="22" t="n">
        <x:v>0</x:v>
      </x:c>
      <x:c r="L1332" s="22" t="n">
        <x:v>0</x:v>
      </x:c>
      <x:c r="M1332" s="28" t="n">
        <x:v>0</x:v>
      </x:c>
      <x:c r="N1332" s="28" t="n">
        <x:v>0</x:v>
      </x:c>
      <x:c r="O1332" s="28" t="n">
        <x:v>0</x:v>
      </x:c>
      <x:c r="P1332" s="62" t="n">
        <x:v>0</x:v>
      </x:c>
      <x:c r="Q1332" s="22" t="n">
        <x:v>0</x:v>
      </x:c>
      <x:c r="R1332" s="22" t="str"/>
      <x:c r="S1332" s="22" t="str"/>
      <x:c r="T1332" s="22" t="str"/>
    </x:row>
    <x:row r="1333">
      <x:c r="A1333" s="22" t="str">
        <x:v>2023-00067</x:v>
      </x:c>
      <x:c r="B1333" s="22" t="str">
        <x:v>L2024-00056-2</x:v>
      </x:c>
      <x:c r="C1333" s="22" t="str">
        <x:v>용역</x:v>
      </x:c>
      <x:c r="D1333" s="25" t="str">
        <x:v>[긴급] 코트디부아르 펠릭스우푸에부아니대학교 ICT 고등교육 역량강화 및 디지털 교육 개선사업 설계 및 감리용역</x:v>
      </x:c>
      <x:c r="E1333" s="22" t="n">
        <x:v>0</x:v>
      </x:c>
      <x:c r="F1333" s="22" t="str">
        <x:v>.docx</x:v>
      </x:c>
      <x:c r="G1333" s="25" t="str">
        <x:v>L2024-00056-2/Section 5 - Construction Supervision Forms.docx</x:v>
      </x:c>
      <x:c r="H1333" s="28" t="n">
        <x:v>21655</x:v>
      </x:c>
      <x:c r="I1333" s="22" t="str">
        <x:v>6faffa7eea1b98283c98661c3d3929bc4a00e93b2a2dcb33ff3180dcdef6c55b</x:v>
      </x:c>
      <x:c r="J1333" s="22" t="n">
        <x:v>0</x:v>
      </x:c>
      <x:c r="K1333" s="22" t="n">
        <x:v>0</x:v>
      </x:c>
      <x:c r="L1333" s="22" t="n">
        <x:v>0</x:v>
      </x:c>
      <x:c r="M1333" s="28" t="n">
        <x:v>0</x:v>
      </x:c>
      <x:c r="N1333" s="28" t="n">
        <x:v>0</x:v>
      </x:c>
      <x:c r="O1333" s="28" t="n">
        <x:v>0</x:v>
      </x:c>
      <x:c r="P1333" s="62" t="n">
        <x:v>0</x:v>
      </x:c>
      <x:c r="Q1333" s="22" t="n">
        <x:v>0</x:v>
      </x:c>
      <x:c r="R1333" s="22" t="str"/>
      <x:c r="S1333" s="22" t="str"/>
      <x:c r="T1333" s="22" t="str"/>
    </x:row>
    <x:row r="1334">
      <x:c r="A1334" s="22" t="str">
        <x:v>2023-00067</x:v>
      </x:c>
      <x:c r="B1334" s="22" t="str">
        <x:v>L2024-00056-2</x:v>
      </x:c>
      <x:c r="C1334" s="22" t="str">
        <x:v>용역</x:v>
      </x:c>
      <x:c r="D1334" s="25" t="str">
        <x:v>[긴급] 코트디부아르 펠릭스우푸에부아니대학교 ICT 고등교육 역량강화 및 디지털 교육 개선사업 설계 및 감리용역</x:v>
      </x:c>
      <x:c r="E1334" s="22" t="n">
        <x:v>0</x:v>
      </x:c>
      <x:c r="F1334" s="22" t="str">
        <x:v>.png</x:v>
      </x:c>
      <x:c r="G1334" s="25" t="str">
        <x:v>L2024-00056-2/Section 5 - Reference Documents/Section 5 - BATIMENT PETROCI (Floor plan).png</x:v>
      </x:c>
      <x:c r="H1334" s="28" t="n">
        <x:v>53929</x:v>
      </x:c>
      <x:c r="I1334" s="22" t="str">
        <x:v>1d47ceb1fd7eac3d8837f4ee269eb096c094e8f7facdcf9fcbdeb99e162a823f</x:v>
      </x:c>
      <x:c r="J1334" s="22" t="n">
        <x:v>0</x:v>
      </x:c>
      <x:c r="K1334" s="22" t="n">
        <x:v>0</x:v>
      </x:c>
      <x:c r="L1334" s="22" t="n">
        <x:v>0</x:v>
      </x:c>
      <x:c r="M1334" s="28" t="n">
        <x:v>0</x:v>
      </x:c>
      <x:c r="N1334" s="28" t="n">
        <x:v>0</x:v>
      </x:c>
      <x:c r="O1334" s="28" t="n">
        <x:v>0</x:v>
      </x:c>
      <x:c r="P1334" s="62" t="n">
        <x:v>0</x:v>
      </x:c>
      <x:c r="Q1334" s="22" t="n">
        <x:v>0</x:v>
      </x:c>
      <x:c r="R1334" s="22" t="str"/>
      <x:c r="S1334" s="22" t="str"/>
      <x:c r="T1334" s="22" t="str"/>
    </x:row>
    <x:row r="1335">
      <x:c r="A1335" s="22" t="str">
        <x:v>2023-00067</x:v>
      </x:c>
      <x:c r="B1335" s="22" t="str">
        <x:v>L2024-00056-2</x:v>
      </x:c>
      <x:c r="C1335" s="22" t="str">
        <x:v>용역</x:v>
      </x:c>
      <x:c r="D1335" s="25" t="str">
        <x:v>[긴급] 코트디부아르 펠릭스우푸에부아니대학교 ICT 고등교육 역량강화 및 디지털 교육 개선사업 설계 및 감리용역</x:v>
      </x:c>
      <x:c r="E1335" s="22" t="n">
        <x:v>0</x:v>
      </x:c>
      <x:c r="F1335" s="22" t="str">
        <x:v>.docx</x:v>
      </x:c>
      <x:c r="G1335" s="25" t="str">
        <x:v>L2024-00056-2/Section 5 - Reference Documents/Section 5 - Construction Supervision Forms.docx</x:v>
      </x:c>
      <x:c r="H1335" s="28" t="n">
        <x:v>21655</x:v>
      </x:c>
      <x:c r="I1335" s="22" t="str">
        <x:v>6faffa7eea1b98283c98661c3d3929bc4a00e93b2a2dcb33ff3180dcdef6c55b</x:v>
      </x:c>
      <x:c r="J1335" s="22" t="n">
        <x:v>0</x:v>
      </x:c>
      <x:c r="K1335" s="22" t="n">
        <x:v>0</x:v>
      </x:c>
      <x:c r="L1335" s="22" t="n">
        <x:v>0</x:v>
      </x:c>
      <x:c r="M1335" s="28" t="n">
        <x:v>0</x:v>
      </x:c>
      <x:c r="N1335" s="28" t="n">
        <x:v>0</x:v>
      </x:c>
      <x:c r="O1335" s="28" t="n">
        <x:v>0</x:v>
      </x:c>
      <x:c r="P1335" s="62" t="n">
        <x:v>0</x:v>
      </x:c>
      <x:c r="Q1335" s="22" t="n">
        <x:v>0</x:v>
      </x:c>
      <x:c r="R1335" s="22" t="str"/>
      <x:c r="S1335" s="22" t="str"/>
      <x:c r="T1335" s="22" t="str"/>
    </x:row>
    <x:row r="1336">
      <x:c r="A1336" s="22" t="str">
        <x:v>2023-00067</x:v>
      </x:c>
      <x:c r="B1336" s="22" t="str">
        <x:v>L2024-00056-2</x:v>
      </x:c>
      <x:c r="C1336" s="22" t="str">
        <x:v>용역</x:v>
      </x:c>
      <x:c r="D1336" s="25" t="str">
        <x:v>[긴급] 코트디부아르 펠릭스우푸에부아니대학교 ICT 고등교육 역량강화 및 디지털 교육 개선사업 설계 및 감리용역</x:v>
      </x:c>
      <x:c r="E1336" s="22" t="n">
        <x:v>0</x:v>
      </x:c>
      <x:c r="F1336" s="22" t="str">
        <x:v>.docx</x:v>
      </x:c>
      <x:c r="G1336" s="25" t="str">
        <x:v>L2024-00056-2/Section 9 - Pledges/Declaration of Anti_Corruption (╣▌║╬╞╨ ╝▒╛≡╝¡).docx</x:v>
      </x:c>
      <x:c r="H1336" s="28" t="n">
        <x:v>23026</x:v>
      </x:c>
      <x:c r="I1336" s="22" t="str">
        <x:v>81e22a438491f4d1b5a12be15e95b5278073d1be929b00b0cd4fe23da8b9d496</x:v>
      </x:c>
      <x:c r="J1336" s="22" t="n">
        <x:v>0</x:v>
      </x:c>
      <x:c r="K1336" s="22" t="n">
        <x:v>0</x:v>
      </x:c>
      <x:c r="L1336" s="22" t="n">
        <x:v>0</x:v>
      </x:c>
      <x:c r="M1336" s="28" t="n">
        <x:v>0</x:v>
      </x:c>
      <x:c r="N1336" s="28" t="n">
        <x:v>0</x:v>
      </x:c>
      <x:c r="O1336" s="28" t="n">
        <x:v>0</x:v>
      </x:c>
      <x:c r="P1336" s="62" t="n">
        <x:v>0</x:v>
      </x:c>
      <x:c r="Q1336" s="22" t="n">
        <x:v>0</x:v>
      </x:c>
      <x:c r="R1336" s="22" t="str"/>
      <x:c r="S1336" s="22" t="str"/>
      <x:c r="T1336" s="22" t="str"/>
    </x:row>
    <x:row r="1337">
      <x:c r="A1337" s="22" t="str">
        <x:v>2023-00067</x:v>
      </x:c>
      <x:c r="B1337" s="22" t="str">
        <x:v>L2024-00056-2</x:v>
      </x:c>
      <x:c r="C1337" s="22" t="str">
        <x:v>용역</x:v>
      </x:c>
      <x:c r="D1337" s="25" t="str">
        <x:v>[긴급] 코트디부아르 펠릭스우푸에부아니대학교 ICT 고등교육 역량강화 및 디지털 교육 개선사업 설계 및 감리용역</x:v>
      </x:c>
      <x:c r="E1337" s="22" t="n">
        <x:v>0</x:v>
      </x:c>
      <x:c r="F1337" s="22" t="str">
        <x:v>.docx</x:v>
      </x:c>
      <x:c r="G1337" s="25" t="str">
        <x:v>L2024-00056-2/Section 9 - Pledges/Fair Contract Pledge Letter (░°┴ñ░Φ╛α ╝¡╛α╝¡).docx</x:v>
      </x:c>
      <x:c r="H1337" s="28" t="n">
        <x:v>18756</x:v>
      </x:c>
      <x:c r="I1337" s="22" t="str">
        <x:v>379cc784a159e5c15ba0045a32dd793d03827ad46a1e4a966b9810ad99102277</x:v>
      </x:c>
      <x:c r="J1337" s="22" t="n">
        <x:v>0</x:v>
      </x:c>
      <x:c r="K1337" s="22" t="n">
        <x:v>0</x:v>
      </x:c>
      <x:c r="L1337" s="22" t="n">
        <x:v>0</x:v>
      </x:c>
      <x:c r="M1337" s="28" t="n">
        <x:v>0</x:v>
      </x:c>
      <x:c r="N1337" s="28" t="n">
        <x:v>0</x:v>
      </x:c>
      <x:c r="O1337" s="28" t="n">
        <x:v>0</x:v>
      </x:c>
      <x:c r="P1337" s="62" t="n">
        <x:v>0</x:v>
      </x:c>
      <x:c r="Q1337" s="22" t="n">
        <x:v>0</x:v>
      </x:c>
      <x:c r="R1337" s="22" t="str"/>
      <x:c r="S1337" s="22" t="str"/>
      <x:c r="T1337" s="22" t="str"/>
    </x:row>
    <x:row r="1338">
      <x:c r="A1338" s="22" t="str">
        <x:v>2023-00067</x:v>
      </x:c>
      <x:c r="B1338" s="22" t="str">
        <x:v>L2024-00056-2</x:v>
      </x:c>
      <x:c r="C1338" s="22" t="str">
        <x:v>용역</x:v>
      </x:c>
      <x:c r="D1338" s="25" t="str">
        <x:v>[긴급] 코트디부아르 펠릭스우푸에부아니대학교 ICT 고등교육 역량강화 및 디지털 교육 개선사업 설계 및 감리용역</x:v>
      </x:c>
      <x:c r="E1338" s="22" t="n">
        <x:v>0</x:v>
      </x:c>
      <x:c r="F1338" s="22" t="str">
        <x:v>.docx</x:v>
      </x:c>
      <x:c r="G1338" s="25" t="str">
        <x:v>L2024-00056-2/Section 9 - Pledges/Integrity Pledge (├╗╖┼░Φ╛α╝¡).docx</x:v>
      </x:c>
      <x:c r="H1338" s="28" t="n">
        <x:v>36507</x:v>
      </x:c>
      <x:c r="I1338" s="22" t="str">
        <x:v>bbf88b1bc23c5ed931639e65f36d47df7d7fbdb8447562024b0cf9f04ec6d6b6</x:v>
      </x:c>
      <x:c r="J1338" s="22" t="n">
        <x:v>0</x:v>
      </x:c>
      <x:c r="K1338" s="22" t="n">
        <x:v>0</x:v>
      </x:c>
      <x:c r="L1338" s="22" t="n">
        <x:v>0</x:v>
      </x:c>
      <x:c r="M1338" s="28" t="n">
        <x:v>0</x:v>
      </x:c>
      <x:c r="N1338" s="28" t="n">
        <x:v>0</x:v>
      </x:c>
      <x:c r="O1338" s="28" t="n">
        <x:v>0</x:v>
      </x:c>
      <x:c r="P1338" s="62" t="n">
        <x:v>0</x:v>
      </x:c>
      <x:c r="Q1338" s="22" t="n">
        <x:v>0</x:v>
      </x:c>
      <x:c r="R1338" s="22" t="str"/>
      <x:c r="S1338" s="22" t="str"/>
      <x:c r="T1338" s="22" t="str"/>
    </x:row>
    <x:row r="1339">
      <x:c r="A1339" s="22" t="str">
        <x:v>2023-00067</x:v>
      </x:c>
      <x:c r="B1339" s="22" t="str">
        <x:v>L2024-00056-2</x:v>
      </x:c>
      <x:c r="C1339" s="22" t="str">
        <x:v>용역</x:v>
      </x:c>
      <x:c r="D1339" s="25" t="str">
        <x:v>[긴급] 코트디부아르 펠릭스우푸에부아니대학교 ICT 고등교육 역량강화 및 디지털 교육 개선사업 설계 및 감리용역</x:v>
      </x:c>
      <x:c r="E1339" s="22" t="n">
        <x:v>0</x:v>
      </x:c>
      <x:c r="F1339" s="22" t="str">
        <x:v>.docx</x:v>
      </x:c>
      <x:c r="G1339" s="25" t="str">
        <x:v>L2024-00056-2/Section 9 - Pledges/Action Pledge to Integrate Human Rights into Business Management of International Development Cooperation Projects (▒╣┴ª░│╣▀╟∙╖┬╗τ╛≈ └╬▒╟░µ┐╡ ╜╟├╡ ╝¡╛α╝¡).docx</x:v>
      </x:c>
      <x:c r="H1339" s="28" t="n">
        <x:v>19215</x:v>
      </x:c>
      <x:c r="I1339" s="22" t="str">
        <x:v>46af17d37aeab4e26df886f92c4955b1f059d0e3597f97e7e54f4f35fcbf63bf</x:v>
      </x:c>
      <x:c r="J1339" s="22" t="n">
        <x:v>0</x:v>
      </x:c>
      <x:c r="K1339" s="22" t="n">
        <x:v>0</x:v>
      </x:c>
      <x:c r="L1339" s="22" t="n">
        <x:v>0</x:v>
      </x:c>
      <x:c r="M1339" s="28" t="n">
        <x:v>0</x:v>
      </x:c>
      <x:c r="N1339" s="28" t="n">
        <x:v>0</x:v>
      </x:c>
      <x:c r="O1339" s="28" t="n">
        <x:v>0</x:v>
      </x:c>
      <x:c r="P1339" s="62" t="n">
        <x:v>0</x:v>
      </x:c>
      <x:c r="Q1339" s="22" t="n">
        <x:v>0</x:v>
      </x:c>
      <x:c r="R1339" s="22" t="str"/>
      <x:c r="S1339" s="22" t="str"/>
      <x:c r="T1339" s="22" t="str"/>
    </x:row>
    <x:row r="1340">
      <x:c r="A1340" s="22" t="str">
        <x:v>2023-00067</x:v>
      </x:c>
      <x:c r="B1340" s="22" t="str">
        <x:v>L2025-00052-1</x:v>
      </x:c>
      <x:c r="C1340" s="22" t="str">
        <x:v>공사</x:v>
      </x:c>
      <x:c r="D1340" s="25" t="str">
        <x:v>코트디부아르 펠릭스 우푸에 부아니대학교 ICT 교육역량 강화 및 ICT 혁신센터 설립사업 PETROCI 건물 리모델링 공사</x:v>
      </x:c>
      <x:c r="E1340" s="22" t="n">
        <x:v>1</x:v>
      </x:c>
      <x:c r="F1340" s="22" t="str">
        <x:v>.zip</x:v>
      </x:c>
      <x:c r="G1340" s="25" t="str">
        <x:v>L2025-00052-1/(붙임 2) 영문 입찰 계획 서류_KOICA FHBU Construction_정정본.zip</x:v>
      </x:c>
      <x:c r="H1340" s="28" t="n">
        <x:v>3273755</x:v>
      </x:c>
      <x:c r="I1340" s="22" t="str">
        <x:v>e78cc08556544841c9a21ad95c29293b532cd0b17f8ca97360cfd8bb9db8f85d</x:v>
      </x:c>
      <x:c r="J1340" s="22" t="n">
        <x:v>0</x:v>
      </x:c>
      <x:c r="K1340" s="22" t="n">
        <x:v>0</x:v>
      </x:c>
      <x:c r="L1340" s="22" t="n">
        <x:v>0</x:v>
      </x:c>
      <x:c r="M1340" s="28" t="n">
        <x:v>0</x:v>
      </x:c>
      <x:c r="N1340" s="28" t="n">
        <x:v>0</x:v>
      </x:c>
      <x:c r="O1340" s="28" t="n">
        <x:v>0</x:v>
      </x:c>
      <x:c r="P1340" s="62" t="n">
        <x:v>0</x:v>
      </x:c>
      <x:c r="Q1340" s="22" t="n">
        <x:v>0</x:v>
      </x:c>
      <x:c r="R1340" s="22" t="str"/>
      <x:c r="S1340" s="22" t="str"/>
      <x:c r="T1340" s="22" t="str"/>
    </x:row>
    <x:row r="1341">
      <x:c r="A1341" s="22" t="str">
        <x:v>2023-00067</x:v>
      </x:c>
      <x:c r="B1341" s="22" t="str">
        <x:v>L2025-00052-1</x:v>
      </x:c>
      <x:c r="C1341" s="22" t="str">
        <x:v>공사</x:v>
      </x:c>
      <x:c r="D1341" s="25" t="str">
        <x:v>코트디부아르 펠릭스 우푸에 부아니대학교 ICT 교육역량 강화 및 ICT 혁신센터 설립사업 PETROCI 건물 리모델링 공사</x:v>
      </x:c>
      <x:c r="E1341" s="22" t="n">
        <x:v>1</x:v>
      </x:c>
      <x:c r="F1341" s="22" t="str">
        <x:v>.hwp</x:v>
      </x:c>
      <x:c r="G1341" s="25" t="str">
        <x:v>L2025-00052-1/(붙임 1) Bid Data Sheet(Korean)_KOICA FHBU Construction_정정본.hwp</x:v>
      </x:c>
      <x:c r="H1341" s="28" t="n">
        <x:v>69120</x:v>
      </x:c>
      <x:c r="I1341" s="22" t="str">
        <x:v>b93c97217ebe39550e7df7f716f75c83e2f8bbbf759ccef86e4d4aee287112e3</x:v>
      </x:c>
      <x:c r="J1341" s="22" t="n">
        <x:v>0</x:v>
      </x:c>
      <x:c r="K1341" s="22" t="n">
        <x:v>0</x:v>
      </x:c>
      <x:c r="L1341" s="22" t="n">
        <x:v>0</x:v>
      </x:c>
      <x:c r="M1341" s="28" t="n">
        <x:v>0</x:v>
      </x:c>
      <x:c r="N1341" s="28" t="n">
        <x:v>0</x:v>
      </x:c>
      <x:c r="O1341" s="28" t="n">
        <x:v>0</x:v>
      </x:c>
      <x:c r="P1341" s="62" t="n">
        <x:v>0</x:v>
      </x:c>
      <x:c r="Q1341" s="22" t="n">
        <x:v>0</x:v>
      </x:c>
      <x:c r="R1341" s="22" t="str"/>
      <x:c r="S1341" s="22" t="str"/>
      <x:c r="T1341" s="22" t="str"/>
    </x:row>
    <x:row r="1342">
      <x:c r="A1342" s="22" t="str">
        <x:v>2023-00067</x:v>
      </x:c>
      <x:c r="B1342" s="22" t="str">
        <x:v>L2025-00052-1</x:v>
      </x:c>
      <x:c r="C1342" s="22" t="str">
        <x:v>공사</x:v>
      </x:c>
      <x:c r="D1342" s="25" t="str">
        <x:v>코트디부아르 펠릭스 우푸에 부아니대학교 ICT 교육역량 강화 및 ICT 혁신센터 설립사업 PETROCI 건물 리모델링 공사</x:v>
      </x:c>
      <x:c r="E1342" s="22" t="n">
        <x:v>1</x:v>
      </x:c>
      <x:c r="F1342" s="22" t="str">
        <x:v>.docx</x:v>
      </x:c>
      <x:c r="G1342" s="25" t="str">
        <x:v>L2025-00052-1/(붙임 2) 영문 입찰 계획 서류_KOICA FHBU Construction_정정본/Section 7 - General Conditions of Contract(Draft)_KOICA FHBU Construction.docx</x:v>
      </x:c>
      <x:c r="H1342" s="28" t="n">
        <x:v>202912</x:v>
      </x:c>
      <x:c r="I1342" s="22" t="str">
        <x:v>fedf6aa3540ddde964e764325f1b28aff95914fe896d9a93b0b504953aef920a</x:v>
      </x:c>
      <x:c r="J1342" s="22" t="n">
        <x:v>0</x:v>
      </x:c>
      <x:c r="K1342" s="22" t="n">
        <x:v>0</x:v>
      </x:c>
      <x:c r="L1342" s="22" t="n">
        <x:v>0</x:v>
      </x:c>
      <x:c r="M1342" s="28" t="n">
        <x:v>0</x:v>
      </x:c>
      <x:c r="N1342" s="28" t="n">
        <x:v>0</x:v>
      </x:c>
      <x:c r="O1342" s="28" t="n">
        <x:v>0</x:v>
      </x:c>
      <x:c r="P1342" s="62" t="n">
        <x:v>0</x:v>
      </x:c>
      <x:c r="Q1342" s="22" t="n">
        <x:v>0</x:v>
      </x:c>
      <x:c r="R1342" s="22" t="str"/>
      <x:c r="S1342" s="22" t="str"/>
      <x:c r="T1342" s="22" t="str"/>
    </x:row>
    <x:row r="1343">
      <x:c r="A1343" s="22" t="str">
        <x:v>2023-00067</x:v>
      </x:c>
      <x:c r="B1343" s="22" t="str">
        <x:v>L2025-00052-1</x:v>
      </x:c>
      <x:c r="C1343" s="22" t="str">
        <x:v>공사</x:v>
      </x:c>
      <x:c r="D1343" s="25" t="str">
        <x:v>코트디부아르 펠릭스 우푸에 부아니대학교 ICT 교육역량 강화 및 ICT 혁신센터 설립사업 PETROCI 건물 리모델링 공사</x:v>
      </x:c>
      <x:c r="E1343" s="22" t="n">
        <x:v>1</x:v>
      </x:c>
      <x:c r="F1343" s="22" t="str">
        <x:v>.docx</x:v>
      </x:c>
      <x:c r="G1343" s="25" t="str">
        <x:v>L2025-00052-1/(붙임 2) 영문 입찰 계획 서류_KOICA FHBU Construction_정정본/Section 2 - Bid Data Sheet(English)_KOICA FHBU Construction.docx</x:v>
      </x:c>
      <x:c r="H1343" s="28" t="n">
        <x:v>61827</x:v>
      </x:c>
      <x:c r="I1343" s="22" t="str">
        <x:v>34406a9dc5feb3cc0df25027c9ac68296ed51def75abe43f959595be1734c46a</x:v>
      </x:c>
      <x:c r="J1343" s="22" t="n">
        <x:v>0</x:v>
      </x:c>
      <x:c r="K1343" s="22" t="n">
        <x:v>0</x:v>
      </x:c>
      <x:c r="L1343" s="22" t="n">
        <x:v>0</x:v>
      </x:c>
      <x:c r="M1343" s="28" t="n">
        <x:v>0</x:v>
      </x:c>
      <x:c r="N1343" s="28" t="n">
        <x:v>0</x:v>
      </x:c>
      <x:c r="O1343" s="28" t="n">
        <x:v>0</x:v>
      </x:c>
      <x:c r="P1343" s="62" t="n">
        <x:v>0</x:v>
      </x:c>
      <x:c r="Q1343" s="22" t="n">
        <x:v>0</x:v>
      </x:c>
      <x:c r="R1343" s="22" t="str"/>
      <x:c r="S1343" s="22" t="str"/>
      <x:c r="T1343" s="22" t="str"/>
    </x:row>
    <x:row r="1344">
      <x:c r="A1344" s="22" t="str">
        <x:v>2023-00067</x:v>
      </x:c>
      <x:c r="B1344" s="22" t="str">
        <x:v>L2025-00052-1</x:v>
      </x:c>
      <x:c r="C1344" s="22" t="str">
        <x:v>공사</x:v>
      </x:c>
      <x:c r="D1344" s="25" t="str">
        <x:v>코트디부아르 펠릭스 우푸에 부아니대학교 ICT 교육역량 강화 및 ICT 혁신센터 설립사업 PETROCI 건물 리모델링 공사</x:v>
      </x:c>
      <x:c r="E1344" s="22" t="n">
        <x:v>1</x:v>
      </x:c>
      <x:c r="F1344" s="22" t="str">
        <x:v>.zip</x:v>
      </x:c>
      <x:c r="G1344" s="25" t="str">
        <x:v>L2025-00052-1/(붙임 2) 영문 입찰 계획 서류_KOICA FHBU Construction_정정본/Section 9-2 - Pledges_KOICA FHBU Construction.zip</x:v>
      </x:c>
      <x:c r="H1344" s="28" t="n">
        <x:v>69143</x:v>
      </x:c>
      <x:c r="I1344" s="22" t="str">
        <x:v>c68e53944a8f0afc1892995c1597fc45de6bfe319f29975a6981e05379561cfa</x:v>
      </x:c>
      <x:c r="J1344" s="22" t="n">
        <x:v>0</x:v>
      </x:c>
      <x:c r="K1344" s="22" t="n">
        <x:v>0</x:v>
      </x:c>
      <x:c r="L1344" s="22" t="n">
        <x:v>0</x:v>
      </x:c>
      <x:c r="M1344" s="28" t="n">
        <x:v>0</x:v>
      </x:c>
      <x:c r="N1344" s="28" t="n">
        <x:v>0</x:v>
      </x:c>
      <x:c r="O1344" s="28" t="n">
        <x:v>0</x:v>
      </x:c>
      <x:c r="P1344" s="62" t="n">
        <x:v>0</x:v>
      </x:c>
      <x:c r="Q1344" s="22" t="n">
        <x:v>0</x:v>
      </x:c>
      <x:c r="R1344" s="22" t="str"/>
      <x:c r="S1344" s="22" t="str"/>
      <x:c r="T1344" s="22" t="str"/>
    </x:row>
    <x:row r="1345">
      <x:c r="A1345" s="22" t="str">
        <x:v>2023-00067</x:v>
      </x:c>
      <x:c r="B1345" s="22" t="str">
        <x:v>L2025-00052-1</x:v>
      </x:c>
      <x:c r="C1345" s="22" t="str">
        <x:v>공사</x:v>
      </x:c>
      <x:c r="D1345" s="25" t="str">
        <x:v>코트디부아르 펠릭스 우푸에 부아니대학교 ICT 교육역량 강화 및 ICT 혁신센터 설립사업 PETROCI 건물 리모델링 공사</x:v>
      </x:c>
      <x:c r="E1345" s="22" t="n">
        <x:v>1</x:v>
      </x:c>
      <x:c r="F1345" s="22" t="str">
        <x:v>.zip</x:v>
      </x:c>
      <x:c r="G1345" s="25" t="str">
        <x:v>L2025-00052-1/(붙임 2) 영문 입찰 계획 서류_KOICA FHBU Construction_정정본/Section 10 - KOICA Bidding Regulations and Guidelines_KOICA FHBU Construction.zip</x:v>
      </x:c>
      <x:c r="H1345" s="28" t="n">
        <x:v>1621670</x:v>
      </x:c>
      <x:c r="I1345" s="22" t="str">
        <x:v>1a5cbce517d6d46fe63b690f8b59c87e9fc72c87218ea9bca457884713a92d68</x:v>
      </x:c>
      <x:c r="J1345" s="22" t="n">
        <x:v>0</x:v>
      </x:c>
      <x:c r="K1345" s="22" t="n">
        <x:v>0</x:v>
      </x:c>
      <x:c r="L1345" s="22" t="n">
        <x:v>0</x:v>
      </x:c>
      <x:c r="M1345" s="28" t="n">
        <x:v>0</x:v>
      </x:c>
      <x:c r="N1345" s="28" t="n">
        <x:v>0</x:v>
      </x:c>
      <x:c r="O1345" s="28" t="n">
        <x:v>0</x:v>
      </x:c>
      <x:c r="P1345" s="62" t="n">
        <x:v>0</x:v>
      </x:c>
      <x:c r="Q1345" s="22" t="n">
        <x:v>0</x:v>
      </x:c>
      <x:c r="R1345" s="22" t="str"/>
      <x:c r="S1345" s="22" t="str"/>
      <x:c r="T1345" s="22" t="str"/>
    </x:row>
    <x:row r="1346">
      <x:c r="A1346" s="22" t="str">
        <x:v>2023-00067</x:v>
      </x:c>
      <x:c r="B1346" s="22" t="str">
        <x:v>L2025-00052-1</x:v>
      </x:c>
      <x:c r="C1346" s="22" t="str">
        <x:v>공사</x:v>
      </x:c>
      <x:c r="D1346" s="25" t="str">
        <x:v>코트디부아르 펠릭스 우푸에 부아니대학교 ICT 교육역량 강화 및 ICT 혁신센터 설립사업 PETROCI 건물 리모델링 공사</x:v>
      </x:c>
      <x:c r="E1346" s="22" t="n">
        <x:v>1</x:v>
      </x:c>
      <x:c r="F1346" s="22" t="str">
        <x:v>.docx</x:v>
      </x:c>
      <x:c r="G1346" s="25" t="str">
        <x:v>L2025-00052-1/(붙임 2) 영문 입찰 계획 서류_KOICA FHBU Construction_정정본/Section 8 - Special Conditions of Contract(Draft)_KOICA FHBU Construction.docx</x:v>
      </x:c>
      <x:c r="H1346" s="28" t="n">
        <x:v>60774</x:v>
      </x:c>
      <x:c r="I1346" s="22" t="str">
        <x:v>71f76a3e205a83768b2992bb6e9065dc516b4f8076b24418a316d4195274d0e8</x:v>
      </x:c>
      <x:c r="J1346" s="22" t="n">
        <x:v>0</x:v>
      </x:c>
      <x:c r="K1346" s="22" t="n">
        <x:v>0</x:v>
      </x:c>
      <x:c r="L1346" s="22" t="n">
        <x:v>0</x:v>
      </x:c>
      <x:c r="M1346" s="28" t="n">
        <x:v>0</x:v>
      </x:c>
      <x:c r="N1346" s="28" t="n">
        <x:v>0</x:v>
      </x:c>
      <x:c r="O1346" s="28" t="n">
        <x:v>0</x:v>
      </x:c>
      <x:c r="P1346" s="62" t="n">
        <x:v>0</x:v>
      </x:c>
      <x:c r="Q1346" s="22" t="n">
        <x:v>0</x:v>
      </x:c>
      <x:c r="R1346" s="22" t="str"/>
      <x:c r="S1346" s="22" t="str"/>
      <x:c r="T1346" s="22" t="str"/>
    </x:row>
    <x:row r="1347">
      <x:c r="A1347" s="22" t="str">
        <x:v>2023-00067</x:v>
      </x:c>
      <x:c r="B1347" s="22" t="str">
        <x:v>L2025-00052-1</x:v>
      </x:c>
      <x:c r="C1347" s="22" t="str">
        <x:v>공사</x:v>
      </x:c>
      <x:c r="D1347" s="25" t="str">
        <x:v>코트디부아르 펠릭스 우푸에 부아니대학교 ICT 교육역량 강화 및 ICT 혁신센터 설립사업 PETROCI 건물 리모델링 공사</x:v>
      </x:c>
      <x:c r="E1347" s="22" t="n">
        <x:v>1</x:v>
      </x:c>
      <x:c r="F1347" s="22" t="str">
        <x:v>.docx</x:v>
      </x:c>
      <x:c r="G1347" s="25" t="str">
        <x:v>L2025-00052-1/(붙임 2) 영문 입찰 계획 서류_KOICA FHBU Construction_정정본/Section 9 - Contract Forms_KOICA FHBU Construction.docx</x:v>
      </x:c>
      <x:c r="H1347" s="28" t="n">
        <x:v>38159</x:v>
      </x:c>
      <x:c r="I1347" s="22" t="str">
        <x:v>0bce2d1fb64d0b2bf7c95f60fe85f7f4c07bcf3ac8c4cb65912db9515bbb5644</x:v>
      </x:c>
      <x:c r="J1347" s="22" t="n">
        <x:v>0</x:v>
      </x:c>
      <x:c r="K1347" s="22" t="n">
        <x:v>0</x:v>
      </x:c>
      <x:c r="L1347" s="22" t="n">
        <x:v>0</x:v>
      </x:c>
      <x:c r="M1347" s="28" t="n">
        <x:v>0</x:v>
      </x:c>
      <x:c r="N1347" s="28" t="n">
        <x:v>0</x:v>
      </x:c>
      <x:c r="O1347" s="28" t="n">
        <x:v>0</x:v>
      </x:c>
      <x:c r="P1347" s="62" t="n">
        <x:v>0</x:v>
      </x:c>
      <x:c r="Q1347" s="22" t="n">
        <x:v>0</x:v>
      </x:c>
      <x:c r="R1347" s="22" t="str"/>
      <x:c r="S1347" s="22" t="str"/>
      <x:c r="T1347" s="22" t="str"/>
    </x:row>
    <x:row r="1348">
      <x:c r="A1348" s="22" t="str">
        <x:v>2023-00067</x:v>
      </x:c>
      <x:c r="B1348" s="22" t="str">
        <x:v>L2025-00052-1</x:v>
      </x:c>
      <x:c r="C1348" s="22" t="str">
        <x:v>공사</x:v>
      </x:c>
      <x:c r="D1348" s="25" t="str">
        <x:v>코트디부아르 펠릭스 우푸에 부아니대학교 ICT 교육역량 강화 및 ICT 혁신센터 설립사업 PETROCI 건물 리모델링 공사</x:v>
      </x:c>
      <x:c r="E1348" s="22" t="n">
        <x:v>1</x:v>
      </x:c>
      <x:c r="F1348" s="22" t="str">
        <x:v>.xlsx</x:v>
      </x:c>
      <x:c r="G1348" s="25" t="str">
        <x:v>L2025-00052-1/(붙임 2) 영문 입찰 계획 서류_KOICA FHBU Construction_정정본/Section 11 - Bid Document Checklist_FHBU Construction_KOICA FHBU Construction.xlsx</x:v>
      </x:c>
      <x:c r="H1348" s="28" t="n">
        <x:v>63363</x:v>
      </x:c>
      <x:c r="I1348" s="22" t="str">
        <x:v>66df9b7d0d9465979678f38ed6dea1582e262f16a8bf8cf038a0ddd78a0a657d</x:v>
      </x:c>
      <x:c r="J1348" s="22" t="n">
        <x:v>0</x:v>
      </x:c>
      <x:c r="K1348" s="22" t="n">
        <x:v>0</x:v>
      </x:c>
      <x:c r="L1348" s="22" t="n">
        <x:v>0</x:v>
      </x:c>
      <x:c r="M1348" s="28" t="n">
        <x:v>0</x:v>
      </x:c>
      <x:c r="N1348" s="28" t="n">
        <x:v>0</x:v>
      </x:c>
      <x:c r="O1348" s="28" t="n">
        <x:v>0</x:v>
      </x:c>
      <x:c r="P1348" s="62" t="n">
        <x:v>0</x:v>
      </x:c>
      <x:c r="Q1348" s="22" t="n">
        <x:v>0</x:v>
      </x:c>
      <x:c r="R1348" s="22" t="str"/>
      <x:c r="S1348" s="22" t="str"/>
      <x:c r="T1348" s="22" t="str"/>
    </x:row>
    <x:row r="1349">
      <x:c r="A1349" s="22" t="str">
        <x:v>2023-00067</x:v>
      </x:c>
      <x:c r="B1349" s="22" t="str">
        <x:v>L2025-00052-1</x:v>
      </x:c>
      <x:c r="C1349" s="22" t="str">
        <x:v>공사</x:v>
      </x:c>
      <x:c r="D1349" s="25" t="str">
        <x:v>코트디부아르 펠릭스 우푸에 부아니대학교 ICT 교육역량 강화 및 ICT 혁신센터 설립사업 PETROCI 건물 리모델링 공사</x:v>
      </x:c>
      <x:c r="E1349" s="22" t="n">
        <x:v>1</x:v>
      </x:c>
      <x:c r="F1349" s="22" t="str">
        <x:v>.zip</x:v>
      </x:c>
      <x:c r="G1349" s="25" t="str">
        <x:v>L2025-00052-1/(붙임 2) 영문 입찰 계획 서류_KOICA FHBU Construction_정정본/Section 8-2 KOICA Safety Management Manual_KOICA FHBU Construction.zip</x:v>
      </x:c>
      <x:c r="H1349" s="28" t="n">
        <x:v>657105</x:v>
      </x:c>
      <x:c r="I1349" s="22" t="str">
        <x:v>536bb557bafd2e0b9b4db4486993953d16a4cedeb1d306a0064b4f53aedc9623</x:v>
      </x:c>
      <x:c r="J1349" s="22" t="n">
        <x:v>0</x:v>
      </x:c>
      <x:c r="K1349" s="22" t="n">
        <x:v>0</x:v>
      </x:c>
      <x:c r="L1349" s="22" t="n">
        <x:v>0</x:v>
      </x:c>
      <x:c r="M1349" s="28" t="n">
        <x:v>0</x:v>
      </x:c>
      <x:c r="N1349" s="28" t="n">
        <x:v>0</x:v>
      </x:c>
      <x:c r="O1349" s="28" t="n">
        <x:v>0</x:v>
      </x:c>
      <x:c r="P1349" s="62" t="n">
        <x:v>0</x:v>
      </x:c>
      <x:c r="Q1349" s="22" t="n">
        <x:v>0</x:v>
      </x:c>
      <x:c r="R1349" s="22" t="str"/>
      <x:c r="S1349" s="22" t="str"/>
      <x:c r="T1349" s="22" t="str"/>
    </x:row>
    <x:row r="1350">
      <x:c r="A1350" s="22" t="str">
        <x:v>2023-00067</x:v>
      </x:c>
      <x:c r="B1350" s="22" t="str">
        <x:v>L2025-00052-1</x:v>
      </x:c>
      <x:c r="C1350" s="22" t="str">
        <x:v>공사</x:v>
      </x:c>
      <x:c r="D1350" s="25" t="str">
        <x:v>코트디부아르 펠릭스 우푸에 부아니대학교 ICT 교육역량 강화 및 ICT 혁신센터 설립사업 PETROCI 건물 리모델링 공사</x:v>
      </x:c>
      <x:c r="E1350" s="22" t="n">
        <x:v>1</x:v>
      </x:c>
      <x:c r="F1350" s="22" t="str">
        <x:v>.docx</x:v>
      </x:c>
      <x:c r="G1350" s="25" t="str">
        <x:v>L2025-00052-1/(붙임 2) 영문 입찰 계획 서류_KOICA FHBU Construction_정정본/Section 3 - Bidding Forms_KOICA FHBU Construction.docx</x:v>
      </x:c>
      <x:c r="H1350" s="28" t="n">
        <x:v>47106</x:v>
      </x:c>
      <x:c r="I1350" s="22" t="str">
        <x:v>0cc79e37824b99a3c6fa8fe5ce602b2f965a40f371d4da9e14a801994a64002b</x:v>
      </x:c>
      <x:c r="J1350" s="22" t="n">
        <x:v>0</x:v>
      </x:c>
      <x:c r="K1350" s="22" t="n">
        <x:v>0</x:v>
      </x:c>
      <x:c r="L1350" s="22" t="n">
        <x:v>0</x:v>
      </x:c>
      <x:c r="M1350" s="28" t="n">
        <x:v>0</x:v>
      </x:c>
      <x:c r="N1350" s="28" t="n">
        <x:v>0</x:v>
      </x:c>
      <x:c r="O1350" s="28" t="n">
        <x:v>0</x:v>
      </x:c>
      <x:c r="P1350" s="62" t="n">
        <x:v>0</x:v>
      </x:c>
      <x:c r="Q1350" s="22" t="n">
        <x:v>0</x:v>
      </x:c>
      <x:c r="R1350" s="22" t="str"/>
      <x:c r="S1350" s="22" t="str"/>
      <x:c r="T1350" s="22" t="str"/>
    </x:row>
    <x:row r="1351">
      <x:c r="A1351" s="22" t="str">
        <x:v>2023-00067</x:v>
      </x:c>
      <x:c r="B1351" s="22" t="str">
        <x:v>L2025-00052-1</x:v>
      </x:c>
      <x:c r="C1351" s="22" t="str">
        <x:v>공사</x:v>
      </x:c>
      <x:c r="D1351" s="25" t="str">
        <x:v>코트디부아르 펠릭스 우푸에 부아니대학교 ICT 교육역량 강화 및 ICT 혁신센터 설립사업 PETROCI 건물 리모델링 공사</x:v>
      </x:c>
      <x:c r="E1351" s="22" t="n">
        <x:v>1</x:v>
      </x:c>
      <x:c r="F1351" s="22" t="str">
        <x:v>.docx</x:v>
      </x:c>
      <x:c r="G1351" s="25" t="str">
        <x:v>L2025-00052-1/(붙임 2) 영문 입찰 계획 서류_KOICA FHBU Construction_정정본/Section 6 - Scope of Works_KOICA FHBU Construction.docx</x:v>
      </x:c>
      <x:c r="H1351" s="28" t="n">
        <x:v>46850</x:v>
      </x:c>
      <x:c r="I1351" s="22" t="str">
        <x:v>0accf3bb36ec641fb7c440a519ed78bb58b1231f17d5d8acbdce30a5bd706753</x:v>
      </x:c>
      <x:c r="J1351" s="22" t="n">
        <x:v>0</x:v>
      </x:c>
      <x:c r="K1351" s="22" t="n">
        <x:v>0</x:v>
      </x:c>
      <x:c r="L1351" s="22" t="n">
        <x:v>0</x:v>
      </x:c>
      <x:c r="M1351" s="28" t="n">
        <x:v>0</x:v>
      </x:c>
      <x:c r="N1351" s="28" t="n">
        <x:v>0</x:v>
      </x:c>
      <x:c r="O1351" s="28" t="n">
        <x:v>0</x:v>
      </x:c>
      <x:c r="P1351" s="62" t="n">
        <x:v>0</x:v>
      </x:c>
      <x:c r="Q1351" s="22" t="n">
        <x:v>0</x:v>
      </x:c>
      <x:c r="R1351" s="22" t="str"/>
      <x:c r="S1351" s="22" t="str"/>
      <x:c r="T1351" s="22" t="str"/>
    </x:row>
    <x:row r="1352">
      <x:c r="A1352" s="22" t="str">
        <x:v>2023-00067</x:v>
      </x:c>
      <x:c r="B1352" s="22" t="str">
        <x:v>L2025-00052-1</x:v>
      </x:c>
      <x:c r="C1352" s="22" t="str">
        <x:v>공사</x:v>
      </x:c>
      <x:c r="D1352" s="25" t="str">
        <x:v>코트디부아르 펠릭스 우푸에 부아니대학교 ICT 교육역량 강화 및 ICT 혁신센터 설립사업 PETROCI 건물 리모델링 공사</x:v>
      </x:c>
      <x:c r="E1352" s="22" t="n">
        <x:v>1</x:v>
      </x:c>
      <x:c r="F1352" s="22" t="str">
        <x:v>.docx</x:v>
      </x:c>
      <x:c r="G1352" s="25" t="str">
        <x:v>L2025-00052-1/(붙임 2) 영문 입찰 계획 서류_KOICA FHBU Construction_정정본/Section 12 - Power of Attorney for the authority to sign and execute contracts_KOICA FHBU Construction.docx</x:v>
      </x:c>
      <x:c r="H1352" s="28" t="n">
        <x:v>18759</x:v>
      </x:c>
      <x:c r="I1352" s="22" t="str">
        <x:v>ccfa30711d9124ace57f312b9b89267731c2844285ca78c55df13f43969cd647</x:v>
      </x:c>
      <x:c r="J1352" s="22" t="n">
        <x:v>0</x:v>
      </x:c>
      <x:c r="K1352" s="22" t="n">
        <x:v>0</x:v>
      </x:c>
      <x:c r="L1352" s="22" t="n">
        <x:v>0</x:v>
      </x:c>
      <x:c r="M1352" s="28" t="n">
        <x:v>0</x:v>
      </x:c>
      <x:c r="N1352" s="28" t="n">
        <x:v>0</x:v>
      </x:c>
      <x:c r="O1352" s="28" t="n">
        <x:v>0</x:v>
      </x:c>
      <x:c r="P1352" s="62" t="n">
        <x:v>0</x:v>
      </x:c>
      <x:c r="Q1352" s="22" t="n">
        <x:v>0</x:v>
      </x:c>
      <x:c r="R1352" s="22" t="str"/>
      <x:c r="S1352" s="22" t="str"/>
      <x:c r="T1352" s="22" t="str"/>
    </x:row>
    <x:row r="1353">
      <x:c r="A1353" s="22" t="str">
        <x:v>2023-00067</x:v>
      </x:c>
      <x:c r="B1353" s="22" t="str">
        <x:v>L2025-00052-1</x:v>
      </x:c>
      <x:c r="C1353" s="22" t="str">
        <x:v>공사</x:v>
      </x:c>
      <x:c r="D1353" s="25" t="str">
        <x:v>코트디부아르 펠릭스 우푸에 부아니대학교 ICT 교육역량 강화 및 ICT 혁신센터 설립사업 PETROCI 건물 리모델링 공사</x:v>
      </x:c>
      <x:c r="E1353" s="22" t="n">
        <x:v>1</x:v>
      </x:c>
      <x:c r="F1353" s="22" t="str">
        <x:v>.zip</x:v>
      </x:c>
      <x:c r="G1353" s="25" t="str">
        <x:v>L2025-00052-1/(붙임 2) 영문 입찰 계획 서류_KOICA FHBU Construction_정정본/Section 1 - Instructions to Bidders (ITB)_KOICA FHBU Construction.zip</x:v>
      </x:c>
      <x:c r="H1353" s="28" t="n">
        <x:v>417188</x:v>
      </x:c>
      <x:c r="I1353" s="22" t="str">
        <x:v>a19acb87e8d230290cd3f1264545736dd0a08c44f810577cbbf6693763cf43a6</x:v>
      </x:c>
      <x:c r="J1353" s="22" t="n">
        <x:v>0</x:v>
      </x:c>
      <x:c r="K1353" s="22" t="n">
        <x:v>0</x:v>
      </x:c>
      <x:c r="L1353" s="22" t="n">
        <x:v>0</x:v>
      </x:c>
      <x:c r="M1353" s="28" t="n">
        <x:v>0</x:v>
      </x:c>
      <x:c r="N1353" s="28" t="n">
        <x:v>0</x:v>
      </x:c>
      <x:c r="O1353" s="28" t="n">
        <x:v>0</x:v>
      </x:c>
      <x:c r="P1353" s="62" t="n">
        <x:v>0</x:v>
      </x:c>
      <x:c r="Q1353" s="22" t="n">
        <x:v>0</x:v>
      </x:c>
      <x:c r="R1353" s="22" t="str"/>
      <x:c r="S1353" s="22" t="str"/>
      <x:c r="T1353" s="22" t="str"/>
    </x:row>
    <x:row r="1354">
      <x:c r="A1354" s="22" t="str">
        <x:v>2023-00067</x:v>
      </x:c>
      <x:c r="B1354" s="22" t="str">
        <x:v>L2025-00052-1</x:v>
      </x:c>
      <x:c r="C1354" s="22" t="str">
        <x:v>공사</x:v>
      </x:c>
      <x:c r="D1354" s="25" t="str">
        <x:v>코트디부아르 펠릭스 우푸에 부아니대학교 ICT 교육역량 강화 및 ICT 혁신센터 설립사업 PETROCI 건물 리모델링 공사</x:v>
      </x:c>
      <x:c r="E1354" s="22" t="n">
        <x:v>1</x:v>
      </x:c>
      <x:c r="F1354" s="22" t="str">
        <x:v>.pdf</x:v>
      </x:c>
      <x:c r="G1354" s="25" t="str">
        <x:v>L2025-00052-1/(붙임 2) 영문 입찰 계획 서류_KOICA FHBU Construction_정정본/Section 10 - KOICA Bidding Regulations and Guidelines_KOICA FHBU Construction/Guidelines for Technical Evaluation(기술평가지침)_20210408.pdf</x:v>
      </x:c>
      <x:c r="H1354" s="28" t="n">
        <x:v>416852</x:v>
      </x:c>
      <x:c r="I1354" s="22" t="str">
        <x:v>5f61aa2d6d0a5a8e5112eb2bfc3afc5f9a4e31a1328154452eb19e5484072dd0</x:v>
      </x:c>
      <x:c r="J1354" s="22" t="n">
        <x:v>0</x:v>
      </x:c>
      <x:c r="K1354" s="22" t="n">
        <x:v>0</x:v>
      </x:c>
      <x:c r="L1354" s="22" t="n">
        <x:v>0</x:v>
      </x:c>
      <x:c r="M1354" s="28" t="n">
        <x:v>0</x:v>
      </x:c>
      <x:c r="N1354" s="28" t="n">
        <x:v>0</x:v>
      </x:c>
      <x:c r="O1354" s="28" t="n">
        <x:v>0</x:v>
      </x:c>
      <x:c r="P1354" s="62" t="n">
        <x:v>0</x:v>
      </x:c>
      <x:c r="Q1354" s="22" t="n">
        <x:v>0</x:v>
      </x:c>
      <x:c r="R1354" s="22" t="str"/>
      <x:c r="S1354" s="22" t="str"/>
      <x:c r="T1354" s="22" t="str"/>
    </x:row>
    <x:row r="1355">
      <x:c r="A1355" s="22" t="str">
        <x:v>2023-00067</x:v>
      </x:c>
      <x:c r="B1355" s="22" t="str">
        <x:v>L2025-00052-1</x:v>
      </x:c>
      <x:c r="C1355" s="22" t="str">
        <x:v>공사</x:v>
      </x:c>
      <x:c r="D1355" s="25" t="str">
        <x:v>코트디부아르 펠릭스 우푸에 부아니대학교 ICT 교육역량 강화 및 ICT 혁신센터 설립사업 PETROCI 건물 리모델링 공사</x:v>
      </x:c>
      <x:c r="E1355" s="22" t="n">
        <x:v>1</x:v>
      </x:c>
      <x:c r="F1355" s="22" t="str">
        <x:v>.pdf</x:v>
      </x:c>
      <x:c r="G1355" s="25" t="str">
        <x:v>L2025-00052-1/(붙임 2) 영문 입찰 계획 서류_KOICA FHBU Construction_정정본/Section 10 - KOICA Bidding Regulations and Guidelines_KOICA FHBU Construction/Regulations for Procurement and Contract in Grant Aid Projects(대외무상협력사업에 관한 조달 및 계약규정)_20190520.pdf</x:v>
      </x:c>
      <x:c r="H1355" s="28" t="n">
        <x:v>157627</x:v>
      </x:c>
      <x:c r="I1355" s="22" t="str">
        <x:v>bcc6062e083bacf0c4b014b08f7566dde8d7c56ad7f791e30c25a04e71aee5ec</x:v>
      </x:c>
      <x:c r="J1355" s="22" t="n">
        <x:v>0</x:v>
      </x:c>
      <x:c r="K1355" s="22" t="n">
        <x:v>0</x:v>
      </x:c>
      <x:c r="L1355" s="22" t="n">
        <x:v>0</x:v>
      </x:c>
      <x:c r="M1355" s="28" t="n">
        <x:v>0</x:v>
      </x:c>
      <x:c r="N1355" s="28" t="n">
        <x:v>0</x:v>
      </x:c>
      <x:c r="O1355" s="28" t="n">
        <x:v>0</x:v>
      </x:c>
      <x:c r="P1355" s="62" t="n">
        <x:v>0</x:v>
      </x:c>
      <x:c r="Q1355" s="22" t="n">
        <x:v>0</x:v>
      </x:c>
      <x:c r="R1355" s="22" t="str"/>
      <x:c r="S1355" s="22" t="str"/>
      <x:c r="T1355" s="22" t="str"/>
    </x:row>
    <x:row r="1356">
      <x:c r="A1356" s="22" t="str">
        <x:v>2023-00067</x:v>
      </x:c>
      <x:c r="B1356" s="22" t="str">
        <x:v>L2025-00052-1</x:v>
      </x:c>
      <x:c r="C1356" s="22" t="str">
        <x:v>공사</x:v>
      </x:c>
      <x:c r="D1356" s="25" t="str">
        <x:v>코트디부아르 펠릭스 우푸에 부아니대학교 ICT 교육역량 강화 및 ICT 혁신센터 설립사업 PETROCI 건물 리모델링 공사</x:v>
      </x:c>
      <x:c r="E1356" s="22" t="n">
        <x:v>1</x:v>
      </x:c>
      <x:c r="F1356" s="22" t="str">
        <x:v>.pdf</x:v>
      </x:c>
      <x:c r="G1356" s="25" t="str">
        <x:v>L2025-00052-1/(붙임 2) 영문 입찰 계획 서류_KOICA FHBU Construction_정정본/Section 10 - KOICA Bidding Regulations and Guidelines_KOICA FHBU Construction/Standards of Qualification Examination for Selection of Constructor(시공사선정적격심사기준)_20140403.pdf</x:v>
      </x:c>
      <x:c r="H1356" s="28" t="n">
        <x:v>315288</x:v>
      </x:c>
      <x:c r="I1356" s="22" t="str">
        <x:v>1b27d92e7041a9d53b17342ea9a7af1277b13521256c1b62f80ef7fc093b79e8</x:v>
      </x:c>
      <x:c r="J1356" s="22" t="n">
        <x:v>0</x:v>
      </x:c>
      <x:c r="K1356" s="22" t="n">
        <x:v>0</x:v>
      </x:c>
      <x:c r="L1356" s="22" t="n">
        <x:v>0</x:v>
      </x:c>
      <x:c r="M1356" s="28" t="n">
        <x:v>0</x:v>
      </x:c>
      <x:c r="N1356" s="28" t="n">
        <x:v>0</x:v>
      </x:c>
      <x:c r="O1356" s="28" t="n">
        <x:v>0</x:v>
      </x:c>
      <x:c r="P1356" s="62" t="n">
        <x:v>0</x:v>
      </x:c>
      <x:c r="Q1356" s="22" t="n">
        <x:v>0</x:v>
      </x:c>
      <x:c r="R1356" s="22" t="str"/>
      <x:c r="S1356" s="22" t="str"/>
      <x:c r="T1356" s="22" t="str"/>
    </x:row>
    <x:row r="1357">
      <x:c r="A1357" s="22" t="str">
        <x:v>2023-00067</x:v>
      </x:c>
      <x:c r="B1357" s="22" t="str">
        <x:v>L2025-00052-1</x:v>
      </x:c>
      <x:c r="C1357" s="22" t="str">
        <x:v>공사</x:v>
      </x:c>
      <x:c r="D1357" s="25" t="str">
        <x:v>코트디부아르 펠릭스 우푸에 부아니대학교 ICT 교육역량 강화 및 ICT 혁신센터 설립사업 PETROCI 건물 리모델링 공사</x:v>
      </x:c>
      <x:c r="E1357" s="22" t="n">
        <x:v>1</x:v>
      </x:c>
      <x:c r="F1357" s="22" t="str">
        <x:v>.pdf</x:v>
      </x:c>
      <x:c r="G1357" s="25" t="str">
        <x:v>L2025-00052-1/(붙임 2) 영문 입찰 계획 서류_KOICA FHBU Construction_정정본/Section 10 - KOICA Bidding Regulations and Guidelines_KOICA FHBU Construction/Detailed Enforcement Rules of the Regulations for Procurement and Contract in Grant Aid Projects(대외무상협력사업에 관한 조달 및 계약규정 시ᄒ.pdf</x:v>
      </x:c>
      <x:c r="H1357" s="28" t="n">
        <x:v>554876</x:v>
      </x:c>
      <x:c r="I1357" s="22" t="str">
        <x:v>23f11f2154d32db6e78fbfdafb1f52aeba37778e2dd3b78a197b4ea4c2d44892</x:v>
      </x:c>
      <x:c r="J1357" s="22" t="n">
        <x:v>0</x:v>
      </x:c>
      <x:c r="K1357" s="22" t="n">
        <x:v>0</x:v>
      </x:c>
      <x:c r="L1357" s="22" t="n">
        <x:v>0</x:v>
      </x:c>
      <x:c r="M1357" s="28" t="n">
        <x:v>0</x:v>
      </x:c>
      <x:c r="N1357" s="28" t="n">
        <x:v>0</x:v>
      </x:c>
      <x:c r="O1357" s="28" t="n">
        <x:v>0</x:v>
      </x:c>
      <x:c r="P1357" s="62" t="n">
        <x:v>0</x:v>
      </x:c>
      <x:c r="Q1357" s="22" t="n">
        <x:v>0</x:v>
      </x:c>
      <x:c r="R1357" s="22" t="str"/>
      <x:c r="S1357" s="22" t="str"/>
      <x:c r="T1357" s="22" t="str"/>
    </x:row>
    <x:row r="1358">
      <x:c r="A1358" s="22" t="str">
        <x:v>2023-00067</x:v>
      </x:c>
      <x:c r="B1358" s="22" t="str">
        <x:v>L2025-00052-1</x:v>
      </x:c>
      <x:c r="C1358" s="22" t="str">
        <x:v>공사</x:v>
      </x:c>
      <x:c r="D1358" s="25" t="str">
        <x:v>코트디부아르 펠릭스 우푸에 부아니대학교 ICT 교육역량 강화 및 ICT 혁신센터 설립사업 PETROCI 건물 리모델링 공사</x:v>
      </x:c>
      <x:c r="E1358" s="22" t="n">
        <x:v>1</x:v>
      </x:c>
      <x:c r="F1358" s="22" t="str">
        <x:v>.pdf</x:v>
      </x:c>
      <x:c r="G1358" s="25" t="str">
        <x:v>L2025-00052-1/(붙임 2) 영문 입찰 계획 서류_KOICA FHBU Construction_정정본/Section 10 - KOICA Bidding Regulations and Guidelines_KOICA FHBU Construction/KOICA Regulations for International Procurement(국제조달규정)_20190304.pdf</x:v>
      </x:c>
      <x:c r="H1358" s="28" t="n">
        <x:v>375625</x:v>
      </x:c>
      <x:c r="I1358" s="22" t="str">
        <x:v>a9706e28e1564ba06a6ac833994e7d323b6b5eba68271f1ce70a46a8bd93a7b8</x:v>
      </x:c>
      <x:c r="J1358" s="22" t="n">
        <x:v>0</x:v>
      </x:c>
      <x:c r="K1358" s="22" t="n">
        <x:v>0</x:v>
      </x:c>
      <x:c r="L1358" s="22" t="n">
        <x:v>0</x:v>
      </x:c>
      <x:c r="M1358" s="28" t="n">
        <x:v>0</x:v>
      </x:c>
      <x:c r="N1358" s="28" t="n">
        <x:v>0</x:v>
      </x:c>
      <x:c r="O1358" s="28" t="n">
        <x:v>0</x:v>
      </x:c>
      <x:c r="P1358" s="62" t="n">
        <x:v>0</x:v>
      </x:c>
      <x:c r="Q1358" s="22" t="n">
        <x:v>0</x:v>
      </x:c>
      <x:c r="R1358" s="22" t="str"/>
      <x:c r="S1358" s="22" t="str"/>
      <x:c r="T1358" s="22" t="str"/>
    </x:row>
    <x:row r="1359">
      <x:c r="A1359" s="22" t="str">
        <x:v>2023-00067</x:v>
      </x:c>
      <x:c r="B1359" s="22" t="str">
        <x:v>L2025-00052-1</x:v>
      </x:c>
      <x:c r="C1359" s="22" t="str">
        <x:v>공사</x:v>
      </x:c>
      <x:c r="D1359" s="25" t="str">
        <x:v>코트디부아르 펠릭스 우푸에 부아니대학교 ICT 교육역량 강화 및 ICT 혁신센터 설립사업 PETROCI 건물 리모델링 공사</x:v>
      </x:c>
      <x:c r="E1359" s="22" t="n">
        <x:v>1</x:v>
      </x:c>
      <x:c r="F1359" s="22" t="str">
        <x:v>.hwp</x:v>
      </x:c>
      <x:c r="G1359" s="25" t="str">
        <x:v>L2025-00052-1/(붙임 2) 영문 입찰 계획 서류_KOICA FHBU Construction_정정본/Section 1 - Instructions to Bidders (ITB)_KOICA FHBU Construction/Section 1 - Instructions to Bidders (ITB).hwp</x:v>
      </x:c>
      <x:c r="H1359" s="28" t="n">
        <x:v>165376</x:v>
      </x:c>
      <x:c r="I1359" s="22" t="str">
        <x:v>dd59696af2cb1582d5746991d9293a8e71f0d6ce1039cf2e19e01b561b897904</x:v>
      </x:c>
      <x:c r="J1359" s="22" t="n">
        <x:v>0</x:v>
      </x:c>
      <x:c r="K1359" s="22" t="n">
        <x:v>0</x:v>
      </x:c>
      <x:c r="L1359" s="22" t="n">
        <x:v>0</x:v>
      </x:c>
      <x:c r="M1359" s="28" t="n">
        <x:v>0</x:v>
      </x:c>
      <x:c r="N1359" s="28" t="n">
        <x:v>0</x:v>
      </x:c>
      <x:c r="O1359" s="28" t="n">
        <x:v>0</x:v>
      </x:c>
      <x:c r="P1359" s="62" t="n">
        <x:v>0</x:v>
      </x:c>
      <x:c r="Q1359" s="22" t="n">
        <x:v>0</x:v>
      </x:c>
      <x:c r="R1359" s="22" t="str"/>
      <x:c r="S1359" s="22" t="str"/>
      <x:c r="T1359" s="22" t="str"/>
    </x:row>
    <x:row r="1360">
      <x:c r="A1360" s="22" t="str">
        <x:v>2023-00067</x:v>
      </x:c>
      <x:c r="B1360" s="22" t="str">
        <x:v>L2025-00052-1</x:v>
      </x:c>
      <x:c r="C1360" s="22" t="str">
        <x:v>공사</x:v>
      </x:c>
      <x:c r="D1360" s="25" t="str">
        <x:v>코트디부아르 펠릭스 우푸에 부아니대학교 ICT 교육역량 강화 및 ICT 혁신센터 설립사업 PETROCI 건물 리모델링 공사</x:v>
      </x:c>
      <x:c r="E1360" s="22" t="n">
        <x:v>1</x:v>
      </x:c>
      <x:c r="F1360" s="22" t="str">
        <x:v>.hwp</x:v>
      </x:c>
      <x:c r="G1360" s="25" t="str">
        <x:v>L2025-00052-1/(붙임 2) 영문 입찰 계획 서류_KOICA FHBU Construction_정정본/Section 1 - Instructions to Bidders (ITB)_KOICA FHBU Construction/Section 1 - 국제입찰유의서 (ITB).hwp</x:v>
      </x:c>
      <x:c r="H1360" s="28" t="n">
        <x:v>164352</x:v>
      </x:c>
      <x:c r="I1360" s="22" t="str">
        <x:v>6db48fb28f52119a8a18e3dae79f95aaf8e50bc2dcdedc99764a0c5e1e2a17f7</x:v>
      </x:c>
      <x:c r="J1360" s="22" t="n">
        <x:v>0</x:v>
      </x:c>
      <x:c r="K1360" s="22" t="n">
        <x:v>0</x:v>
      </x:c>
      <x:c r="L1360" s="22" t="n">
        <x:v>0</x:v>
      </x:c>
      <x:c r="M1360" s="28" t="n">
        <x:v>0</x:v>
      </x:c>
      <x:c r="N1360" s="28" t="n">
        <x:v>0</x:v>
      </x:c>
      <x:c r="O1360" s="28" t="n">
        <x:v>0</x:v>
      </x:c>
      <x:c r="P1360" s="62" t="n">
        <x:v>0</x:v>
      </x:c>
      <x:c r="Q1360" s="22" t="n">
        <x:v>0</x:v>
      </x:c>
      <x:c r="R1360" s="22" t="str"/>
      <x:c r="S1360" s="22" t="str"/>
      <x:c r="T1360" s="22" t="str"/>
    </x:row>
    <x:row r="1361">
      <x:c r="A1361" s="22" t="str">
        <x:v>2023-00067</x:v>
      </x:c>
      <x:c r="B1361" s="22" t="str">
        <x:v>L2025-00052-1</x:v>
      </x:c>
      <x:c r="C1361" s="22" t="str">
        <x:v>공사</x:v>
      </x:c>
      <x:c r="D1361" s="25" t="str">
        <x:v>코트디부아르 펠릭스 우푸에 부아니대학교 ICT 교육역량 강화 및 ICT 혁신센터 설립사업 PETROCI 건물 리모델링 공사</x:v>
      </x:c>
      <x:c r="E1361" s="22" t="n">
        <x:v>1</x:v>
      </x:c>
      <x:c r="F1361" s="22" t="str">
        <x:v>.pdf</x:v>
      </x:c>
      <x:c r="G1361" s="25" t="str">
        <x:v>L2025-00052-1/(붙임 2) 영문 입찰 계획 서류_KOICA FHBU Construction_정정본/Section 1 - Instructions to Bidders (ITB)_KOICA FHBU Construction/Section 1 - Instructions to Bidders (ITB).pdf</x:v>
      </x:c>
      <x:c r="H1361" s="28" t="n">
        <x:v>165225</x:v>
      </x:c>
      <x:c r="I1361" s="22" t="str">
        <x:v>691b98a077b07f2ded55da96b6a6b74440d6c0d010357f2fa9cf5033f65b51c9</x:v>
      </x:c>
      <x:c r="J1361" s="22" t="n">
        <x:v>0</x:v>
      </x:c>
      <x:c r="K1361" s="22" t="n">
        <x:v>0</x:v>
      </x:c>
      <x:c r="L1361" s="22" t="n">
        <x:v>0</x:v>
      </x:c>
      <x:c r="M1361" s="28" t="n">
        <x:v>0</x:v>
      </x:c>
      <x:c r="N1361" s="28" t="n">
        <x:v>0</x:v>
      </x:c>
      <x:c r="O1361" s="28" t="n">
        <x:v>0</x:v>
      </x:c>
      <x:c r="P1361" s="62" t="n">
        <x:v>0</x:v>
      </x:c>
      <x:c r="Q1361" s="22" t="n">
        <x:v>0</x:v>
      </x:c>
      <x:c r="R1361" s="22" t="str"/>
      <x:c r="S1361" s="22" t="str"/>
      <x:c r="T1361" s="22" t="str"/>
    </x:row>
    <x:row r="1362">
      <x:c r="A1362" s="22" t="str">
        <x:v>2023-00067</x:v>
      </x:c>
      <x:c r="B1362" s="22" t="str">
        <x:v>L2025-00052-1</x:v>
      </x:c>
      <x:c r="C1362" s="22" t="str">
        <x:v>공사</x:v>
      </x:c>
      <x:c r="D1362" s="25" t="str">
        <x:v>코트디부아르 펠릭스 우푸에 부아니대학교 ICT 교육역량 강화 및 ICT 혁신센터 설립사업 PETROCI 건물 리모델링 공사</x:v>
      </x:c>
      <x:c r="E1362" s="22" t="n">
        <x:v>1</x:v>
      </x:c>
      <x:c r="F1362" s="22" t="str">
        <x:v>.pdf</x:v>
      </x:c>
      <x:c r="G1362" s="25" t="str">
        <x:v>L2025-00052-1/(붙임 2) 영문 입찰 계획 서류_KOICA FHBU Construction_정정본/Section 8-2 KOICA Safety Management Manual_KOICA FHBU Construction/KOICA Safety Management Manual.pdf</x:v>
      </x:c>
      <x:c r="H1362" s="28" t="n">
        <x:v>378337</x:v>
      </x:c>
      <x:c r="I1362" s="22" t="str">
        <x:v>b60b641c002f2145d45b33a4840f5ee96569c877a3e79aaa8799ea3dff82522f</x:v>
      </x:c>
      <x:c r="J1362" s="22" t="n">
        <x:v>0</x:v>
      </x:c>
      <x:c r="K1362" s="22" t="n">
        <x:v>0</x:v>
      </x:c>
      <x:c r="L1362" s="22" t="n">
        <x:v>0</x:v>
      </x:c>
      <x:c r="M1362" s="28" t="n">
        <x:v>0</x:v>
      </x:c>
      <x:c r="N1362" s="28" t="n">
        <x:v>0</x:v>
      </x:c>
      <x:c r="O1362" s="28" t="n">
        <x:v>0</x:v>
      </x:c>
      <x:c r="P1362" s="62" t="n">
        <x:v>0</x:v>
      </x:c>
      <x:c r="Q1362" s="22" t="n">
        <x:v>0</x:v>
      </x:c>
      <x:c r="R1362" s="22" t="str"/>
      <x:c r="S1362" s="22" t="str"/>
      <x:c r="T1362" s="22" t="str"/>
    </x:row>
    <x:row r="1363">
      <x:c r="A1363" s="22" t="str">
        <x:v>2023-00067</x:v>
      </x:c>
      <x:c r="B1363" s="22" t="str">
        <x:v>L2025-00052-1</x:v>
      </x:c>
      <x:c r="C1363" s="22" t="str">
        <x:v>공사</x:v>
      </x:c>
      <x:c r="D1363" s="25" t="str">
        <x:v>코트디부아르 펠릭스 우푸에 부아니대학교 ICT 교육역량 강화 및 ICT 혁신센터 설립사업 PETROCI 건물 리모델링 공사</x:v>
      </x:c>
      <x:c r="E1363" s="22" t="n">
        <x:v>1</x:v>
      </x:c>
      <x:c r="F1363" s="22" t="str">
        <x:v>.pdf</x:v>
      </x:c>
      <x:c r="G1363" s="25" t="str">
        <x:v>L2025-00052-1/(붙임 2) 영문 입찰 계획 서류_KOICA FHBU Construction_정정본/Section 8-2 KOICA Safety Management Manual_KOICA FHBU Construction/KOICA_건설공사 안전관리업무 매뉴얼(한글).pdf</x:v>
      </x:c>
      <x:c r="H1363" s="28" t="n">
        <x:v>383336</x:v>
      </x:c>
      <x:c r="I1363" s="22" t="str">
        <x:v>c7ee842bf636cea9d925f6d59b1a344c8b965214d7aca1aa90f5114dfe871063</x:v>
      </x:c>
      <x:c r="J1363" s="22" t="n">
        <x:v>0</x:v>
      </x:c>
      <x:c r="K1363" s="22" t="n">
        <x:v>0</x:v>
      </x:c>
      <x:c r="L1363" s="22" t="n">
        <x:v>0</x:v>
      </x:c>
      <x:c r="M1363" s="28" t="n">
        <x:v>0</x:v>
      </x:c>
      <x:c r="N1363" s="28" t="n">
        <x:v>0</x:v>
      </x:c>
      <x:c r="O1363" s="28" t="n">
        <x:v>0</x:v>
      </x:c>
      <x:c r="P1363" s="62" t="n">
        <x:v>0</x:v>
      </x:c>
      <x:c r="Q1363" s="22" t="n">
        <x:v>0</x:v>
      </x:c>
      <x:c r="R1363" s="22" t="str"/>
      <x:c r="S1363" s="22" t="str"/>
      <x:c r="T1363" s="22" t="str"/>
    </x:row>
    <x:row r="1364">
      <x:c r="A1364" s="22" t="str">
        <x:v>2023-00067</x:v>
      </x:c>
      <x:c r="B1364" s="22" t="str">
        <x:v>L2025-00052-1</x:v>
      </x:c>
      <x:c r="C1364" s="22" t="str">
        <x:v>공사</x:v>
      </x:c>
      <x:c r="D1364" s="25" t="str">
        <x:v>코트디부아르 펠릭스 우푸에 부아니대학교 ICT 교육역량 강화 및 ICT 혁신센터 설립사업 PETROCI 건물 리모델링 공사</x:v>
      </x:c>
      <x:c r="E1364" s="22" t="n">
        <x:v>1</x:v>
      </x:c>
      <x:c r="F1364" s="22" t="str">
        <x:v>.docx</x:v>
      </x:c>
      <x:c r="G1364" s="25" t="str">
        <x:v>L2025-00052-1/(붙임 2) 영문 입찰 계획 서류_KOICA FHBU Construction_정정본/Section 9-2 - Pledges_KOICA FHBU Construction/Integrity Pledge (청렴계약서).docx</x:v>
      </x:c>
      <x:c r="H1364" s="28" t="n">
        <x:v>36507</x:v>
      </x:c>
      <x:c r="I1364" s="22" t="str">
        <x:v>bbf88b1bc23c5ed931639e65f36d47df7d7fbdb8447562024b0cf9f04ec6d6b6</x:v>
      </x:c>
      <x:c r="J1364" s="22" t="n">
        <x:v>0</x:v>
      </x:c>
      <x:c r="K1364" s="22" t="n">
        <x:v>0</x:v>
      </x:c>
      <x:c r="L1364" s="22" t="n">
        <x:v>0</x:v>
      </x:c>
      <x:c r="M1364" s="28" t="n">
        <x:v>0</x:v>
      </x:c>
      <x:c r="N1364" s="28" t="n">
        <x:v>0</x:v>
      </x:c>
      <x:c r="O1364" s="28" t="n">
        <x:v>0</x:v>
      </x:c>
      <x:c r="P1364" s="62" t="n">
        <x:v>0</x:v>
      </x:c>
      <x:c r="Q1364" s="22" t="n">
        <x:v>0</x:v>
      </x:c>
      <x:c r="R1364" s="22" t="str"/>
      <x:c r="S1364" s="22" t="str"/>
      <x:c r="T1364" s="22" t="str"/>
    </x:row>
    <x:row r="1365">
      <x:c r="A1365" s="22" t="str">
        <x:v>2023-00067</x:v>
      </x:c>
      <x:c r="B1365" s="22" t="str">
        <x:v>L2025-00052-1</x:v>
      </x:c>
      <x:c r="C1365" s="22" t="str">
        <x:v>공사</x:v>
      </x:c>
      <x:c r="D1365" s="25" t="str">
        <x:v>코트디부아르 펠릭스 우푸에 부아니대학교 ICT 교육역량 강화 및 ICT 혁신센터 설립사업 PETROCI 건물 리모델링 공사</x:v>
      </x:c>
      <x:c r="E1365" s="22" t="n">
        <x:v>1</x:v>
      </x:c>
      <x:c r="F1365" s="22" t="str">
        <x:v>.docx</x:v>
      </x:c>
      <x:c r="G1365" s="25" t="str">
        <x:v>L2025-00052-1/(붙임 2) 영문 입찰 계획 서류_KOICA FHBU Construction_정정본/Section 9-2 - Pledges_KOICA FHBU Construction/Fair Contract Pledge Letter (공정계약 서약서).docx</x:v>
      </x:c>
      <x:c r="H1365" s="28" t="n">
        <x:v>18756</x:v>
      </x:c>
      <x:c r="I1365" s="22" t="str">
        <x:v>379cc784a159e5c15ba0045a32dd793d03827ad46a1e4a966b9810ad99102277</x:v>
      </x:c>
      <x:c r="J1365" s="22" t="n">
        <x:v>0</x:v>
      </x:c>
      <x:c r="K1365" s="22" t="n">
        <x:v>0</x:v>
      </x:c>
      <x:c r="L1365" s="22" t="n">
        <x:v>0</x:v>
      </x:c>
      <x:c r="M1365" s="28" t="n">
        <x:v>0</x:v>
      </x:c>
      <x:c r="N1365" s="28" t="n">
        <x:v>0</x:v>
      </x:c>
      <x:c r="O1365" s="28" t="n">
        <x:v>0</x:v>
      </x:c>
      <x:c r="P1365" s="62" t="n">
        <x:v>0</x:v>
      </x:c>
      <x:c r="Q1365" s="22" t="n">
        <x:v>0</x:v>
      </x:c>
      <x:c r="R1365" s="22" t="str"/>
      <x:c r="S1365" s="22" t="str"/>
      <x:c r="T1365" s="22" t="str"/>
    </x:row>
    <x:row r="1366">
      <x:c r="A1366" s="22" t="str">
        <x:v>2023-00067</x:v>
      </x:c>
      <x:c r="B1366" s="22" t="str">
        <x:v>L2025-00052-1</x:v>
      </x:c>
      <x:c r="C1366" s="22" t="str">
        <x:v>공사</x:v>
      </x:c>
      <x:c r="D1366" s="25" t="str">
        <x:v>코트디부아르 펠릭스 우푸에 부아니대학교 ICT 교육역량 강화 및 ICT 혁신센터 설립사업 PETROCI 건물 리모델링 공사</x:v>
      </x:c>
      <x:c r="E1366" s="22" t="n">
        <x:v>1</x:v>
      </x:c>
      <x:c r="F1366" s="22" t="str">
        <x:v>.docx</x:v>
      </x:c>
      <x:c r="G1366" s="25" t="str">
        <x:v>L2025-00052-1/(붙임 2) 영문 입찰 계획 서류_KOICA FHBU Construction_정정본/Section 9-2 - Pledges_KOICA FHBU Construction/Declaration of Anti_Corruption (반부패 선언서).docx</x:v>
      </x:c>
      <x:c r="H1366" s="28" t="n">
        <x:v>23026</x:v>
      </x:c>
      <x:c r="I1366" s="22" t="str">
        <x:v>81e22a438491f4d1b5a12be15e95b5278073d1be929b00b0cd4fe23da8b9d496</x:v>
      </x:c>
      <x:c r="J1366" s="22" t="n">
        <x:v>0</x:v>
      </x:c>
      <x:c r="K1366" s="22" t="n">
        <x:v>0</x:v>
      </x:c>
      <x:c r="L1366" s="22" t="n">
        <x:v>0</x:v>
      </x:c>
      <x:c r="M1366" s="28" t="n">
        <x:v>0</x:v>
      </x:c>
      <x:c r="N1366" s="28" t="n">
        <x:v>0</x:v>
      </x:c>
      <x:c r="O1366" s="28" t="n">
        <x:v>0</x:v>
      </x:c>
      <x:c r="P1366" s="62" t="n">
        <x:v>0</x:v>
      </x:c>
      <x:c r="Q1366" s="22" t="n">
        <x:v>0</x:v>
      </x:c>
      <x:c r="R1366" s="22" t="str"/>
      <x:c r="S1366" s="22" t="str"/>
      <x:c r="T1366" s="22" t="str"/>
    </x:row>
    <x:row r="1367">
      <x:c r="A1367" s="22" t="str">
        <x:v>2023-00030</x:v>
      </x:c>
      <x:c r="B1367" s="22" t="str">
        <x:v>L2024-00041-1</x:v>
      </x:c>
      <x:c r="C1367" s="22" t="str">
        <x:v>용역</x:v>
      </x:c>
      <x:c r="D1367" s="25" t="str">
        <x:v>키르기즈공화국 가축 품종개량 및 인공수정인력 역량강화사업 연수센터 신축, 바이오센터 리모델링 설계 및 저작권감리용역</x:v>
      </x:c>
      <x:c r="E1367" s="22" t="n">
        <x:v>0</x:v>
      </x:c>
      <x:c r="F1367" s="22" t="str">
        <x:v>.doc</x:v>
      </x:c>
      <x:c r="G1367" s="25" t="str">
        <x:v>L2024-00041-1/Section 4 - Request for Proposal (RFP)_v2_0603.doc</x:v>
      </x:c>
      <x:c r="H1367" s="28" t="n">
        <x:v>248832</x:v>
      </x:c>
      <x:c r="I1367" s="22" t="str">
        <x:v>d307e5e9d82090e65480d1557119b9c1d0520c9ffb435d26e1c7b57b161d925c</x:v>
      </x:c>
      <x:c r="J1367" s="22" t="n">
        <x:v>0</x:v>
      </x:c>
      <x:c r="K1367" s="22" t="n">
        <x:v>0</x:v>
      </x:c>
      <x:c r="L1367" s="22" t="n">
        <x:v>0</x:v>
      </x:c>
      <x:c r="M1367" s="28" t="n">
        <x:v>0</x:v>
      </x:c>
      <x:c r="N1367" s="28" t="n">
        <x:v>0</x:v>
      </x:c>
      <x:c r="O1367" s="28" t="n">
        <x:v>0</x:v>
      </x:c>
      <x:c r="P1367" s="62" t="n">
        <x:v>0</x:v>
      </x:c>
      <x:c r="Q1367" s="22" t="n">
        <x:v>0</x:v>
      </x:c>
      <x:c r="R1367" s="22" t="str"/>
      <x:c r="S1367" s="22" t="str"/>
      <x:c r="T1367" s="22" t="str"/>
    </x:row>
    <x:row r="1368">
      <x:c r="A1368" s="22" t="str">
        <x:v>2023-00030</x:v>
      </x:c>
      <x:c r="B1368" s="22" t="str">
        <x:v>L2024-00041-1</x:v>
      </x:c>
      <x:c r="C1368" s="22" t="str">
        <x:v>용역</x:v>
      </x:c>
      <x:c r="D1368" s="25" t="str">
        <x:v>키르기즈공화국 가축 품종개량 및 인공수정인력 역량강화사업 연수센터 신축, 바이오센터 리모델링 설계 및 저작권감리용역</x:v>
      </x:c>
      <x:c r="E1368" s="22" t="n">
        <x:v>0</x:v>
      </x:c>
      <x:c r="F1368" s="22" t="str">
        <x:v>.docx</x:v>
      </x:c>
      <x:c r="G1368" s="25" t="str">
        <x:v>L2024-00041-1/Section 9 - Contract Forms_v1_0603.docx</x:v>
      </x:c>
      <x:c r="H1368" s="28" t="n">
        <x:v>22992</x:v>
      </x:c>
      <x:c r="I1368" s="22" t="str">
        <x:v>aae21e0364d411b003ec863f9587fb5bd419cae961c5c76762dcf0190ad3ff86</x:v>
      </x:c>
      <x:c r="J1368" s="22" t="n">
        <x:v>0</x:v>
      </x:c>
      <x:c r="K1368" s="22" t="n">
        <x:v>0</x:v>
      </x:c>
      <x:c r="L1368" s="22" t="n">
        <x:v>0</x:v>
      </x:c>
      <x:c r="M1368" s="28" t="n">
        <x:v>0</x:v>
      </x:c>
      <x:c r="N1368" s="28" t="n">
        <x:v>0</x:v>
      </x:c>
      <x:c r="O1368" s="28" t="n">
        <x:v>0</x:v>
      </x:c>
      <x:c r="P1368" s="62" t="n">
        <x:v>0</x:v>
      </x:c>
      <x:c r="Q1368" s="22" t="n">
        <x:v>0</x:v>
      </x:c>
      <x:c r="R1368" s="22" t="str"/>
      <x:c r="S1368" s="22" t="str"/>
      <x:c r="T1368" s="22" t="str"/>
    </x:row>
    <x:row r="1369">
      <x:c r="A1369" s="22" t="str">
        <x:v>2023-00030</x:v>
      </x:c>
      <x:c r="B1369" s="22" t="str">
        <x:v>L2024-00041-1</x:v>
      </x:c>
      <x:c r="C1369" s="22" t="str">
        <x:v>용역</x:v>
      </x:c>
      <x:c r="D1369" s="25" t="str">
        <x:v>키르기즈공화국 가축 품종개량 및 인공수정인력 역량강화사업 연수센터 신축, 바이오센터 리모델링 설계 및 저작권감리용역</x:v>
      </x:c>
      <x:c r="E1369" s="22" t="n">
        <x:v>0</x:v>
      </x:c>
      <x:c r="F1369" s="22" t="str">
        <x:v>.zip</x:v>
      </x:c>
      <x:c r="G1369" s="25" t="str">
        <x:v>L2024-00041-1/Section 9 - Pledges_v1_0603.zip</x:v>
      </x:c>
      <x:c r="H1369" s="28" t="n">
        <x:v>85586</x:v>
      </x:c>
      <x:c r="I1369" s="22" t="str">
        <x:v>ace77f0c472bac41b05b3348d76f2fece600d55060d9bc370047c00e36f9a7da</x:v>
      </x:c>
      <x:c r="J1369" s="22" t="n">
        <x:v>0</x:v>
      </x:c>
      <x:c r="K1369" s="22" t="n">
        <x:v>0</x:v>
      </x:c>
      <x:c r="L1369" s="22" t="n">
        <x:v>0</x:v>
      </x:c>
      <x:c r="M1369" s="28" t="n">
        <x:v>0</x:v>
      </x:c>
      <x:c r="N1369" s="28" t="n">
        <x:v>0</x:v>
      </x:c>
      <x:c r="O1369" s="28" t="n">
        <x:v>0</x:v>
      </x:c>
      <x:c r="P1369" s="62" t="n">
        <x:v>0</x:v>
      </x:c>
      <x:c r="Q1369" s="22" t="n">
        <x:v>0</x:v>
      </x:c>
      <x:c r="R1369" s="22" t="str"/>
      <x:c r="S1369" s="22" t="str"/>
      <x:c r="T1369" s="22" t="str"/>
    </x:row>
    <x:row r="1370">
      <x:c r="A1370" s="22" t="str">
        <x:v>2023-00030</x:v>
      </x:c>
      <x:c r="B1370" s="22" t="str">
        <x:v>L2024-00041-1</x:v>
      </x:c>
      <x:c r="C1370" s="22" t="str">
        <x:v>용역</x:v>
      </x:c>
      <x:c r="D1370" s="25" t="str">
        <x:v>키르기즈공화국 가축 품종개량 및 인공수정인력 역량강화사업 연수센터 신축, 바이오센터 리모델링 설계 및 저작권감리용역</x:v>
      </x:c>
      <x:c r="E1370" s="22" t="n">
        <x:v>0</x:v>
      </x:c>
      <x:c r="F1370" s="22" t="str">
        <x:v>.docx</x:v>
      </x:c>
      <x:c r="G1370" s="25" t="str">
        <x:v>L2024-00041-1/Section 2 - Bid Data Sheet (BDS)_v5_0604.docx</x:v>
      </x:c>
      <x:c r="H1370" s="28" t="n">
        <x:v>92592</x:v>
      </x:c>
      <x:c r="I1370" s="22" t="str">
        <x:v>6e8fe9124df7ae11760efa0959d72fd2f692aba86d73c9a5580e2d3cd4d33c4b</x:v>
      </x:c>
      <x:c r="J1370" s="22" t="n">
        <x:v>0</x:v>
      </x:c>
      <x:c r="K1370" s="22" t="n">
        <x:v>0</x:v>
      </x:c>
      <x:c r="L1370" s="22" t="n">
        <x:v>0</x:v>
      </x:c>
      <x:c r="M1370" s="28" t="n">
        <x:v>0</x:v>
      </x:c>
      <x:c r="N1370" s="28" t="n">
        <x:v>0</x:v>
      </x:c>
      <x:c r="O1370" s="28" t="n">
        <x:v>0</x:v>
      </x:c>
      <x:c r="P1370" s="62" t="n">
        <x:v>0</x:v>
      </x:c>
      <x:c r="Q1370" s="22" t="n">
        <x:v>0</x:v>
      </x:c>
      <x:c r="R1370" s="22" t="str"/>
      <x:c r="S1370" s="22" t="str"/>
      <x:c r="T1370" s="22" t="str"/>
    </x:row>
    <x:row r="1371">
      <x:c r="A1371" s="22" t="str">
        <x:v>2023-00030</x:v>
      </x:c>
      <x:c r="B1371" s="22" t="str">
        <x:v>L2024-00041-1</x:v>
      </x:c>
      <x:c r="C1371" s="22" t="str">
        <x:v>용역</x:v>
      </x:c>
      <x:c r="D1371" s="25" t="str">
        <x:v>키르기즈공화국 가축 품종개량 및 인공수정인력 역량강화사업 연수센터 신축, 바이오센터 리모델링 설계 및 저작권감리용역</x:v>
      </x:c>
      <x:c r="E1371" s="22" t="n">
        <x:v>0</x:v>
      </x:c>
      <x:c r="F1371" s="22" t="str">
        <x:v>.docx</x:v>
      </x:c>
      <x:c r="G1371" s="25" t="str">
        <x:v>L2024-00041-1/Section 5 - Scope of the Services (ToR)_v2_0603.docx</x:v>
      </x:c>
      <x:c r="H1371" s="28" t="n">
        <x:v>32824</x:v>
      </x:c>
      <x:c r="I1371" s="22" t="str">
        <x:v>0c81b7dc4c7ead16d87c037417dd3324b7caab65662ff8443755082fffcbbe4f</x:v>
      </x:c>
      <x:c r="J1371" s="22" t="n">
        <x:v>0</x:v>
      </x:c>
      <x:c r="K1371" s="22" t="n">
        <x:v>0</x:v>
      </x:c>
      <x:c r="L1371" s="22" t="n">
        <x:v>0</x:v>
      </x:c>
      <x:c r="M1371" s="28" t="n">
        <x:v>0</x:v>
      </x:c>
      <x:c r="N1371" s="28" t="n">
        <x:v>0</x:v>
      </x:c>
      <x:c r="O1371" s="28" t="n">
        <x:v>0</x:v>
      </x:c>
      <x:c r="P1371" s="62" t="n">
        <x:v>0</x:v>
      </x:c>
      <x:c r="Q1371" s="22" t="n">
        <x:v>0</x:v>
      </x:c>
      <x:c r="R1371" s="22" t="str"/>
      <x:c r="S1371" s="22" t="str"/>
      <x:c r="T1371" s="22" t="str"/>
    </x:row>
    <x:row r="1372">
      <x:c r="A1372" s="22" t="str">
        <x:v>2023-00030</x:v>
      </x:c>
      <x:c r="B1372" s="22" t="str">
        <x:v>L2024-00041-1</x:v>
      </x:c>
      <x:c r="C1372" s="22" t="str">
        <x:v>용역</x:v>
      </x:c>
      <x:c r="D1372" s="25" t="str">
        <x:v>키르기즈공화국 가축 품종개량 및 인공수정인력 역량강화사업 연수센터 신축, 바이오센터 리모델링 설계 및 저작권감리용역</x:v>
      </x:c>
      <x:c r="E1372" s="22" t="n">
        <x:v>0</x:v>
      </x:c>
      <x:c r="F1372" s="22" t="str">
        <x:v>.docx</x:v>
      </x:c>
      <x:c r="G1372" s="25" t="str">
        <x:v>L2024-00041-1/Summary of Bidding (요약본)_v1_0517.docx</x:v>
      </x:c>
      <x:c r="H1372" s="28" t="n">
        <x:v>36225</x:v>
      </x:c>
      <x:c r="I1372" s="22" t="str">
        <x:v>234babd497e6c4995d99de620d4a4e5f5ff6d0cb966bc6f6d3669af4e89de0df</x:v>
      </x:c>
      <x:c r="J1372" s="22" t="n">
        <x:v>0</x:v>
      </x:c>
      <x:c r="K1372" s="22" t="n">
        <x:v>0</x:v>
      </x:c>
      <x:c r="L1372" s="22" t="n">
        <x:v>0</x:v>
      </x:c>
      <x:c r="M1372" s="28" t="n">
        <x:v>0</x:v>
      </x:c>
      <x:c r="N1372" s="28" t="n">
        <x:v>0</x:v>
      </x:c>
      <x:c r="O1372" s="28" t="n">
        <x:v>0</x:v>
      </x:c>
      <x:c r="P1372" s="62" t="n">
        <x:v>0</x:v>
      </x:c>
      <x:c r="Q1372" s="22" t="n">
        <x:v>0</x:v>
      </x:c>
      <x:c r="R1372" s="22" t="str"/>
      <x:c r="S1372" s="22" t="str"/>
      <x:c r="T1372" s="22" t="str"/>
    </x:row>
    <x:row r="1373">
      <x:c r="A1373" s="22" t="str">
        <x:v>2023-00030</x:v>
      </x:c>
      <x:c r="B1373" s="22" t="str">
        <x:v>L2024-00041-1</x:v>
      </x:c>
      <x:c r="C1373" s="22" t="str">
        <x:v>용역</x:v>
      </x:c>
      <x:c r="D1373" s="25" t="str">
        <x:v>키르기즈공화국 가축 품종개량 및 인공수정인력 역량강화사업 연수센터 신축, 바이오센터 리모델링 설계 및 저작권감리용역</x:v>
      </x:c>
      <x:c r="E1373" s="22" t="n">
        <x:v>0</x:v>
      </x:c>
      <x:c r="F1373" s="22" t="str">
        <x:v>.pdf</x:v>
      </x:c>
      <x:c r="G1373" s="25" t="str">
        <x:v>L2024-00041-1/Section 6 - Reference Material (Construction scope &amp; space program)_v1_0603.pdf</x:v>
      </x:c>
      <x:c r="H1373" s="28" t="n">
        <x:v>348018</x:v>
      </x:c>
      <x:c r="I1373" s="22" t="str">
        <x:v>e2c557b0de75b49b96977bf8fa8c1ec2ca672603d4d8d7cf265f4d5cba40d8e5</x:v>
      </x:c>
      <x:c r="J1373" s="22" t="n">
        <x:v>0</x:v>
      </x:c>
      <x:c r="K1373" s="22" t="n">
        <x:v>0</x:v>
      </x:c>
      <x:c r="L1373" s="22" t="n">
        <x:v>0</x:v>
      </x:c>
      <x:c r="M1373" s="28" t="n">
        <x:v>0</x:v>
      </x:c>
      <x:c r="N1373" s="28" t="n">
        <x:v>0</x:v>
      </x:c>
      <x:c r="O1373" s="28" t="n">
        <x:v>0</x:v>
      </x:c>
      <x:c r="P1373" s="62" t="n">
        <x:v>0</x:v>
      </x:c>
      <x:c r="Q1373" s="22" t="n">
        <x:v>0</x:v>
      </x:c>
      <x:c r="R1373" s="22" t="str"/>
      <x:c r="S1373" s="22" t="str"/>
      <x:c r="T1373" s="22" t="str"/>
    </x:row>
    <x:row r="1374">
      <x:c r="A1374" s="22" t="str">
        <x:v>2023-00030</x:v>
      </x:c>
      <x:c r="B1374" s="22" t="str">
        <x:v>L2024-00041-1</x:v>
      </x:c>
      <x:c r="C1374" s="22" t="str">
        <x:v>용역</x:v>
      </x:c>
      <x:c r="D1374" s="25" t="str">
        <x:v>키르기즈공화국 가축 품종개량 및 인공수정인력 역량강화사업 연수센터 신축, 바이오센터 리모델링 설계 및 저작권감리용역</x:v>
      </x:c>
      <x:c r="E1374" s="22" t="n">
        <x:v>0</x:v>
      </x:c>
      <x:c r="F1374" s="22" t="str">
        <x:v>.docx</x:v>
      </x:c>
      <x:c r="G1374" s="25" t="str">
        <x:v>L2024-00041-1/Section 8 - Special Conditions of Contract_v1_0603.docx</x:v>
      </x:c>
      <x:c r="H1374" s="28" t="n">
        <x:v>32626</x:v>
      </x:c>
      <x:c r="I1374" s="22" t="str">
        <x:v>b7d045c57a1f120411285df30922afe96fa81d399988de5dbbf6ee1429c31a2d</x:v>
      </x:c>
      <x:c r="J1374" s="22" t="n">
        <x:v>0</x:v>
      </x:c>
      <x:c r="K1374" s="22" t="n">
        <x:v>0</x:v>
      </x:c>
      <x:c r="L1374" s="22" t="n">
        <x:v>0</x:v>
      </x:c>
      <x:c r="M1374" s="28" t="n">
        <x:v>0</x:v>
      </x:c>
      <x:c r="N1374" s="28" t="n">
        <x:v>0</x:v>
      </x:c>
      <x:c r="O1374" s="28" t="n">
        <x:v>0</x:v>
      </x:c>
      <x:c r="P1374" s="62" t="n">
        <x:v>0</x:v>
      </x:c>
      <x:c r="Q1374" s="22" t="n">
        <x:v>0</x:v>
      </x:c>
      <x:c r="R1374" s="22" t="str"/>
      <x:c r="S1374" s="22" t="str"/>
      <x:c r="T1374" s="22" t="str"/>
    </x:row>
    <x:row r="1375">
      <x:c r="A1375" s="22" t="str">
        <x:v>2023-00030</x:v>
      </x:c>
      <x:c r="B1375" s="22" t="str">
        <x:v>L2024-00041-1</x:v>
      </x:c>
      <x:c r="C1375" s="22" t="str">
        <x:v>용역</x:v>
      </x:c>
      <x:c r="D1375" s="25" t="str">
        <x:v>키르기즈공화국 가축 품종개량 및 인공수정인력 역량강화사업 연수센터 신축, 바이오센터 리모델링 설계 및 저작권감리용역</x:v>
      </x:c>
      <x:c r="E1375" s="22" t="n">
        <x:v>0</x:v>
      </x:c>
      <x:c r="F1375" s="22" t="str">
        <x:v>.docx</x:v>
      </x:c>
      <x:c r="G1375" s="25" t="str">
        <x:v>L2024-00041-1/Summary of Bidding (요약본)_v2_0603.docx</x:v>
      </x:c>
      <x:c r="H1375" s="28" t="n">
        <x:v>33757</x:v>
      </x:c>
      <x:c r="I1375" s="22" t="str">
        <x:v>0b1506aefe4ebdcd5835e3dd672c395e90b6116f3f766777442af7e51f32cc75</x:v>
      </x:c>
      <x:c r="J1375" s="22" t="n">
        <x:v>0</x:v>
      </x:c>
      <x:c r="K1375" s="22" t="n">
        <x:v>0</x:v>
      </x:c>
      <x:c r="L1375" s="22" t="n">
        <x:v>0</x:v>
      </x:c>
      <x:c r="M1375" s="28" t="n">
        <x:v>0</x:v>
      </x:c>
      <x:c r="N1375" s="28" t="n">
        <x:v>0</x:v>
      </x:c>
      <x:c r="O1375" s="28" t="n">
        <x:v>0</x:v>
      </x:c>
      <x:c r="P1375" s="62" t="n">
        <x:v>0</x:v>
      </x:c>
      <x:c r="Q1375" s="22" t="n">
        <x:v>0</x:v>
      </x:c>
      <x:c r="R1375" s="22" t="str"/>
      <x:c r="S1375" s="22" t="str"/>
      <x:c r="T1375" s="22" t="str"/>
    </x:row>
    <x:row r="1376">
      <x:c r="A1376" s="22" t="str">
        <x:v>2023-00030</x:v>
      </x:c>
      <x:c r="B1376" s="22" t="str">
        <x:v>L2024-00041-1</x:v>
      </x:c>
      <x:c r="C1376" s="22" t="str">
        <x:v>용역</x:v>
      </x:c>
      <x:c r="D1376" s="25" t="str">
        <x:v>키르기즈공화국 가축 품종개량 및 인공수정인력 역량강화사업 연수센터 신축, 바이오센터 리모델링 설계 및 저작권감리용역</x:v>
      </x:c>
      <x:c r="E1376" s="22" t="n">
        <x:v>0</x:v>
      </x:c>
      <x:c r="F1376" s="22" t="str">
        <x:v>.hwp</x:v>
      </x:c>
      <x:c r="G1376" s="25" t="str">
        <x:v>L2024-00041-1/붙임_키르기스_가축품종개량_설계업체선정_현지입찰추진계획안_BDS_v11_0805.hwp</x:v>
      </x:c>
      <x:c r="H1376" s="28" t="n">
        <x:v>87552</x:v>
      </x:c>
      <x:c r="I1376" s="22" t="str">
        <x:v>2650c9a13362ac776c2f48c6f84dd211806b445586266696f4676677f5ac9ddb</x:v>
      </x:c>
      <x:c r="J1376" s="22" t="n">
        <x:v>0</x:v>
      </x:c>
      <x:c r="K1376" s="22" t="n">
        <x:v>0</x:v>
      </x:c>
      <x:c r="L1376" s="22" t="n">
        <x:v>0</x:v>
      </x:c>
      <x:c r="M1376" s="28" t="n">
        <x:v>0</x:v>
      </x:c>
      <x:c r="N1376" s="28" t="n">
        <x:v>0</x:v>
      </x:c>
      <x:c r="O1376" s="28" t="n">
        <x:v>0</x:v>
      </x:c>
      <x:c r="P1376" s="62" t="n">
        <x:v>0</x:v>
      </x:c>
      <x:c r="Q1376" s="22" t="n">
        <x:v>0</x:v>
      </x:c>
      <x:c r="R1376" s="22" t="str"/>
      <x:c r="S1376" s="22" t="str"/>
      <x:c r="T1376" s="22" t="str"/>
    </x:row>
    <x:row r="1377">
      <x:c r="A1377" s="22" t="str">
        <x:v>2023-00030</x:v>
      </x:c>
      <x:c r="B1377" s="22" t="str">
        <x:v>L2024-00041-1</x:v>
      </x:c>
      <x:c r="C1377" s="22" t="str">
        <x:v>용역</x:v>
      </x:c>
      <x:c r="D1377" s="25" t="str">
        <x:v>키르기즈공화국 가축 품종개량 및 인공수정인력 역량강화사업 연수센터 신축, 바이오센터 리모델링 설계 및 저작권감리용역</x:v>
      </x:c>
      <x:c r="E1377" s="22" t="n">
        <x:v>0</x:v>
      </x:c>
      <x:c r="F1377" s="22" t="str">
        <x:v>.docx</x:v>
      </x:c>
      <x:c r="G1377" s="25" t="str">
        <x:v>L2024-00041-1/Section 7 - General Conditions of Contract_v1_0603.docx</x:v>
      </x:c>
      <x:c r="H1377" s="28" t="n">
        <x:v>34911</x:v>
      </x:c>
      <x:c r="I1377" s="22" t="str">
        <x:v>83d7fcabe51ad328fb7329da081d4f921110e5e42367cc1598173d635bbc979e</x:v>
      </x:c>
      <x:c r="J1377" s="22" t="n">
        <x:v>0</x:v>
      </x:c>
      <x:c r="K1377" s="22" t="n">
        <x:v>0</x:v>
      </x:c>
      <x:c r="L1377" s="22" t="n">
        <x:v>0</x:v>
      </x:c>
      <x:c r="M1377" s="28" t="n">
        <x:v>0</x:v>
      </x:c>
      <x:c r="N1377" s="28" t="n">
        <x:v>0</x:v>
      </x:c>
      <x:c r="O1377" s="28" t="n">
        <x:v>0</x:v>
      </x:c>
      <x:c r="P1377" s="62" t="n">
        <x:v>0</x:v>
      </x:c>
      <x:c r="Q1377" s="22" t="n">
        <x:v>0</x:v>
      </x:c>
      <x:c r="R1377" s="22" t="str"/>
      <x:c r="S1377" s="22" t="str"/>
      <x:c r="T1377" s="22" t="str"/>
    </x:row>
    <x:row r="1378">
      <x:c r="A1378" s="22" t="str">
        <x:v>2023-00030</x:v>
      </x:c>
      <x:c r="B1378" s="22" t="str">
        <x:v>L2024-00041-1</x:v>
      </x:c>
      <x:c r="C1378" s="22" t="str">
        <x:v>용역</x:v>
      </x:c>
      <x:c r="D1378" s="25" t="str">
        <x:v>키르기즈공화국 가축 품종개량 및 인공수정인력 역량강화사업 연수센터 신축, 바이오센터 리모델링 설계 및 저작권감리용역</x:v>
      </x:c>
      <x:c r="E1378" s="22" t="n">
        <x:v>0</x:v>
      </x:c>
      <x:c r="F1378" s="22" t="str">
        <x:v>.zip</x:v>
      </x:c>
      <x:c r="G1378" s="25" t="str">
        <x:v>L2024-00041-1/Section 1 - Instructions to Bidders (ITB)_v1_0603.zip</x:v>
      </x:c>
      <x:c r="H1378" s="28" t="n">
        <x:v>216319</x:v>
      </x:c>
      <x:c r="I1378" s="22" t="str">
        <x:v>11233da5e359ce592212699f6c499fb76b51eb57314e320bc488eddaa0c5dfe9</x:v>
      </x:c>
      <x:c r="J1378" s="22" t="n">
        <x:v>0</x:v>
      </x:c>
      <x:c r="K1378" s="22" t="n">
        <x:v>0</x:v>
      </x:c>
      <x:c r="L1378" s="22" t="n">
        <x:v>0</x:v>
      </x:c>
      <x:c r="M1378" s="28" t="n">
        <x:v>0</x:v>
      </x:c>
      <x:c r="N1378" s="28" t="n">
        <x:v>0</x:v>
      </x:c>
      <x:c r="O1378" s="28" t="n">
        <x:v>0</x:v>
      </x:c>
      <x:c r="P1378" s="62" t="n">
        <x:v>0</x:v>
      </x:c>
      <x:c r="Q1378" s="22" t="n">
        <x:v>0</x:v>
      </x:c>
      <x:c r="R1378" s="22" t="str"/>
      <x:c r="S1378" s="22" t="str"/>
      <x:c r="T1378" s="22" t="str"/>
    </x:row>
    <x:row r="1379">
      <x:c r="A1379" s="22" t="str">
        <x:v>2023-00030</x:v>
      </x:c>
      <x:c r="B1379" s="22" t="str">
        <x:v>L2024-00041-1</x:v>
      </x:c>
      <x:c r="C1379" s="22" t="str">
        <x:v>용역</x:v>
      </x:c>
      <x:c r="D1379" s="25" t="str">
        <x:v>키르기즈공화국 가축 품종개량 및 인공수정인력 역량강화사업 연수센터 신축, 바이오센터 리모델링 설계 및 저작권감리용역</x:v>
      </x:c>
      <x:c r="E1379" s="22" t="n">
        <x:v>0</x:v>
      </x:c>
      <x:c r="F1379" s="22" t="str">
        <x:v>.docx</x:v>
      </x:c>
      <x:c r="G1379" s="25" t="str">
        <x:v>L2024-00041-1/Section 3 - Bidding Forms_v2_0603.docx</x:v>
      </x:c>
      <x:c r="H1379" s="28" t="n">
        <x:v>60170</x:v>
      </x:c>
      <x:c r="I1379" s="22" t="str">
        <x:v>af78166fc8656f60cd1420e578f70d322290bda457113e999ae837aeba7cfff6</x:v>
      </x:c>
      <x:c r="J1379" s="22" t="n">
        <x:v>0</x:v>
      </x:c>
      <x:c r="K1379" s="22" t="n">
        <x:v>0</x:v>
      </x:c>
      <x:c r="L1379" s="22" t="n">
        <x:v>0</x:v>
      </x:c>
      <x:c r="M1379" s="28" t="n">
        <x:v>0</x:v>
      </x:c>
      <x:c r="N1379" s="28" t="n">
        <x:v>0</x:v>
      </x:c>
      <x:c r="O1379" s="28" t="n">
        <x:v>0</x:v>
      </x:c>
      <x:c r="P1379" s="62" t="n">
        <x:v>0</x:v>
      </x:c>
      <x:c r="Q1379" s="22" t="n">
        <x:v>0</x:v>
      </x:c>
      <x:c r="R1379" s="22" t="str"/>
      <x:c r="S1379" s="22" t="str"/>
      <x:c r="T1379" s="22" t="str"/>
    </x:row>
    <x:row r="1380">
      <x:c r="A1380" s="22" t="str">
        <x:v>2023-00030</x:v>
      </x:c>
      <x:c r="B1380" s="22" t="str">
        <x:v>L2024-00041-1</x:v>
      </x:c>
      <x:c r="C1380" s="22" t="str">
        <x:v>용역</x:v>
      </x:c>
      <x:c r="D1380" s="25" t="str">
        <x:v>키르기즈공화국 가축 품종개량 및 인공수정인력 역량강화사업 연수센터 신축, 바이오센터 리모델링 설계 및 저작권감리용역</x:v>
      </x:c>
      <x:c r="E1380" s="22" t="n">
        <x:v>0</x:v>
      </x:c>
      <x:c r="F1380" s="22" t="str">
        <x:v>.docx</x:v>
      </x:c>
      <x:c r="G1380" s="25" t="str">
        <x:v>L2024-00041-1/Section 9 - Pledges_v1_0603/Declaration of Anti_Corruption (╣▌║╬╞╨ ╝▒╛≡╝¡).docx</x:v>
      </x:c>
      <x:c r="H1380" s="28" t="n">
        <x:v>23026</x:v>
      </x:c>
      <x:c r="I1380" s="22" t="str">
        <x:v>81e22a438491f4d1b5a12be15e95b5278073d1be929b00b0cd4fe23da8b9d496</x:v>
      </x:c>
      <x:c r="J1380" s="22" t="n">
        <x:v>0</x:v>
      </x:c>
      <x:c r="K1380" s="22" t="n">
        <x:v>0</x:v>
      </x:c>
      <x:c r="L1380" s="22" t="n">
        <x:v>0</x:v>
      </x:c>
      <x:c r="M1380" s="28" t="n">
        <x:v>0</x:v>
      </x:c>
      <x:c r="N1380" s="28" t="n">
        <x:v>0</x:v>
      </x:c>
      <x:c r="O1380" s="28" t="n">
        <x:v>0</x:v>
      </x:c>
      <x:c r="P1380" s="62" t="n">
        <x:v>0</x:v>
      </x:c>
      <x:c r="Q1380" s="22" t="n">
        <x:v>0</x:v>
      </x:c>
      <x:c r="R1380" s="22" t="str"/>
      <x:c r="S1380" s="22" t="str"/>
      <x:c r="T1380" s="22" t="str"/>
    </x:row>
    <x:row r="1381">
      <x:c r="A1381" s="22" t="str">
        <x:v>2023-00030</x:v>
      </x:c>
      <x:c r="B1381" s="22" t="str">
        <x:v>L2024-00041-1</x:v>
      </x:c>
      <x:c r="C1381" s="22" t="str">
        <x:v>용역</x:v>
      </x:c>
      <x:c r="D1381" s="25" t="str">
        <x:v>키르기즈공화국 가축 품종개량 및 인공수정인력 역량강화사업 연수센터 신축, 바이오센터 리모델링 설계 및 저작권감리용역</x:v>
      </x:c>
      <x:c r="E1381" s="22" t="n">
        <x:v>0</x:v>
      </x:c>
      <x:c r="F1381" s="22" t="str">
        <x:v>.docx</x:v>
      </x:c>
      <x:c r="G1381" s="25" t="str">
        <x:v>L2024-00041-1/Section 9 - Pledges_v1_0603/Fair Contract Pledge Letter (░°┴ñ░Φ╛α ╝¡╛α╝¡).docx</x:v>
      </x:c>
      <x:c r="H1381" s="28" t="n">
        <x:v>18756</x:v>
      </x:c>
      <x:c r="I1381" s="22" t="str">
        <x:v>379cc784a159e5c15ba0045a32dd793d03827ad46a1e4a966b9810ad99102277</x:v>
      </x:c>
      <x:c r="J1381" s="22" t="n">
        <x:v>0</x:v>
      </x:c>
      <x:c r="K1381" s="22" t="n">
        <x:v>0</x:v>
      </x:c>
      <x:c r="L1381" s="22" t="n">
        <x:v>0</x:v>
      </x:c>
      <x:c r="M1381" s="28" t="n">
        <x:v>0</x:v>
      </x:c>
      <x:c r="N1381" s="28" t="n">
        <x:v>0</x:v>
      </x:c>
      <x:c r="O1381" s="28" t="n">
        <x:v>0</x:v>
      </x:c>
      <x:c r="P1381" s="62" t="n">
        <x:v>0</x:v>
      </x:c>
      <x:c r="Q1381" s="22" t="n">
        <x:v>0</x:v>
      </x:c>
      <x:c r="R1381" s="22" t="str"/>
      <x:c r="S1381" s="22" t="str"/>
      <x:c r="T1381" s="22" t="str"/>
    </x:row>
    <x:row r="1382">
      <x:c r="A1382" s="22" t="str">
        <x:v>2023-00030</x:v>
      </x:c>
      <x:c r="B1382" s="22" t="str">
        <x:v>L2024-00041-1</x:v>
      </x:c>
      <x:c r="C1382" s="22" t="str">
        <x:v>용역</x:v>
      </x:c>
      <x:c r="D1382" s="25" t="str">
        <x:v>키르기즈공화국 가축 품종개량 및 인공수정인력 역량강화사업 연수센터 신축, 바이오센터 리모델링 설계 및 저작권감리용역</x:v>
      </x:c>
      <x:c r="E1382" s="22" t="n">
        <x:v>0</x:v>
      </x:c>
      <x:c r="F1382" s="22" t="str">
        <x:v>.docx</x:v>
      </x:c>
      <x:c r="G1382" s="25" t="str">
        <x:v>L2024-00041-1/Section 9 - Pledges_v1_0603/Integrity Pledge (├╗╖┼░Φ╛α╝¡).docx</x:v>
      </x:c>
      <x:c r="H1382" s="28" t="n">
        <x:v>36507</x:v>
      </x:c>
      <x:c r="I1382" s="22" t="str">
        <x:v>bbf88b1bc23c5ed931639e65f36d47df7d7fbdb8447562024b0cf9f04ec6d6b6</x:v>
      </x:c>
      <x:c r="J1382" s="22" t="n">
        <x:v>0</x:v>
      </x:c>
      <x:c r="K1382" s="22" t="n">
        <x:v>0</x:v>
      </x:c>
      <x:c r="L1382" s="22" t="n">
        <x:v>0</x:v>
      </x:c>
      <x:c r="M1382" s="28" t="n">
        <x:v>0</x:v>
      </x:c>
      <x:c r="N1382" s="28" t="n">
        <x:v>0</x:v>
      </x:c>
      <x:c r="O1382" s="28" t="n">
        <x:v>0</x:v>
      </x:c>
      <x:c r="P1382" s="62" t="n">
        <x:v>0</x:v>
      </x:c>
      <x:c r="Q1382" s="22" t="n">
        <x:v>0</x:v>
      </x:c>
      <x:c r="R1382" s="22" t="str"/>
      <x:c r="S1382" s="22" t="str"/>
      <x:c r="T1382" s="22" t="str"/>
    </x:row>
    <x:row r="1383">
      <x:c r="A1383" s="22" t="str">
        <x:v>2023-00030</x:v>
      </x:c>
      <x:c r="B1383" s="22" t="str">
        <x:v>L2024-00041-1</x:v>
      </x:c>
      <x:c r="C1383" s="22" t="str">
        <x:v>용역</x:v>
      </x:c>
      <x:c r="D1383" s="25" t="str">
        <x:v>키르기즈공화국 가축 품종개량 및 인공수정인력 역량강화사업 연수센터 신축, 바이오센터 리모델링 설계 및 저작권감리용역</x:v>
      </x:c>
      <x:c r="E1383" s="22" t="n">
        <x:v>0</x:v>
      </x:c>
      <x:c r="F1383" s="22" t="str">
        <x:v>.docx</x:v>
      </x:c>
      <x:c r="G1383" s="25" t="str">
        <x:v>L2024-00041-1/Section 9 - Pledges_v1_0603/Action Pledge to Integrate Human Rights into Business Management of International Development Cooperation Projects (▒╣┴ª░│╣▀╟∙╖┬╗τ╛≈ └╬▒╟░µ┐╡ ╜╟├╡ ╝¡╛α╝¡).docx</x:v>
      </x:c>
      <x:c r="H1383" s="28" t="n">
        <x:v>19215</x:v>
      </x:c>
      <x:c r="I1383" s="22" t="str">
        <x:v>46af17d37aeab4e26df886f92c4955b1f059d0e3597f97e7e54f4f35fcbf63bf</x:v>
      </x:c>
      <x:c r="J1383" s="22" t="n">
        <x:v>0</x:v>
      </x:c>
      <x:c r="K1383" s="22" t="n">
        <x:v>0</x:v>
      </x:c>
      <x:c r="L1383" s="22" t="n">
        <x:v>0</x:v>
      </x:c>
      <x:c r="M1383" s="28" t="n">
        <x:v>0</x:v>
      </x:c>
      <x:c r="N1383" s="28" t="n">
        <x:v>0</x:v>
      </x:c>
      <x:c r="O1383" s="28" t="n">
        <x:v>0</x:v>
      </x:c>
      <x:c r="P1383" s="62" t="n">
        <x:v>0</x:v>
      </x:c>
      <x:c r="Q1383" s="22" t="n">
        <x:v>0</x:v>
      </x:c>
      <x:c r="R1383" s="22" t="str"/>
      <x:c r="S1383" s="22" t="str"/>
      <x:c r="T1383" s="22" t="str"/>
    </x:row>
    <x:row r="1384">
      <x:c r="A1384" s="22" t="str">
        <x:v>2023-00030</x:v>
      </x:c>
      <x:c r="B1384" s="22" t="str">
        <x:v>L2024-00041-1</x:v>
      </x:c>
      <x:c r="C1384" s="22" t="str">
        <x:v>용역</x:v>
      </x:c>
      <x:c r="D1384" s="25" t="str">
        <x:v>키르기즈공화국 가축 품종개량 및 인공수정인력 역량강화사업 연수센터 신축, 바이오센터 리모델링 설계 및 저작권감리용역</x:v>
      </x:c>
      <x:c r="E1384" s="22" t="n">
        <x:v>0</x:v>
      </x:c>
      <x:c r="F1384" s="22" t="str">
        <x:v>.hwp</x:v>
      </x:c>
      <x:c r="G1384" s="25" t="str">
        <x:v>L2024-00041-1/Section 1 - Instructions to Bidders (ITB)_v1_0603/Section 1 - ▒╣┴ª└╘┬√└»└╟╝¡ (ITB).hwp</x:v>
      </x:c>
      <x:c r="H1384" s="28" t="n">
        <x:v>92672</x:v>
      </x:c>
      <x:c r="I1384" s="22" t="str">
        <x:v>30c8d093217b1908eadd23ff85989ab13790b4f29f255670b5c4478dcb302c5a</x:v>
      </x:c>
      <x:c r="J1384" s="22" t="n">
        <x:v>0</x:v>
      </x:c>
      <x:c r="K1384" s="22" t="n">
        <x:v>0</x:v>
      </x:c>
      <x:c r="L1384" s="22" t="n">
        <x:v>0</x:v>
      </x:c>
      <x:c r="M1384" s="28" t="n">
        <x:v>0</x:v>
      </x:c>
      <x:c r="N1384" s="28" t="n">
        <x:v>0</x:v>
      </x:c>
      <x:c r="O1384" s="28" t="n">
        <x:v>0</x:v>
      </x:c>
      <x:c r="P1384" s="62" t="n">
        <x:v>0</x:v>
      </x:c>
      <x:c r="Q1384" s="22" t="n">
        <x:v>0</x:v>
      </x:c>
      <x:c r="R1384" s="22" t="str"/>
      <x:c r="S1384" s="22" t="str"/>
      <x:c r="T1384" s="22" t="str"/>
    </x:row>
    <x:row r="1385">
      <x:c r="A1385" s="22" t="str">
        <x:v>2023-00030</x:v>
      </x:c>
      <x:c r="B1385" s="22" t="str">
        <x:v>L2024-00041-1</x:v>
      </x:c>
      <x:c r="C1385" s="22" t="str">
        <x:v>용역</x:v>
      </x:c>
      <x:c r="D1385" s="25" t="str">
        <x:v>키르기즈공화국 가축 품종개량 및 인공수정인력 역량강화사업 연수센터 신축, 바이오센터 리모델링 설계 및 저작권감리용역</x:v>
      </x:c>
      <x:c r="E1385" s="22" t="n">
        <x:v>0</x:v>
      </x:c>
      <x:c r="F1385" s="22" t="str">
        <x:v>.hwp</x:v>
      </x:c>
      <x:c r="G1385" s="25" t="str">
        <x:v>L2024-00041-1/Section 1 - Instructions to Bidders (ITB)_v1_0603/Section 1 - Instructions to Bidders (ITB)_╝÷┴ñ.hwp</x:v>
      </x:c>
      <x:c r="H1385" s="28" t="n">
        <x:v>168448</x:v>
      </x:c>
      <x:c r="I1385" s="22" t="str">
        <x:v>66c44d5b34cd4bade85de8cda544a7f534cfac5022bcf25bb3755d6680315e9a</x:v>
      </x:c>
      <x:c r="J1385" s="22" t="n">
        <x:v>0</x:v>
      </x:c>
      <x:c r="K1385" s="22" t="n">
        <x:v>0</x:v>
      </x:c>
      <x:c r="L1385" s="22" t="n">
        <x:v>0</x:v>
      </x:c>
      <x:c r="M1385" s="28" t="n">
        <x:v>0</x:v>
      </x:c>
      <x:c r="N1385" s="28" t="n">
        <x:v>0</x:v>
      </x:c>
      <x:c r="O1385" s="28" t="n">
        <x:v>0</x:v>
      </x:c>
      <x:c r="P1385" s="62" t="n">
        <x:v>0</x:v>
      </x:c>
      <x:c r="Q1385" s="22" t="n">
        <x:v>0</x:v>
      </x:c>
      <x:c r="R1385" s="22" t="str"/>
      <x:c r="S1385" s="22" t="str"/>
      <x:c r="T1385" s="22" t="str"/>
    </x:row>
    <x:row r="1386">
      <x:c r="A1386" s="22" t="str">
        <x:v>2023-00027</x:v>
      </x:c>
      <x:c r="B1386" s="22" t="str">
        <x:v>L2025-00003-1</x:v>
      </x:c>
      <x:c r="C1386" s="22" t="str">
        <x:v>공사</x:v>
      </x:c>
      <x:c r="D1386" s="25" t="str">
        <x:v>키르키즈공화국 국회 디지털화 사업 시공</x:v>
      </x:c>
      <x:c r="E1386" s="22" t="n">
        <x:v>1</x:v>
      </x:c>
      <x:c r="F1386" s="22" t="str">
        <x:v>.zip</x:v>
      </x:c>
      <x:c r="G1386" s="25" t="str">
        <x:v>L2025-00003-1/Parliament Bidding Document (Eng, Rus).zip</x:v>
      </x:c>
      <x:c r="H1386" s="28" t="n">
        <x:v>8047682</x:v>
      </x:c>
      <x:c r="I1386" s="22" t="str">
        <x:v>f0d5cd47c17820f129bfc366a7bd6c22e08f9e4bbc064661e192186e827c3045</x:v>
      </x:c>
      <x:c r="J1386" s="22" t="n">
        <x:v>0</x:v>
      </x:c>
      <x:c r="K1386" s="22" t="n">
        <x:v>0</x:v>
      </x:c>
      <x:c r="L1386" s="22" t="n">
        <x:v>0</x:v>
      </x:c>
      <x:c r="M1386" s="28" t="n">
        <x:v>0</x:v>
      </x:c>
      <x:c r="N1386" s="28" t="n">
        <x:v>0</x:v>
      </x:c>
      <x:c r="O1386" s="28" t="n">
        <x:v>0</x:v>
      </x:c>
      <x:c r="P1386" s="62" t="n">
        <x:v>0</x:v>
      </x:c>
      <x:c r="Q1386" s="22" t="n">
        <x:v>0</x:v>
      </x:c>
      <x:c r="R1386" s="22" t="str"/>
      <x:c r="S1386" s="22" t="str"/>
      <x:c r="T1386" s="22" t="str"/>
    </x:row>
    <x:row r="1387">
      <x:c r="A1387" s="22" t="str">
        <x:v>2023-00027</x:v>
      </x:c>
      <x:c r="B1387" s="22" t="str">
        <x:v>L2025-00003-1</x:v>
      </x:c>
      <x:c r="C1387" s="22" t="str">
        <x:v>공사</x:v>
      </x:c>
      <x:c r="D1387" s="25" t="str">
        <x:v>키르키즈공화국 국회 디지털화 사업 시공</x:v>
      </x:c>
      <x:c r="E1387" s="22" t="n">
        <x:v>1</x:v>
      </x:c>
      <x:c r="F1387" s="22" t="str">
        <x:v>.doc</x:v>
      </x:c>
      <x:c r="G1387" s="25" t="str">
        <x:v>L2025-00003-1/Parliament Bidding Document (Eng, Rus)/Eng/ENG_Section 3 - Bidding_Forms_Digitalization_Parliament.doc</x:v>
      </x:c>
      <x:c r="H1387" s="28" t="n">
        <x:v>231936</x:v>
      </x:c>
      <x:c r="I1387" s="22" t="str">
        <x:v>3e912679d9bc22a7bf688ce82eacdc8a7e28c3f80c5126e2c0ca3365517910f7</x:v>
      </x:c>
      <x:c r="J1387" s="22" t="n">
        <x:v>0</x:v>
      </x:c>
      <x:c r="K1387" s="22" t="n">
        <x:v>0</x:v>
      </x:c>
      <x:c r="L1387" s="22" t="n">
        <x:v>0</x:v>
      </x:c>
      <x:c r="M1387" s="28" t="n">
        <x:v>0</x:v>
      </x:c>
      <x:c r="N1387" s="28" t="n">
        <x:v>0</x:v>
      </x:c>
      <x:c r="O1387" s="28" t="n">
        <x:v>0</x:v>
      </x:c>
      <x:c r="P1387" s="62" t="n">
        <x:v>0</x:v>
      </x:c>
      <x:c r="Q1387" s="22" t="n">
        <x:v>0</x:v>
      </x:c>
      <x:c r="R1387" s="22" t="str"/>
      <x:c r="S1387" s="22" t="str"/>
      <x:c r="T1387" s="22" t="str"/>
    </x:row>
    <x:row r="1388">
      <x:c r="A1388" s="22" t="str">
        <x:v>2023-00027</x:v>
      </x:c>
      <x:c r="B1388" s="22" t="str">
        <x:v>L2025-00003-1</x:v>
      </x:c>
      <x:c r="C1388" s="22" t="str">
        <x:v>공사</x:v>
      </x:c>
      <x:c r="D1388" s="25" t="str">
        <x:v>키르키즈공화국 국회 디지털화 사업 시공</x:v>
      </x:c>
      <x:c r="E1388" s="22" t="n">
        <x:v>1</x:v>
      </x:c>
      <x:c r="F1388" s="22" t="str">
        <x:v>.docx</x:v>
      </x:c>
      <x:c r="G1388" s="25" t="str">
        <x:v>L2025-00003-1/Parliament Bidding Document (Eng, Rus)/Eng/ENG_Section 8 - Special_Conditions_of_Contract_Digitalization_Parliament.docx</x:v>
      </x:c>
      <x:c r="H1388" s="28" t="n">
        <x:v>67803</x:v>
      </x:c>
      <x:c r="I1388" s="22" t="str">
        <x:v>8e30ac26742546e2ab6f2f7ceb12cf12b5cacdeef93c84896815e8543d5a3b78</x:v>
      </x:c>
      <x:c r="J1388" s="22" t="n">
        <x:v>0</x:v>
      </x:c>
      <x:c r="K1388" s="22" t="n">
        <x:v>0</x:v>
      </x:c>
      <x:c r="L1388" s="22" t="n">
        <x:v>0</x:v>
      </x:c>
      <x:c r="M1388" s="28" t="n">
        <x:v>0</x:v>
      </x:c>
      <x:c r="N1388" s="28" t="n">
        <x:v>0</x:v>
      </x:c>
      <x:c r="O1388" s="28" t="n">
        <x:v>0</x:v>
      </x:c>
      <x:c r="P1388" s="62" t="n">
        <x:v>0</x:v>
      </x:c>
      <x:c r="Q1388" s="22" t="n">
        <x:v>0</x:v>
      </x:c>
      <x:c r="R1388" s="22" t="str"/>
      <x:c r="S1388" s="22" t="str"/>
      <x:c r="T1388" s="22" t="str"/>
    </x:row>
    <x:row r="1389">
      <x:c r="A1389" s="22" t="str">
        <x:v>2023-00027</x:v>
      </x:c>
      <x:c r="B1389" s="22" t="str">
        <x:v>L2025-00003-1</x:v>
      </x:c>
      <x:c r="C1389" s="22" t="str">
        <x:v>공사</x:v>
      </x:c>
      <x:c r="D1389" s="25" t="str">
        <x:v>키르키즈공화국 국회 디지털화 사업 시공</x:v>
      </x:c>
      <x:c r="E1389" s="22" t="n">
        <x:v>1</x:v>
      </x:c>
      <x:c r="F1389" s="22" t="str">
        <x:v>.docx</x:v>
      </x:c>
      <x:c r="G1389" s="25" t="str">
        <x:v>L2025-00003-1/Parliament Bidding Document (Eng, Rus)/Eng/ENG_Section 4-6 - Requirements_Digitalization_Parliament.docx</x:v>
      </x:c>
      <x:c r="H1389" s="28" t="n">
        <x:v>2489508</x:v>
      </x:c>
      <x:c r="I1389" s="22" t="str">
        <x:v>f8311fbdc24ccf9dfd68271fa9cd346ffe04a992e414376fbf7a09b5cce845b0</x:v>
      </x:c>
      <x:c r="J1389" s="22" t="n">
        <x:v>0</x:v>
      </x:c>
      <x:c r="K1389" s="22" t="n">
        <x:v>0</x:v>
      </x:c>
      <x:c r="L1389" s="22" t="n">
        <x:v>0</x:v>
      </x:c>
      <x:c r="M1389" s="28" t="n">
        <x:v>0</x:v>
      </x:c>
      <x:c r="N1389" s="28" t="n">
        <x:v>0</x:v>
      </x:c>
      <x:c r="O1389" s="28" t="n">
        <x:v>0</x:v>
      </x:c>
      <x:c r="P1389" s="62" t="n">
        <x:v>0</x:v>
      </x:c>
      <x:c r="Q1389" s="22" t="n">
        <x:v>0</x:v>
      </x:c>
      <x:c r="R1389" s="22" t="str"/>
      <x:c r="S1389" s="22" t="str"/>
      <x:c r="T1389" s="22" t="str"/>
    </x:row>
    <x:row r="1390">
      <x:c r="A1390" s="22" t="str">
        <x:v>2023-00027</x:v>
      </x:c>
      <x:c r="B1390" s="22" t="str">
        <x:v>L2025-00003-1</x:v>
      </x:c>
      <x:c r="C1390" s="22" t="str">
        <x:v>공사</x:v>
      </x:c>
      <x:c r="D1390" s="25" t="str">
        <x:v>키르키즈공화국 국회 디지털화 사업 시공</x:v>
      </x:c>
      <x:c r="E1390" s="22" t="n">
        <x:v>1</x:v>
      </x:c>
      <x:c r="F1390" s="22" t="str">
        <x:v>.docx</x:v>
      </x:c>
      <x:c r="G1390" s="25" t="str">
        <x:v>L2025-00003-1/Parliament Bidding Document (Eng, Rus)/Eng/ENG_Section 7 - General_Conditions_of_Contract_v1_Digitalization_Parliament.docx</x:v>
      </x:c>
      <x:c r="H1390" s="28" t="n">
        <x:v>215518</x:v>
      </x:c>
      <x:c r="I1390" s="22" t="str">
        <x:v>580ea664f5b1088f8125375cd91b37904a8dc063f6e170cc9955ae2c2c80dd4d</x:v>
      </x:c>
      <x:c r="J1390" s="22" t="n">
        <x:v>0</x:v>
      </x:c>
      <x:c r="K1390" s="22" t="n">
        <x:v>0</x:v>
      </x:c>
      <x:c r="L1390" s="22" t="n">
        <x:v>0</x:v>
      </x:c>
      <x:c r="M1390" s="28" t="n">
        <x:v>0</x:v>
      </x:c>
      <x:c r="N1390" s="28" t="n">
        <x:v>0</x:v>
      </x:c>
      <x:c r="O1390" s="28" t="n">
        <x:v>0</x:v>
      </x:c>
      <x:c r="P1390" s="62" t="n">
        <x:v>0</x:v>
      </x:c>
      <x:c r="Q1390" s="22" t="n">
        <x:v>0</x:v>
      </x:c>
      <x:c r="R1390" s="22" t="str"/>
      <x:c r="S1390" s="22" t="str"/>
      <x:c r="T1390" s="22" t="str"/>
    </x:row>
    <x:row r="1391">
      <x:c r="A1391" s="22" t="str">
        <x:v>2023-00027</x:v>
      </x:c>
      <x:c r="B1391" s="22" t="str">
        <x:v>L2025-00003-1</x:v>
      </x:c>
      <x:c r="C1391" s="22" t="str">
        <x:v>공사</x:v>
      </x:c>
      <x:c r="D1391" s="25" t="str">
        <x:v>키르키즈공화국 국회 디지털화 사업 시공</x:v>
      </x:c>
      <x:c r="E1391" s="22" t="n">
        <x:v>1</x:v>
      </x:c>
      <x:c r="F1391" s="22" t="str">
        <x:v>.docx</x:v>
      </x:c>
      <x:c r="G1391" s="25" t="str">
        <x:v>L2025-00003-1/Parliament Bidding Document (Eng, Rus)/Eng/ENG_Section 9 - Contract_Forms_Digitalization_Parliament_v1.docx</x:v>
      </x:c>
      <x:c r="H1391" s="28" t="n">
        <x:v>38953</x:v>
      </x:c>
      <x:c r="I1391" s="22" t="str">
        <x:v>5e5c47c728f5a837ecb0e733eed921cf6186a65ac1b525eb4c681da0c59bc2d5</x:v>
      </x:c>
      <x:c r="J1391" s="22" t="n">
        <x:v>0</x:v>
      </x:c>
      <x:c r="K1391" s="22" t="n">
        <x:v>0</x:v>
      </x:c>
      <x:c r="L1391" s="22" t="n">
        <x:v>0</x:v>
      </x:c>
      <x:c r="M1391" s="28" t="n">
        <x:v>0</x:v>
      </x:c>
      <x:c r="N1391" s="28" t="n">
        <x:v>0</x:v>
      </x:c>
      <x:c r="O1391" s="28" t="n">
        <x:v>0</x:v>
      </x:c>
      <x:c r="P1391" s="62" t="n">
        <x:v>0</x:v>
      </x:c>
      <x:c r="Q1391" s="22" t="n">
        <x:v>0</x:v>
      </x:c>
      <x:c r="R1391" s="22" t="str"/>
      <x:c r="S1391" s="22" t="str"/>
      <x:c r="T1391" s="22" t="str"/>
    </x:row>
    <x:row r="1392">
      <x:c r="A1392" s="22" t="str">
        <x:v>2023-00027</x:v>
      </x:c>
      <x:c r="B1392" s="22" t="str">
        <x:v>L2025-00003-1</x:v>
      </x:c>
      <x:c r="C1392" s="22" t="str">
        <x:v>공사</x:v>
      </x:c>
      <x:c r="D1392" s="25" t="str">
        <x:v>키르키즈공화국 국회 디지털화 사업 시공</x:v>
      </x:c>
      <x:c r="E1392" s="22" t="n">
        <x:v>1</x:v>
      </x:c>
      <x:c r="F1392" s="22" t="str">
        <x:v>.docx</x:v>
      </x:c>
      <x:c r="G1392" s="25" t="str">
        <x:v>L2025-00003-1/Parliament Bidding Document (Eng, Rus)/Eng/ENG_Section 2 - Bid Data Sheet_Digitalization_Parliament.docx</x:v>
      </x:c>
      <x:c r="H1392" s="28" t="n">
        <x:v>48438</x:v>
      </x:c>
      <x:c r="I1392" s="22" t="str">
        <x:v>0b308fcb05dcfba25871a7bd383ee63552270f1e6a14bbcb796b1f04e5fa384d</x:v>
      </x:c>
      <x:c r="J1392" s="22" t="n">
        <x:v>0</x:v>
      </x:c>
      <x:c r="K1392" s="22" t="n">
        <x:v>0</x:v>
      </x:c>
      <x:c r="L1392" s="22" t="n">
        <x:v>0</x:v>
      </x:c>
      <x:c r="M1392" s="28" t="n">
        <x:v>0</x:v>
      </x:c>
      <x:c r="N1392" s="28" t="n">
        <x:v>0</x:v>
      </x:c>
      <x:c r="O1392" s="28" t="n">
        <x:v>0</x:v>
      </x:c>
      <x:c r="P1392" s="62" t="n">
        <x:v>0</x:v>
      </x:c>
      <x:c r="Q1392" s="22" t="n">
        <x:v>0</x:v>
      </x:c>
      <x:c r="R1392" s="22" t="str"/>
      <x:c r="S1392" s="22" t="str"/>
      <x:c r="T1392" s="22" t="str"/>
    </x:row>
    <x:row r="1393">
      <x:c r="A1393" s="22" t="str">
        <x:v>2023-00027</x:v>
      </x:c>
      <x:c r="B1393" s="22" t="str">
        <x:v>L2025-00003-1</x:v>
      </x:c>
      <x:c r="C1393" s="22" t="str">
        <x:v>공사</x:v>
      </x:c>
      <x:c r="D1393" s="25" t="str">
        <x:v>키르키즈공화국 국회 디지털화 사업 시공</x:v>
      </x:c>
      <x:c r="E1393" s="22" t="n">
        <x:v>1</x:v>
      </x:c>
      <x:c r="F1393" s="22" t="str">
        <x:v>.doc</x:v>
      </x:c>
      <x:c r="G1393" s="25" t="str">
        <x:v>L2025-00003-1/Parliament Bidding Document (Eng, Rus)/Eng/ENG_Section 1 - Instructions to Bidders_ITB_Digitalization Parliament.doc</x:v>
      </x:c>
      <x:c r="H1393" s="28" t="n">
        <x:v>257231</x:v>
      </x:c>
      <x:c r="I1393" s="22" t="str">
        <x:v>e17195795075a699aa2746029d2d7bc523143809570f808e673eb191fbd77af9</x:v>
      </x:c>
      <x:c r="J1393" s="22" t="n">
        <x:v>0</x:v>
      </x:c>
      <x:c r="K1393" s="22" t="n">
        <x:v>0</x:v>
      </x:c>
      <x:c r="L1393" s="22" t="n">
        <x:v>0</x:v>
      </x:c>
      <x:c r="M1393" s="28" t="n">
        <x:v>0</x:v>
      </x:c>
      <x:c r="N1393" s="28" t="n">
        <x:v>0</x:v>
      </x:c>
      <x:c r="O1393" s="28" t="n">
        <x:v>0</x:v>
      </x:c>
      <x:c r="P1393" s="62" t="n">
        <x:v>0</x:v>
      </x:c>
      <x:c r="Q1393" s="22" t="n">
        <x:v>0</x:v>
      </x:c>
      <x:c r="R1393" s="22" t="str"/>
      <x:c r="S1393" s="22" t="str"/>
      <x:c r="T1393" s="22" t="str"/>
    </x:row>
    <x:row r="1394">
      <x:c r="A1394" s="22" t="str">
        <x:v>2023-00027</x:v>
      </x:c>
      <x:c r="B1394" s="22" t="str">
        <x:v>L2025-00003-1</x:v>
      </x:c>
      <x:c r="C1394" s="22" t="str">
        <x:v>공사</x:v>
      </x:c>
      <x:c r="D1394" s="25" t="str">
        <x:v>키르키즈공화국 국회 디지털화 사업 시공</x:v>
      </x:c>
      <x:c r="E1394" s="22" t="n">
        <x:v>1</x:v>
      </x:c>
      <x:c r="F1394" s="22" t="str">
        <x:v>.docx</x:v>
      </x:c>
      <x:c r="G1394" s="25" t="str">
        <x:v>L2025-00003-1/Parliament Bidding Document (Eng, Rus)/Rus/RUS_Section_1_Instructions_to_Bidders_ITB_Digitalization_Parliament.docx</x:v>
      </x:c>
      <x:c r="H1394" s="28" t="n">
        <x:v>40163</x:v>
      </x:c>
      <x:c r="I1394" s="22" t="str">
        <x:v>da3705546e7a78ee22d9acb1416c52efcb1d75b6519f702090942c4d7ba31511</x:v>
      </x:c>
      <x:c r="J1394" s="22" t="n">
        <x:v>0</x:v>
      </x:c>
      <x:c r="K1394" s="22" t="n">
        <x:v>0</x:v>
      </x:c>
      <x:c r="L1394" s="22" t="n">
        <x:v>0</x:v>
      </x:c>
      <x:c r="M1394" s="28" t="n">
        <x:v>0</x:v>
      </x:c>
      <x:c r="N1394" s="28" t="n">
        <x:v>0</x:v>
      </x:c>
      <x:c r="O1394" s="28" t="n">
        <x:v>0</x:v>
      </x:c>
      <x:c r="P1394" s="62" t="n">
        <x:v>0</x:v>
      </x:c>
      <x:c r="Q1394" s="22" t="n">
        <x:v>0</x:v>
      </x:c>
      <x:c r="R1394" s="22" t="str"/>
      <x:c r="S1394" s="22" t="str"/>
      <x:c r="T1394" s="22" t="str"/>
    </x:row>
    <x:row r="1395">
      <x:c r="A1395" s="22" t="str">
        <x:v>2023-00027</x:v>
      </x:c>
      <x:c r="B1395" s="22" t="str">
        <x:v>L2025-00003-1</x:v>
      </x:c>
      <x:c r="C1395" s="22" t="str">
        <x:v>공사</x:v>
      </x:c>
      <x:c r="D1395" s="25" t="str">
        <x:v>키르키즈공화국 국회 디지털화 사업 시공</x:v>
      </x:c>
      <x:c r="E1395" s="22" t="n">
        <x:v>1</x:v>
      </x:c>
      <x:c r="F1395" s="22" t="str">
        <x:v>.docx</x:v>
      </x:c>
      <x:c r="G1395" s="25" t="str">
        <x:v>L2025-00003-1/Parliament Bidding Document (Eng, Rus)/Rus/RUS_Section 4-6 - Requirements_Digitalization_Parliament.docx</x:v>
      </x:c>
      <x:c r="H1395" s="28" t="n">
        <x:v>2470431</x:v>
      </x:c>
      <x:c r="I1395" s="22" t="str">
        <x:v>4ea91c122375c02ea7e2b336cc9bee0c7a4032df908a4a9e330092b7733da460</x:v>
      </x:c>
      <x:c r="J1395" s="22" t="n">
        <x:v>0</x:v>
      </x:c>
      <x:c r="K1395" s="22" t="n">
        <x:v>0</x:v>
      </x:c>
      <x:c r="L1395" s="22" t="n">
        <x:v>0</x:v>
      </x:c>
      <x:c r="M1395" s="28" t="n">
        <x:v>0</x:v>
      </x:c>
      <x:c r="N1395" s="28" t="n">
        <x:v>0</x:v>
      </x:c>
      <x:c r="O1395" s="28" t="n">
        <x:v>0</x:v>
      </x:c>
      <x:c r="P1395" s="62" t="n">
        <x:v>0</x:v>
      </x:c>
      <x:c r="Q1395" s="22" t="n">
        <x:v>0</x:v>
      </x:c>
      <x:c r="R1395" s="22" t="str"/>
      <x:c r="S1395" s="22" t="str"/>
      <x:c r="T1395" s="22" t="str"/>
    </x:row>
    <x:row r="1396">
      <x:c r="A1396" s="22" t="str">
        <x:v>2023-00027</x:v>
      </x:c>
      <x:c r="B1396" s="22" t="str">
        <x:v>L2025-00003-1</x:v>
      </x:c>
      <x:c r="C1396" s="22" t="str">
        <x:v>공사</x:v>
      </x:c>
      <x:c r="D1396" s="25" t="str">
        <x:v>키르키즈공화국 국회 디지털화 사업 시공</x:v>
      </x:c>
      <x:c r="E1396" s="22" t="n">
        <x:v>1</x:v>
      </x:c>
      <x:c r="F1396" s="22" t="str">
        <x:v>.doc</x:v>
      </x:c>
      <x:c r="G1396" s="25" t="str">
        <x:v>L2025-00003-1/Parliament Bidding Document (Eng, Rus)/Rus/RUS_Section 3 - Bidding Forms_Digitalization_Parliament.doc</x:v>
      </x:c>
      <x:c r="H1396" s="28" t="n">
        <x:v>291328</x:v>
      </x:c>
      <x:c r="I1396" s="22" t="str">
        <x:v>0bf98c2c13d5e293409996540c7910d6c716592ebda699ba9e14310c5e13744b</x:v>
      </x:c>
      <x:c r="J1396" s="22" t="n">
        <x:v>0</x:v>
      </x:c>
      <x:c r="K1396" s="22" t="n">
        <x:v>0</x:v>
      </x:c>
      <x:c r="L1396" s="22" t="n">
        <x:v>0</x:v>
      </x:c>
      <x:c r="M1396" s="28" t="n">
        <x:v>0</x:v>
      </x:c>
      <x:c r="N1396" s="28" t="n">
        <x:v>0</x:v>
      </x:c>
      <x:c r="O1396" s="28" t="n">
        <x:v>0</x:v>
      </x:c>
      <x:c r="P1396" s="62" t="n">
        <x:v>0</x:v>
      </x:c>
      <x:c r="Q1396" s="22" t="n">
        <x:v>0</x:v>
      </x:c>
      <x:c r="R1396" s="22" t="str"/>
      <x:c r="S1396" s="22" t="str"/>
      <x:c r="T1396" s="22" t="str"/>
    </x:row>
    <x:row r="1397">
      <x:c r="A1397" s="22" t="str">
        <x:v>2023-00027</x:v>
      </x:c>
      <x:c r="B1397" s="22" t="str">
        <x:v>L2025-00003-1</x:v>
      </x:c>
      <x:c r="C1397" s="22" t="str">
        <x:v>공사</x:v>
      </x:c>
      <x:c r="D1397" s="25" t="str">
        <x:v>키르키즈공화국 국회 디지털화 사업 시공</x:v>
      </x:c>
      <x:c r="E1397" s="22" t="n">
        <x:v>1</x:v>
      </x:c>
      <x:c r="F1397" s="22" t="str">
        <x:v>.docx</x:v>
      </x:c>
      <x:c r="G1397" s="25" t="str">
        <x:v>L2025-00003-1/Parliament Bidding Document (Eng, Rus)/Rus/RUS_Section_7_General_Conditions_of_Contract_v1_Digitalization_Parliament.docx</x:v>
      </x:c>
      <x:c r="H1397" s="28" t="n">
        <x:v>200355</x:v>
      </x:c>
      <x:c r="I1397" s="22" t="str">
        <x:v>56d675ec3bb1c78ffbd2c8253036bc7ca58101acb65e9af5f1b8ad84187d418e</x:v>
      </x:c>
      <x:c r="J1397" s="22" t="n">
        <x:v>0</x:v>
      </x:c>
      <x:c r="K1397" s="22" t="n">
        <x:v>0</x:v>
      </x:c>
      <x:c r="L1397" s="22" t="n">
        <x:v>0</x:v>
      </x:c>
      <x:c r="M1397" s="28" t="n">
        <x:v>0</x:v>
      </x:c>
      <x:c r="N1397" s="28" t="n">
        <x:v>0</x:v>
      </x:c>
      <x:c r="O1397" s="28" t="n">
        <x:v>0</x:v>
      </x:c>
      <x:c r="P1397" s="62" t="n">
        <x:v>0</x:v>
      </x:c>
      <x:c r="Q1397" s="22" t="n">
        <x:v>0</x:v>
      </x:c>
      <x:c r="R1397" s="22" t="str"/>
      <x:c r="S1397" s="22" t="str"/>
      <x:c r="T1397" s="22" t="str"/>
    </x:row>
    <x:row r="1398">
      <x:c r="A1398" s="22" t="str">
        <x:v>2023-00027</x:v>
      </x:c>
      <x:c r="B1398" s="22" t="str">
        <x:v>L2025-00003-1</x:v>
      </x:c>
      <x:c r="C1398" s="22" t="str">
        <x:v>공사</x:v>
      </x:c>
      <x:c r="D1398" s="25" t="str">
        <x:v>키르키즈공화국 국회 디지털화 사업 시공</x:v>
      </x:c>
      <x:c r="E1398" s="22" t="n">
        <x:v>1</x:v>
      </x:c>
      <x:c r="F1398" s="22" t="str">
        <x:v>.docx</x:v>
      </x:c>
      <x:c r="G1398" s="25" t="str">
        <x:v>L2025-00003-1/Parliament Bidding Document (Eng, Rus)/Rus/RUS_Section 9 - Contract Forms_Digitalization_Parliament_v1.docx</x:v>
      </x:c>
      <x:c r="H1398" s="28" t="n">
        <x:v>18328</x:v>
      </x:c>
      <x:c r="I1398" s="22" t="str">
        <x:v>08433c85a2844abb1f7952f48b6f1ff6ef08b33fcc134fec2f95454c1a15601b</x:v>
      </x:c>
      <x:c r="J1398" s="22" t="n">
        <x:v>0</x:v>
      </x:c>
      <x:c r="K1398" s="22" t="n">
        <x:v>0</x:v>
      </x:c>
      <x:c r="L1398" s="22" t="n">
        <x:v>0</x:v>
      </x:c>
      <x:c r="M1398" s="28" t="n">
        <x:v>0</x:v>
      </x:c>
      <x:c r="N1398" s="28" t="n">
        <x:v>0</x:v>
      </x:c>
      <x:c r="O1398" s="28" t="n">
        <x:v>0</x:v>
      </x:c>
      <x:c r="P1398" s="62" t="n">
        <x:v>0</x:v>
      </x:c>
      <x:c r="Q1398" s="22" t="n">
        <x:v>0</x:v>
      </x:c>
      <x:c r="R1398" s="22" t="str"/>
      <x:c r="S1398" s="22" t="str"/>
      <x:c r="T1398" s="22" t="str"/>
    </x:row>
    <x:row r="1399">
      <x:c r="A1399" s="22" t="str">
        <x:v>2023-00027</x:v>
      </x:c>
      <x:c r="B1399" s="22" t="str">
        <x:v>L2025-00003-1</x:v>
      </x:c>
      <x:c r="C1399" s="22" t="str">
        <x:v>공사</x:v>
      </x:c>
      <x:c r="D1399" s="25" t="str">
        <x:v>키르키즈공화국 국회 디지털화 사업 시공</x:v>
      </x:c>
      <x:c r="E1399" s="22" t="n">
        <x:v>1</x:v>
      </x:c>
      <x:c r="F1399" s="22" t="str">
        <x:v>.docx</x:v>
      </x:c>
      <x:c r="G1399" s="25" t="str">
        <x:v>L2025-00003-1/Parliament Bidding Document (Eng, Rus)/Rus/RUS_Section 4-6 - Requirements_rus_Ur_upd.docx</x:v>
      </x:c>
      <x:c r="H1399" s="28" t="n">
        <x:v>2474694</x:v>
      </x:c>
      <x:c r="I1399" s="22" t="str">
        <x:v>8edc14039931cc48fe71f0e1a97f930dfde52d9755a28bd111e2b9938719cd1d</x:v>
      </x:c>
      <x:c r="J1399" s="22" t="n">
        <x:v>0</x:v>
      </x:c>
      <x:c r="K1399" s="22" t="n">
        <x:v>0</x:v>
      </x:c>
      <x:c r="L1399" s="22" t="n">
        <x:v>0</x:v>
      </x:c>
      <x:c r="M1399" s="28" t="n">
        <x:v>0</x:v>
      </x:c>
      <x:c r="N1399" s="28" t="n">
        <x:v>0</x:v>
      </x:c>
      <x:c r="O1399" s="28" t="n">
        <x:v>0</x:v>
      </x:c>
      <x:c r="P1399" s="62" t="n">
        <x:v>0</x:v>
      </x:c>
      <x:c r="Q1399" s="22" t="n">
        <x:v>0</x:v>
      </x:c>
      <x:c r="R1399" s="22" t="str"/>
      <x:c r="S1399" s="22" t="str"/>
      <x:c r="T1399" s="22" t="str"/>
    </x:row>
    <x:row r="1400">
      <x:c r="A1400" s="22" t="str">
        <x:v>2023-00027</x:v>
      </x:c>
      <x:c r="B1400" s="22" t="str">
        <x:v>L2025-00003-1</x:v>
      </x:c>
      <x:c r="C1400" s="22" t="str">
        <x:v>공사</x:v>
      </x:c>
      <x:c r="D1400" s="25" t="str">
        <x:v>키르키즈공화국 국회 디지털화 사업 시공</x:v>
      </x:c>
      <x:c r="E1400" s="22" t="n">
        <x:v>1</x:v>
      </x:c>
      <x:c r="F1400" s="22" t="str">
        <x:v>.docx</x:v>
      </x:c>
      <x:c r="G1400" s="25" t="str">
        <x:v>L2025-00003-1/Parliament Bidding Document (Eng, Rus)/Rus/RUS_Section 2 - Bid Data Sheet_Digitalization_Parliament.docx</x:v>
      </x:c>
      <x:c r="H1400" s="28" t="n">
        <x:v>57586</x:v>
      </x:c>
      <x:c r="I1400" s="22" t="str">
        <x:v>7dbd5f78dee472d8aed1db1cbafee7030af4a93cf748464cb2a27042bdb139ff</x:v>
      </x:c>
      <x:c r="J1400" s="22" t="n">
        <x:v>0</x:v>
      </x:c>
      <x:c r="K1400" s="22" t="n">
        <x:v>0</x:v>
      </x:c>
      <x:c r="L1400" s="22" t="n">
        <x:v>0</x:v>
      </x:c>
      <x:c r="M1400" s="28" t="n">
        <x:v>0</x:v>
      </x:c>
      <x:c r="N1400" s="28" t="n">
        <x:v>0</x:v>
      </x:c>
      <x:c r="O1400" s="28" t="n">
        <x:v>0</x:v>
      </x:c>
      <x:c r="P1400" s="62" t="n">
        <x:v>0</x:v>
      </x:c>
      <x:c r="Q1400" s="22" t="n">
        <x:v>0</x:v>
      </x:c>
      <x:c r="R1400" s="22" t="str"/>
      <x:c r="S1400" s="22" t="str"/>
      <x:c r="T1400" s="22" t="str"/>
    </x:row>
    <x:row r="1401">
      <x:c r="A1401" s="22" t="str">
        <x:v>2023-00027</x:v>
      </x:c>
      <x:c r="B1401" s="22" t="str">
        <x:v>L2025-00003-1</x:v>
      </x:c>
      <x:c r="C1401" s="22" t="str">
        <x:v>공사</x:v>
      </x:c>
      <x:c r="D1401" s="25" t="str">
        <x:v>키르키즈공화국 국회 디지털화 사업 시공</x:v>
      </x:c>
      <x:c r="E1401" s="22" t="n">
        <x:v>1</x:v>
      </x:c>
      <x:c r="F1401" s="22" t="str">
        <x:v>.docx</x:v>
      </x:c>
      <x:c r="G1401" s="25" t="str">
        <x:v>L2025-00003-1/Parliament Bidding Document (Eng, Rus)/Rus/RUS_Section_8_Special_Conditions_of_Contract_Digitalization_Parliament.docx</x:v>
      </x:c>
      <x:c r="H1401" s="28" t="n">
        <x:v>72601</x:v>
      </x:c>
      <x:c r="I1401" s="22" t="str">
        <x:v>3f24a1f99046b1b1f43a96ac676b48367808e931790b7158ad5a75eb030ef1ee</x:v>
      </x:c>
      <x:c r="J1401" s="22" t="n">
        <x:v>0</x:v>
      </x:c>
      <x:c r="K1401" s="22" t="n">
        <x:v>0</x:v>
      </x:c>
      <x:c r="L1401" s="22" t="n">
        <x:v>0</x:v>
      </x:c>
      <x:c r="M1401" s="28" t="n">
        <x:v>0</x:v>
      </x:c>
      <x:c r="N1401" s="28" t="n">
        <x:v>0</x:v>
      </x:c>
      <x:c r="O1401" s="28" t="n">
        <x:v>0</x:v>
      </x:c>
      <x:c r="P1401" s="62" t="n">
        <x:v>0</x:v>
      </x:c>
      <x:c r="Q1401" s="22" t="n">
        <x:v>0</x:v>
      </x:c>
      <x:c r="R1401" s="22" t="str"/>
      <x:c r="S1401" s="22" t="str"/>
      <x:c r="T1401" s="22" t="str"/>
    </x:row>
    <x:row r="1402">
      <x:c r="A1402" s="22" t="str">
        <x:v>2023-00027</x:v>
      </x:c>
      <x:c r="B1402" s="22" t="str">
        <x:v>L2025-00003-2</x:v>
      </x:c>
      <x:c r="C1402" s="22" t="str">
        <x:v>공사</x:v>
      </x:c>
      <x:c r="D1402" s="25" t="str">
        <x:v>키르키즈공화국 국회 디지털화 사업 시공</x:v>
      </x:c>
      <x:c r="E1402" s="22" t="n">
        <x:v>1</x:v>
      </x:c>
      <x:c r="F1402" s="22" t="str">
        <x:v>.zip</x:v>
      </x:c>
      <x:c r="G1402" s="25" t="str">
        <x:v>L2025-00003-2/[RE] (Bid Document) Digitalization of the Parliament.zip</x:v>
      </x:c>
      <x:c r="H1402" s="28" t="n">
        <x:v>5632125</x:v>
      </x:c>
      <x:c r="I1402" s="22" t="str">
        <x:v>3e17bbee573c04e0a36a615c4befc4ef9f66ddf437cdadf1522f805c90ddbd54</x:v>
      </x:c>
      <x:c r="J1402" s="22" t="n">
        <x:v>0</x:v>
      </x:c>
      <x:c r="K1402" s="22" t="n">
        <x:v>0</x:v>
      </x:c>
      <x:c r="L1402" s="22" t="n">
        <x:v>0</x:v>
      </x:c>
      <x:c r="M1402" s="28" t="n">
        <x:v>0</x:v>
      </x:c>
      <x:c r="N1402" s="28" t="n">
        <x:v>0</x:v>
      </x:c>
      <x:c r="O1402" s="28" t="n">
        <x:v>0</x:v>
      </x:c>
      <x:c r="P1402" s="62" t="n">
        <x:v>0</x:v>
      </x:c>
      <x:c r="Q1402" s="22" t="n">
        <x:v>0</x:v>
      </x:c>
      <x:c r="R1402" s="22" t="str"/>
      <x:c r="S1402" s="22" t="str"/>
      <x:c r="T1402" s="22" t="str"/>
    </x:row>
    <x:row r="1403">
      <x:c r="A1403" s="22" t="str">
        <x:v>2023-00027</x:v>
      </x:c>
      <x:c r="B1403" s="22" t="str">
        <x:v>L2025-00003-2</x:v>
      </x:c>
      <x:c r="C1403" s="22" t="str">
        <x:v>공사</x:v>
      </x:c>
      <x:c r="D1403" s="25" t="str">
        <x:v>키르키즈공화국 국회 디지털화 사업 시공</x:v>
      </x:c>
      <x:c r="E1403" s="22" t="n">
        <x:v>1</x:v>
      </x:c>
      <x:c r="F1403" s="22" t="str">
        <x:v>.doc</x:v>
      </x:c>
      <x:c r="G1403" s="25" t="str">
        <x:v>L2025-00003-2/[RE] (Bid Document) Digitalization of the Parliament/(Bid Document) Digitalization of the Parliament/Eng/ENG_Section 3 - Bidding_Forms_Digitalization_Parliament.doc</x:v>
      </x:c>
      <x:c r="H1403" s="28" t="n">
        <x:v>224256</x:v>
      </x:c>
      <x:c r="I1403" s="22" t="str">
        <x:v>475275cb330a3034ea960c51da9a4ba3bb875b930e25ecf56858d771ae6742b1</x:v>
      </x:c>
      <x:c r="J1403" s="22" t="n">
        <x:v>0</x:v>
      </x:c>
      <x:c r="K1403" s="22" t="n">
        <x:v>0</x:v>
      </x:c>
      <x:c r="L1403" s="22" t="n">
        <x:v>0</x:v>
      </x:c>
      <x:c r="M1403" s="28" t="n">
        <x:v>0</x:v>
      </x:c>
      <x:c r="N1403" s="28" t="n">
        <x:v>0</x:v>
      </x:c>
      <x:c r="O1403" s="28" t="n">
        <x:v>0</x:v>
      </x:c>
      <x:c r="P1403" s="62" t="n">
        <x:v>0</x:v>
      </x:c>
      <x:c r="Q1403" s="22" t="n">
        <x:v>0</x:v>
      </x:c>
      <x:c r="R1403" s="22" t="str"/>
      <x:c r="S1403" s="22" t="str"/>
      <x:c r="T1403" s="22" t="str"/>
    </x:row>
    <x:row r="1404">
      <x:c r="A1404" s="22" t="str">
        <x:v>2023-00027</x:v>
      </x:c>
      <x:c r="B1404" s="22" t="str">
        <x:v>L2025-00003-2</x:v>
      </x:c>
      <x:c r="C1404" s="22" t="str">
        <x:v>공사</x:v>
      </x:c>
      <x:c r="D1404" s="25" t="str">
        <x:v>키르키즈공화국 국회 디지털화 사업 시공</x:v>
      </x:c>
      <x:c r="E1404" s="22" t="n">
        <x:v>1</x:v>
      </x:c>
      <x:c r="F1404" s="22" t="str">
        <x:v>.docx</x:v>
      </x:c>
      <x:c r="G1404" s="25" t="str">
        <x:v>L2025-00003-2/[RE] (Bid Document) Digitalization of the Parliament/(Bid Document) Digitalization of the Parliament/Eng/ENG_Section 8 - Special_Conditions_of_Contract_Digitalization_Parliament.docx</x:v>
      </x:c>
      <x:c r="H1404" s="28" t="n">
        <x:v>67803</x:v>
      </x:c>
      <x:c r="I1404" s="22" t="str">
        <x:v>8e30ac26742546e2ab6f2f7ceb12cf12b5cacdeef93c84896815e8543d5a3b78</x:v>
      </x:c>
      <x:c r="J1404" s="22" t="n">
        <x:v>0</x:v>
      </x:c>
      <x:c r="K1404" s="22" t="n">
        <x:v>0</x:v>
      </x:c>
      <x:c r="L1404" s="22" t="n">
        <x:v>0</x:v>
      </x:c>
      <x:c r="M1404" s="28" t="n">
        <x:v>0</x:v>
      </x:c>
      <x:c r="N1404" s="28" t="n">
        <x:v>0</x:v>
      </x:c>
      <x:c r="O1404" s="28" t="n">
        <x:v>0</x:v>
      </x:c>
      <x:c r="P1404" s="62" t="n">
        <x:v>0</x:v>
      </x:c>
      <x:c r="Q1404" s="22" t="n">
        <x:v>0</x:v>
      </x:c>
      <x:c r="R1404" s="22" t="str"/>
      <x:c r="S1404" s="22" t="str"/>
      <x:c r="T1404" s="22" t="str"/>
    </x:row>
    <x:row r="1405">
      <x:c r="A1405" s="22" t="str">
        <x:v>2023-00027</x:v>
      </x:c>
      <x:c r="B1405" s="22" t="str">
        <x:v>L2025-00003-2</x:v>
      </x:c>
      <x:c r="C1405" s="22" t="str">
        <x:v>공사</x:v>
      </x:c>
      <x:c r="D1405" s="25" t="str">
        <x:v>키르키즈공화국 국회 디지털화 사업 시공</x:v>
      </x:c>
      <x:c r="E1405" s="22" t="n">
        <x:v>1</x:v>
      </x:c>
      <x:c r="F1405" s="22" t="str">
        <x:v>.docx</x:v>
      </x:c>
      <x:c r="G1405" s="25" t="str">
        <x:v>L2025-00003-2/[RE] (Bid Document) Digitalization of the Parliament/(Bid Document) Digitalization of the Parliament/Eng/ENG_Section 4-6 - Requirements_Digitalization_Parliament.docx</x:v>
      </x:c>
      <x:c r="H1405" s="28" t="n">
        <x:v>2489508</x:v>
      </x:c>
      <x:c r="I1405" s="22" t="str">
        <x:v>f8311fbdc24ccf9dfd68271fa9cd346ffe04a992e414376fbf7a09b5cce845b0</x:v>
      </x:c>
      <x:c r="J1405" s="22" t="n">
        <x:v>0</x:v>
      </x:c>
      <x:c r="K1405" s="22" t="n">
        <x:v>0</x:v>
      </x:c>
      <x:c r="L1405" s="22" t="n">
        <x:v>0</x:v>
      </x:c>
      <x:c r="M1405" s="28" t="n">
        <x:v>0</x:v>
      </x:c>
      <x:c r="N1405" s="28" t="n">
        <x:v>0</x:v>
      </x:c>
      <x:c r="O1405" s="28" t="n">
        <x:v>0</x:v>
      </x:c>
      <x:c r="P1405" s="62" t="n">
        <x:v>0</x:v>
      </x:c>
      <x:c r="Q1405" s="22" t="n">
        <x:v>0</x:v>
      </x:c>
      <x:c r="R1405" s="22" t="str"/>
      <x:c r="S1405" s="22" t="str"/>
      <x:c r="T1405" s="22" t="str"/>
    </x:row>
    <x:row r="1406">
      <x:c r="A1406" s="22" t="str">
        <x:v>2023-00027</x:v>
      </x:c>
      <x:c r="B1406" s="22" t="str">
        <x:v>L2025-00003-2</x:v>
      </x:c>
      <x:c r="C1406" s="22" t="str">
        <x:v>공사</x:v>
      </x:c>
      <x:c r="D1406" s="25" t="str">
        <x:v>키르키즈공화국 국회 디지털화 사업 시공</x:v>
      </x:c>
      <x:c r="E1406" s="22" t="n">
        <x:v>1</x:v>
      </x:c>
      <x:c r="F1406" s="22" t="str">
        <x:v>.docx</x:v>
      </x:c>
      <x:c r="G1406" s="25" t="str">
        <x:v>L2025-00003-2/[RE] (Bid Document) Digitalization of the Parliament/(Bid Document) Digitalization of the Parliament/Eng/ENG_Section 7 - General_Conditions_of_Contract_v1_Digitalization_Parliament.docx</x:v>
      </x:c>
      <x:c r="H1406" s="28" t="n">
        <x:v>215518</x:v>
      </x:c>
      <x:c r="I1406" s="22" t="str">
        <x:v>580ea664f5b1088f8125375cd91b37904a8dc063f6e170cc9955ae2c2c80dd4d</x:v>
      </x:c>
      <x:c r="J1406" s="22" t="n">
        <x:v>0</x:v>
      </x:c>
      <x:c r="K1406" s="22" t="n">
        <x:v>0</x:v>
      </x:c>
      <x:c r="L1406" s="22" t="n">
        <x:v>0</x:v>
      </x:c>
      <x:c r="M1406" s="28" t="n">
        <x:v>0</x:v>
      </x:c>
      <x:c r="N1406" s="28" t="n">
        <x:v>0</x:v>
      </x:c>
      <x:c r="O1406" s="28" t="n">
        <x:v>0</x:v>
      </x:c>
      <x:c r="P1406" s="62" t="n">
        <x:v>0</x:v>
      </x:c>
      <x:c r="Q1406" s="22" t="n">
        <x:v>0</x:v>
      </x:c>
      <x:c r="R1406" s="22" t="str"/>
      <x:c r="S1406" s="22" t="str"/>
      <x:c r="T1406" s="22" t="str"/>
    </x:row>
    <x:row r="1407">
      <x:c r="A1407" s="22" t="str">
        <x:v>2023-00027</x:v>
      </x:c>
      <x:c r="B1407" s="22" t="str">
        <x:v>L2025-00003-2</x:v>
      </x:c>
      <x:c r="C1407" s="22" t="str">
        <x:v>공사</x:v>
      </x:c>
      <x:c r="D1407" s="25" t="str">
        <x:v>키르키즈공화국 국회 디지털화 사업 시공</x:v>
      </x:c>
      <x:c r="E1407" s="22" t="n">
        <x:v>1</x:v>
      </x:c>
      <x:c r="F1407" s="22" t="str">
        <x:v>.docx</x:v>
      </x:c>
      <x:c r="G1407" s="25" t="str">
        <x:v>L2025-00003-2/[RE] (Bid Document) Digitalization of the Parliament/(Bid Document) Digitalization of the Parliament/Eng/ENG_Section 9 - Contract_Forms_Digitalization_Parliament_v1.docx</x:v>
      </x:c>
      <x:c r="H1407" s="28" t="n">
        <x:v>38953</x:v>
      </x:c>
      <x:c r="I1407" s="22" t="str">
        <x:v>5e5c47c728f5a837ecb0e733eed921cf6186a65ac1b525eb4c681da0c59bc2d5</x:v>
      </x:c>
      <x:c r="J1407" s="22" t="n">
        <x:v>0</x:v>
      </x:c>
      <x:c r="K1407" s="22" t="n">
        <x:v>0</x:v>
      </x:c>
      <x:c r="L1407" s="22" t="n">
        <x:v>0</x:v>
      </x:c>
      <x:c r="M1407" s="28" t="n">
        <x:v>0</x:v>
      </x:c>
      <x:c r="N1407" s="28" t="n">
        <x:v>0</x:v>
      </x:c>
      <x:c r="O1407" s="28" t="n">
        <x:v>0</x:v>
      </x:c>
      <x:c r="P1407" s="62" t="n">
        <x:v>0</x:v>
      </x:c>
      <x:c r="Q1407" s="22" t="n">
        <x:v>0</x:v>
      </x:c>
      <x:c r="R1407" s="22" t="str"/>
      <x:c r="S1407" s="22" t="str"/>
      <x:c r="T1407" s="22" t="str"/>
    </x:row>
    <x:row r="1408">
      <x:c r="A1408" s="22" t="str">
        <x:v>2023-00027</x:v>
      </x:c>
      <x:c r="B1408" s="22" t="str">
        <x:v>L2025-00003-2</x:v>
      </x:c>
      <x:c r="C1408" s="22" t="str">
        <x:v>공사</x:v>
      </x:c>
      <x:c r="D1408" s="25" t="str">
        <x:v>키르키즈공화국 국회 디지털화 사업 시공</x:v>
      </x:c>
      <x:c r="E1408" s="22" t="n">
        <x:v>1</x:v>
      </x:c>
      <x:c r="F1408" s="22" t="str">
        <x:v>.docx</x:v>
      </x:c>
      <x:c r="G1408" s="25" t="str">
        <x:v>L2025-00003-2/[RE] (Bid Document) Digitalization of the Parliament/(Bid Document) Digitalization of the Parliament/Eng/ENG_Section 2 - Bid Data Sheet_Digitalization_Parliament.docx</x:v>
      </x:c>
      <x:c r="H1408" s="28" t="n">
        <x:v>41492</x:v>
      </x:c>
      <x:c r="I1408" s="22" t="str">
        <x:v>1bf032017761f1d2d7b07146b956aa3a5641010f5139b98492eb04c884e5ff55</x:v>
      </x:c>
      <x:c r="J1408" s="22" t="n">
        <x:v>0</x:v>
      </x:c>
      <x:c r="K1408" s="22" t="n">
        <x:v>0</x:v>
      </x:c>
      <x:c r="L1408" s="22" t="n">
        <x:v>0</x:v>
      </x:c>
      <x:c r="M1408" s="28" t="n">
        <x:v>0</x:v>
      </x:c>
      <x:c r="N1408" s="28" t="n">
        <x:v>0</x:v>
      </x:c>
      <x:c r="O1408" s="28" t="n">
        <x:v>0</x:v>
      </x:c>
      <x:c r="P1408" s="62" t="n">
        <x:v>0</x:v>
      </x:c>
      <x:c r="Q1408" s="22" t="n">
        <x:v>0</x:v>
      </x:c>
      <x:c r="R1408" s="22" t="str"/>
      <x:c r="S1408" s="22" t="str"/>
      <x:c r="T1408" s="22" t="str"/>
    </x:row>
    <x:row r="1409">
      <x:c r="A1409" s="22" t="str">
        <x:v>2023-00027</x:v>
      </x:c>
      <x:c r="B1409" s="22" t="str">
        <x:v>L2025-00003-2</x:v>
      </x:c>
      <x:c r="C1409" s="22" t="str">
        <x:v>공사</x:v>
      </x:c>
      <x:c r="D1409" s="25" t="str">
        <x:v>키르키즈공화국 국회 디지털화 사업 시공</x:v>
      </x:c>
      <x:c r="E1409" s="22" t="n">
        <x:v>1</x:v>
      </x:c>
      <x:c r="F1409" s="22" t="str">
        <x:v>.doc</x:v>
      </x:c>
      <x:c r="G1409" s="25" t="str">
        <x:v>L2025-00003-2/[RE] (Bid Document) Digitalization of the Parliament/(Bid Document) Digitalization of the Parliament/Eng/ENG_Section 1 - Instructions to Bidders_ITB_Digitalization Parliament.doc</x:v>
      </x:c>
      <x:c r="H1409" s="28" t="n">
        <x:v>257231</x:v>
      </x:c>
      <x:c r="I1409" s="22" t="str">
        <x:v>e17195795075a699aa2746029d2d7bc523143809570f808e673eb191fbd77af9</x:v>
      </x:c>
      <x:c r="J1409" s="22" t="n">
        <x:v>0</x:v>
      </x:c>
      <x:c r="K1409" s="22" t="n">
        <x:v>0</x:v>
      </x:c>
      <x:c r="L1409" s="22" t="n">
        <x:v>0</x:v>
      </x:c>
      <x:c r="M1409" s="28" t="n">
        <x:v>0</x:v>
      </x:c>
      <x:c r="N1409" s="28" t="n">
        <x:v>0</x:v>
      </x:c>
      <x:c r="O1409" s="28" t="n">
        <x:v>0</x:v>
      </x:c>
      <x:c r="P1409" s="62" t="n">
        <x:v>0</x:v>
      </x:c>
      <x:c r="Q1409" s="22" t="n">
        <x:v>0</x:v>
      </x:c>
      <x:c r="R1409" s="22" t="str"/>
      <x:c r="S1409" s="22" t="str"/>
      <x:c r="T1409" s="22" t="str"/>
    </x:row>
    <x:row r="1410">
      <x:c r="A1410" s="22" t="str">
        <x:v>2023-00027</x:v>
      </x:c>
      <x:c r="B1410" s="22" t="str">
        <x:v>L2025-00003-2</x:v>
      </x:c>
      <x:c r="C1410" s="22" t="str">
        <x:v>공사</x:v>
      </x:c>
      <x:c r="D1410" s="25" t="str">
        <x:v>키르키즈공화국 국회 디지털화 사업 시공</x:v>
      </x:c>
      <x:c r="E1410" s="22" t="n">
        <x:v>1</x:v>
      </x:c>
      <x:c r="F1410" s="22" t="str">
        <x:v>.docx</x:v>
      </x:c>
      <x:c r="G1410" s="25" t="str">
        <x:v>L2025-00003-2/[RE] (Bid Document) Digitalization of the Parliament/(Bid Document) Digitalization of the Parliament/Rus/RUS_Section 8_Special_Conditions_of_Contract_Digitalization_Parliament.docx</x:v>
      </x:c>
      <x:c r="H1410" s="28" t="n">
        <x:v>72601</x:v>
      </x:c>
      <x:c r="I1410" s="22" t="str">
        <x:v>3f24a1f99046b1b1f43a96ac676b48367808e931790b7158ad5a75eb030ef1ee</x:v>
      </x:c>
      <x:c r="J1410" s="22" t="n">
        <x:v>0</x:v>
      </x:c>
      <x:c r="K1410" s="22" t="n">
        <x:v>0</x:v>
      </x:c>
      <x:c r="L1410" s="22" t="n">
        <x:v>0</x:v>
      </x:c>
      <x:c r="M1410" s="28" t="n">
        <x:v>0</x:v>
      </x:c>
      <x:c r="N1410" s="28" t="n">
        <x:v>0</x:v>
      </x:c>
      <x:c r="O1410" s="28" t="n">
        <x:v>0</x:v>
      </x:c>
      <x:c r="P1410" s="62" t="n">
        <x:v>0</x:v>
      </x:c>
      <x:c r="Q1410" s="22" t="n">
        <x:v>0</x:v>
      </x:c>
      <x:c r="R1410" s="22" t="str"/>
      <x:c r="S1410" s="22" t="str"/>
      <x:c r="T1410" s="22" t="str"/>
    </x:row>
    <x:row r="1411">
      <x:c r="A1411" s="22" t="str">
        <x:v>2023-00027</x:v>
      </x:c>
      <x:c r="B1411" s="22" t="str">
        <x:v>L2025-00003-2</x:v>
      </x:c>
      <x:c r="C1411" s="22" t="str">
        <x:v>공사</x:v>
      </x:c>
      <x:c r="D1411" s="25" t="str">
        <x:v>키르키즈공화국 국회 디지털화 사업 시공</x:v>
      </x:c>
      <x:c r="E1411" s="22" t="n">
        <x:v>1</x:v>
      </x:c>
      <x:c r="F1411" s="22" t="str">
        <x:v>.docx</x:v>
      </x:c>
      <x:c r="G1411" s="25" t="str">
        <x:v>L2025-00003-2/[RE] (Bid Document) Digitalization of the Parliament/(Bid Document) Digitalization of the Parliament/Rus/RUS_Section 4-6 - Requirements_Digitalization_Parliament.docx</x:v>
      </x:c>
      <x:c r="H1411" s="28" t="n">
        <x:v>2470431</x:v>
      </x:c>
      <x:c r="I1411" s="22" t="str">
        <x:v>4ea91c122375c02ea7e2b336cc9bee0c7a4032df908a4a9e330092b7733da460</x:v>
      </x:c>
      <x:c r="J1411" s="22" t="n">
        <x:v>0</x:v>
      </x:c>
      <x:c r="K1411" s="22" t="n">
        <x:v>0</x:v>
      </x:c>
      <x:c r="L1411" s="22" t="n">
        <x:v>0</x:v>
      </x:c>
      <x:c r="M1411" s="28" t="n">
        <x:v>0</x:v>
      </x:c>
      <x:c r="N1411" s="28" t="n">
        <x:v>0</x:v>
      </x:c>
      <x:c r="O1411" s="28" t="n">
        <x:v>0</x:v>
      </x:c>
      <x:c r="P1411" s="62" t="n">
        <x:v>0</x:v>
      </x:c>
      <x:c r="Q1411" s="22" t="n">
        <x:v>0</x:v>
      </x:c>
      <x:c r="R1411" s="22" t="str"/>
      <x:c r="S1411" s="22" t="str"/>
      <x:c r="T1411" s="22" t="str"/>
    </x:row>
    <x:row r="1412">
      <x:c r="A1412" s="22" t="str">
        <x:v>2023-00027</x:v>
      </x:c>
      <x:c r="B1412" s="22" t="str">
        <x:v>L2025-00003-2</x:v>
      </x:c>
      <x:c r="C1412" s="22" t="str">
        <x:v>공사</x:v>
      </x:c>
      <x:c r="D1412" s="25" t="str">
        <x:v>키르키즈공화국 국회 디지털화 사업 시공</x:v>
      </x:c>
      <x:c r="E1412" s="22" t="n">
        <x:v>1</x:v>
      </x:c>
      <x:c r="F1412" s="22" t="str">
        <x:v>.doc</x:v>
      </x:c>
      <x:c r="G1412" s="25" t="str">
        <x:v>L2025-00003-2/[RE] (Bid Document) Digitalization of the Parliament/(Bid Document) Digitalization of the Parliament/Rus/RUS_Section 3 - Bidding Forms_Digitalization_Parliament.doc</x:v>
      </x:c>
      <x:c r="H1412" s="28" t="n">
        <x:v>293888</x:v>
      </x:c>
      <x:c r="I1412" s="22" t="str">
        <x:v>7749d19abb2a55bb64304dde7c75689d941279d6ada78b131318eb63fb284091</x:v>
      </x:c>
      <x:c r="J1412" s="22" t="n">
        <x:v>0</x:v>
      </x:c>
      <x:c r="K1412" s="22" t="n">
        <x:v>0</x:v>
      </x:c>
      <x:c r="L1412" s="22" t="n">
        <x:v>0</x:v>
      </x:c>
      <x:c r="M1412" s="28" t="n">
        <x:v>0</x:v>
      </x:c>
      <x:c r="N1412" s="28" t="n">
        <x:v>0</x:v>
      </x:c>
      <x:c r="O1412" s="28" t="n">
        <x:v>0</x:v>
      </x:c>
      <x:c r="P1412" s="62" t="n">
        <x:v>0</x:v>
      </x:c>
      <x:c r="Q1412" s="22" t="n">
        <x:v>0</x:v>
      </x:c>
      <x:c r="R1412" s="22" t="str"/>
      <x:c r="S1412" s="22" t="str"/>
      <x:c r="T1412" s="22" t="str"/>
    </x:row>
    <x:row r="1413">
      <x:c r="A1413" s="22" t="str">
        <x:v>2023-00027</x:v>
      </x:c>
      <x:c r="B1413" s="22" t="str">
        <x:v>L2025-00003-2</x:v>
      </x:c>
      <x:c r="C1413" s="22" t="str">
        <x:v>공사</x:v>
      </x:c>
      <x:c r="D1413" s="25" t="str">
        <x:v>키르키즈공화국 국회 디지털화 사업 시공</x:v>
      </x:c>
      <x:c r="E1413" s="22" t="n">
        <x:v>1</x:v>
      </x:c>
      <x:c r="F1413" s="22" t="str">
        <x:v>.docx</x:v>
      </x:c>
      <x:c r="G1413" s="25" t="str">
        <x:v>L2025-00003-2/[RE] (Bid Document) Digitalization of the Parliament/(Bid Document) Digitalization of the Parliament/Rus/RUS_Section 7_General_Conditions_of_Contract_v1_Digitalization_Parliament.docx</x:v>
      </x:c>
      <x:c r="H1413" s="28" t="n">
        <x:v>200355</x:v>
      </x:c>
      <x:c r="I1413" s="22" t="str">
        <x:v>56d675ec3bb1c78ffbd2c8253036bc7ca58101acb65e9af5f1b8ad84187d418e</x:v>
      </x:c>
      <x:c r="J1413" s="22" t="n">
        <x:v>0</x:v>
      </x:c>
      <x:c r="K1413" s="22" t="n">
        <x:v>0</x:v>
      </x:c>
      <x:c r="L1413" s="22" t="n">
        <x:v>0</x:v>
      </x:c>
      <x:c r="M1413" s="28" t="n">
        <x:v>0</x:v>
      </x:c>
      <x:c r="N1413" s="28" t="n">
        <x:v>0</x:v>
      </x:c>
      <x:c r="O1413" s="28" t="n">
        <x:v>0</x:v>
      </x:c>
      <x:c r="P1413" s="62" t="n">
        <x:v>0</x:v>
      </x:c>
      <x:c r="Q1413" s="22" t="n">
        <x:v>0</x:v>
      </x:c>
      <x:c r="R1413" s="22" t="str"/>
      <x:c r="S1413" s="22" t="str"/>
      <x:c r="T1413" s="22" t="str"/>
    </x:row>
    <x:row r="1414">
      <x:c r="A1414" s="22" t="str">
        <x:v>2023-00027</x:v>
      </x:c>
      <x:c r="B1414" s="22" t="str">
        <x:v>L2025-00003-2</x:v>
      </x:c>
      <x:c r="C1414" s="22" t="str">
        <x:v>공사</x:v>
      </x:c>
      <x:c r="D1414" s="25" t="str">
        <x:v>키르키즈공화국 국회 디지털화 사업 시공</x:v>
      </x:c>
      <x:c r="E1414" s="22" t="n">
        <x:v>1</x:v>
      </x:c>
      <x:c r="F1414" s="22" t="str">
        <x:v>.docx</x:v>
      </x:c>
      <x:c r="G1414" s="25" t="str">
        <x:v>L2025-00003-2/[RE] (Bid Document) Digitalization of the Parliament/(Bid Document) Digitalization of the Parliament/Rus/RUS_Section 9 - Contract Forms_Digitalization_Parliament_v1.docx</x:v>
      </x:c>
      <x:c r="H1414" s="28" t="n">
        <x:v>18328</x:v>
      </x:c>
      <x:c r="I1414" s="22" t="str">
        <x:v>08433c85a2844abb1f7952f48b6f1ff6ef08b33fcc134fec2f95454c1a15601b</x:v>
      </x:c>
      <x:c r="J1414" s="22" t="n">
        <x:v>0</x:v>
      </x:c>
      <x:c r="K1414" s="22" t="n">
        <x:v>0</x:v>
      </x:c>
      <x:c r="L1414" s="22" t="n">
        <x:v>0</x:v>
      </x:c>
      <x:c r="M1414" s="28" t="n">
        <x:v>0</x:v>
      </x:c>
      <x:c r="N1414" s="28" t="n">
        <x:v>0</x:v>
      </x:c>
      <x:c r="O1414" s="28" t="n">
        <x:v>0</x:v>
      </x:c>
      <x:c r="P1414" s="62" t="n">
        <x:v>0</x:v>
      </x:c>
      <x:c r="Q1414" s="22" t="n">
        <x:v>0</x:v>
      </x:c>
      <x:c r="R1414" s="22" t="str"/>
      <x:c r="S1414" s="22" t="str"/>
      <x:c r="T1414" s="22" t="str"/>
    </x:row>
    <x:row r="1415">
      <x:c r="A1415" s="22" t="str">
        <x:v>2023-00027</x:v>
      </x:c>
      <x:c r="B1415" s="22" t="str">
        <x:v>L2025-00003-2</x:v>
      </x:c>
      <x:c r="C1415" s="22" t="str">
        <x:v>공사</x:v>
      </x:c>
      <x:c r="D1415" s="25" t="str">
        <x:v>키르키즈공화국 국회 디지털화 사업 시공</x:v>
      </x:c>
      <x:c r="E1415" s="22" t="n">
        <x:v>1</x:v>
      </x:c>
      <x:c r="F1415" s="22" t="str">
        <x:v>.docx</x:v>
      </x:c>
      <x:c r="G1415" s="25" t="str">
        <x:v>L2025-00003-2/[RE] (Bid Document) Digitalization of the Parliament/(Bid Document) Digitalization of the Parliament/Rus/RUS_Section 2 - Bid Data Sheet_Digitalization_Parliament.docx</x:v>
      </x:c>
      <x:c r="H1415" s="28" t="n">
        <x:v>43147</x:v>
      </x:c>
      <x:c r="I1415" s="22" t="str">
        <x:v>84658085cc5a577564a61f62c1889f5dddbcaa482c3bfcdd348130f57d481c6e</x:v>
      </x:c>
      <x:c r="J1415" s="22" t="n">
        <x:v>0</x:v>
      </x:c>
      <x:c r="K1415" s="22" t="n">
        <x:v>0</x:v>
      </x:c>
      <x:c r="L1415" s="22" t="n">
        <x:v>0</x:v>
      </x:c>
      <x:c r="M1415" s="28" t="n">
        <x:v>0</x:v>
      </x:c>
      <x:c r="N1415" s="28" t="n">
        <x:v>0</x:v>
      </x:c>
      <x:c r="O1415" s="28" t="n">
        <x:v>0</x:v>
      </x:c>
      <x:c r="P1415" s="62" t="n">
        <x:v>0</x:v>
      </x:c>
      <x:c r="Q1415" s="22" t="n">
        <x:v>0</x:v>
      </x:c>
      <x:c r="R1415" s="22" t="str"/>
      <x:c r="S1415" s="22" t="str"/>
      <x:c r="T1415" s="22" t="str"/>
    </x:row>
    <x:row r="1416">
      <x:c r="A1416" s="22" t="str">
        <x:v>2023-00027</x:v>
      </x:c>
      <x:c r="B1416" s="22" t="str">
        <x:v>L2025-00003-2</x:v>
      </x:c>
      <x:c r="C1416" s="22" t="str">
        <x:v>공사</x:v>
      </x:c>
      <x:c r="D1416" s="25" t="str">
        <x:v>키르키즈공화국 국회 디지털화 사업 시공</x:v>
      </x:c>
      <x:c r="E1416" s="22" t="n">
        <x:v>1</x:v>
      </x:c>
      <x:c r="F1416" s="22" t="str">
        <x:v>.docx</x:v>
      </x:c>
      <x:c r="G1416" s="25" t="str">
        <x:v>L2025-00003-2/[RE] (Bid Document) Digitalization of the Parliament/(Bid Document) Digitalization of the Parliament/Rus/RUS_Section 1_Instructions_to_Bidders_ITB_Digitalization_Parliament.docx</x:v>
      </x:c>
      <x:c r="H1416" s="28" t="n">
        <x:v>40163</x:v>
      </x:c>
      <x:c r="I1416" s="22" t="str">
        <x:v>da3705546e7a78ee22d9acb1416c52efcb1d75b6519f702090942c4d7ba31511</x:v>
      </x:c>
      <x:c r="J1416" s="22" t="n">
        <x:v>0</x:v>
      </x:c>
      <x:c r="K1416" s="22" t="n">
        <x:v>0</x:v>
      </x:c>
      <x:c r="L1416" s="22" t="n">
        <x:v>0</x:v>
      </x:c>
      <x:c r="M1416" s="28" t="n">
        <x:v>0</x:v>
      </x:c>
      <x:c r="N1416" s="28" t="n">
        <x:v>0</x:v>
      </x:c>
      <x:c r="O1416" s="28" t="n">
        <x:v>0</x:v>
      </x:c>
      <x:c r="P1416" s="62" t="n">
        <x:v>0</x:v>
      </x:c>
      <x:c r="Q1416" s="22" t="n">
        <x:v>0</x:v>
      </x:c>
      <x:c r="R1416" s="22" t="str"/>
      <x:c r="S1416" s="22" t="str"/>
      <x:c r="T1416" s="22" t="str"/>
    </x:row>
    <x:row r="1417">
      <x:c r="A1417" s="22" t="str">
        <x:v>2023-00027</x:v>
      </x:c>
      <x:c r="B1417" s="22" t="str">
        <x:v>L2025-00028-1</x:v>
      </x:c>
      <x:c r="C1417" s="22" t="str">
        <x:v>공사</x:v>
      </x:c>
      <x:c r="D1417" s="25" t="str">
        <x:v>키르키즈공화국 국회 디지털화 사업 시공</x:v>
      </x:c>
      <x:c r="E1417" s="22" t="n">
        <x:v>1</x:v>
      </x:c>
      <x:c r="F1417" s="22" t="str">
        <x:v>.zip</x:v>
      </x:c>
      <x:c r="G1417" s="25" t="str">
        <x:v>L2025-00028-1/Bid_Document_Digitalization_of_the_Parliament_KG_2025_04_May.zip</x:v>
      </x:c>
      <x:c r="H1417" s="28" t="n">
        <x:v>5894008</x:v>
      </x:c>
      <x:c r="I1417" s="22" t="str">
        <x:v>6aeeec8141f69bf82a1fe640df51306e3cc368cdc76a7c037546d34d5371be0f</x:v>
      </x:c>
      <x:c r="J1417" s="22" t="n">
        <x:v>0</x:v>
      </x:c>
      <x:c r="K1417" s="22" t="n">
        <x:v>0</x:v>
      </x:c>
      <x:c r="L1417" s="22" t="n">
        <x:v>0</x:v>
      </x:c>
      <x:c r="M1417" s="28" t="n">
        <x:v>0</x:v>
      </x:c>
      <x:c r="N1417" s="28" t="n">
        <x:v>0</x:v>
      </x:c>
      <x:c r="O1417" s="28" t="n">
        <x:v>0</x:v>
      </x:c>
      <x:c r="P1417" s="62" t="n">
        <x:v>0</x:v>
      </x:c>
      <x:c r="Q1417" s="22" t="n">
        <x:v>0</x:v>
      </x:c>
      <x:c r="R1417" s="22" t="str"/>
      <x:c r="S1417" s="22" t="str"/>
      <x:c r="T1417" s="22" t="str"/>
    </x:row>
    <x:row r="1418">
      <x:c r="A1418" s="22" t="str">
        <x:v>2023-00027</x:v>
      </x:c>
      <x:c r="B1418" s="22" t="str">
        <x:v>L2025-00028-1</x:v>
      </x:c>
      <x:c r="C1418" s="22" t="str">
        <x:v>공사</x:v>
      </x:c>
      <x:c r="D1418" s="25" t="str">
        <x:v>키르키즈공화국 국회 디지털화 사업 시공</x:v>
      </x:c>
      <x:c r="E1418" s="22" t="n">
        <x:v>1</x:v>
      </x:c>
      <x:c r="F1418" s="22" t="str">
        <x:v>.pdf</x:v>
      </x:c>
      <x:c r="G1418" s="25" t="str">
        <x:v>L2025-00028-1/Bid_Document_Digitalization_of_the_Parliament_KG_2025_04_May/[2RE] (Bid Document) Digitalization of the Parliament_KG-2025-04_May 20,2025/250428_JUNIPER_Agreement_for_the_supply_of_goods_or_technical_support.pdf</x:v>
      </x:c>
      <x:c r="H1418" s="28" t="n">
        <x:v>453314</x:v>
      </x:c>
      <x:c r="I1418" s="22" t="str">
        <x:v>6c1b0b9a32e1503076fc878d4a820183e142d023f969064e00fcb87f32c4a81c</x:v>
      </x:c>
      <x:c r="J1418" s="22" t="n">
        <x:v>0</x:v>
      </x:c>
      <x:c r="K1418" s="22" t="n">
        <x:v>0</x:v>
      </x:c>
      <x:c r="L1418" s="22" t="n">
        <x:v>0</x:v>
      </x:c>
      <x:c r="M1418" s="28" t="n">
        <x:v>0</x:v>
      </x:c>
      <x:c r="N1418" s="28" t="n">
        <x:v>0</x:v>
      </x:c>
      <x:c r="O1418" s="28" t="n">
        <x:v>0</x:v>
      </x:c>
      <x:c r="P1418" s="62" t="n">
        <x:v>0</x:v>
      </x:c>
      <x:c r="Q1418" s="22" t="n">
        <x:v>0</x:v>
      </x:c>
      <x:c r="R1418" s="22" t="str"/>
      <x:c r="S1418" s="22" t="str"/>
      <x:c r="T1418" s="22" t="str"/>
    </x:row>
    <x:row r="1419">
      <x:c r="A1419" s="22" t="str">
        <x:v>2023-00027</x:v>
      </x:c>
      <x:c r="B1419" s="22" t="str">
        <x:v>L2025-00028-1</x:v>
      </x:c>
      <x:c r="C1419" s="22" t="str">
        <x:v>공사</x:v>
      </x:c>
      <x:c r="D1419" s="25" t="str">
        <x:v>키르키즈공화국 국회 디지털화 사업 시공</x:v>
      </x:c>
      <x:c r="E1419" s="22" t="n">
        <x:v>1</x:v>
      </x:c>
      <x:c r="F1419" s="22" t="str">
        <x:v>.doc</x:v>
      </x:c>
      <x:c r="G1419" s="25" t="str">
        <x:v>L2025-00028-1/Bid_Document_Digitalization_of_the_Parliament_KG_2025_04_May/[2RE] (Bid Document) Digitalization of the Parliament_KG-2025-04_May 20,2025/Eng/ENG_Section 1 - Instructions to Bidders_ITB_Digitalization_Parliament.doc</x:v>
      </x:c>
      <x:c r="H1419" s="28" t="n">
        <x:v>257231</x:v>
      </x:c>
      <x:c r="I1419" s="22" t="str">
        <x:v>e17195795075a699aa2746029d2d7bc523143809570f808e673eb191fbd77af9</x:v>
      </x:c>
      <x:c r="J1419" s="22" t="n">
        <x:v>0</x:v>
      </x:c>
      <x:c r="K1419" s="22" t="n">
        <x:v>0</x:v>
      </x:c>
      <x:c r="L1419" s="22" t="n">
        <x:v>0</x:v>
      </x:c>
      <x:c r="M1419" s="28" t="n">
        <x:v>0</x:v>
      </x:c>
      <x:c r="N1419" s="28" t="n">
        <x:v>0</x:v>
      </x:c>
      <x:c r="O1419" s="28" t="n">
        <x:v>0</x:v>
      </x:c>
      <x:c r="P1419" s="62" t="n">
        <x:v>0</x:v>
      </x:c>
      <x:c r="Q1419" s="22" t="n">
        <x:v>0</x:v>
      </x:c>
      <x:c r="R1419" s="22" t="str"/>
      <x:c r="S1419" s="22" t="str"/>
      <x:c r="T1419" s="22" t="str"/>
    </x:row>
    <x:row r="1420">
      <x:c r="A1420" s="22" t="str">
        <x:v>2023-00027</x:v>
      </x:c>
      <x:c r="B1420" s="22" t="str">
        <x:v>L2025-00028-1</x:v>
      </x:c>
      <x:c r="C1420" s="22" t="str">
        <x:v>공사</x:v>
      </x:c>
      <x:c r="D1420" s="25" t="str">
        <x:v>키르키즈공화국 국회 디지털화 사업 시공</x:v>
      </x:c>
      <x:c r="E1420" s="22" t="n">
        <x:v>1</x:v>
      </x:c>
      <x:c r="F1420" s="22" t="str">
        <x:v>.doc</x:v>
      </x:c>
      <x:c r="G1420" s="25" t="str">
        <x:v>L2025-00028-1/Bid_Document_Digitalization_of_the_Parliament_KG_2025_04_May/[2RE] (Bid Document) Digitalization of the Parliament_KG-2025-04_May 20,2025/Eng/ENG_Section 3 - Bidding_Forms_Digitalization_Parliament.doc</x:v>
      </x:c>
      <x:c r="H1420" s="28" t="n">
        <x:v>249856</x:v>
      </x:c>
      <x:c r="I1420" s="22" t="str">
        <x:v>5eeb37acbe3ae947e969e40f74066d43fd0ef84b211755a56183d322919f8696</x:v>
      </x:c>
      <x:c r="J1420" s="22" t="n">
        <x:v>0</x:v>
      </x:c>
      <x:c r="K1420" s="22" t="n">
        <x:v>0</x:v>
      </x:c>
      <x:c r="L1420" s="22" t="n">
        <x:v>0</x:v>
      </x:c>
      <x:c r="M1420" s="28" t="n">
        <x:v>0</x:v>
      </x:c>
      <x:c r="N1420" s="28" t="n">
        <x:v>0</x:v>
      </x:c>
      <x:c r="O1420" s="28" t="n">
        <x:v>0</x:v>
      </x:c>
      <x:c r="P1420" s="62" t="n">
        <x:v>0</x:v>
      </x:c>
      <x:c r="Q1420" s="22" t="n">
        <x:v>0</x:v>
      </x:c>
      <x:c r="R1420" s="22" t="str"/>
      <x:c r="S1420" s="22" t="str"/>
      <x:c r="T1420" s="22" t="str"/>
    </x:row>
    <x:row r="1421">
      <x:c r="A1421" s="22" t="str">
        <x:v>2023-00027</x:v>
      </x:c>
      <x:c r="B1421" s="22" t="str">
        <x:v>L2025-00028-1</x:v>
      </x:c>
      <x:c r="C1421" s="22" t="str">
        <x:v>공사</x:v>
      </x:c>
      <x:c r="D1421" s="25" t="str">
        <x:v>키르키즈공화국 국회 디지털화 사업 시공</x:v>
      </x:c>
      <x:c r="E1421" s="22" t="n">
        <x:v>1</x:v>
      </x:c>
      <x:c r="F1421" s="22" t="str">
        <x:v>.docx</x:v>
      </x:c>
      <x:c r="G1421" s="25" t="str">
        <x:v>L2025-00028-1/Bid_Document_Digitalization_of_the_Parliament_KG_2025_04_May/[2RE] (Bid Document) Digitalization of the Parliament_KG-2025-04_May 20,2025/Eng/ENG_Section 2 -Bid_Data_Sheet_Digitalization_Parliament.docx</x:v>
      </x:c>
      <x:c r="H1421" s="28" t="n">
        <x:v>55013</x:v>
      </x:c>
      <x:c r="I1421" s="22" t="str">
        <x:v>0e233852476ab2b35073344024b87f71c9617ecaef14d34c6effdb6a985062ea</x:v>
      </x:c>
      <x:c r="J1421" s="22" t="n">
        <x:v>0</x:v>
      </x:c>
      <x:c r="K1421" s="22" t="n">
        <x:v>0</x:v>
      </x:c>
      <x:c r="L1421" s="22" t="n">
        <x:v>0</x:v>
      </x:c>
      <x:c r="M1421" s="28" t="n">
        <x:v>0</x:v>
      </x:c>
      <x:c r="N1421" s="28" t="n">
        <x:v>0</x:v>
      </x:c>
      <x:c r="O1421" s="28" t="n">
        <x:v>0</x:v>
      </x:c>
      <x:c r="P1421" s="62" t="n">
        <x:v>0</x:v>
      </x:c>
      <x:c r="Q1421" s="22" t="n">
        <x:v>0</x:v>
      </x:c>
      <x:c r="R1421" s="22" t="str"/>
      <x:c r="S1421" s="22" t="str"/>
      <x:c r="T1421" s="22" t="str"/>
    </x:row>
    <x:row r="1422">
      <x:c r="A1422" s="22" t="str">
        <x:v>2023-00027</x:v>
      </x:c>
      <x:c r="B1422" s="22" t="str">
        <x:v>L2025-00028-1</x:v>
      </x:c>
      <x:c r="C1422" s="22" t="str">
        <x:v>공사</x:v>
      </x:c>
      <x:c r="D1422" s="25" t="str">
        <x:v>키르키즈공화국 국회 디지털화 사업 시공</x:v>
      </x:c>
      <x:c r="E1422" s="22" t="n">
        <x:v>1</x:v>
      </x:c>
      <x:c r="F1422" s="22" t="str">
        <x:v>.docx</x:v>
      </x:c>
      <x:c r="G1422" s="25" t="str">
        <x:v>L2025-00028-1/Bid_Document_Digitalization_of_the_Parliament_KG_2025_04_May/[2RE] (Bid Document) Digitalization of the Parliament_KG-2025-04_May 20,2025/Eng/ENG_Section 9 - Contract_Forms_Digitalization_Parliament.docx</x:v>
      </x:c>
      <x:c r="H1422" s="28" t="n">
        <x:v>38953</x:v>
      </x:c>
      <x:c r="I1422" s="22" t="str">
        <x:v>5e5c47c728f5a837ecb0e733eed921cf6186a65ac1b525eb4c681da0c59bc2d5</x:v>
      </x:c>
      <x:c r="J1422" s="22" t="n">
        <x:v>0</x:v>
      </x:c>
      <x:c r="K1422" s="22" t="n">
        <x:v>0</x:v>
      </x:c>
      <x:c r="L1422" s="22" t="n">
        <x:v>0</x:v>
      </x:c>
      <x:c r="M1422" s="28" t="n">
        <x:v>0</x:v>
      </x:c>
      <x:c r="N1422" s="28" t="n">
        <x:v>0</x:v>
      </x:c>
      <x:c r="O1422" s="28" t="n">
        <x:v>0</x:v>
      </x:c>
      <x:c r="P1422" s="62" t="n">
        <x:v>0</x:v>
      </x:c>
      <x:c r="Q1422" s="22" t="n">
        <x:v>0</x:v>
      </x:c>
      <x:c r="R1422" s="22" t="str"/>
      <x:c r="S1422" s="22" t="str"/>
      <x:c r="T1422" s="22" t="str"/>
    </x:row>
    <x:row r="1423">
      <x:c r="A1423" s="22" t="str">
        <x:v>2023-00027</x:v>
      </x:c>
      <x:c r="B1423" s="22" t="str">
        <x:v>L2025-00028-1</x:v>
      </x:c>
      <x:c r="C1423" s="22" t="str">
        <x:v>공사</x:v>
      </x:c>
      <x:c r="D1423" s="25" t="str">
        <x:v>키르키즈공화국 국회 디지털화 사업 시공</x:v>
      </x:c>
      <x:c r="E1423" s="22" t="n">
        <x:v>1</x:v>
      </x:c>
      <x:c r="F1423" s="22" t="str">
        <x:v>.docx</x:v>
      </x:c>
      <x:c r="G1423" s="25" t="str">
        <x:v>L2025-00028-1/Bid_Document_Digitalization_of_the_Parliament_KG_2025_04_May/[2RE] (Bid Document) Digitalization of the Parliament_KG-2025-04_May 20,2025/Eng/ENG_Section 8 - Special_Conditions_of_Contract_Digitalization_Parliament.docx</x:v>
      </x:c>
      <x:c r="H1423" s="28" t="n">
        <x:v>67803</x:v>
      </x:c>
      <x:c r="I1423" s="22" t="str">
        <x:v>8e30ac26742546e2ab6f2f7ceb12cf12b5cacdeef93c84896815e8543d5a3b78</x:v>
      </x:c>
      <x:c r="J1423" s="22" t="n">
        <x:v>0</x:v>
      </x:c>
      <x:c r="K1423" s="22" t="n">
        <x:v>0</x:v>
      </x:c>
      <x:c r="L1423" s="22" t="n">
        <x:v>0</x:v>
      </x:c>
      <x:c r="M1423" s="28" t="n">
        <x:v>0</x:v>
      </x:c>
      <x:c r="N1423" s="28" t="n">
        <x:v>0</x:v>
      </x:c>
      <x:c r="O1423" s="28" t="n">
        <x:v>0</x:v>
      </x:c>
      <x:c r="P1423" s="62" t="n">
        <x:v>0</x:v>
      </x:c>
      <x:c r="Q1423" s="22" t="n">
        <x:v>0</x:v>
      </x:c>
      <x:c r="R1423" s="22" t="str"/>
      <x:c r="S1423" s="22" t="str"/>
      <x:c r="T1423" s="22" t="str"/>
    </x:row>
    <x:row r="1424">
      <x:c r="A1424" s="22" t="str">
        <x:v>2023-00027</x:v>
      </x:c>
      <x:c r="B1424" s="22" t="str">
        <x:v>L2025-00028-1</x:v>
      </x:c>
      <x:c r="C1424" s="22" t="str">
        <x:v>공사</x:v>
      </x:c>
      <x:c r="D1424" s="25" t="str">
        <x:v>키르키즈공화국 국회 디지털화 사업 시공</x:v>
      </x:c>
      <x:c r="E1424" s="22" t="n">
        <x:v>1</x:v>
      </x:c>
      <x:c r="F1424" s="22" t="str">
        <x:v>.docx</x:v>
      </x:c>
      <x:c r="G1424" s="25" t="str">
        <x:v>L2025-00028-1/Bid_Document_Digitalization_of_the_Parliament_KG_2025_04_May/[2RE] (Bid Document) Digitalization of the Parliament_KG-2025-04_May 20,2025/Eng/ENG_Section 4-6 - Requirements_Digitalization_Parliament.docx</x:v>
      </x:c>
      <x:c r="H1424" s="28" t="n">
        <x:v>2380629</x:v>
      </x:c>
      <x:c r="I1424" s="22" t="str">
        <x:v>5d0b5aac5ca540abc120d5125db553dec00e9e364c1042fdf778c4b02130f7fd</x:v>
      </x:c>
      <x:c r="J1424" s="22" t="n">
        <x:v>0</x:v>
      </x:c>
      <x:c r="K1424" s="22" t="n">
        <x:v>0</x:v>
      </x:c>
      <x:c r="L1424" s="22" t="n">
        <x:v>0</x:v>
      </x:c>
      <x:c r="M1424" s="28" t="n">
        <x:v>0</x:v>
      </x:c>
      <x:c r="N1424" s="28" t="n">
        <x:v>0</x:v>
      </x:c>
      <x:c r="O1424" s="28" t="n">
        <x:v>0</x:v>
      </x:c>
      <x:c r="P1424" s="62" t="n">
        <x:v>0</x:v>
      </x:c>
      <x:c r="Q1424" s="22" t="n">
        <x:v>0</x:v>
      </x:c>
      <x:c r="R1424" s="22" t="str"/>
      <x:c r="S1424" s="22" t="str"/>
      <x:c r="T1424" s="22" t="str"/>
    </x:row>
    <x:row r="1425">
      <x:c r="A1425" s="22" t="str">
        <x:v>2023-00027</x:v>
      </x:c>
      <x:c r="B1425" s="22" t="str">
        <x:v>L2025-00028-1</x:v>
      </x:c>
      <x:c r="C1425" s="22" t="str">
        <x:v>공사</x:v>
      </x:c>
      <x:c r="D1425" s="25" t="str">
        <x:v>키르키즈공화국 국회 디지털화 사업 시공</x:v>
      </x:c>
      <x:c r="E1425" s="22" t="n">
        <x:v>1</x:v>
      </x:c>
      <x:c r="F1425" s="22" t="str">
        <x:v>.docx</x:v>
      </x:c>
      <x:c r="G1425" s="25" t="str">
        <x:v>L2025-00028-1/Bid_Document_Digitalization_of_the_Parliament_KG_2025_04_May/[2RE] (Bid Document) Digitalization of the Parliament_KG-2025-04_May 20,2025/Eng/ENG_Section 7 - General_Conditions_of_Contract_Digitalization_Parliament.docx</x:v>
      </x:c>
      <x:c r="H1425" s="28" t="n">
        <x:v>215518</x:v>
      </x:c>
      <x:c r="I1425" s="22" t="str">
        <x:v>580ea664f5b1088f8125375cd91b37904a8dc063f6e170cc9955ae2c2c80dd4d</x:v>
      </x:c>
      <x:c r="J1425" s="22" t="n">
        <x:v>0</x:v>
      </x:c>
      <x:c r="K1425" s="22" t="n">
        <x:v>0</x:v>
      </x:c>
      <x:c r="L1425" s="22" t="n">
        <x:v>0</x:v>
      </x:c>
      <x:c r="M1425" s="28" t="n">
        <x:v>0</x:v>
      </x:c>
      <x:c r="N1425" s="28" t="n">
        <x:v>0</x:v>
      </x:c>
      <x:c r="O1425" s="28" t="n">
        <x:v>0</x:v>
      </x:c>
      <x:c r="P1425" s="62" t="n">
        <x:v>0</x:v>
      </x:c>
      <x:c r="Q1425" s="22" t="n">
        <x:v>0</x:v>
      </x:c>
      <x:c r="R1425" s="22" t="str"/>
      <x:c r="S1425" s="22" t="str"/>
      <x:c r="T1425" s="22" t="str"/>
    </x:row>
    <x:row r="1426">
      <x:c r="A1426" s="22" t="str">
        <x:v>2023-00027</x:v>
      </x:c>
      <x:c r="B1426" s="22" t="str">
        <x:v>L2025-00028-1</x:v>
      </x:c>
      <x:c r="C1426" s="22" t="str">
        <x:v>공사</x:v>
      </x:c>
      <x:c r="D1426" s="25" t="str">
        <x:v>키르키즈공화국 국회 디지털화 사업 시공</x:v>
      </x:c>
      <x:c r="E1426" s="22" t="n">
        <x:v>1</x:v>
      </x:c>
      <x:c r="F1426" s="22" t="str">
        <x:v>.docx</x:v>
      </x:c>
      <x:c r="G1426" s="25" t="str">
        <x:v>L2025-00028-1/Bid_Document_Digitalization_of_the_Parliament_KG_2025_04_May/[2RE] (Bid Document) Digitalization of the Parliament_KG-2025-04_May 20,2025/Rus/RUS_Section 9 - Contract Forms_Digitalization_Parliament.docx</x:v>
      </x:c>
      <x:c r="H1426" s="28" t="n">
        <x:v>18328</x:v>
      </x:c>
      <x:c r="I1426" s="22" t="str">
        <x:v>08433c85a2844abb1f7952f48b6f1ff6ef08b33fcc134fec2f95454c1a15601b</x:v>
      </x:c>
      <x:c r="J1426" s="22" t="n">
        <x:v>0</x:v>
      </x:c>
      <x:c r="K1426" s="22" t="n">
        <x:v>0</x:v>
      </x:c>
      <x:c r="L1426" s="22" t="n">
        <x:v>0</x:v>
      </x:c>
      <x:c r="M1426" s="28" t="n">
        <x:v>0</x:v>
      </x:c>
      <x:c r="N1426" s="28" t="n">
        <x:v>0</x:v>
      </x:c>
      <x:c r="O1426" s="28" t="n">
        <x:v>0</x:v>
      </x:c>
      <x:c r="P1426" s="62" t="n">
        <x:v>0</x:v>
      </x:c>
      <x:c r="Q1426" s="22" t="n">
        <x:v>0</x:v>
      </x:c>
      <x:c r="R1426" s="22" t="str"/>
      <x:c r="S1426" s="22" t="str"/>
      <x:c r="T1426" s="22" t="str"/>
    </x:row>
    <x:row r="1427">
      <x:c r="A1427" s="22" t="str">
        <x:v>2023-00027</x:v>
      </x:c>
      <x:c r="B1427" s="22" t="str">
        <x:v>L2025-00028-1</x:v>
      </x:c>
      <x:c r="C1427" s="22" t="str">
        <x:v>공사</x:v>
      </x:c>
      <x:c r="D1427" s="25" t="str">
        <x:v>키르키즈공화국 국회 디지털화 사업 시공</x:v>
      </x:c>
      <x:c r="E1427" s="22" t="n">
        <x:v>1</x:v>
      </x:c>
      <x:c r="F1427" s="22" t="str">
        <x:v>.docx</x:v>
      </x:c>
      <x:c r="G1427" s="25" t="str">
        <x:v>L2025-00028-1/Bid_Document_Digitalization_of_the_Parliament_KG_2025_04_May/[2RE] (Bid Document) Digitalization of the Parliament_KG-2025-04_May 20,2025/Rus/RUS_Section 8_Special_Conditions_of_Contract_Digitalization_Parliament.docx</x:v>
      </x:c>
      <x:c r="H1427" s="28" t="n">
        <x:v>72601</x:v>
      </x:c>
      <x:c r="I1427" s="22" t="str">
        <x:v>3f24a1f99046b1b1f43a96ac676b48367808e931790b7158ad5a75eb030ef1ee</x:v>
      </x:c>
      <x:c r="J1427" s="22" t="n">
        <x:v>0</x:v>
      </x:c>
      <x:c r="K1427" s="22" t="n">
        <x:v>0</x:v>
      </x:c>
      <x:c r="L1427" s="22" t="n">
        <x:v>0</x:v>
      </x:c>
      <x:c r="M1427" s="28" t="n">
        <x:v>0</x:v>
      </x:c>
      <x:c r="N1427" s="28" t="n">
        <x:v>0</x:v>
      </x:c>
      <x:c r="O1427" s="28" t="n">
        <x:v>0</x:v>
      </x:c>
      <x:c r="P1427" s="62" t="n">
        <x:v>0</x:v>
      </x:c>
      <x:c r="Q1427" s="22" t="n">
        <x:v>0</x:v>
      </x:c>
      <x:c r="R1427" s="22" t="str"/>
      <x:c r="S1427" s="22" t="str"/>
      <x:c r="T1427" s="22" t="str"/>
    </x:row>
    <x:row r="1428">
      <x:c r="A1428" s="22" t="str">
        <x:v>2023-00027</x:v>
      </x:c>
      <x:c r="B1428" s="22" t="str">
        <x:v>L2025-00028-1</x:v>
      </x:c>
      <x:c r="C1428" s="22" t="str">
        <x:v>공사</x:v>
      </x:c>
      <x:c r="D1428" s="25" t="str">
        <x:v>키르키즈공화국 국회 디지털화 사업 시공</x:v>
      </x:c>
      <x:c r="E1428" s="22" t="n">
        <x:v>1</x:v>
      </x:c>
      <x:c r="F1428" s="22" t="str">
        <x:v>.docx</x:v>
      </x:c>
      <x:c r="G1428" s="25" t="str">
        <x:v>L2025-00028-1/Bid_Document_Digitalization_of_the_Parliament_KG_2025_04_May/[2RE] (Bid Document) Digitalization of the Parliament_KG-2025-04_May 20,2025/Rus/RUS_Section 7_General_Conditions_of_Contract_Digitalization_Parliament.docx</x:v>
      </x:c>
      <x:c r="H1428" s="28" t="n">
        <x:v>200355</x:v>
      </x:c>
      <x:c r="I1428" s="22" t="str">
        <x:v>56d675ec3bb1c78ffbd2c8253036bc7ca58101acb65e9af5f1b8ad84187d418e</x:v>
      </x:c>
      <x:c r="J1428" s="22" t="n">
        <x:v>0</x:v>
      </x:c>
      <x:c r="K1428" s="22" t="n">
        <x:v>0</x:v>
      </x:c>
      <x:c r="L1428" s="22" t="n">
        <x:v>0</x:v>
      </x:c>
      <x:c r="M1428" s="28" t="n">
        <x:v>0</x:v>
      </x:c>
      <x:c r="N1428" s="28" t="n">
        <x:v>0</x:v>
      </x:c>
      <x:c r="O1428" s="28" t="n">
        <x:v>0</x:v>
      </x:c>
      <x:c r="P1428" s="62" t="n">
        <x:v>0</x:v>
      </x:c>
      <x:c r="Q1428" s="22" t="n">
        <x:v>0</x:v>
      </x:c>
      <x:c r="R1428" s="22" t="str"/>
      <x:c r="S1428" s="22" t="str"/>
      <x:c r="T1428" s="22" t="str"/>
    </x:row>
    <x:row r="1429">
      <x:c r="A1429" s="22" t="str">
        <x:v>2023-00027</x:v>
      </x:c>
      <x:c r="B1429" s="22" t="str">
        <x:v>L2025-00028-1</x:v>
      </x:c>
      <x:c r="C1429" s="22" t="str">
        <x:v>공사</x:v>
      </x:c>
      <x:c r="D1429" s="25" t="str">
        <x:v>키르키즈공화국 국회 디지털화 사업 시공</x:v>
      </x:c>
      <x:c r="E1429" s="22" t="n">
        <x:v>1</x:v>
      </x:c>
      <x:c r="F1429" s="22" t="str">
        <x:v>.docx</x:v>
      </x:c>
      <x:c r="G1429" s="25" t="str">
        <x:v>L2025-00028-1/Bid_Document_Digitalization_of_the_Parliament_KG_2025_04_May/[2RE] (Bid Document) Digitalization of the Parliament_KG-2025-04_May 20,2025/Rus/RUS_Section 4-6 - Requirements_Digitalization_Parliament.docx</x:v>
      </x:c>
      <x:c r="H1429" s="28" t="n">
        <x:v>2367061</x:v>
      </x:c>
      <x:c r="I1429" s="22" t="str">
        <x:v>5e0d5a736726f3c3990461a9e6ef6bd4c222a90bd7a0eee5230eb5128baa48bf</x:v>
      </x:c>
      <x:c r="J1429" s="22" t="n">
        <x:v>0</x:v>
      </x:c>
      <x:c r="K1429" s="22" t="n">
        <x:v>0</x:v>
      </x:c>
      <x:c r="L1429" s="22" t="n">
        <x:v>0</x:v>
      </x:c>
      <x:c r="M1429" s="28" t="n">
        <x:v>0</x:v>
      </x:c>
      <x:c r="N1429" s="28" t="n">
        <x:v>0</x:v>
      </x:c>
      <x:c r="O1429" s="28" t="n">
        <x:v>0</x:v>
      </x:c>
      <x:c r="P1429" s="62" t="n">
        <x:v>0</x:v>
      </x:c>
      <x:c r="Q1429" s="22" t="n">
        <x:v>0</x:v>
      </x:c>
      <x:c r="R1429" s="22" t="str"/>
      <x:c r="S1429" s="22" t="str"/>
      <x:c r="T1429" s="22" t="str"/>
    </x:row>
    <x:row r="1430">
      <x:c r="A1430" s="22" t="str">
        <x:v>2023-00027</x:v>
      </x:c>
      <x:c r="B1430" s="22" t="str">
        <x:v>L2025-00028-1</x:v>
      </x:c>
      <x:c r="C1430" s="22" t="str">
        <x:v>공사</x:v>
      </x:c>
      <x:c r="D1430" s="25" t="str">
        <x:v>키르키즈공화국 국회 디지털화 사업 시공</x:v>
      </x:c>
      <x:c r="E1430" s="22" t="n">
        <x:v>1</x:v>
      </x:c>
      <x:c r="F1430" s="22" t="str">
        <x:v>.doc</x:v>
      </x:c>
      <x:c r="G1430" s="25" t="str">
        <x:v>L2025-00028-1/Bid_Document_Digitalization_of_the_Parliament_KG_2025_04_May/[2RE] (Bid Document) Digitalization of the Parliament_KG-2025-04_May 20,2025/Rus/RUS_Section 3 - Bidding Forms_Digitalization_Parliament.doc</x:v>
      </x:c>
      <x:c r="H1430" s="28" t="n">
        <x:v>303616</x:v>
      </x:c>
      <x:c r="I1430" s="22" t="str">
        <x:v>44b17763f78454b6ecbd8bfdfbcb1687651ee3ab6fe7ef999bade7154f60ee6e</x:v>
      </x:c>
      <x:c r="J1430" s="22" t="n">
        <x:v>0</x:v>
      </x:c>
      <x:c r="K1430" s="22" t="n">
        <x:v>0</x:v>
      </x:c>
      <x:c r="L1430" s="22" t="n">
        <x:v>0</x:v>
      </x:c>
      <x:c r="M1430" s="28" t="n">
        <x:v>0</x:v>
      </x:c>
      <x:c r="N1430" s="28" t="n">
        <x:v>0</x:v>
      </x:c>
      <x:c r="O1430" s="28" t="n">
        <x:v>0</x:v>
      </x:c>
      <x:c r="P1430" s="62" t="n">
        <x:v>0</x:v>
      </x:c>
      <x:c r="Q1430" s="22" t="n">
        <x:v>0</x:v>
      </x:c>
      <x:c r="R1430" s="22" t="str"/>
      <x:c r="S1430" s="22" t="str"/>
      <x:c r="T1430" s="22" t="str"/>
    </x:row>
    <x:row r="1431">
      <x:c r="A1431" s="22" t="str">
        <x:v>2023-00027</x:v>
      </x:c>
      <x:c r="B1431" s="22" t="str">
        <x:v>L2025-00028-1</x:v>
      </x:c>
      <x:c r="C1431" s="22" t="str">
        <x:v>공사</x:v>
      </x:c>
      <x:c r="D1431" s="25" t="str">
        <x:v>키르키즈공화국 국회 디지털화 사업 시공</x:v>
      </x:c>
      <x:c r="E1431" s="22" t="n">
        <x:v>1</x:v>
      </x:c>
      <x:c r="F1431" s="22" t="str">
        <x:v>.docx</x:v>
      </x:c>
      <x:c r="G1431" s="25" t="str">
        <x:v>L2025-00028-1/Bid_Document_Digitalization_of_the_Parliament_KG_2025_04_May/[2RE] (Bid Document) Digitalization of the Parliament_KG-2025-04_May 20,2025/Rus/RUS_Section 2 - Bid Data Sheet_Digitalization_Parliament.docx</x:v>
      </x:c>
      <x:c r="H1431" s="28" t="n">
        <x:v>50194</x:v>
      </x:c>
      <x:c r="I1431" s="22" t="str">
        <x:v>6697b3cb1b6ea05cfa9696cda69129075c5f1e54501c5f98d19102fcbb5a32df</x:v>
      </x:c>
      <x:c r="J1431" s="22" t="n">
        <x:v>0</x:v>
      </x:c>
      <x:c r="K1431" s="22" t="n">
        <x:v>0</x:v>
      </x:c>
      <x:c r="L1431" s="22" t="n">
        <x:v>0</x:v>
      </x:c>
      <x:c r="M1431" s="28" t="n">
        <x:v>0</x:v>
      </x:c>
      <x:c r="N1431" s="28" t="n">
        <x:v>0</x:v>
      </x:c>
      <x:c r="O1431" s="28" t="n">
        <x:v>0</x:v>
      </x:c>
      <x:c r="P1431" s="62" t="n">
        <x:v>0</x:v>
      </x:c>
      <x:c r="Q1431" s="22" t="n">
        <x:v>0</x:v>
      </x:c>
      <x:c r="R1431" s="22" t="str"/>
      <x:c r="S1431" s="22" t="str"/>
      <x:c r="T1431" s="22" t="str"/>
    </x:row>
    <x:row r="1432">
      <x:c r="A1432" s="22" t="str">
        <x:v>2023-00027</x:v>
      </x:c>
      <x:c r="B1432" s="22" t="str">
        <x:v>L2025-00028-1</x:v>
      </x:c>
      <x:c r="C1432" s="22" t="str">
        <x:v>공사</x:v>
      </x:c>
      <x:c r="D1432" s="25" t="str">
        <x:v>키르키즈공화국 국회 디지털화 사업 시공</x:v>
      </x:c>
      <x:c r="E1432" s="22" t="n">
        <x:v>1</x:v>
      </x:c>
      <x:c r="F1432" s="22" t="str">
        <x:v>.docx</x:v>
      </x:c>
      <x:c r="G1432" s="25" t="str">
        <x:v>L2025-00028-1/Bid_Document_Digitalization_of_the_Parliament_KG_2025_04_May/[2RE] (Bid Document) Digitalization of the Parliament_KG-2025-04_May 20,2025/Rus/RUS_Section 1_Instructions_to_Bidders_ITB_Digitalization_Parliament.docx</x:v>
      </x:c>
      <x:c r="H1432" s="28" t="n">
        <x:v>40163</x:v>
      </x:c>
      <x:c r="I1432" s="22" t="str">
        <x:v>da3705546e7a78ee22d9acb1416c52efcb1d75b6519f702090942c4d7ba31511</x:v>
      </x:c>
      <x:c r="J1432" s="22" t="n">
        <x:v>0</x:v>
      </x:c>
      <x:c r="K1432" s="22" t="n">
        <x:v>0</x:v>
      </x:c>
      <x:c r="L1432" s="22" t="n">
        <x:v>0</x:v>
      </x:c>
      <x:c r="M1432" s="28" t="n">
        <x:v>0</x:v>
      </x:c>
      <x:c r="N1432" s="28" t="n">
        <x:v>0</x:v>
      </x:c>
      <x:c r="O1432" s="28" t="n">
        <x:v>0</x:v>
      </x:c>
      <x:c r="P1432" s="62" t="n">
        <x:v>0</x:v>
      </x:c>
      <x:c r="Q1432" s="22" t="n">
        <x:v>0</x:v>
      </x:c>
      <x:c r="R1432" s="22" t="str"/>
      <x:c r="S1432" s="22" t="str"/>
      <x:c r="T1432" s="22" t="str"/>
    </x:row>
    <x:row r="1433">
      <x:c r="A1433" s="22" t="str">
        <x:v>2023-00027</x:v>
      </x:c>
      <x:c r="B1433" s="22" t="str">
        <x:v>L2025-00054-1</x:v>
      </x:c>
      <x:c r="C1433" s="22" t="str">
        <x:v>공사</x:v>
      </x:c>
      <x:c r="D1433" s="25" t="str">
        <x:v>키르키즈공화국 국회 디지털화 사업 시공</x:v>
      </x:c>
      <x:c r="E1433" s="22" t="n">
        <x:v>1</x:v>
      </x:c>
      <x:c r="F1433" s="22" t="str">
        <x:v>.zip</x:v>
      </x:c>
      <x:c r="G1433" s="25" t="str">
        <x:v>L2025-00054-1/(붙임1) 공고내역_Bid_Document_Digitalization_of_the_Parliament_KG_2025_05 (2).zip</x:v>
      </x:c>
      <x:c r="H1433" s="28" t="n">
        <x:v>6251612</x:v>
      </x:c>
      <x:c r="I1433" s="22" t="str">
        <x:v>afbf7ca97246cb1c43b29a6b7850114ea9f105eeb1fdef3288dcabd7ed59f87e</x:v>
      </x:c>
      <x:c r="J1433" s="22" t="n">
        <x:v>0</x:v>
      </x:c>
      <x:c r="K1433" s="22" t="n">
        <x:v>0</x:v>
      </x:c>
      <x:c r="L1433" s="22" t="n">
        <x:v>0</x:v>
      </x:c>
      <x:c r="M1433" s="28" t="n">
        <x:v>0</x:v>
      </x:c>
      <x:c r="N1433" s="28" t="n">
        <x:v>0</x:v>
      </x:c>
      <x:c r="O1433" s="28" t="n">
        <x:v>0</x:v>
      </x:c>
      <x:c r="P1433" s="62" t="n">
        <x:v>0</x:v>
      </x:c>
      <x:c r="Q1433" s="22" t="n">
        <x:v>0</x:v>
      </x:c>
      <x:c r="R1433" s="22" t="str"/>
      <x:c r="S1433" s="22" t="str"/>
      <x:c r="T1433" s="22" t="str"/>
    </x:row>
    <x:row r="1434">
      <x:c r="A1434" s="22" t="str">
        <x:v>2023-00027</x:v>
      </x:c>
      <x:c r="B1434" s="22" t="str">
        <x:v>L2025-00054-1</x:v>
      </x:c>
      <x:c r="C1434" s="22" t="str">
        <x:v>공사</x:v>
      </x:c>
      <x:c r="D1434" s="25" t="str">
        <x:v>키르키즈공화국 국회 디지털화 사업 시공</x:v>
      </x:c>
      <x:c r="E1434" s="22" t="n">
        <x:v>1</x:v>
      </x:c>
      <x:c r="F1434" s="22" t="str">
        <x:v>.docx</x:v>
      </x:c>
      <x:c r="G1434" s="25" t="str">
        <x:v>L2025-00054-1/(붙임1) 공고내역_Bid_Document_Digitalization_of_the_Parliament_KG_2025_05 (2)/Bid_Document_Digitalization_of_the_Parliament_KG_2025_05/Bid Document (Eng)/ENG_Section_9 - Contract_Forms_Digitalization_Parliament.docx</x:v>
      </x:c>
      <x:c r="H1434" s="28" t="n">
        <x:v>38953</x:v>
      </x:c>
      <x:c r="I1434" s="22" t="str">
        <x:v>5e5c47c728f5a837ecb0e733eed921cf6186a65ac1b525eb4c681da0c59bc2d5</x:v>
      </x:c>
      <x:c r="J1434" s="22" t="n">
        <x:v>0</x:v>
      </x:c>
      <x:c r="K1434" s="22" t="n">
        <x:v>0</x:v>
      </x:c>
      <x:c r="L1434" s="22" t="n">
        <x:v>0</x:v>
      </x:c>
      <x:c r="M1434" s="28" t="n">
        <x:v>0</x:v>
      </x:c>
      <x:c r="N1434" s="28" t="n">
        <x:v>0</x:v>
      </x:c>
      <x:c r="O1434" s="28" t="n">
        <x:v>0</x:v>
      </x:c>
      <x:c r="P1434" s="62" t="n">
        <x:v>0</x:v>
      </x:c>
      <x:c r="Q1434" s="22" t="n">
        <x:v>0</x:v>
      </x:c>
      <x:c r="R1434" s="22" t="str"/>
      <x:c r="S1434" s="22" t="str"/>
      <x:c r="T1434" s="22" t="str"/>
    </x:row>
    <x:row r="1435">
      <x:c r="A1435" s="22" t="str">
        <x:v>2023-00027</x:v>
      </x:c>
      <x:c r="B1435" s="22" t="str">
        <x:v>L2025-00054-1</x:v>
      </x:c>
      <x:c r="C1435" s="22" t="str">
        <x:v>공사</x:v>
      </x:c>
      <x:c r="D1435" s="25" t="str">
        <x:v>키르키즈공화국 국회 디지털화 사업 시공</x:v>
      </x:c>
      <x:c r="E1435" s="22" t="n">
        <x:v>1</x:v>
      </x:c>
      <x:c r="F1435" s="22" t="str">
        <x:v>.doc</x:v>
      </x:c>
      <x:c r="G1435" s="25" t="str">
        <x:v>L2025-00054-1/(붙임1) 공고내역_Bid_Document_Digitalization_of_the_Parliament_KG_2025_05 (2)/Bid_Document_Digitalization_of_the_Parliament_KG_2025_05/Bid Document (Eng)/ENG_Section_1 - Instructions to Bidders_ITB_Digitalization_Parliament.doc</x:v>
      </x:c>
      <x:c r="H1435" s="28" t="n">
        <x:v>257231</x:v>
      </x:c>
      <x:c r="I1435" s="22" t="str">
        <x:v>e17195795075a699aa2746029d2d7bc523143809570f808e673eb191fbd77af9</x:v>
      </x:c>
      <x:c r="J1435" s="22" t="n">
        <x:v>0</x:v>
      </x:c>
      <x:c r="K1435" s="22" t="n">
        <x:v>0</x:v>
      </x:c>
      <x:c r="L1435" s="22" t="n">
        <x:v>0</x:v>
      </x:c>
      <x:c r="M1435" s="28" t="n">
        <x:v>0</x:v>
      </x:c>
      <x:c r="N1435" s="28" t="n">
        <x:v>0</x:v>
      </x:c>
      <x:c r="O1435" s="28" t="n">
        <x:v>0</x:v>
      </x:c>
      <x:c r="P1435" s="62" t="n">
        <x:v>0</x:v>
      </x:c>
      <x:c r="Q1435" s="22" t="n">
        <x:v>0</x:v>
      </x:c>
      <x:c r="R1435" s="22" t="str"/>
      <x:c r="S1435" s="22" t="str"/>
      <x:c r="T1435" s="22" t="str"/>
    </x:row>
    <x:row r="1436">
      <x:c r="A1436" s="22" t="str">
        <x:v>2023-00027</x:v>
      </x:c>
      <x:c r="B1436" s="22" t="str">
        <x:v>L2025-00054-1</x:v>
      </x:c>
      <x:c r="C1436" s="22" t="str">
        <x:v>공사</x:v>
      </x:c>
      <x:c r="D1436" s="25" t="str">
        <x:v>키르키즈공화국 국회 디지털화 사업 시공</x:v>
      </x:c>
      <x:c r="E1436" s="22" t="n">
        <x:v>1</x:v>
      </x:c>
      <x:c r="F1436" s="22" t="str">
        <x:v>.docx</x:v>
      </x:c>
      <x:c r="G1436" s="25" t="str">
        <x:v>L2025-00054-1/(붙임1) 공고내역_Bid_Document_Digitalization_of_the_Parliament_KG_2025_05 (2)/Bid_Document_Digitalization_of_the_Parliament_KG_2025_05/Bid Document (Eng)/ENG_Section_2 - Bid_Data_Sheet_Digitalization_Parliament.docx</x:v>
      </x:c>
      <x:c r="H1436" s="28" t="n">
        <x:v>52613</x:v>
      </x:c>
      <x:c r="I1436" s="22" t="str">
        <x:v>ba5276105aaee6c4fa92403d3391e8ab0266672372655c9b64a820c388f35a88</x:v>
      </x:c>
      <x:c r="J1436" s="22" t="n">
        <x:v>0</x:v>
      </x:c>
      <x:c r="K1436" s="22" t="n">
        <x:v>0</x:v>
      </x:c>
      <x:c r="L1436" s="22" t="n">
        <x:v>0</x:v>
      </x:c>
      <x:c r="M1436" s="28" t="n">
        <x:v>0</x:v>
      </x:c>
      <x:c r="N1436" s="28" t="n">
        <x:v>0</x:v>
      </x:c>
      <x:c r="O1436" s="28" t="n">
        <x:v>0</x:v>
      </x:c>
      <x:c r="P1436" s="62" t="n">
        <x:v>0</x:v>
      </x:c>
      <x:c r="Q1436" s="22" t="n">
        <x:v>0</x:v>
      </x:c>
      <x:c r="R1436" s="22" t="str"/>
      <x:c r="S1436" s="22" t="str"/>
      <x:c r="T1436" s="22" t="str"/>
    </x:row>
    <x:row r="1437">
      <x:c r="A1437" s="22" t="str">
        <x:v>2023-00027</x:v>
      </x:c>
      <x:c r="B1437" s="22" t="str">
        <x:v>L2025-00054-1</x:v>
      </x:c>
      <x:c r="C1437" s="22" t="str">
        <x:v>공사</x:v>
      </x:c>
      <x:c r="D1437" s="25" t="str">
        <x:v>키르키즈공화국 국회 디지털화 사업 시공</x:v>
      </x:c>
      <x:c r="E1437" s="22" t="n">
        <x:v>1</x:v>
      </x:c>
      <x:c r="F1437" s="22" t="str">
        <x:v>.docx</x:v>
      </x:c>
      <x:c r="G1437" s="25" t="str">
        <x:v>L2025-00054-1/(붙임1) 공고내역_Bid_Document_Digitalization_of_the_Parliament_KG_2025_05 (2)/Bid_Document_Digitalization_of_the_Parliament_KG_2025_05/Bid Document (Eng)/ENG_Section_4_6 - Requirements_Digitalization Parliament.docx</x:v>
      </x:c>
      <x:c r="H1437" s="28" t="n">
        <x:v>2194409</x:v>
      </x:c>
      <x:c r="I1437" s="22" t="str">
        <x:v>4ee4b6f9cbd0cba4592407533878604ae747ea075f9c0d879f6320db155e31a2</x:v>
      </x:c>
      <x:c r="J1437" s="22" t="n">
        <x:v>0</x:v>
      </x:c>
      <x:c r="K1437" s="22" t="n">
        <x:v>0</x:v>
      </x:c>
      <x:c r="L1437" s="22" t="n">
        <x:v>0</x:v>
      </x:c>
      <x:c r="M1437" s="28" t="n">
        <x:v>0</x:v>
      </x:c>
      <x:c r="N1437" s="28" t="n">
        <x:v>0</x:v>
      </x:c>
      <x:c r="O1437" s="28" t="n">
        <x:v>0</x:v>
      </x:c>
      <x:c r="P1437" s="62" t="n">
        <x:v>0</x:v>
      </x:c>
      <x:c r="Q1437" s="22" t="n">
        <x:v>0</x:v>
      </x:c>
      <x:c r="R1437" s="22" t="str"/>
      <x:c r="S1437" s="22" t="str"/>
      <x:c r="T1437" s="22" t="str"/>
    </x:row>
    <x:row r="1438">
      <x:c r="A1438" s="22" t="str">
        <x:v>2023-00027</x:v>
      </x:c>
      <x:c r="B1438" s="22" t="str">
        <x:v>L2025-00054-1</x:v>
      </x:c>
      <x:c r="C1438" s="22" t="str">
        <x:v>공사</x:v>
      </x:c>
      <x:c r="D1438" s="25" t="str">
        <x:v>키르키즈공화국 국회 디지털화 사업 시공</x:v>
      </x:c>
      <x:c r="E1438" s="22" t="n">
        <x:v>1</x:v>
      </x:c>
      <x:c r="F1438" s="22" t="str">
        <x:v>.docx</x:v>
      </x:c>
      <x:c r="G1438" s="25" t="str">
        <x:v>L2025-00054-1/(붙임1) 공고내역_Bid_Document_Digitalization_of_the_Parliament_KG_2025_05 (2)/Bid_Document_Digitalization_of_the_Parliament_KG_2025_05/Bid Document (Eng)/ENG_Section_8_Special_Conditions_of_Contract_Digitalization_Parliament.docx</x:v>
      </x:c>
      <x:c r="H1438" s="28" t="n">
        <x:v>70623</x:v>
      </x:c>
      <x:c r="I1438" s="22" t="str">
        <x:v>b85f337a3c4cc7086a1bfcac1815ba259e10e82d2b101db89631f9543a6a167a</x:v>
      </x:c>
      <x:c r="J1438" s="22" t="n">
        <x:v>0</x:v>
      </x:c>
      <x:c r="K1438" s="22" t="n">
        <x:v>0</x:v>
      </x:c>
      <x:c r="L1438" s="22" t="n">
        <x:v>0</x:v>
      </x:c>
      <x:c r="M1438" s="28" t="n">
        <x:v>0</x:v>
      </x:c>
      <x:c r="N1438" s="28" t="n">
        <x:v>0</x:v>
      </x:c>
      <x:c r="O1438" s="28" t="n">
        <x:v>0</x:v>
      </x:c>
      <x:c r="P1438" s="62" t="n">
        <x:v>0</x:v>
      </x:c>
      <x:c r="Q1438" s="22" t="n">
        <x:v>0</x:v>
      </x:c>
      <x:c r="R1438" s="22" t="str"/>
      <x:c r="S1438" s="22" t="str"/>
      <x:c r="T1438" s="22" t="str"/>
    </x:row>
    <x:row r="1439">
      <x:c r="A1439" s="22" t="str">
        <x:v>2023-00027</x:v>
      </x:c>
      <x:c r="B1439" s="22" t="str">
        <x:v>L2025-00054-1</x:v>
      </x:c>
      <x:c r="C1439" s="22" t="str">
        <x:v>공사</x:v>
      </x:c>
      <x:c r="D1439" s="25" t="str">
        <x:v>키르키즈공화국 국회 디지털화 사업 시공</x:v>
      </x:c>
      <x:c r="E1439" s="22" t="n">
        <x:v>1</x:v>
      </x:c>
      <x:c r="F1439" s="22" t="str">
        <x:v>.docx</x:v>
      </x:c>
      <x:c r="G1439" s="25" t="str">
        <x:v>L2025-00054-1/(붙임1) 공고내역_Bid_Document_Digitalization_of_the_Parliament_KG_2025_05 (2)/Bid_Document_Digitalization_of_the_Parliament_KG_2025_05/Bid Document (Eng)/ENG_Section_7 - General_Conditions_of_Contract_Digitalization_Parliament.docx</x:v>
      </x:c>
      <x:c r="H1439" s="28" t="n">
        <x:v>215518</x:v>
      </x:c>
      <x:c r="I1439" s="22" t="str">
        <x:v>580ea664f5b1088f8125375cd91b37904a8dc063f6e170cc9955ae2c2c80dd4d</x:v>
      </x:c>
      <x:c r="J1439" s="22" t="n">
        <x:v>0</x:v>
      </x:c>
      <x:c r="K1439" s="22" t="n">
        <x:v>0</x:v>
      </x:c>
      <x:c r="L1439" s="22" t="n">
        <x:v>0</x:v>
      </x:c>
      <x:c r="M1439" s="28" t="n">
        <x:v>0</x:v>
      </x:c>
      <x:c r="N1439" s="28" t="n">
        <x:v>0</x:v>
      </x:c>
      <x:c r="O1439" s="28" t="n">
        <x:v>0</x:v>
      </x:c>
      <x:c r="P1439" s="62" t="n">
        <x:v>0</x:v>
      </x:c>
      <x:c r="Q1439" s="22" t="n">
        <x:v>0</x:v>
      </x:c>
      <x:c r="R1439" s="22" t="str"/>
      <x:c r="S1439" s="22" t="str"/>
      <x:c r="T1439" s="22" t="str"/>
    </x:row>
    <x:row r="1440">
      <x:c r="A1440" s="22" t="str">
        <x:v>2023-00027</x:v>
      </x:c>
      <x:c r="B1440" s="22" t="str">
        <x:v>L2025-00054-1</x:v>
      </x:c>
      <x:c r="C1440" s="22" t="str">
        <x:v>공사</x:v>
      </x:c>
      <x:c r="D1440" s="25" t="str">
        <x:v>키르키즈공화국 국회 디지털화 사업 시공</x:v>
      </x:c>
      <x:c r="E1440" s="22" t="n">
        <x:v>1</x:v>
      </x:c>
      <x:c r="F1440" s="22" t="str">
        <x:v>.pdf</x:v>
      </x:c>
      <x:c r="G1440" s="25" t="str">
        <x:v>L2025-00054-1/(붙임1) 공고내역_Bid_Document_Digitalization_of_the_Parliament_KG_2025_05 (2)/Bid_Document_Digitalization_of_the_Parliament_KG_2025_05/Bid Document (Eng)/250428_JUNIPER_Agreement_for_the_supply_of_goods_or_technical_support.pdf</x:v>
      </x:c>
      <x:c r="H1440" s="28" t="n">
        <x:v>453314</x:v>
      </x:c>
      <x:c r="I1440" s="22" t="str">
        <x:v>6c1b0b9a32e1503076fc878d4a820183e142d023f969064e00fcb87f32c4a81c</x:v>
      </x:c>
      <x:c r="J1440" s="22" t="n">
        <x:v>0</x:v>
      </x:c>
      <x:c r="K1440" s="22" t="n">
        <x:v>0</x:v>
      </x:c>
      <x:c r="L1440" s="22" t="n">
        <x:v>0</x:v>
      </x:c>
      <x:c r="M1440" s="28" t="n">
        <x:v>0</x:v>
      </x:c>
      <x:c r="N1440" s="28" t="n">
        <x:v>0</x:v>
      </x:c>
      <x:c r="O1440" s="28" t="n">
        <x:v>0</x:v>
      </x:c>
      <x:c r="P1440" s="62" t="n">
        <x:v>0</x:v>
      </x:c>
      <x:c r="Q1440" s="22" t="n">
        <x:v>0</x:v>
      </x:c>
      <x:c r="R1440" s="22" t="str"/>
      <x:c r="S1440" s="22" t="str"/>
      <x:c r="T1440" s="22" t="str"/>
    </x:row>
    <x:row r="1441">
      <x:c r="A1441" s="22" t="str">
        <x:v>2023-00027</x:v>
      </x:c>
      <x:c r="B1441" s="22" t="str">
        <x:v>L2025-00054-1</x:v>
      </x:c>
      <x:c r="C1441" s="22" t="str">
        <x:v>공사</x:v>
      </x:c>
      <x:c r="D1441" s="25" t="str">
        <x:v>키르키즈공화국 국회 디지털화 사업 시공</x:v>
      </x:c>
      <x:c r="E1441" s="22" t="n">
        <x:v>1</x:v>
      </x:c>
      <x:c r="F1441" s="22" t="str">
        <x:v>.doc</x:v>
      </x:c>
      <x:c r="G1441" s="25" t="str">
        <x:v>L2025-00054-1/(붙임1) 공고내역_Bid_Document_Digitalization_of_the_Parliament_KG_2025_05 (2)/Bid_Document_Digitalization_of_the_Parliament_KG_2025_05/Bid Document (Eng)/ENG_Section_3 - Bidding Forms_Digitalization Parliament.doc</x:v>
      </x:c>
      <x:c r="H1441" s="28" t="n">
        <x:v>259072</x:v>
      </x:c>
      <x:c r="I1441" s="22" t="str">
        <x:v>8eca536e74928fcede2fb8d85fe1643dc642b07c2f387214d659a0cd8275b9ca</x:v>
      </x:c>
      <x:c r="J1441" s="22" t="n">
        <x:v>0</x:v>
      </x:c>
      <x:c r="K1441" s="22" t="n">
        <x:v>0</x:v>
      </x:c>
      <x:c r="L1441" s="22" t="n">
        <x:v>0</x:v>
      </x:c>
      <x:c r="M1441" s="28" t="n">
        <x:v>0</x:v>
      </x:c>
      <x:c r="N1441" s="28" t="n">
        <x:v>0</x:v>
      </x:c>
      <x:c r="O1441" s="28" t="n">
        <x:v>0</x:v>
      </x:c>
      <x:c r="P1441" s="62" t="n">
        <x:v>0</x:v>
      </x:c>
      <x:c r="Q1441" s="22" t="n">
        <x:v>0</x:v>
      </x:c>
      <x:c r="R1441" s="22" t="str"/>
      <x:c r="S1441" s="22" t="str"/>
      <x:c r="T1441" s="22" t="str"/>
    </x:row>
    <x:row r="1442">
      <x:c r="A1442" s="22" t="str">
        <x:v>2023-00027</x:v>
      </x:c>
      <x:c r="B1442" s="22" t="str">
        <x:v>L2025-00054-1</x:v>
      </x:c>
      <x:c r="C1442" s="22" t="str">
        <x:v>공사</x:v>
      </x:c>
      <x:c r="D1442" s="25" t="str">
        <x:v>키르키즈공화국 국회 디지털화 사업 시공</x:v>
      </x:c>
      <x:c r="E1442" s="22" t="n">
        <x:v>1</x:v>
      </x:c>
      <x:c r="F1442" s="22" t="str">
        <x:v>.docx</x:v>
      </x:c>
      <x:c r="G1442" s="25" t="str">
        <x:v>L2025-00054-1/(붙임1) 공고내역_Bid_Document_Digitalization_of_the_Parliament_KG_2025_05 (2)/Bid_Document_Digitalization_of_the_Parliament_KG_2025_05/Bid document (Rus)/RUS_Section_1_Instructions_to_Bidders_ITB_Digitalization_Parliament.docx</x:v>
      </x:c>
      <x:c r="H1442" s="28" t="n">
        <x:v>38892</x:v>
      </x:c>
      <x:c r="I1442" s="22" t="str">
        <x:v>1a5f1373bd4801fcc6d60983d6a49c73f726118bee02a179fb63be81d4456137</x:v>
      </x:c>
      <x:c r="J1442" s="22" t="n">
        <x:v>0</x:v>
      </x:c>
      <x:c r="K1442" s="22" t="n">
        <x:v>0</x:v>
      </x:c>
      <x:c r="L1442" s="22" t="n">
        <x:v>0</x:v>
      </x:c>
      <x:c r="M1442" s="28" t="n">
        <x:v>0</x:v>
      </x:c>
      <x:c r="N1442" s="28" t="n">
        <x:v>0</x:v>
      </x:c>
      <x:c r="O1442" s="28" t="n">
        <x:v>0</x:v>
      </x:c>
      <x:c r="P1442" s="62" t="n">
        <x:v>0</x:v>
      </x:c>
      <x:c r="Q1442" s="22" t="n">
        <x:v>0</x:v>
      </x:c>
      <x:c r="R1442" s="22" t="str"/>
      <x:c r="S1442" s="22" t="str"/>
      <x:c r="T1442" s="22" t="str"/>
    </x:row>
    <x:row r="1443">
      <x:c r="A1443" s="22" t="str">
        <x:v>2023-00027</x:v>
      </x:c>
      <x:c r="B1443" s="22" t="str">
        <x:v>L2025-00054-1</x:v>
      </x:c>
      <x:c r="C1443" s="22" t="str">
        <x:v>공사</x:v>
      </x:c>
      <x:c r="D1443" s="25" t="str">
        <x:v>키르키즈공화국 국회 디지털화 사업 시공</x:v>
      </x:c>
      <x:c r="E1443" s="22" t="n">
        <x:v>1</x:v>
      </x:c>
      <x:c r="F1443" s="22" t="str">
        <x:v>.docx</x:v>
      </x:c>
      <x:c r="G1443" s="25" t="str">
        <x:v>L2025-00054-1/(붙임1) 공고내역_Bid_Document_Digitalization_of_the_Parliament_KG_2025_05 (2)/Bid_Document_Digitalization_of_the_Parliament_KG_2025_05/Bid document (Rus)/RUS_Section_4_6_Requirements_Digitalization_Parliament.docx</x:v>
      </x:c>
      <x:c r="H1443" s="28" t="n">
        <x:v>2367853</x:v>
      </x:c>
      <x:c r="I1443" s="22" t="str">
        <x:v>dbc7056e00abd01e9ac44a236afbd31e65da252b324a1c19c68d9cd89192fdcd</x:v>
      </x:c>
      <x:c r="J1443" s="22" t="n">
        <x:v>0</x:v>
      </x:c>
      <x:c r="K1443" s="22" t="n">
        <x:v>0</x:v>
      </x:c>
      <x:c r="L1443" s="22" t="n">
        <x:v>0</x:v>
      </x:c>
      <x:c r="M1443" s="28" t="n">
        <x:v>0</x:v>
      </x:c>
      <x:c r="N1443" s="28" t="n">
        <x:v>0</x:v>
      </x:c>
      <x:c r="O1443" s="28" t="n">
        <x:v>0</x:v>
      </x:c>
      <x:c r="P1443" s="62" t="n">
        <x:v>0</x:v>
      </x:c>
      <x:c r="Q1443" s="22" t="n">
        <x:v>0</x:v>
      </x:c>
      <x:c r="R1443" s="22" t="str"/>
      <x:c r="S1443" s="22" t="str"/>
      <x:c r="T1443" s="22" t="str"/>
    </x:row>
    <x:row r="1444">
      <x:c r="A1444" s="22" t="str">
        <x:v>2023-00027</x:v>
      </x:c>
      <x:c r="B1444" s="22" t="str">
        <x:v>L2025-00054-1</x:v>
      </x:c>
      <x:c r="C1444" s="22" t="str">
        <x:v>공사</x:v>
      </x:c>
      <x:c r="D1444" s="25" t="str">
        <x:v>키르키즈공화국 국회 디지털화 사업 시공</x:v>
      </x:c>
      <x:c r="E1444" s="22" t="n">
        <x:v>1</x:v>
      </x:c>
      <x:c r="F1444" s="22" t="str">
        <x:v>.docx</x:v>
      </x:c>
      <x:c r="G1444" s="25" t="str">
        <x:v>L2025-00054-1/(붙임1) 공고내역_Bid_Document_Digitalization_of_the_Parliament_KG_2025_05 (2)/Bid_Document_Digitalization_of_the_Parliament_KG_2025_05/Bid document (Rus)/RUS_Section_2 - Bid_Data_Sheet_Digitalization_Parliament.docx</x:v>
      </x:c>
      <x:c r="H1444" s="28" t="n">
        <x:v>59551</x:v>
      </x:c>
      <x:c r="I1444" s="22" t="str">
        <x:v>e3a396d7d3dfb7150d14e2ef0f073b8c2d1254f8bbb7b53e10a8aa28f7c81129</x:v>
      </x:c>
      <x:c r="J1444" s="22" t="n">
        <x:v>0</x:v>
      </x:c>
      <x:c r="K1444" s="22" t="n">
        <x:v>0</x:v>
      </x:c>
      <x:c r="L1444" s="22" t="n">
        <x:v>0</x:v>
      </x:c>
      <x:c r="M1444" s="28" t="n">
        <x:v>0</x:v>
      </x:c>
      <x:c r="N1444" s="28" t="n">
        <x:v>0</x:v>
      </x:c>
      <x:c r="O1444" s="28" t="n">
        <x:v>0</x:v>
      </x:c>
      <x:c r="P1444" s="62" t="n">
        <x:v>0</x:v>
      </x:c>
      <x:c r="Q1444" s="22" t="n">
        <x:v>0</x:v>
      </x:c>
      <x:c r="R1444" s="22" t="str"/>
      <x:c r="S1444" s="22" t="str"/>
      <x:c r="T1444" s="22" t="str"/>
    </x:row>
    <x:row r="1445">
      <x:c r="A1445" s="22" t="str">
        <x:v>2023-00027</x:v>
      </x:c>
      <x:c r="B1445" s="22" t="str">
        <x:v>L2025-00054-1</x:v>
      </x:c>
      <x:c r="C1445" s="22" t="str">
        <x:v>공사</x:v>
      </x:c>
      <x:c r="D1445" s="25" t="str">
        <x:v>키르키즈공화국 국회 디지털화 사업 시공</x:v>
      </x:c>
      <x:c r="E1445" s="22" t="n">
        <x:v>1</x:v>
      </x:c>
      <x:c r="F1445" s="22" t="str">
        <x:v>.docx</x:v>
      </x:c>
      <x:c r="G1445" s="25" t="str">
        <x:v>L2025-00054-1/(붙임1) 공고내역_Bid_Document_Digitalization_of_the_Parliament_KG_2025_05 (2)/Bid_Document_Digitalization_of_the_Parliament_KG_2025_05/Bid document (Rus)/RUS_Section_9_Contract_Forms_Digitalization_Parliament.docx</x:v>
      </x:c>
      <x:c r="H1445" s="28" t="n">
        <x:v>17762</x:v>
      </x:c>
      <x:c r="I1445" s="22" t="str">
        <x:v>e6c2033bfb68622a88713f4df14d6c9802c3f4db1f28035d7de23cba21bcc09f</x:v>
      </x:c>
      <x:c r="J1445" s="22" t="n">
        <x:v>0</x:v>
      </x:c>
      <x:c r="K1445" s="22" t="n">
        <x:v>0</x:v>
      </x:c>
      <x:c r="L1445" s="22" t="n">
        <x:v>0</x:v>
      </x:c>
      <x:c r="M1445" s="28" t="n">
        <x:v>0</x:v>
      </x:c>
      <x:c r="N1445" s="28" t="n">
        <x:v>0</x:v>
      </x:c>
      <x:c r="O1445" s="28" t="n">
        <x:v>0</x:v>
      </x:c>
      <x:c r="P1445" s="62" t="n">
        <x:v>0</x:v>
      </x:c>
      <x:c r="Q1445" s="22" t="n">
        <x:v>0</x:v>
      </x:c>
      <x:c r="R1445" s="22" t="str"/>
      <x:c r="S1445" s="22" t="str"/>
      <x:c r="T1445" s="22" t="str"/>
    </x:row>
    <x:row r="1446">
      <x:c r="A1446" s="22" t="str">
        <x:v>2023-00027</x:v>
      </x:c>
      <x:c r="B1446" s="22" t="str">
        <x:v>L2025-00054-1</x:v>
      </x:c>
      <x:c r="C1446" s="22" t="str">
        <x:v>공사</x:v>
      </x:c>
      <x:c r="D1446" s="25" t="str">
        <x:v>키르키즈공화국 국회 디지털화 사업 시공</x:v>
      </x:c>
      <x:c r="E1446" s="22" t="n">
        <x:v>1</x:v>
      </x:c>
      <x:c r="F1446" s="22" t="str">
        <x:v>.doc</x:v>
      </x:c>
      <x:c r="G1446" s="25" t="str">
        <x:v>L2025-00054-1/(붙임1) 공고내역_Bid_Document_Digitalization_of_the_Parliament_KG_2025_05 (2)/Bid_Document_Digitalization_of_the_Parliament_KG_2025_05/Bid document (Rus)/RUS_Section_3_Bidding_Forms_Digitalization_Parliament.doc</x:v>
      </x:c>
      <x:c r="H1446" s="28" t="n">
        <x:v>322560</x:v>
      </x:c>
      <x:c r="I1446" s="22" t="str">
        <x:v>5c1fab1433cb1b9ac9d0f324aeca295d440135250035163411d2d4d60e42e55f</x:v>
      </x:c>
      <x:c r="J1446" s="22" t="n">
        <x:v>0</x:v>
      </x:c>
      <x:c r="K1446" s="22" t="n">
        <x:v>0</x:v>
      </x:c>
      <x:c r="L1446" s="22" t="n">
        <x:v>0</x:v>
      </x:c>
      <x:c r="M1446" s="28" t="n">
        <x:v>0</x:v>
      </x:c>
      <x:c r="N1446" s="28" t="n">
        <x:v>0</x:v>
      </x:c>
      <x:c r="O1446" s="28" t="n">
        <x:v>0</x:v>
      </x:c>
      <x:c r="P1446" s="62" t="n">
        <x:v>0</x:v>
      </x:c>
      <x:c r="Q1446" s="22" t="n">
        <x:v>0</x:v>
      </x:c>
      <x:c r="R1446" s="22" t="str"/>
      <x:c r="S1446" s="22" t="str"/>
      <x:c r="T1446" s="22" t="str"/>
    </x:row>
    <x:row r="1447">
      <x:c r="A1447" s="22" t="str">
        <x:v>2023-00027</x:v>
      </x:c>
      <x:c r="B1447" s="22" t="str">
        <x:v>L2025-00054-1</x:v>
      </x:c>
      <x:c r="C1447" s="22" t="str">
        <x:v>공사</x:v>
      </x:c>
      <x:c r="D1447" s="25" t="str">
        <x:v>키르키즈공화국 국회 디지털화 사업 시공</x:v>
      </x:c>
      <x:c r="E1447" s="22" t="n">
        <x:v>1</x:v>
      </x:c>
      <x:c r="F1447" s="22" t="str">
        <x:v>.pdf</x:v>
      </x:c>
      <x:c r="G1447" s="25" t="str">
        <x:v>L2025-00054-1/(붙임1) 공고내역_Bid_Document_Digitalization_of_the_Parliament_KG_2025_05 (2)/Bid_Document_Digitalization_of_the_Parliament_KG_2025_05/Bid document (Rus)/250428_JUNIPER_Agreement_for_the_supply_of_goods_or_technical_support.pdf</x:v>
      </x:c>
      <x:c r="H1447" s="28" t="n">
        <x:v>456504</x:v>
      </x:c>
      <x:c r="I1447" s="22" t="str">
        <x:v>c8d4298252fe4fb7943f985643aa49744263b6ffc3bf8baadc400a5aa719dc8b</x:v>
      </x:c>
      <x:c r="J1447" s="22" t="n">
        <x:v>0</x:v>
      </x:c>
      <x:c r="K1447" s="22" t="n">
        <x:v>0</x:v>
      </x:c>
      <x:c r="L1447" s="22" t="n">
        <x:v>0</x:v>
      </x:c>
      <x:c r="M1447" s="28" t="n">
        <x:v>0</x:v>
      </x:c>
      <x:c r="N1447" s="28" t="n">
        <x:v>0</x:v>
      </x:c>
      <x:c r="O1447" s="28" t="n">
        <x:v>0</x:v>
      </x:c>
      <x:c r="P1447" s="62" t="n">
        <x:v>0</x:v>
      </x:c>
      <x:c r="Q1447" s="22" t="n">
        <x:v>0</x:v>
      </x:c>
      <x:c r="R1447" s="22" t="str"/>
      <x:c r="S1447" s="22" t="str"/>
      <x:c r="T1447" s="22" t="str"/>
    </x:row>
    <x:row r="1448">
      <x:c r="A1448" s="22" t="str">
        <x:v>2023-00027</x:v>
      </x:c>
      <x:c r="B1448" s="22" t="str">
        <x:v>L2025-00054-1</x:v>
      </x:c>
      <x:c r="C1448" s="22" t="str">
        <x:v>공사</x:v>
      </x:c>
      <x:c r="D1448" s="25" t="str">
        <x:v>키르키즈공화국 국회 디지털화 사업 시공</x:v>
      </x:c>
      <x:c r="E1448" s="22" t="n">
        <x:v>1</x:v>
      </x:c>
      <x:c r="F1448" s="22" t="str">
        <x:v>.docx</x:v>
      </x:c>
      <x:c r="G1448" s="25" t="str">
        <x:v>L2025-00054-1/(붙임1) 공고내역_Bid_Document_Digitalization_of_the_Parliament_KG_2025_05 (2)/Bid_Document_Digitalization_of_the_Parliament_KG_2025_05/Bid document (Rus)/RUS_Section_8_Special_Conditions_of_Contract_Digitalization_Parliament.docx</x:v>
      </x:c>
      <x:c r="H1448" s="28" t="n">
        <x:v>75322</x:v>
      </x:c>
      <x:c r="I1448" s="22" t="str">
        <x:v>138a8ba1b82431c8c8b87e3ca3b03484bb401f4c767c82cbffd8387029e78a54</x:v>
      </x:c>
      <x:c r="J1448" s="22" t="n">
        <x:v>0</x:v>
      </x:c>
      <x:c r="K1448" s="22" t="n">
        <x:v>0</x:v>
      </x:c>
      <x:c r="L1448" s="22" t="n">
        <x:v>0</x:v>
      </x:c>
      <x:c r="M1448" s="28" t="n">
        <x:v>0</x:v>
      </x:c>
      <x:c r="N1448" s="28" t="n">
        <x:v>0</x:v>
      </x:c>
      <x:c r="O1448" s="28" t="n">
        <x:v>0</x:v>
      </x:c>
      <x:c r="P1448" s="62" t="n">
        <x:v>0</x:v>
      </x:c>
      <x:c r="Q1448" s="22" t="n">
        <x:v>0</x:v>
      </x:c>
      <x:c r="R1448" s="22" t="str"/>
      <x:c r="S1448" s="22" t="str"/>
      <x:c r="T1448" s="22" t="str"/>
    </x:row>
    <x:row r="1449">
      <x:c r="A1449" s="22" t="str">
        <x:v>2023-00027</x:v>
      </x:c>
      <x:c r="B1449" s="22" t="str">
        <x:v>L2025-00054-1</x:v>
      </x:c>
      <x:c r="C1449" s="22" t="str">
        <x:v>공사</x:v>
      </x:c>
      <x:c r="D1449" s="25" t="str">
        <x:v>키르키즈공화국 국회 디지털화 사업 시공</x:v>
      </x:c>
      <x:c r="E1449" s="22" t="n">
        <x:v>1</x:v>
      </x:c>
      <x:c r="F1449" s="22" t="str">
        <x:v>.docx</x:v>
      </x:c>
      <x:c r="G1449" s="25" t="str">
        <x:v>L2025-00054-1/(붙임1) 공고내역_Bid_Document_Digitalization_of_the_Parliament_KG_2025_05 (2)/Bid_Document_Digitalization_of_the_Parliament_KG_2025_05/Bid document (Rus)/RUS_Section_7_General_Conditions_of_Contract_Digitalization_Parliament.docx</x:v>
      </x:c>
      <x:c r="H1449" s="28" t="n">
        <x:v>197452</x:v>
      </x:c>
      <x:c r="I1449" s="22" t="str">
        <x:v>e9f4ac1066cbd9d383f38d94a73fd72c8e97bb26ae4f1db8c14837569e054b14</x:v>
      </x:c>
      <x:c r="J1449" s="22" t="n">
        <x:v>0</x:v>
      </x:c>
      <x:c r="K1449" s="22" t="n">
        <x:v>0</x:v>
      </x:c>
      <x:c r="L1449" s="22" t="n">
        <x:v>0</x:v>
      </x:c>
      <x:c r="M1449" s="28" t="n">
        <x:v>0</x:v>
      </x:c>
      <x:c r="N1449" s="28" t="n">
        <x:v>0</x:v>
      </x:c>
      <x:c r="O1449" s="28" t="n">
        <x:v>0</x:v>
      </x:c>
      <x:c r="P1449" s="62" t="n">
        <x:v>0</x:v>
      </x:c>
      <x:c r="Q1449" s="22" t="n">
        <x:v>0</x:v>
      </x:c>
      <x:c r="R1449" s="22" t="str"/>
      <x:c r="S1449" s="22" t="str"/>
      <x:c r="T1449" s="22" t="str"/>
    </x:row>
    <x:row r="1450">
      <x:c r="A1450" s="22" t="str">
        <x:v>2023-00027</x:v>
      </x:c>
      <x:c r="B1450" s="22" t="str">
        <x:v>L2025-00058-1</x:v>
      </x:c>
      <x:c r="C1450" s="22" t="str">
        <x:v>공사</x:v>
      </x:c>
      <x:c r="D1450" s="25" t="str">
        <x:v>키르키즈공화국 국회 디지털화 사업 시공</x:v>
      </x:c>
      <x:c r="E1450" s="22" t="n">
        <x:v>1</x:v>
      </x:c>
      <x:c r="F1450" s="22" t="str">
        <x:v>.zip</x:v>
      </x:c>
      <x:c r="G1450" s="25" t="str">
        <x:v>L2025-00058-1/(붙임1) 공고내역 (KG_2025_07).zip</x:v>
      </x:c>
      <x:c r="H1450" s="28" t="n">
        <x:v>6239427</x:v>
      </x:c>
      <x:c r="I1450" s="22" t="str">
        <x:v>bd6a1ec24c6a6e1ca9bf0bd49c487962ab11dea3e56cfef19a4203b07b7bbb4c</x:v>
      </x:c>
      <x:c r="J1450" s="22" t="n">
        <x:v>0</x:v>
      </x:c>
      <x:c r="K1450" s="22" t="n">
        <x:v>0</x:v>
      </x:c>
      <x:c r="L1450" s="22" t="n">
        <x:v>0</x:v>
      </x:c>
      <x:c r="M1450" s="28" t="n">
        <x:v>0</x:v>
      </x:c>
      <x:c r="N1450" s="28" t="n">
        <x:v>0</x:v>
      </x:c>
      <x:c r="O1450" s="28" t="n">
        <x:v>0</x:v>
      </x:c>
      <x:c r="P1450" s="62" t="n">
        <x:v>0</x:v>
      </x:c>
      <x:c r="Q1450" s="22" t="n">
        <x:v>0</x:v>
      </x:c>
      <x:c r="R1450" s="22" t="str"/>
      <x:c r="S1450" s="22" t="str"/>
      <x:c r="T1450" s="22" t="str"/>
    </x:row>
    <x:row r="1451">
      <x:c r="A1451" s="22" t="str">
        <x:v>2023-00027</x:v>
      </x:c>
      <x:c r="B1451" s="22" t="str">
        <x:v>L2025-00058-1</x:v>
      </x:c>
      <x:c r="C1451" s="22" t="str">
        <x:v>공사</x:v>
      </x:c>
      <x:c r="D1451" s="25" t="str">
        <x:v>키르키즈공화국 국회 디지털화 사업 시공</x:v>
      </x:c>
      <x:c r="E1451" s="22" t="n">
        <x:v>1</x:v>
      </x:c>
      <x:c r="F1451" s="22" t="str">
        <x:v>.docx</x:v>
      </x:c>
      <x:c r="G1451" s="25" t="str">
        <x:v>L2025-00058-1/(붙임2) 입찰 공고 내역_링크.docx</x:v>
      </x:c>
      <x:c r="H1451" s="28" t="n">
        <x:v>9809</x:v>
      </x:c>
      <x:c r="I1451" s="22" t="str">
        <x:v>7ba8fc4f74577ed7c5811a43b29b7d10eca1e7e9ab8eacbeafe43ef1b7702c71</x:v>
      </x:c>
      <x:c r="J1451" s="22" t="n">
        <x:v>0</x:v>
      </x:c>
      <x:c r="K1451" s="22" t="n">
        <x:v>0</x:v>
      </x:c>
      <x:c r="L1451" s="22" t="n">
        <x:v>0</x:v>
      </x:c>
      <x:c r="M1451" s="28" t="n">
        <x:v>0</x:v>
      </x:c>
      <x:c r="N1451" s="28" t="n">
        <x:v>0</x:v>
      </x:c>
      <x:c r="O1451" s="28" t="n">
        <x:v>0</x:v>
      </x:c>
      <x:c r="P1451" s="62" t="n">
        <x:v>0</x:v>
      </x:c>
      <x:c r="Q1451" s="22" t="n">
        <x:v>0</x:v>
      </x:c>
      <x:c r="R1451" s="22" t="str"/>
      <x:c r="S1451" s="22" t="str"/>
      <x:c r="T1451" s="22" t="str"/>
    </x:row>
    <x:row r="1452">
      <x:c r="A1452" s="22" t="str">
        <x:v>2023-00027</x:v>
      </x:c>
      <x:c r="B1452" s="22" t="str">
        <x:v>L2025-00058-1</x:v>
      </x:c>
      <x:c r="C1452" s="22" t="str">
        <x:v>공사</x:v>
      </x:c>
      <x:c r="D1452" s="25" t="str">
        <x:v>키르키즈공화국 국회 디지털화 사업 시공</x:v>
      </x:c>
      <x:c r="E1452" s="22" t="n">
        <x:v>1</x:v>
      </x:c>
      <x:c r="F1452" s="22" t="str">
        <x:v>.doc</x:v>
      </x:c>
      <x:c r="G1452" s="25" t="str">
        <x:v>L2025-00058-1/(붙임1) 공고내역 (KG_2025_07)/Re-Bid_Document_Digitalization_of_the_Parliament_KG_2025_07/Bid document (Eng)/ENG_Section 1 - Instructions to Bidders_ITB_Digitalization_Parliament.doc</x:v>
      </x:c>
      <x:c r="H1452" s="28" t="n">
        <x:v>257231</x:v>
      </x:c>
      <x:c r="I1452" s="22" t="str">
        <x:v>e17195795075a699aa2746029d2d7bc523143809570f808e673eb191fbd77af9</x:v>
      </x:c>
      <x:c r="J1452" s="22" t="n">
        <x:v>0</x:v>
      </x:c>
      <x:c r="K1452" s="22" t="n">
        <x:v>0</x:v>
      </x:c>
      <x:c r="L1452" s="22" t="n">
        <x:v>0</x:v>
      </x:c>
      <x:c r="M1452" s="28" t="n">
        <x:v>0</x:v>
      </x:c>
      <x:c r="N1452" s="28" t="n">
        <x:v>0</x:v>
      </x:c>
      <x:c r="O1452" s="28" t="n">
        <x:v>0</x:v>
      </x:c>
      <x:c r="P1452" s="62" t="n">
        <x:v>0</x:v>
      </x:c>
      <x:c r="Q1452" s="22" t="n">
        <x:v>0</x:v>
      </x:c>
      <x:c r="R1452" s="22" t="str"/>
      <x:c r="S1452" s="22" t="str"/>
      <x:c r="T1452" s="22" t="str"/>
    </x:row>
    <x:row r="1453">
      <x:c r="A1453" s="22" t="str">
        <x:v>2023-00027</x:v>
      </x:c>
      <x:c r="B1453" s="22" t="str">
        <x:v>L2025-00058-1</x:v>
      </x:c>
      <x:c r="C1453" s="22" t="str">
        <x:v>공사</x:v>
      </x:c>
      <x:c r="D1453" s="25" t="str">
        <x:v>키르키즈공화국 국회 디지털화 사업 시공</x:v>
      </x:c>
      <x:c r="E1453" s="22" t="n">
        <x:v>1</x:v>
      </x:c>
      <x:c r="F1453" s="22" t="str">
        <x:v>.docx</x:v>
      </x:c>
      <x:c r="G1453" s="25" t="str">
        <x:v>L2025-00058-1/(붙임1) 공고내역 (KG_2025_07)/Re-Bid_Document_Digitalization_of_the_Parliament_KG_2025_07/Bid document (Eng)/ENG_Section 8 - Special_Conditions_of_Contract_Digitalization_Parliament(CM reviewed).docx</x:v>
      </x:c>
      <x:c r="H1453" s="28" t="n">
        <x:v>66588</x:v>
      </x:c>
      <x:c r="I1453" s="22" t="str">
        <x:v>50b98b46d34afa9af65809305af89a0b83b7d896221ed5f1f1ee75e7f95df3dc</x:v>
      </x:c>
      <x:c r="J1453" s="22" t="n">
        <x:v>0</x:v>
      </x:c>
      <x:c r="K1453" s="22" t="n">
        <x:v>0</x:v>
      </x:c>
      <x:c r="L1453" s="22" t="n">
        <x:v>0</x:v>
      </x:c>
      <x:c r="M1453" s="28" t="n">
        <x:v>0</x:v>
      </x:c>
      <x:c r="N1453" s="28" t="n">
        <x:v>0</x:v>
      </x:c>
      <x:c r="O1453" s="28" t="n">
        <x:v>0</x:v>
      </x:c>
      <x:c r="P1453" s="62" t="n">
        <x:v>0</x:v>
      </x:c>
      <x:c r="Q1453" s="22" t="n">
        <x:v>0</x:v>
      </x:c>
      <x:c r="R1453" s="22" t="str"/>
      <x:c r="S1453" s="22" t="str"/>
      <x:c r="T1453" s="22" t="str"/>
    </x:row>
    <x:row r="1454">
      <x:c r="A1454" s="22" t="str">
        <x:v>2023-00027</x:v>
      </x:c>
      <x:c r="B1454" s="22" t="str">
        <x:v>L2025-00058-1</x:v>
      </x:c>
      <x:c r="C1454" s="22" t="str">
        <x:v>공사</x:v>
      </x:c>
      <x:c r="D1454" s="25" t="str">
        <x:v>키르키즈공화국 국회 디지털화 사업 시공</x:v>
      </x:c>
      <x:c r="E1454" s="22" t="n">
        <x:v>1</x:v>
      </x:c>
      <x:c r="F1454" s="22" t="str">
        <x:v>.docx</x:v>
      </x:c>
      <x:c r="G1454" s="25" t="str">
        <x:v>L2025-00058-1/(붙임1) 공고내역 (KG_2025_07)/Re-Bid_Document_Digitalization_of_the_Parliament_KG_2025_07/Bid document (Eng)/ENG_Section 4_6 - Requirements_Digitalization Parliament_2025_07.docx</x:v>
      </x:c>
      <x:c r="H1454" s="28" t="n">
        <x:v>2194409</x:v>
      </x:c>
      <x:c r="I1454" s="22" t="str">
        <x:v>4ee4b6f9cbd0cba4592407533878604ae747ea075f9c0d879f6320db155e31a2</x:v>
      </x:c>
      <x:c r="J1454" s="22" t="n">
        <x:v>0</x:v>
      </x:c>
      <x:c r="K1454" s="22" t="n">
        <x:v>0</x:v>
      </x:c>
      <x:c r="L1454" s="22" t="n">
        <x:v>0</x:v>
      </x:c>
      <x:c r="M1454" s="28" t="n">
        <x:v>0</x:v>
      </x:c>
      <x:c r="N1454" s="28" t="n">
        <x:v>0</x:v>
      </x:c>
      <x:c r="O1454" s="28" t="n">
        <x:v>0</x:v>
      </x:c>
      <x:c r="P1454" s="62" t="n">
        <x:v>0</x:v>
      </x:c>
      <x:c r="Q1454" s="22" t="n">
        <x:v>0</x:v>
      </x:c>
      <x:c r="R1454" s="22" t="str"/>
      <x:c r="S1454" s="22" t="str"/>
      <x:c r="T1454" s="22" t="str"/>
    </x:row>
    <x:row r="1455">
      <x:c r="A1455" s="22" t="str">
        <x:v>2023-00027</x:v>
      </x:c>
      <x:c r="B1455" s="22" t="str">
        <x:v>L2025-00058-1</x:v>
      </x:c>
      <x:c r="C1455" s="22" t="str">
        <x:v>공사</x:v>
      </x:c>
      <x:c r="D1455" s="25" t="str">
        <x:v>키르키즈공화국 국회 디지털화 사업 시공</x:v>
      </x:c>
      <x:c r="E1455" s="22" t="n">
        <x:v>1</x:v>
      </x:c>
      <x:c r="F1455" s="22" t="str">
        <x:v>.docx</x:v>
      </x:c>
      <x:c r="G1455" s="25" t="str">
        <x:v>L2025-00058-1/(붙임1) 공고내역 (KG_2025_07)/Re-Bid_Document_Digitalization_of_the_Parliament_KG_2025_07/Bid document (Eng)/ENG_Section 9 - Contract_Forms_Digitalization_Parliament.docx</x:v>
      </x:c>
      <x:c r="H1455" s="28" t="n">
        <x:v>38953</x:v>
      </x:c>
      <x:c r="I1455" s="22" t="str">
        <x:v>5e5c47c728f5a837ecb0e733eed921cf6186a65ac1b525eb4c681da0c59bc2d5</x:v>
      </x:c>
      <x:c r="J1455" s="22" t="n">
        <x:v>0</x:v>
      </x:c>
      <x:c r="K1455" s="22" t="n">
        <x:v>0</x:v>
      </x:c>
      <x:c r="L1455" s="22" t="n">
        <x:v>0</x:v>
      </x:c>
      <x:c r="M1455" s="28" t="n">
        <x:v>0</x:v>
      </x:c>
      <x:c r="N1455" s="28" t="n">
        <x:v>0</x:v>
      </x:c>
      <x:c r="O1455" s="28" t="n">
        <x:v>0</x:v>
      </x:c>
      <x:c r="P1455" s="62" t="n">
        <x:v>0</x:v>
      </x:c>
      <x:c r="Q1455" s="22" t="n">
        <x:v>0</x:v>
      </x:c>
      <x:c r="R1455" s="22" t="str"/>
      <x:c r="S1455" s="22" t="str"/>
      <x:c r="T1455" s="22" t="str"/>
    </x:row>
    <x:row r="1456">
      <x:c r="A1456" s="22" t="str">
        <x:v>2023-00027</x:v>
      </x:c>
      <x:c r="B1456" s="22" t="str">
        <x:v>L2025-00058-1</x:v>
      </x:c>
      <x:c r="C1456" s="22" t="str">
        <x:v>공사</x:v>
      </x:c>
      <x:c r="D1456" s="25" t="str">
        <x:v>키르키즈공화국 국회 디지털화 사업 시공</x:v>
      </x:c>
      <x:c r="E1456" s="22" t="n">
        <x:v>1</x:v>
      </x:c>
      <x:c r="F1456" s="22" t="str">
        <x:v>.docx</x:v>
      </x:c>
      <x:c r="G1456" s="25" t="str">
        <x:v>L2025-00058-1/(붙임1) 공고내역 (KG_2025_07)/Re-Bid_Document_Digitalization_of_the_Parliament_KG_2025_07/Bid document (Eng)/ENG_Section 7 - General_Conditions_of_Contract_Digitalization_Parliament.docx</x:v>
      </x:c>
      <x:c r="H1456" s="28" t="n">
        <x:v>215518</x:v>
      </x:c>
      <x:c r="I1456" s="22" t="str">
        <x:v>580ea664f5b1088f8125375cd91b37904a8dc063f6e170cc9955ae2c2c80dd4d</x:v>
      </x:c>
      <x:c r="J1456" s="22" t="n">
        <x:v>0</x:v>
      </x:c>
      <x:c r="K1456" s="22" t="n">
        <x:v>0</x:v>
      </x:c>
      <x:c r="L1456" s="22" t="n">
        <x:v>0</x:v>
      </x:c>
      <x:c r="M1456" s="28" t="n">
        <x:v>0</x:v>
      </x:c>
      <x:c r="N1456" s="28" t="n">
        <x:v>0</x:v>
      </x:c>
      <x:c r="O1456" s="28" t="n">
        <x:v>0</x:v>
      </x:c>
      <x:c r="P1456" s="62" t="n">
        <x:v>0</x:v>
      </x:c>
      <x:c r="Q1456" s="22" t="n">
        <x:v>0</x:v>
      </x:c>
      <x:c r="R1456" s="22" t="str"/>
      <x:c r="S1456" s="22" t="str"/>
      <x:c r="T1456" s="22" t="str"/>
    </x:row>
    <x:row r="1457">
      <x:c r="A1457" s="22" t="str">
        <x:v>2023-00027</x:v>
      </x:c>
      <x:c r="B1457" s="22" t="str">
        <x:v>L2025-00058-1</x:v>
      </x:c>
      <x:c r="C1457" s="22" t="str">
        <x:v>공사</x:v>
      </x:c>
      <x:c r="D1457" s="25" t="str">
        <x:v>키르키즈공화국 국회 디지털화 사업 시공</x:v>
      </x:c>
      <x:c r="E1457" s="22" t="n">
        <x:v>1</x:v>
      </x:c>
      <x:c r="F1457" s="22" t="str">
        <x:v>.doc</x:v>
      </x:c>
      <x:c r="G1457" s="25" t="str">
        <x:v>L2025-00058-1/(붙임1) 공고내역 (KG_2025_07)/Re-Bid_Document_Digitalization_of_the_Parliament_KG_2025_07/Bid document (Eng)/ENG_Section 3 - Bidding Forms_Digitalization Parliament_2025_07.doc</x:v>
      </x:c>
      <x:c r="H1457" s="28" t="n">
        <x:v>374272</x:v>
      </x:c>
      <x:c r="I1457" s="22" t="str">
        <x:v>6599056e1ac5e6b4fd096dd3ccd11d9dc5ce342734b79d58d7b39107a53dc1bb</x:v>
      </x:c>
      <x:c r="J1457" s="22" t="n">
        <x:v>0</x:v>
      </x:c>
      <x:c r="K1457" s="22" t="n">
        <x:v>0</x:v>
      </x:c>
      <x:c r="L1457" s="22" t="n">
        <x:v>0</x:v>
      </x:c>
      <x:c r="M1457" s="28" t="n">
        <x:v>0</x:v>
      </x:c>
      <x:c r="N1457" s="28" t="n">
        <x:v>0</x:v>
      </x:c>
      <x:c r="O1457" s="28" t="n">
        <x:v>0</x:v>
      </x:c>
      <x:c r="P1457" s="62" t="n">
        <x:v>0</x:v>
      </x:c>
      <x:c r="Q1457" s="22" t="n">
        <x:v>0</x:v>
      </x:c>
      <x:c r="R1457" s="22" t="str"/>
      <x:c r="S1457" s="22" t="str"/>
      <x:c r="T1457" s="22" t="str"/>
    </x:row>
    <x:row r="1458">
      <x:c r="A1458" s="22" t="str">
        <x:v>2023-00027</x:v>
      </x:c>
      <x:c r="B1458" s="22" t="str">
        <x:v>L2025-00058-1</x:v>
      </x:c>
      <x:c r="C1458" s="22" t="str">
        <x:v>공사</x:v>
      </x:c>
      <x:c r="D1458" s="25" t="str">
        <x:v>키르키즈공화국 국회 디지털화 사업 시공</x:v>
      </x:c>
      <x:c r="E1458" s="22" t="n">
        <x:v>1</x:v>
      </x:c>
      <x:c r="F1458" s="22" t="str">
        <x:v>.docx</x:v>
      </x:c>
      <x:c r="G1458" s="25" t="str">
        <x:v>L2025-00058-1/(붙임1) 공고내역 (KG_2025_07)/Re-Bid_Document_Digitalization_of_the_Parliament_KG_2025_07/Bid document (Eng)/ENG_Section 2 - Bid Data Sheet Digitalization Parliament_2025 07(final).docx</x:v>
      </x:c>
      <x:c r="H1458" s="28" t="n">
        <x:v>44000</x:v>
      </x:c>
      <x:c r="I1458" s="22" t="str">
        <x:v>b26b7ec26509b9cbc71961a7fb242c949f73fb38ee872e5c015eef14d6cd2f21</x:v>
      </x:c>
      <x:c r="J1458" s="22" t="n">
        <x:v>0</x:v>
      </x:c>
      <x:c r="K1458" s="22" t="n">
        <x:v>0</x:v>
      </x:c>
      <x:c r="L1458" s="22" t="n">
        <x:v>0</x:v>
      </x:c>
      <x:c r="M1458" s="28" t="n">
        <x:v>0</x:v>
      </x:c>
      <x:c r="N1458" s="28" t="n">
        <x:v>0</x:v>
      </x:c>
      <x:c r="O1458" s="28" t="n">
        <x:v>0</x:v>
      </x:c>
      <x:c r="P1458" s="62" t="n">
        <x:v>0</x:v>
      </x:c>
      <x:c r="Q1458" s="22" t="n">
        <x:v>0</x:v>
      </x:c>
      <x:c r="R1458" s="22" t="str"/>
      <x:c r="S1458" s="22" t="str"/>
      <x:c r="T1458" s="22" t="str"/>
    </x:row>
    <x:row r="1459">
      <x:c r="A1459" s="22" t="str">
        <x:v>2023-00027</x:v>
      </x:c>
      <x:c r="B1459" s="22" t="str">
        <x:v>L2025-00058-1</x:v>
      </x:c>
      <x:c r="C1459" s="22" t="str">
        <x:v>공사</x:v>
      </x:c>
      <x:c r="D1459" s="25" t="str">
        <x:v>키르키즈공화국 국회 디지털화 사업 시공</x:v>
      </x:c>
      <x:c r="E1459" s="22" t="n">
        <x:v>1</x:v>
      </x:c>
      <x:c r="F1459" s="22" t="str">
        <x:v>.pdf</x:v>
      </x:c>
      <x:c r="G1459" s="25" t="str">
        <x:v>L2025-00058-1/(붙임1) 공고내역 (KG_2025_07)/Re-Bid_Document_Digitalization_of_the_Parliament_KG_2025_07/Bid document (Eng)/250428_JUNIPER_Agreement_for_the_supply_of_goods_or_technical_support.pdf</x:v>
      </x:c>
      <x:c r="H1459" s="28" t="n">
        <x:v>453314</x:v>
      </x:c>
      <x:c r="I1459" s="22" t="str">
        <x:v>6c1b0b9a32e1503076fc878d4a820183e142d023f969064e00fcb87f32c4a81c</x:v>
      </x:c>
      <x:c r="J1459" s="22" t="n">
        <x:v>0</x:v>
      </x:c>
      <x:c r="K1459" s="22" t="n">
        <x:v>0</x:v>
      </x:c>
      <x:c r="L1459" s="22" t="n">
        <x:v>0</x:v>
      </x:c>
      <x:c r="M1459" s="28" t="n">
        <x:v>0</x:v>
      </x:c>
      <x:c r="N1459" s="28" t="n">
        <x:v>0</x:v>
      </x:c>
      <x:c r="O1459" s="28" t="n">
        <x:v>0</x:v>
      </x:c>
      <x:c r="P1459" s="62" t="n">
        <x:v>0</x:v>
      </x:c>
      <x:c r="Q1459" s="22" t="n">
        <x:v>0</x:v>
      </x:c>
      <x:c r="R1459" s="22" t="str"/>
      <x:c r="S1459" s="22" t="str"/>
      <x:c r="T1459" s="22" t="str"/>
    </x:row>
    <x:row r="1460">
      <x:c r="A1460" s="22" t="str">
        <x:v>2023-00027</x:v>
      </x:c>
      <x:c r="B1460" s="22" t="str">
        <x:v>L2025-00058-1</x:v>
      </x:c>
      <x:c r="C1460" s="22" t="str">
        <x:v>공사</x:v>
      </x:c>
      <x:c r="D1460" s="25" t="str">
        <x:v>키르키즈공화국 국회 디지털화 사업 시공</x:v>
      </x:c>
      <x:c r="E1460" s="22" t="n">
        <x:v>1</x:v>
      </x:c>
      <x:c r="F1460" s="22" t="str">
        <x:v>.docx</x:v>
      </x:c>
      <x:c r="G1460" s="25" t="str">
        <x:v>L2025-00058-1/(붙임1) 공고내역 (KG_2025_07)/Re-Bid_Document_Digitalization_of_the_Parliament_KG_2025_07/Bid document (Rus)/RUS_Section_1_Instructions_to_Bidders_ITB_Digitalization_Parliament.docx</x:v>
      </x:c>
      <x:c r="H1460" s="28" t="n">
        <x:v>38892</x:v>
      </x:c>
      <x:c r="I1460" s="22" t="str">
        <x:v>1a5f1373bd4801fcc6d60983d6a49c73f726118bee02a179fb63be81d4456137</x:v>
      </x:c>
      <x:c r="J1460" s="22" t="n">
        <x:v>0</x:v>
      </x:c>
      <x:c r="K1460" s="22" t="n">
        <x:v>0</x:v>
      </x:c>
      <x:c r="L1460" s="22" t="n">
        <x:v>0</x:v>
      </x:c>
      <x:c r="M1460" s="28" t="n">
        <x:v>0</x:v>
      </x:c>
      <x:c r="N1460" s="28" t="n">
        <x:v>0</x:v>
      </x:c>
      <x:c r="O1460" s="28" t="n">
        <x:v>0</x:v>
      </x:c>
      <x:c r="P1460" s="62" t="n">
        <x:v>0</x:v>
      </x:c>
      <x:c r="Q1460" s="22" t="n">
        <x:v>0</x:v>
      </x:c>
      <x:c r="R1460" s="22" t="str"/>
      <x:c r="S1460" s="22" t="str"/>
      <x:c r="T1460" s="22" t="str"/>
    </x:row>
    <x:row r="1461">
      <x:c r="A1461" s="22" t="str">
        <x:v>2023-00027</x:v>
      </x:c>
      <x:c r="B1461" s="22" t="str">
        <x:v>L2025-00058-1</x:v>
      </x:c>
      <x:c r="C1461" s="22" t="str">
        <x:v>공사</x:v>
      </x:c>
      <x:c r="D1461" s="25" t="str">
        <x:v>키르키즈공화국 국회 디지털화 사업 시공</x:v>
      </x:c>
      <x:c r="E1461" s="22" t="n">
        <x:v>1</x:v>
      </x:c>
      <x:c r="F1461" s="22" t="str">
        <x:v>.docx</x:v>
      </x:c>
      <x:c r="G1461" s="25" t="str">
        <x:v>L2025-00058-1/(붙임1) 공고내역 (KG_2025_07)/Re-Bid_Document_Digitalization_of_the_Parliament_KG_2025_07/Bid document (Rus)/RUS_Section_4_6_Requirements_Digitalization_Parliament.docx</x:v>
      </x:c>
      <x:c r="H1461" s="28" t="n">
        <x:v>2367853</x:v>
      </x:c>
      <x:c r="I1461" s="22" t="str">
        <x:v>dbc7056e00abd01e9ac44a236afbd31e65da252b324a1c19c68d9cd89192fdcd</x:v>
      </x:c>
      <x:c r="J1461" s="22" t="n">
        <x:v>0</x:v>
      </x:c>
      <x:c r="K1461" s="22" t="n">
        <x:v>0</x:v>
      </x:c>
      <x:c r="L1461" s="22" t="n">
        <x:v>0</x:v>
      </x:c>
      <x:c r="M1461" s="28" t="n">
        <x:v>0</x:v>
      </x:c>
      <x:c r="N1461" s="28" t="n">
        <x:v>0</x:v>
      </x:c>
      <x:c r="O1461" s="28" t="n">
        <x:v>0</x:v>
      </x:c>
      <x:c r="P1461" s="62" t="n">
        <x:v>0</x:v>
      </x:c>
      <x:c r="Q1461" s="22" t="n">
        <x:v>0</x:v>
      </x:c>
      <x:c r="R1461" s="22" t="str"/>
      <x:c r="S1461" s="22" t="str"/>
      <x:c r="T1461" s="22" t="str"/>
    </x:row>
    <x:row r="1462">
      <x:c r="A1462" s="22" t="str">
        <x:v>2023-00027</x:v>
      </x:c>
      <x:c r="B1462" s="22" t="str">
        <x:v>L2025-00058-1</x:v>
      </x:c>
      <x:c r="C1462" s="22" t="str">
        <x:v>공사</x:v>
      </x:c>
      <x:c r="D1462" s="25" t="str">
        <x:v>키르키즈공화국 국회 디지털화 사업 시공</x:v>
      </x:c>
      <x:c r="E1462" s="22" t="n">
        <x:v>1</x:v>
      </x:c>
      <x:c r="F1462" s="22" t="str">
        <x:v>.docx</x:v>
      </x:c>
      <x:c r="G1462" s="25" t="str">
        <x:v>L2025-00058-1/(붙임1) 공고내역 (KG_2025_07)/Re-Bid_Document_Digitalization_of_the_Parliament_KG_2025_07/Bid document (Rus)/RUS_Section_2 - Bid_Data_Sheet_Digitalization_Parliament.docx</x:v>
      </x:c>
      <x:c r="H1462" s="28" t="n">
        <x:v>59664</x:v>
      </x:c>
      <x:c r="I1462" s="22" t="str">
        <x:v>0a6914835ca7d135ff60de160643db98a2e02170a67c2debfbf7fc12e0d95c95</x:v>
      </x:c>
      <x:c r="J1462" s="22" t="n">
        <x:v>0</x:v>
      </x:c>
      <x:c r="K1462" s="22" t="n">
        <x:v>0</x:v>
      </x:c>
      <x:c r="L1462" s="22" t="n">
        <x:v>0</x:v>
      </x:c>
      <x:c r="M1462" s="28" t="n">
        <x:v>0</x:v>
      </x:c>
      <x:c r="N1462" s="28" t="n">
        <x:v>0</x:v>
      </x:c>
      <x:c r="O1462" s="28" t="n">
        <x:v>0</x:v>
      </x:c>
      <x:c r="P1462" s="62" t="n">
        <x:v>0</x:v>
      </x:c>
      <x:c r="Q1462" s="22" t="n">
        <x:v>0</x:v>
      </x:c>
      <x:c r="R1462" s="22" t="str"/>
      <x:c r="S1462" s="22" t="str"/>
      <x:c r="T1462" s="22" t="str"/>
    </x:row>
    <x:row r="1463">
      <x:c r="A1463" s="22" t="str">
        <x:v>2023-00027</x:v>
      </x:c>
      <x:c r="B1463" s="22" t="str">
        <x:v>L2025-00058-1</x:v>
      </x:c>
      <x:c r="C1463" s="22" t="str">
        <x:v>공사</x:v>
      </x:c>
      <x:c r="D1463" s="25" t="str">
        <x:v>키르키즈공화국 국회 디지털화 사업 시공</x:v>
      </x:c>
      <x:c r="E1463" s="22" t="n">
        <x:v>1</x:v>
      </x:c>
      <x:c r="F1463" s="22" t="str">
        <x:v>.docx</x:v>
      </x:c>
      <x:c r="G1463" s="25" t="str">
        <x:v>L2025-00058-1/(붙임1) 공고내역 (KG_2025_07)/Re-Bid_Document_Digitalization_of_the_Parliament_KG_2025_07/Bid document (Rus)/RUS_Section_9_Contract_Forms_Digitalization_Parliament.docx</x:v>
      </x:c>
      <x:c r="H1463" s="28" t="n">
        <x:v>17762</x:v>
      </x:c>
      <x:c r="I1463" s="22" t="str">
        <x:v>e6c2033bfb68622a88713f4df14d6c9802c3f4db1f28035d7de23cba21bcc09f</x:v>
      </x:c>
      <x:c r="J1463" s="22" t="n">
        <x:v>0</x:v>
      </x:c>
      <x:c r="K1463" s="22" t="n">
        <x:v>0</x:v>
      </x:c>
      <x:c r="L1463" s="22" t="n">
        <x:v>0</x:v>
      </x:c>
      <x:c r="M1463" s="28" t="n">
        <x:v>0</x:v>
      </x:c>
      <x:c r="N1463" s="28" t="n">
        <x:v>0</x:v>
      </x:c>
      <x:c r="O1463" s="28" t="n">
        <x:v>0</x:v>
      </x:c>
      <x:c r="P1463" s="62" t="n">
        <x:v>0</x:v>
      </x:c>
      <x:c r="Q1463" s="22" t="n">
        <x:v>0</x:v>
      </x:c>
      <x:c r="R1463" s="22" t="str"/>
      <x:c r="S1463" s="22" t="str"/>
      <x:c r="T1463" s="22" t="str"/>
    </x:row>
    <x:row r="1464">
      <x:c r="A1464" s="22" t="str">
        <x:v>2023-00027</x:v>
      </x:c>
      <x:c r="B1464" s="22" t="str">
        <x:v>L2025-00058-1</x:v>
      </x:c>
      <x:c r="C1464" s="22" t="str">
        <x:v>공사</x:v>
      </x:c>
      <x:c r="D1464" s="25" t="str">
        <x:v>키르키즈공화국 국회 디지털화 사업 시공</x:v>
      </x:c>
      <x:c r="E1464" s="22" t="n">
        <x:v>1</x:v>
      </x:c>
      <x:c r="F1464" s="22" t="str">
        <x:v>.doc</x:v>
      </x:c>
      <x:c r="G1464" s="25" t="str">
        <x:v>L2025-00058-1/(붙임1) 공고내역 (KG_2025_07)/Re-Bid_Document_Digitalization_of_the_Parliament_KG_2025_07/Bid document (Rus)/RUS_Section_3_Bidding_Forms_Digitalization_Parliament.doc</x:v>
      </x:c>
      <x:c r="H1464" s="28" t="n">
        <x:v>322560</x:v>
      </x:c>
      <x:c r="I1464" s="22" t="str">
        <x:v>5c1fab1433cb1b9ac9d0f324aeca295d440135250035163411d2d4d60e42e55f</x:v>
      </x:c>
      <x:c r="J1464" s="22" t="n">
        <x:v>0</x:v>
      </x:c>
      <x:c r="K1464" s="22" t="n">
        <x:v>0</x:v>
      </x:c>
      <x:c r="L1464" s="22" t="n">
        <x:v>0</x:v>
      </x:c>
      <x:c r="M1464" s="28" t="n">
        <x:v>0</x:v>
      </x:c>
      <x:c r="N1464" s="28" t="n">
        <x:v>0</x:v>
      </x:c>
      <x:c r="O1464" s="28" t="n">
        <x:v>0</x:v>
      </x:c>
      <x:c r="P1464" s="62" t="n">
        <x:v>0</x:v>
      </x:c>
      <x:c r="Q1464" s="22" t="n">
        <x:v>0</x:v>
      </x:c>
      <x:c r="R1464" s="22" t="str"/>
      <x:c r="S1464" s="22" t="str"/>
      <x:c r="T1464" s="22" t="str"/>
    </x:row>
    <x:row r="1465">
      <x:c r="A1465" s="22" t="str">
        <x:v>2023-00027</x:v>
      </x:c>
      <x:c r="B1465" s="22" t="str">
        <x:v>L2025-00058-1</x:v>
      </x:c>
      <x:c r="C1465" s="22" t="str">
        <x:v>공사</x:v>
      </x:c>
      <x:c r="D1465" s="25" t="str">
        <x:v>키르키즈공화국 국회 디지털화 사업 시공</x:v>
      </x:c>
      <x:c r="E1465" s="22" t="n">
        <x:v>1</x:v>
      </x:c>
      <x:c r="F1465" s="22" t="str">
        <x:v>.pdf</x:v>
      </x:c>
      <x:c r="G1465" s="25" t="str">
        <x:v>L2025-00058-1/(붙임1) 공고내역 (KG_2025_07)/Re-Bid_Document_Digitalization_of_the_Parliament_KG_2025_07/Bid document (Rus)/250428_JUNIPER_Agreement_for_the_supply_of_goods_or_technical_support.pdf</x:v>
      </x:c>
      <x:c r="H1465" s="28" t="n">
        <x:v>456504</x:v>
      </x:c>
      <x:c r="I1465" s="22" t="str">
        <x:v>c8d4298252fe4fb7943f985643aa49744263b6ffc3bf8baadc400a5aa719dc8b</x:v>
      </x:c>
      <x:c r="J1465" s="22" t="n">
        <x:v>0</x:v>
      </x:c>
      <x:c r="K1465" s="22" t="n">
        <x:v>0</x:v>
      </x:c>
      <x:c r="L1465" s="22" t="n">
        <x:v>0</x:v>
      </x:c>
      <x:c r="M1465" s="28" t="n">
        <x:v>0</x:v>
      </x:c>
      <x:c r="N1465" s="28" t="n">
        <x:v>0</x:v>
      </x:c>
      <x:c r="O1465" s="28" t="n">
        <x:v>0</x:v>
      </x:c>
      <x:c r="P1465" s="62" t="n">
        <x:v>0</x:v>
      </x:c>
      <x:c r="Q1465" s="22" t="n">
        <x:v>0</x:v>
      </x:c>
      <x:c r="R1465" s="22" t="str"/>
      <x:c r="S1465" s="22" t="str"/>
      <x:c r="T1465" s="22" t="str"/>
    </x:row>
    <x:row r="1466">
      <x:c r="A1466" s="22" t="str">
        <x:v>2023-00027</x:v>
      </x:c>
      <x:c r="B1466" s="22" t="str">
        <x:v>L2025-00058-1</x:v>
      </x:c>
      <x:c r="C1466" s="22" t="str">
        <x:v>공사</x:v>
      </x:c>
      <x:c r="D1466" s="25" t="str">
        <x:v>키르키즈공화국 국회 디지털화 사업 시공</x:v>
      </x:c>
      <x:c r="E1466" s="22" t="n">
        <x:v>1</x:v>
      </x:c>
      <x:c r="F1466" s="22" t="str">
        <x:v>.docx</x:v>
      </x:c>
      <x:c r="G1466" s="25" t="str">
        <x:v>L2025-00058-1/(붙임1) 공고내역 (KG_2025_07)/Re-Bid_Document_Digitalization_of_the_Parliament_KG_2025_07/Bid document (Rus)/RUS_Section_8_Special_Conditions_of_Contract_Digitalization_Parliament.docx</x:v>
      </x:c>
      <x:c r="H1466" s="28" t="n">
        <x:v>75322</x:v>
      </x:c>
      <x:c r="I1466" s="22" t="str">
        <x:v>138a8ba1b82431c8c8b87e3ca3b03484bb401f4c767c82cbffd8387029e78a54</x:v>
      </x:c>
      <x:c r="J1466" s="22" t="n">
        <x:v>0</x:v>
      </x:c>
      <x:c r="K1466" s="22" t="n">
        <x:v>0</x:v>
      </x:c>
      <x:c r="L1466" s="22" t="n">
        <x:v>0</x:v>
      </x:c>
      <x:c r="M1466" s="28" t="n">
        <x:v>0</x:v>
      </x:c>
      <x:c r="N1466" s="28" t="n">
        <x:v>0</x:v>
      </x:c>
      <x:c r="O1466" s="28" t="n">
        <x:v>0</x:v>
      </x:c>
      <x:c r="P1466" s="62" t="n">
        <x:v>0</x:v>
      </x:c>
      <x:c r="Q1466" s="22" t="n">
        <x:v>0</x:v>
      </x:c>
      <x:c r="R1466" s="22" t="str"/>
      <x:c r="S1466" s="22" t="str"/>
      <x:c r="T1466" s="22" t="str"/>
    </x:row>
    <x:row r="1467">
      <x:c r="A1467" s="22" t="str">
        <x:v>2023-00027</x:v>
      </x:c>
      <x:c r="B1467" s="22" t="str">
        <x:v>L2025-00058-1</x:v>
      </x:c>
      <x:c r="C1467" s="22" t="str">
        <x:v>공사</x:v>
      </x:c>
      <x:c r="D1467" s="25" t="str">
        <x:v>키르키즈공화국 국회 디지털화 사업 시공</x:v>
      </x:c>
      <x:c r="E1467" s="22" t="n">
        <x:v>1</x:v>
      </x:c>
      <x:c r="F1467" s="22" t="str">
        <x:v>.docx</x:v>
      </x:c>
      <x:c r="G1467" s="25" t="str">
        <x:v>L2025-00058-1/(붙임1) 공고내역 (KG_2025_07)/Re-Bid_Document_Digitalization_of_the_Parliament_KG_2025_07/Bid document (Rus)/RUS_Section_7_General_Conditions_of_Contract_Digitalization_Parliament.docx</x:v>
      </x:c>
      <x:c r="H1467" s="28" t="n">
        <x:v>197452</x:v>
      </x:c>
      <x:c r="I1467" s="22" t="str">
        <x:v>e9f4ac1066cbd9d383f38d94a73fd72c8e97bb26ae4f1db8c14837569e054b14</x:v>
      </x:c>
      <x:c r="J1467" s="22" t="n">
        <x:v>0</x:v>
      </x:c>
      <x:c r="K1467" s="22" t="n">
        <x:v>0</x:v>
      </x:c>
      <x:c r="L1467" s="22" t="n">
        <x:v>0</x:v>
      </x:c>
      <x:c r="M1467" s="28" t="n">
        <x:v>0</x:v>
      </x:c>
      <x:c r="N1467" s="28" t="n">
        <x:v>0</x:v>
      </x:c>
      <x:c r="O1467" s="28" t="n">
        <x:v>0</x:v>
      </x:c>
      <x:c r="P1467" s="62" t="n">
        <x:v>0</x:v>
      </x:c>
      <x:c r="Q1467" s="22" t="n">
        <x:v>0</x:v>
      </x:c>
      <x:c r="R1467" s="22" t="str"/>
      <x:c r="S1467" s="22" t="str"/>
      <x:c r="T1467" s="22" t="str"/>
    </x:row>
    <x:row r="1468">
      <x:c r="A1468" s="22" t="str">
        <x:v>2024-00105</x:v>
      </x:c>
      <x:c r="B1468" s="22" t="str">
        <x:v>L2025-00097-1</x:v>
      </x:c>
      <x:c r="C1468" s="22" t="str">
        <x:v>용역</x:v>
      </x:c>
      <x:c r="D1468" s="25" t="str">
        <x:v>키르기스스탄 디지털 전환을 위한 국가 정보화 역량 강화 사업 ICT 교육센터 신축공사를 위한 설계 및 저작권감리용역</x:v>
      </x:c>
      <x:c r="E1468" s="22" t="n">
        <x:v>0</x:v>
      </x:c>
      <x:c r="F1468" s="22" t="str">
        <x:v>.zip</x:v>
      </x:c>
      <x:c r="G1468" s="25" t="str">
        <x:v>L2025-00097-1/붙임1. 공고내역 (KG-2025-10).zip</x:v>
      </x:c>
      <x:c r="H1468" s="28" t="n">
        <x:v>16937555</x:v>
      </x:c>
      <x:c r="I1468" s="22" t="str">
        <x:v>60fc0df26b638df4ba2e0e0f0e1eb1f7e434865da2f3c07e438434bfae1d00bf</x:v>
      </x:c>
      <x:c r="J1468" s="22" t="n">
        <x:v>0</x:v>
      </x:c>
      <x:c r="K1468" s="22" t="n">
        <x:v>0</x:v>
      </x:c>
      <x:c r="L1468" s="22" t="n">
        <x:v>0</x:v>
      </x:c>
      <x:c r="M1468" s="28" t="n">
        <x:v>0</x:v>
      </x:c>
      <x:c r="N1468" s="28" t="n">
        <x:v>0</x:v>
      </x:c>
      <x:c r="O1468" s="28" t="n">
        <x:v>0</x:v>
      </x:c>
      <x:c r="P1468" s="62" t="n">
        <x:v>0</x:v>
      </x:c>
      <x:c r="Q1468" s="22" t="n">
        <x:v>0</x:v>
      </x:c>
      <x:c r="R1468" s="22" t="str"/>
      <x:c r="S1468" s="22" t="str"/>
      <x:c r="T1468" s="22" t="str"/>
    </x:row>
    <x:row r="1469">
      <x:c r="A1469" s="22" t="str">
        <x:v>2024-00105</x:v>
      </x:c>
      <x:c r="B1469" s="22" t="str">
        <x:v>L2025-00097-1</x:v>
      </x:c>
      <x:c r="C1469" s="22" t="str">
        <x:v>용역</x:v>
      </x:c>
      <x:c r="D1469" s="25" t="str">
        <x:v>키르기스스탄 디지털 전환을 위한 국가 정보화 역량 강화 사업 ICT 교육센터 신축공사를 위한 설계 및 저작권감리용역</x:v>
      </x:c>
      <x:c r="E1469" s="22" t="n">
        <x:v>0</x:v>
      </x:c>
      <x:c r="F1469" s="22" t="str">
        <x:v>.docx</x:v>
      </x:c>
      <x:c r="G1469" s="25" t="str">
        <x:v>L2025-00097-1/붙임1. 공고내역 (KG-2025-10)/RUS - final/Section 7 - General Conditions of Contract (RUS).docx</x:v>
      </x:c>
      <x:c r="H1469" s="28" t="n">
        <x:v>46587</x:v>
      </x:c>
      <x:c r="I1469" s="22" t="str">
        <x:v>8b969935ecfae374c75a5fed89927787c1d2b89b2e5fba75f8c9e73054e66fbc</x:v>
      </x:c>
      <x:c r="J1469" s="22" t="n">
        <x:v>0</x:v>
      </x:c>
      <x:c r="K1469" s="22" t="n">
        <x:v>0</x:v>
      </x:c>
      <x:c r="L1469" s="22" t="n">
        <x:v>0</x:v>
      </x:c>
      <x:c r="M1469" s="28" t="n">
        <x:v>0</x:v>
      </x:c>
      <x:c r="N1469" s="28" t="n">
        <x:v>0</x:v>
      </x:c>
      <x:c r="O1469" s="28" t="n">
        <x:v>0</x:v>
      </x:c>
      <x:c r="P1469" s="62" t="n">
        <x:v>0</x:v>
      </x:c>
      <x:c r="Q1469" s="22" t="n">
        <x:v>0</x:v>
      </x:c>
      <x:c r="R1469" s="22" t="str"/>
      <x:c r="S1469" s="22" t="str"/>
      <x:c r="T1469" s="22" t="str"/>
    </x:row>
    <x:row r="1470">
      <x:c r="A1470" s="22" t="str">
        <x:v>2024-00105</x:v>
      </x:c>
      <x:c r="B1470" s="22" t="str">
        <x:v>L2025-00097-1</x:v>
      </x:c>
      <x:c r="C1470" s="22" t="str">
        <x:v>용역</x:v>
      </x:c>
      <x:c r="D1470" s="25" t="str">
        <x:v>키르기스스탄 디지털 전환을 위한 국가 정보화 역량 강화 사업 ICT 교육센터 신축공사를 위한 설계 및 저작권감리용역</x:v>
      </x:c>
      <x:c r="E1470" s="22" t="n">
        <x:v>0</x:v>
      </x:c>
      <x:c r="F1470" s="22" t="str">
        <x:v>.docx</x:v>
      </x:c>
      <x:c r="G1470" s="25" t="str">
        <x:v>L2025-00097-1/붙임1. 공고내역 (KG-2025-10)/RUS - final/Section 8 - Special Conditions of Contract (RUS).docx</x:v>
      </x:c>
      <x:c r="H1470" s="28" t="n">
        <x:v>32370</x:v>
      </x:c>
      <x:c r="I1470" s="22" t="str">
        <x:v>390280900ff5116183840ffc7a1ad788766d591fe49dacdfb234f4294cc2035c</x:v>
      </x:c>
      <x:c r="J1470" s="22" t="n">
        <x:v>0</x:v>
      </x:c>
      <x:c r="K1470" s="22" t="n">
        <x:v>0</x:v>
      </x:c>
      <x:c r="L1470" s="22" t="n">
        <x:v>0</x:v>
      </x:c>
      <x:c r="M1470" s="28" t="n">
        <x:v>0</x:v>
      </x:c>
      <x:c r="N1470" s="28" t="n">
        <x:v>0</x:v>
      </x:c>
      <x:c r="O1470" s="28" t="n">
        <x:v>0</x:v>
      </x:c>
      <x:c r="P1470" s="62" t="n">
        <x:v>0</x:v>
      </x:c>
      <x:c r="Q1470" s="22" t="n">
        <x:v>0</x:v>
      </x:c>
      <x:c r="R1470" s="22" t="str"/>
      <x:c r="S1470" s="22" t="str"/>
      <x:c r="T1470" s="22" t="str"/>
    </x:row>
    <x:row r="1471">
      <x:c r="A1471" s="22" t="str">
        <x:v>2024-00105</x:v>
      </x:c>
      <x:c r="B1471" s="22" t="str">
        <x:v>L2025-00097-1</x:v>
      </x:c>
      <x:c r="C1471" s="22" t="str">
        <x:v>용역</x:v>
      </x:c>
      <x:c r="D1471" s="25" t="str">
        <x:v>키르기스스탄 디지털 전환을 위한 국가 정보화 역량 강화 사업 ICT 교육센터 신축공사를 위한 설계 및 저작권감리용역</x:v>
      </x:c>
      <x:c r="E1471" s="22" t="n">
        <x:v>0</x:v>
      </x:c>
      <x:c r="F1471" s="22" t="str">
        <x:v>.doc</x:v>
      </x:c>
      <x:c r="G1471" s="25" t="str">
        <x:v>L2025-00097-1/붙임1. 공고내역 (KG-2025-10)/RUS - final/Section 4 (Annex 1) Sample of Technical Proposal (RUS).doc</x:v>
      </x:c>
      <x:c r="H1471" s="28" t="n">
        <x:v>204288</x:v>
      </x:c>
      <x:c r="I1471" s="22" t="str">
        <x:v>0ae9992381d187a6623feadb5ceddca51093811bc1a5ba2ede4d5d8dc3ee798a</x:v>
      </x:c>
      <x:c r="J1471" s="22" t="n">
        <x:v>0</x:v>
      </x:c>
      <x:c r="K1471" s="22" t="n">
        <x:v>0</x:v>
      </x:c>
      <x:c r="L1471" s="22" t="n">
        <x:v>0</x:v>
      </x:c>
      <x:c r="M1471" s="28" t="n">
        <x:v>0</x:v>
      </x:c>
      <x:c r="N1471" s="28" t="n">
        <x:v>0</x:v>
      </x:c>
      <x:c r="O1471" s="28" t="n">
        <x:v>0</x:v>
      </x:c>
      <x:c r="P1471" s="62" t="n">
        <x:v>0</x:v>
      </x:c>
      <x:c r="Q1471" s="22" t="n">
        <x:v>0</x:v>
      </x:c>
      <x:c r="R1471" s="22" t="str"/>
      <x:c r="S1471" s="22" t="str"/>
      <x:c r="T1471" s="22" t="str"/>
    </x:row>
    <x:row r="1472">
      <x:c r="A1472" s="22" t="str">
        <x:v>2024-00105</x:v>
      </x:c>
      <x:c r="B1472" s="22" t="str">
        <x:v>L2025-00097-1</x:v>
      </x:c>
      <x:c r="C1472" s="22" t="str">
        <x:v>용역</x:v>
      </x:c>
      <x:c r="D1472" s="25" t="str">
        <x:v>키르기스스탄 디지털 전환을 위한 국가 정보화 역량 강화 사업 ICT 교육센터 신축공사를 위한 설계 및 저작권감리용역</x:v>
      </x:c>
      <x:c r="E1472" s="22" t="n">
        <x:v>0</x:v>
      </x:c>
      <x:c r="F1472" s="22" t="str">
        <x:v>.pdf</x:v>
      </x:c>
      <x:c r="G1472" s="25" t="str">
        <x:v>L2025-00097-1/붙임1. 공고내역 (KG-2025-10)/RUS - final/Section 6 (Annex 1) Space Program MM (RUS).pdf</x:v>
      </x:c>
      <x:c r="H1472" s="28" t="n">
        <x:v>6305676</x:v>
      </x:c>
      <x:c r="I1472" s="22" t="str">
        <x:v>59063b41f48f49b54c51877fbbd1565c71c283e0e61ce8f9ac8e0de859674cad</x:v>
      </x:c>
      <x:c r="J1472" s="22" t="n">
        <x:v>0</x:v>
      </x:c>
      <x:c r="K1472" s="22" t="n">
        <x:v>0</x:v>
      </x:c>
      <x:c r="L1472" s="22" t="n">
        <x:v>0</x:v>
      </x:c>
      <x:c r="M1472" s="28" t="n">
        <x:v>0</x:v>
      </x:c>
      <x:c r="N1472" s="28" t="n">
        <x:v>0</x:v>
      </x:c>
      <x:c r="O1472" s="28" t="n">
        <x:v>0</x:v>
      </x:c>
      <x:c r="P1472" s="62" t="n">
        <x:v>0</x:v>
      </x:c>
      <x:c r="Q1472" s="22" t="n">
        <x:v>0</x:v>
      </x:c>
      <x:c r="R1472" s="22" t="str"/>
      <x:c r="S1472" s="22" t="str"/>
      <x:c r="T1472" s="22" t="str"/>
    </x:row>
    <x:row r="1473">
      <x:c r="A1473" s="22" t="str">
        <x:v>2024-00105</x:v>
      </x:c>
      <x:c r="B1473" s="22" t="str">
        <x:v>L2025-00097-1</x:v>
      </x:c>
      <x:c r="C1473" s="22" t="str">
        <x:v>용역</x:v>
      </x:c>
      <x:c r="D1473" s="25" t="str">
        <x:v>키르기스스탄 디지털 전환을 위한 국가 정보화 역량 강화 사업 ICT 교육센터 신축공사를 위한 설계 및 저작권감리용역</x:v>
      </x:c>
      <x:c r="E1473" s="22" t="n">
        <x:v>0</x:v>
      </x:c>
      <x:c r="F1473" s="22" t="str">
        <x:v>.docx</x:v>
      </x:c>
      <x:c r="G1473" s="25" t="str">
        <x:v>L2025-00097-1/붙임1. 공고내역 (KG-2025-10)/RUS - final/Section 2 - Bid Data Sheet (BDS)  (RUS).docx</x:v>
      </x:c>
      <x:c r="H1473" s="28" t="n">
        <x:v>84262</x:v>
      </x:c>
      <x:c r="I1473" s="22" t="str">
        <x:v>5b8af27652c3868e33d81cb2b27d4fc7ce2f35bd5c7094d89e4d468542b74b3e</x:v>
      </x:c>
      <x:c r="J1473" s="22" t="n">
        <x:v>0</x:v>
      </x:c>
      <x:c r="K1473" s="22" t="n">
        <x:v>0</x:v>
      </x:c>
      <x:c r="L1473" s="22" t="n">
        <x:v>0</x:v>
      </x:c>
      <x:c r="M1473" s="28" t="n">
        <x:v>0</x:v>
      </x:c>
      <x:c r="N1473" s="28" t="n">
        <x:v>0</x:v>
      </x:c>
      <x:c r="O1473" s="28" t="n">
        <x:v>0</x:v>
      </x:c>
      <x:c r="P1473" s="62" t="n">
        <x:v>0</x:v>
      </x:c>
      <x:c r="Q1473" s="22" t="n">
        <x:v>0</x:v>
      </x:c>
      <x:c r="R1473" s="22" t="str"/>
      <x:c r="S1473" s="22" t="str"/>
      <x:c r="T1473" s="22" t="str"/>
    </x:row>
    <x:row r="1474">
      <x:c r="A1474" s="22" t="str">
        <x:v>2024-00105</x:v>
      </x:c>
      <x:c r="B1474" s="22" t="str">
        <x:v>L2025-00097-1</x:v>
      </x:c>
      <x:c r="C1474" s="22" t="str">
        <x:v>용역</x:v>
      </x:c>
      <x:c r="D1474" s="25" t="str">
        <x:v>키르기스스탄 디지털 전환을 위한 국가 정보화 역량 강화 사업 ICT 교육센터 신축공사를 위한 설계 및 저작권감리용역</x:v>
      </x:c>
      <x:c r="E1474" s="22" t="n">
        <x:v>0</x:v>
      </x:c>
      <x:c r="F1474" s="22" t="str">
        <x:v>.pdf</x:v>
      </x:c>
      <x:c r="G1474" s="25" t="str">
        <x:v>L2025-00097-1/붙임1. 공고내역 (KG-2025-10)/RUS - final/Section 6 (Annex 2) Project site information  (RUS).pdf</x:v>
      </x:c>
      <x:c r="H1474" s="28" t="n">
        <x:v>4607339</x:v>
      </x:c>
      <x:c r="I1474" s="22" t="str">
        <x:v>b7d7ba1fc4b7624a28bc61438d44a6e4e7cb228b5eb274eb08110d8e93af3e4a</x:v>
      </x:c>
      <x:c r="J1474" s="22" t="n">
        <x:v>0</x:v>
      </x:c>
      <x:c r="K1474" s="22" t="n">
        <x:v>0</x:v>
      </x:c>
      <x:c r="L1474" s="22" t="n">
        <x:v>0</x:v>
      </x:c>
      <x:c r="M1474" s="28" t="n">
        <x:v>0</x:v>
      </x:c>
      <x:c r="N1474" s="28" t="n">
        <x:v>0</x:v>
      </x:c>
      <x:c r="O1474" s="28" t="n">
        <x:v>0</x:v>
      </x:c>
      <x:c r="P1474" s="62" t="n">
        <x:v>0</x:v>
      </x:c>
      <x:c r="Q1474" s="22" t="n">
        <x:v>0</x:v>
      </x:c>
      <x:c r="R1474" s="22" t="str"/>
      <x:c r="S1474" s="22" t="str"/>
      <x:c r="T1474" s="22" t="str"/>
    </x:row>
    <x:row r="1475">
      <x:c r="A1475" s="22" t="str">
        <x:v>2024-00105</x:v>
      </x:c>
      <x:c r="B1475" s="22" t="str">
        <x:v>L2025-00097-1</x:v>
      </x:c>
      <x:c r="C1475" s="22" t="str">
        <x:v>용역</x:v>
      </x:c>
      <x:c r="D1475" s="25" t="str">
        <x:v>키르기스스탄 디지털 전환을 위한 국가 정보화 역량 강화 사업 ICT 교육센터 신축공사를 위한 설계 및 저작권감리용역</x:v>
      </x:c>
      <x:c r="E1475" s="22" t="n">
        <x:v>0</x:v>
      </x:c>
      <x:c r="F1475" s="22" t="str">
        <x:v>.doc</x:v>
      </x:c>
      <x:c r="G1475" s="25" t="str">
        <x:v>L2025-00097-1/붙임1. 공고내역 (KG-2025-10)/RUS - final/Section 6 - Reference Material (RUS).doc</x:v>
      </x:c>
      <x:c r="H1475" s="28" t="n">
        <x:v>1274880</x:v>
      </x:c>
      <x:c r="I1475" s="22" t="str">
        <x:v>17ca3b62ff539f30ae57e0a874bd86e7067dd4e9785e37204d10da9122a79dbb</x:v>
      </x:c>
      <x:c r="J1475" s="22" t="n">
        <x:v>0</x:v>
      </x:c>
      <x:c r="K1475" s="22" t="n">
        <x:v>0</x:v>
      </x:c>
      <x:c r="L1475" s="22" t="n">
        <x:v>0</x:v>
      </x:c>
      <x:c r="M1475" s="28" t="n">
        <x:v>0</x:v>
      </x:c>
      <x:c r="N1475" s="28" t="n">
        <x:v>0</x:v>
      </x:c>
      <x:c r="O1475" s="28" t="n">
        <x:v>0</x:v>
      </x:c>
      <x:c r="P1475" s="62" t="n">
        <x:v>0</x:v>
      </x:c>
      <x:c r="Q1475" s="22" t="n">
        <x:v>0</x:v>
      </x:c>
      <x:c r="R1475" s="22" t="str"/>
      <x:c r="S1475" s="22" t="str"/>
      <x:c r="T1475" s="22" t="str"/>
    </x:row>
    <x:row r="1476">
      <x:c r="A1476" s="22" t="str">
        <x:v>2024-00105</x:v>
      </x:c>
      <x:c r="B1476" s="22" t="str">
        <x:v>L2025-00097-1</x:v>
      </x:c>
      <x:c r="C1476" s="22" t="str">
        <x:v>용역</x:v>
      </x:c>
      <x:c r="D1476" s="25" t="str">
        <x:v>키르기스스탄 디지털 전환을 위한 국가 정보화 역량 강화 사업 ICT 교육센터 신축공사를 위한 설계 및 저작권감리용역</x:v>
      </x:c>
      <x:c r="E1476" s="22" t="n">
        <x:v>0</x:v>
      </x:c>
      <x:c r="F1476" s="22" t="str">
        <x:v>.doc</x:v>
      </x:c>
      <x:c r="G1476" s="25" t="str">
        <x:v>L2025-00097-1/붙임1. 공고내역 (KG-2025-10)/RUS - final/Section 4 - Request for Proposal (RUS).doc</x:v>
      </x:c>
      <x:c r="H1476" s="28" t="n">
        <x:v>228864</x:v>
      </x:c>
      <x:c r="I1476" s="22" t="str">
        <x:v>185ed782f23ee5a71bc154700e706553e68c712a887ce618c8280e0450794746</x:v>
      </x:c>
      <x:c r="J1476" s="22" t="n">
        <x:v>0</x:v>
      </x:c>
      <x:c r="K1476" s="22" t="n">
        <x:v>0</x:v>
      </x:c>
      <x:c r="L1476" s="22" t="n">
        <x:v>0</x:v>
      </x:c>
      <x:c r="M1476" s="28" t="n">
        <x:v>0</x:v>
      </x:c>
      <x:c r="N1476" s="28" t="n">
        <x:v>0</x:v>
      </x:c>
      <x:c r="O1476" s="28" t="n">
        <x:v>0</x:v>
      </x:c>
      <x:c r="P1476" s="62" t="n">
        <x:v>0</x:v>
      </x:c>
      <x:c r="Q1476" s="22" t="n">
        <x:v>0</x:v>
      </x:c>
      <x:c r="R1476" s="22" t="str"/>
      <x:c r="S1476" s="22" t="str"/>
      <x:c r="T1476" s="22" t="str"/>
    </x:row>
    <x:row r="1477">
      <x:c r="A1477" s="22" t="str">
        <x:v>2024-00105</x:v>
      </x:c>
      <x:c r="B1477" s="22" t="str">
        <x:v>L2025-00097-1</x:v>
      </x:c>
      <x:c r="C1477" s="22" t="str">
        <x:v>용역</x:v>
      </x:c>
      <x:c r="D1477" s="25" t="str">
        <x:v>키르기스스탄 디지털 전환을 위한 국가 정보화 역량 강화 사업 ICT 교육센터 신축공사를 위한 설계 및 저작권감리용역</x:v>
      </x:c>
      <x:c r="E1477" s="22" t="n">
        <x:v>0</x:v>
      </x:c>
      <x:c r="F1477" s="22" t="str">
        <x:v>.docx</x:v>
      </x:c>
      <x:c r="G1477" s="25" t="str">
        <x:v>L2025-00097-1/붙임1. 공고내역 (KG-2025-10)/RUS - final/Section 3 - Bidding Forms (RUS).docx</x:v>
      </x:c>
      <x:c r="H1477" s="28" t="n">
        <x:v>65212</x:v>
      </x:c>
      <x:c r="I1477" s="22" t="str">
        <x:v>b5306f97baa65a43a5ec343b210669237b94db1f2a2f1811450c1c27792c2555</x:v>
      </x:c>
      <x:c r="J1477" s="22" t="n">
        <x:v>0</x:v>
      </x:c>
      <x:c r="K1477" s="22" t="n">
        <x:v>0</x:v>
      </x:c>
      <x:c r="L1477" s="22" t="n">
        <x:v>0</x:v>
      </x:c>
      <x:c r="M1477" s="28" t="n">
        <x:v>0</x:v>
      </x:c>
      <x:c r="N1477" s="28" t="n">
        <x:v>0</x:v>
      </x:c>
      <x:c r="O1477" s="28" t="n">
        <x:v>0</x:v>
      </x:c>
      <x:c r="P1477" s="62" t="n">
        <x:v>0</x:v>
      </x:c>
      <x:c r="Q1477" s="22" t="n">
        <x:v>0</x:v>
      </x:c>
      <x:c r="R1477" s="22" t="str"/>
      <x:c r="S1477" s="22" t="str"/>
      <x:c r="T1477" s="22" t="str"/>
    </x:row>
    <x:row r="1478">
      <x:c r="A1478" s="22" t="str">
        <x:v>2024-00105</x:v>
      </x:c>
      <x:c r="B1478" s="22" t="str">
        <x:v>L2025-00097-1</x:v>
      </x:c>
      <x:c r="C1478" s="22" t="str">
        <x:v>용역</x:v>
      </x:c>
      <x:c r="D1478" s="25" t="str">
        <x:v>키르기스스탄 디지털 전환을 위한 국가 정보화 역량 강화 사업 ICT 교육센터 신축공사를 위한 설계 및 저작권감리용역</x:v>
      </x:c>
      <x:c r="E1478" s="22" t="n">
        <x:v>0</x:v>
      </x:c>
      <x:c r="F1478" s="22" t="str">
        <x:v>.docx</x:v>
      </x:c>
      <x:c r="G1478" s="25" t="str">
        <x:v>L2025-00097-1/붙임1. 공고내역 (KG-2025-10)/RUS - final/Section 9 - Contract Forms (RUS).docx</x:v>
      </x:c>
      <x:c r="H1478" s="28" t="n">
        <x:v>34286</x:v>
      </x:c>
      <x:c r="I1478" s="22" t="str">
        <x:v>28db7d858dabafcbd518f4fc1b57f88b9d0baaa14723c1c434943eba470e5562</x:v>
      </x:c>
      <x:c r="J1478" s="22" t="n">
        <x:v>0</x:v>
      </x:c>
      <x:c r="K1478" s="22" t="n">
        <x:v>0</x:v>
      </x:c>
      <x:c r="L1478" s="22" t="n">
        <x:v>0</x:v>
      </x:c>
      <x:c r="M1478" s="28" t="n">
        <x:v>0</x:v>
      </x:c>
      <x:c r="N1478" s="28" t="n">
        <x:v>0</x:v>
      </x:c>
      <x:c r="O1478" s="28" t="n">
        <x:v>0</x:v>
      </x:c>
      <x:c r="P1478" s="62" t="n">
        <x:v>0</x:v>
      </x:c>
      <x:c r="Q1478" s="22" t="n">
        <x:v>0</x:v>
      </x:c>
      <x:c r="R1478" s="22" t="str"/>
      <x:c r="S1478" s="22" t="str"/>
      <x:c r="T1478" s="22" t="str"/>
    </x:row>
    <x:row r="1479">
      <x:c r="A1479" s="22" t="str">
        <x:v>2024-00105</x:v>
      </x:c>
      <x:c r="B1479" s="22" t="str">
        <x:v>L2025-00097-1</x:v>
      </x:c>
      <x:c r="C1479" s="22" t="str">
        <x:v>용역</x:v>
      </x:c>
      <x:c r="D1479" s="25" t="str">
        <x:v>키르기스스탄 디지털 전환을 위한 국가 정보화 역량 강화 사업 ICT 교육센터 신축공사를 위한 설계 및 저작권감리용역</x:v>
      </x:c>
      <x:c r="E1479" s="22" t="n">
        <x:v>0</x:v>
      </x:c>
      <x:c r="F1479" s="22" t="str">
        <x:v>.docx</x:v>
      </x:c>
      <x:c r="G1479" s="25" t="str">
        <x:v>L2025-00097-1/붙임1. 공고내역 (KG-2025-10)/RUS - final/Section 1 - Instructions to Bidders (RUS).docx</x:v>
      </x:c>
      <x:c r="H1479" s="28" t="n">
        <x:v>30898</x:v>
      </x:c>
      <x:c r="I1479" s="22" t="str">
        <x:v>74b933ebdd93f2cf5da417308f77d33966602d7ac48c8b6c879a2fe35d4cff60</x:v>
      </x:c>
      <x:c r="J1479" s="22" t="n">
        <x:v>0</x:v>
      </x:c>
      <x:c r="K1479" s="22" t="n">
        <x:v>0</x:v>
      </x:c>
      <x:c r="L1479" s="22" t="n">
        <x:v>0</x:v>
      </x:c>
      <x:c r="M1479" s="28" t="n">
        <x:v>0</x:v>
      </x:c>
      <x:c r="N1479" s="28" t="n">
        <x:v>0</x:v>
      </x:c>
      <x:c r="O1479" s="28" t="n">
        <x:v>0</x:v>
      </x:c>
      <x:c r="P1479" s="62" t="n">
        <x:v>0</x:v>
      </x:c>
      <x:c r="Q1479" s="22" t="n">
        <x:v>0</x:v>
      </x:c>
      <x:c r="R1479" s="22" t="str"/>
      <x:c r="S1479" s="22" t="str"/>
      <x:c r="T1479" s="22" t="str"/>
    </x:row>
    <x:row r="1480">
      <x:c r="A1480" s="22" t="str">
        <x:v>2024-00105</x:v>
      </x:c>
      <x:c r="B1480" s="22" t="str">
        <x:v>L2025-00097-1</x:v>
      </x:c>
      <x:c r="C1480" s="22" t="str">
        <x:v>용역</x:v>
      </x:c>
      <x:c r="D1480" s="25" t="str">
        <x:v>키르기스스탄 디지털 전환을 위한 국가 정보화 역량 강화 사업 ICT 교육센터 신축공사를 위한 설계 및 저작권감리용역</x:v>
      </x:c>
      <x:c r="E1480" s="22" t="n">
        <x:v>0</x:v>
      </x:c>
      <x:c r="F1480" s="22" t="str">
        <x:v>.docx</x:v>
      </x:c>
      <x:c r="G1480" s="25" t="str">
        <x:v>L2025-00097-1/붙임1. 공고내역 (KG-2025-10)/RUS - final/Section 4 (Annex 2) Guidelines_for_Technical_Proposal (RUS).docx</x:v>
      </x:c>
      <x:c r="H1480" s="28" t="n">
        <x:v>15548</x:v>
      </x:c>
      <x:c r="I1480" s="22" t="str">
        <x:v>5f80a1255cc3c0dcbe7dd67dbd06bb59c060f9355615ad45e4d24df553ba2420</x:v>
      </x:c>
      <x:c r="J1480" s="22" t="n">
        <x:v>0</x:v>
      </x:c>
      <x:c r="K1480" s="22" t="n">
        <x:v>0</x:v>
      </x:c>
      <x:c r="L1480" s="22" t="n">
        <x:v>0</x:v>
      </x:c>
      <x:c r="M1480" s="28" t="n">
        <x:v>0</x:v>
      </x:c>
      <x:c r="N1480" s="28" t="n">
        <x:v>0</x:v>
      </x:c>
      <x:c r="O1480" s="28" t="n">
        <x:v>0</x:v>
      </x:c>
      <x:c r="P1480" s="62" t="n">
        <x:v>0</x:v>
      </x:c>
      <x:c r="Q1480" s="22" t="n">
        <x:v>0</x:v>
      </x:c>
      <x:c r="R1480" s="22" t="str"/>
      <x:c r="S1480" s="22" t="str"/>
      <x:c r="T1480" s="22" t="str"/>
    </x:row>
    <x:row r="1481">
      <x:c r="A1481" s="22" t="str">
        <x:v>2024-00105</x:v>
      </x:c>
      <x:c r="B1481" s="22" t="str">
        <x:v>L2025-00097-1</x:v>
      </x:c>
      <x:c r="C1481" s="22" t="str">
        <x:v>용역</x:v>
      </x:c>
      <x:c r="D1481" s="25" t="str">
        <x:v>키르기스스탄 디지털 전환을 위한 국가 정보화 역량 강화 사업 ICT 교육센터 신축공사를 위한 설계 및 저작권감리용역</x:v>
      </x:c>
      <x:c r="E1481" s="22" t="n">
        <x:v>0</x:v>
      </x:c>
      <x:c r="F1481" s="22" t="str">
        <x:v>.docx</x:v>
      </x:c>
      <x:c r="G1481" s="25" t="str">
        <x:v>L2025-00097-1/붙임1. 공고내역 (KG-2025-10)/RUS - final/Section 5 - Scope of the Services (ToR) (RUS).docx</x:v>
      </x:c>
      <x:c r="H1481" s="28" t="n">
        <x:v>45359</x:v>
      </x:c>
      <x:c r="I1481" s="22" t="str">
        <x:v>5f483d68e3b78c3546229d58e97701baca6fffaad3043edc03879b8246dcc44f</x:v>
      </x:c>
      <x:c r="J1481" s="22" t="n">
        <x:v>0</x:v>
      </x:c>
      <x:c r="K1481" s="22" t="n">
        <x:v>0</x:v>
      </x:c>
      <x:c r="L1481" s="22" t="n">
        <x:v>0</x:v>
      </x:c>
      <x:c r="M1481" s="28" t="n">
        <x:v>0</x:v>
      </x:c>
      <x:c r="N1481" s="28" t="n">
        <x:v>0</x:v>
      </x:c>
      <x:c r="O1481" s="28" t="n">
        <x:v>0</x:v>
      </x:c>
      <x:c r="P1481" s="62" t="n">
        <x:v>0</x:v>
      </x:c>
      <x:c r="Q1481" s="22" t="n">
        <x:v>0</x:v>
      </x:c>
      <x:c r="R1481" s="22" t="str"/>
      <x:c r="S1481" s="22" t="str"/>
      <x:c r="T1481" s="22" t="str"/>
    </x:row>
    <x:row r="1482">
      <x:c r="A1482" s="22" t="str">
        <x:v>2024-00105</x:v>
      </x:c>
      <x:c r="B1482" s="22" t="str">
        <x:v>L2025-00097-1</x:v>
      </x:c>
      <x:c r="C1482" s="22" t="str">
        <x:v>용역</x:v>
      </x:c>
      <x:c r="D1482" s="25" t="str">
        <x:v>키르기스스탄 디지털 전환을 위한 국가 정보화 역량 강화 사업 ICT 교육센터 신축공사를 위한 설계 및 저작권감리용역</x:v>
      </x:c>
      <x:c r="E1482" s="22" t="n">
        <x:v>0</x:v>
      </x:c>
      <x:c r="F1482" s="22" t="str">
        <x:v>.docx</x:v>
      </x:c>
      <x:c r="G1482" s="25" t="str">
        <x:v>L2025-00097-1/붙임1. 공고내역 (KG-2025-10)/ENG - final/Section 4 (Annex 2) Guidelines_for_Technical_Proposal.docx</x:v>
      </x:c>
      <x:c r="H1482" s="28" t="n">
        <x:v>15200</x:v>
      </x:c>
      <x:c r="I1482" s="22" t="str">
        <x:v>41e2b40cc05d45f05587d275412ca9a153969df463135e953474bccf9a4ea4da</x:v>
      </x:c>
      <x:c r="J1482" s="22" t="n">
        <x:v>0</x:v>
      </x:c>
      <x:c r="K1482" s="22" t="n">
        <x:v>0</x:v>
      </x:c>
      <x:c r="L1482" s="22" t="n">
        <x:v>0</x:v>
      </x:c>
      <x:c r="M1482" s="28" t="n">
        <x:v>0</x:v>
      </x:c>
      <x:c r="N1482" s="28" t="n">
        <x:v>0</x:v>
      </x:c>
      <x:c r="O1482" s="28" t="n">
        <x:v>0</x:v>
      </x:c>
      <x:c r="P1482" s="62" t="n">
        <x:v>0</x:v>
      </x:c>
      <x:c r="Q1482" s="22" t="n">
        <x:v>0</x:v>
      </x:c>
      <x:c r="R1482" s="22" t="str"/>
      <x:c r="S1482" s="22" t="str"/>
      <x:c r="T1482" s="22" t="str"/>
    </x:row>
    <x:row r="1483">
      <x:c r="A1483" s="22" t="str">
        <x:v>2024-00105</x:v>
      </x:c>
      <x:c r="B1483" s="22" t="str">
        <x:v>L2025-00097-1</x:v>
      </x:c>
      <x:c r="C1483" s="22" t="str">
        <x:v>용역</x:v>
      </x:c>
      <x:c r="D1483" s="25" t="str">
        <x:v>키르기스스탄 디지털 전환을 위한 국가 정보화 역량 강화 사업 ICT 교육센터 신축공사를 위한 설계 및 저작권감리용역</x:v>
      </x:c>
      <x:c r="E1483" s="22" t="n">
        <x:v>0</x:v>
      </x:c>
      <x:c r="F1483" s="22" t="str">
        <x:v>.docx</x:v>
      </x:c>
      <x:c r="G1483" s="25" t="str">
        <x:v>L2025-00097-1/붙임1. 공고내역 (KG-2025-10)/ENG - final/Section 1 - Instructions to Bidders (ITB).docx</x:v>
      </x:c>
      <x:c r="H1483" s="28" t="n">
        <x:v>33834</x:v>
      </x:c>
      <x:c r="I1483" s="22" t="str">
        <x:v>080b53b0c1209313d50a20fa9fa261aa51a4694d8b21440058d20ecc75d0e2f3</x:v>
      </x:c>
      <x:c r="J1483" s="22" t="n">
        <x:v>0</x:v>
      </x:c>
      <x:c r="K1483" s="22" t="n">
        <x:v>0</x:v>
      </x:c>
      <x:c r="L1483" s="22" t="n">
        <x:v>0</x:v>
      </x:c>
      <x:c r="M1483" s="28" t="n">
        <x:v>0</x:v>
      </x:c>
      <x:c r="N1483" s="28" t="n">
        <x:v>0</x:v>
      </x:c>
      <x:c r="O1483" s="28" t="n">
        <x:v>0</x:v>
      </x:c>
      <x:c r="P1483" s="62" t="n">
        <x:v>0</x:v>
      </x:c>
      <x:c r="Q1483" s="22" t="n">
        <x:v>0</x:v>
      </x:c>
      <x:c r="R1483" s="22" t="str"/>
      <x:c r="S1483" s="22" t="str"/>
      <x:c r="T1483" s="22" t="str"/>
    </x:row>
    <x:row r="1484">
      <x:c r="A1484" s="22" t="str">
        <x:v>2024-00105</x:v>
      </x:c>
      <x:c r="B1484" s="22" t="str">
        <x:v>L2025-00097-1</x:v>
      </x:c>
      <x:c r="C1484" s="22" t="str">
        <x:v>용역</x:v>
      </x:c>
      <x:c r="D1484" s="25" t="str">
        <x:v>키르기스스탄 디지털 전환을 위한 국가 정보화 역량 강화 사업 ICT 교육센터 신축공사를 위한 설계 및 저작권감리용역</x:v>
      </x:c>
      <x:c r="E1484" s="22" t="n">
        <x:v>0</x:v>
      </x:c>
      <x:c r="F1484" s="22" t="str">
        <x:v>.docx</x:v>
      </x:c>
      <x:c r="G1484" s="25" t="str">
        <x:v>L2025-00097-1/붙임1. 공고내역 (KG-2025-10)/ENG - final/Section 2 - Bid Data Sheet (BDS).docx</x:v>
      </x:c>
      <x:c r="H1484" s="28" t="n">
        <x:v>83578</x:v>
      </x:c>
      <x:c r="I1484" s="22" t="str">
        <x:v>1c7173be9aa101381c8cd55956b34948c37d1d24057ab352be68251e7294d044</x:v>
      </x:c>
      <x:c r="J1484" s="22" t="n">
        <x:v>0</x:v>
      </x:c>
      <x:c r="K1484" s="22" t="n">
        <x:v>0</x:v>
      </x:c>
      <x:c r="L1484" s="22" t="n">
        <x:v>0</x:v>
      </x:c>
      <x:c r="M1484" s="28" t="n">
        <x:v>0</x:v>
      </x:c>
      <x:c r="N1484" s="28" t="n">
        <x:v>0</x:v>
      </x:c>
      <x:c r="O1484" s="28" t="n">
        <x:v>0</x:v>
      </x:c>
      <x:c r="P1484" s="62" t="n">
        <x:v>0</x:v>
      </x:c>
      <x:c r="Q1484" s="22" t="n">
        <x:v>0</x:v>
      </x:c>
      <x:c r="R1484" s="22" t="str"/>
      <x:c r="S1484" s="22" t="str"/>
      <x:c r="T1484" s="22" t="str"/>
    </x:row>
    <x:row r="1485">
      <x:c r="A1485" s="22" t="str">
        <x:v>2024-00105</x:v>
      </x:c>
      <x:c r="B1485" s="22" t="str">
        <x:v>L2025-00097-1</x:v>
      </x:c>
      <x:c r="C1485" s="22" t="str">
        <x:v>용역</x:v>
      </x:c>
      <x:c r="D1485" s="25" t="str">
        <x:v>키르기스스탄 디지털 전환을 위한 국가 정보화 역량 강화 사업 ICT 교육센터 신축공사를 위한 설계 및 저작권감리용역</x:v>
      </x:c>
      <x:c r="E1485" s="22" t="n">
        <x:v>0</x:v>
      </x:c>
      <x:c r="F1485" s="22" t="str">
        <x:v>.docx</x:v>
      </x:c>
      <x:c r="G1485" s="25" t="str">
        <x:v>L2025-00097-1/붙임1. 공고내역 (KG-2025-10)/ENG - final/Section 9 - Contract Forms.docx</x:v>
      </x:c>
      <x:c r="H1485" s="28" t="n">
        <x:v>25304</x:v>
      </x:c>
      <x:c r="I1485" s="22" t="str">
        <x:v>0f6347907d600e6269b9b922e048989b568ad4c93bb57002adc48a2e67441a75</x:v>
      </x:c>
      <x:c r="J1485" s="22" t="n">
        <x:v>0</x:v>
      </x:c>
      <x:c r="K1485" s="22" t="n">
        <x:v>0</x:v>
      </x:c>
      <x:c r="L1485" s="22" t="n">
        <x:v>0</x:v>
      </x:c>
      <x:c r="M1485" s="28" t="n">
        <x:v>0</x:v>
      </x:c>
      <x:c r="N1485" s="28" t="n">
        <x:v>0</x:v>
      </x:c>
      <x:c r="O1485" s="28" t="n">
        <x:v>0</x:v>
      </x:c>
      <x:c r="P1485" s="62" t="n">
        <x:v>0</x:v>
      </x:c>
      <x:c r="Q1485" s="22" t="n">
        <x:v>0</x:v>
      </x:c>
      <x:c r="R1485" s="22" t="str"/>
      <x:c r="S1485" s="22" t="str"/>
      <x:c r="T1485" s="22" t="str"/>
    </x:row>
    <x:row r="1486">
      <x:c r="A1486" s="22" t="str">
        <x:v>2024-00105</x:v>
      </x:c>
      <x:c r="B1486" s="22" t="str">
        <x:v>L2025-00097-1</x:v>
      </x:c>
      <x:c r="C1486" s="22" t="str">
        <x:v>용역</x:v>
      </x:c>
      <x:c r="D1486" s="25" t="str">
        <x:v>키르기스스탄 디지털 전환을 위한 국가 정보화 역량 강화 사업 ICT 교육센터 신축공사를 위한 설계 및 저작권감리용역</x:v>
      </x:c>
      <x:c r="E1486" s="22" t="n">
        <x:v>0</x:v>
      </x:c>
      <x:c r="F1486" s="22" t="str">
        <x:v>.docx</x:v>
      </x:c>
      <x:c r="G1486" s="25" t="str">
        <x:v>L2025-00097-1/붙임1. 공고내역 (KG-2025-10)/ENG - final/Section 7 - General Conditions of Contract.docx</x:v>
      </x:c>
      <x:c r="H1486" s="28" t="n">
        <x:v>37516</x:v>
      </x:c>
      <x:c r="I1486" s="22" t="str">
        <x:v>da84acc48ad6ff534a10d6c939a837b0d97f12e38d5de916013d1fdc1baf8dfc</x:v>
      </x:c>
      <x:c r="J1486" s="22" t="n">
        <x:v>0</x:v>
      </x:c>
      <x:c r="K1486" s="22" t="n">
        <x:v>0</x:v>
      </x:c>
      <x:c r="L1486" s="22" t="n">
        <x:v>0</x:v>
      </x:c>
      <x:c r="M1486" s="28" t="n">
        <x:v>0</x:v>
      </x:c>
      <x:c r="N1486" s="28" t="n">
        <x:v>0</x:v>
      </x:c>
      <x:c r="O1486" s="28" t="n">
        <x:v>0</x:v>
      </x:c>
      <x:c r="P1486" s="62" t="n">
        <x:v>0</x:v>
      </x:c>
      <x:c r="Q1486" s="22" t="n">
        <x:v>0</x:v>
      </x:c>
      <x:c r="R1486" s="22" t="str"/>
      <x:c r="S1486" s="22" t="str"/>
      <x:c r="T1486" s="22" t="str"/>
    </x:row>
    <x:row r="1487">
      <x:c r="A1487" s="22" t="str">
        <x:v>2024-00105</x:v>
      </x:c>
      <x:c r="B1487" s="22" t="str">
        <x:v>L2025-00097-1</x:v>
      </x:c>
      <x:c r="C1487" s="22" t="str">
        <x:v>용역</x:v>
      </x:c>
      <x:c r="D1487" s="25" t="str">
        <x:v>키르기스스탄 디지털 전환을 위한 국가 정보화 역량 강화 사업 ICT 교육센터 신축공사를 위한 설계 및 저작권감리용역</x:v>
      </x:c>
      <x:c r="E1487" s="22" t="n">
        <x:v>0</x:v>
      </x:c>
      <x:c r="F1487" s="22" t="str">
        <x:v>.docx</x:v>
      </x:c>
      <x:c r="G1487" s="25" t="str">
        <x:v>L2025-00097-1/붙임1. 공고내역 (KG-2025-10)/ENG - final/Section 5 - Scope of the Services (ToR).docx</x:v>
      </x:c>
      <x:c r="H1487" s="28" t="n">
        <x:v>41527</x:v>
      </x:c>
      <x:c r="I1487" s="22" t="str">
        <x:v>c98ac59e648c4d8cc7bcf7c5f69bb9aabcd01b72ab70851da0c480b562d6405a</x:v>
      </x:c>
      <x:c r="J1487" s="22" t="n">
        <x:v>0</x:v>
      </x:c>
      <x:c r="K1487" s="22" t="n">
        <x:v>0</x:v>
      </x:c>
      <x:c r="L1487" s="22" t="n">
        <x:v>0</x:v>
      </x:c>
      <x:c r="M1487" s="28" t="n">
        <x:v>0</x:v>
      </x:c>
      <x:c r="N1487" s="28" t="n">
        <x:v>0</x:v>
      </x:c>
      <x:c r="O1487" s="28" t="n">
        <x:v>0</x:v>
      </x:c>
      <x:c r="P1487" s="62" t="n">
        <x:v>0</x:v>
      </x:c>
      <x:c r="Q1487" s="22" t="n">
        <x:v>0</x:v>
      </x:c>
      <x:c r="R1487" s="22" t="str"/>
      <x:c r="S1487" s="22" t="str"/>
      <x:c r="T1487" s="22" t="str"/>
    </x:row>
    <x:row r="1488">
      <x:c r="A1488" s="22" t="str">
        <x:v>2024-00105</x:v>
      </x:c>
      <x:c r="B1488" s="22" t="str">
        <x:v>L2025-00097-1</x:v>
      </x:c>
      <x:c r="C1488" s="22" t="str">
        <x:v>용역</x:v>
      </x:c>
      <x:c r="D1488" s="25" t="str">
        <x:v>키르기스스탄 디지털 전환을 위한 국가 정보화 역량 강화 사업 ICT 교육센터 신축공사를 위한 설계 및 저작권감리용역</x:v>
      </x:c>
      <x:c r="E1488" s="22" t="n">
        <x:v>0</x:v>
      </x:c>
      <x:c r="F1488" s="22" t="str">
        <x:v>.pdf</x:v>
      </x:c>
      <x:c r="G1488" s="25" t="str">
        <x:v>L2025-00097-1/붙임1. 공고내역 (KG-2025-10)/ENG - final/Section 6 - Reference Material.pdf</x:v>
      </x:c>
      <x:c r="H1488" s="28" t="n">
        <x:v>144569</x:v>
      </x:c>
      <x:c r="I1488" s="22" t="str">
        <x:v>ae964f8a2204112d16644c7bc92ac035f46b0bbdd2a84fa2032d52cc4eacc3f5</x:v>
      </x:c>
      <x:c r="J1488" s="22" t="n">
        <x:v>0</x:v>
      </x:c>
      <x:c r="K1488" s="22" t="n">
        <x:v>0</x:v>
      </x:c>
      <x:c r="L1488" s="22" t="n">
        <x:v>0</x:v>
      </x:c>
      <x:c r="M1488" s="28" t="n">
        <x:v>0</x:v>
      </x:c>
      <x:c r="N1488" s="28" t="n">
        <x:v>0</x:v>
      </x:c>
      <x:c r="O1488" s="28" t="n">
        <x:v>0</x:v>
      </x:c>
      <x:c r="P1488" s="62" t="n">
        <x:v>0</x:v>
      </x:c>
      <x:c r="Q1488" s="22" t="n">
        <x:v>0</x:v>
      </x:c>
      <x:c r="R1488" s="22" t="str"/>
      <x:c r="S1488" s="22" t="str"/>
      <x:c r="T1488" s="22" t="str"/>
    </x:row>
    <x:row r="1489">
      <x:c r="A1489" s="22" t="str">
        <x:v>2024-00105</x:v>
      </x:c>
      <x:c r="B1489" s="22" t="str">
        <x:v>L2025-00097-1</x:v>
      </x:c>
      <x:c r="C1489" s="22" t="str">
        <x:v>용역</x:v>
      </x:c>
      <x:c r="D1489" s="25" t="str">
        <x:v>키르기스스탄 디지털 전환을 위한 국가 정보화 역량 강화 사업 ICT 교육센터 신축공사를 위한 설계 및 저작권감리용역</x:v>
      </x:c>
      <x:c r="E1489" s="22" t="n">
        <x:v>0</x:v>
      </x:c>
      <x:c r="F1489" s="22" t="str">
        <x:v>.pdf</x:v>
      </x:c>
      <x:c r="G1489" s="25" t="str">
        <x:v>L2025-00097-1/붙임1. 공고내역 (KG-2025-10)/ENG - final/Section 6 (Annex 2) Project site information.pdf</x:v>
      </x:c>
      <x:c r="H1489" s="28" t="n">
        <x:v>616651</x:v>
      </x:c>
      <x:c r="I1489" s="22" t="str">
        <x:v>a868275877d95479cec5e17c14fa3af863c7f3f4d904b62f7aa4461c61bf463e</x:v>
      </x:c>
      <x:c r="J1489" s="22" t="n">
        <x:v>0</x:v>
      </x:c>
      <x:c r="K1489" s="22" t="n">
        <x:v>0</x:v>
      </x:c>
      <x:c r="L1489" s="22" t="n">
        <x:v>0</x:v>
      </x:c>
      <x:c r="M1489" s="28" t="n">
        <x:v>0</x:v>
      </x:c>
      <x:c r="N1489" s="28" t="n">
        <x:v>0</x:v>
      </x:c>
      <x:c r="O1489" s="28" t="n">
        <x:v>0</x:v>
      </x:c>
      <x:c r="P1489" s="62" t="n">
        <x:v>0</x:v>
      </x:c>
      <x:c r="Q1489" s="22" t="n">
        <x:v>0</x:v>
      </x:c>
      <x:c r="R1489" s="22" t="str"/>
      <x:c r="S1489" s="22" t="str"/>
      <x:c r="T1489" s="22" t="str"/>
    </x:row>
    <x:row r="1490">
      <x:c r="A1490" s="22" t="str">
        <x:v>2024-00105</x:v>
      </x:c>
      <x:c r="B1490" s="22" t="str">
        <x:v>L2025-00097-1</x:v>
      </x:c>
      <x:c r="C1490" s="22" t="str">
        <x:v>용역</x:v>
      </x:c>
      <x:c r="D1490" s="25" t="str">
        <x:v>키르기스스탄 디지털 전환을 위한 국가 정보화 역량 강화 사업 ICT 교육센터 신축공사를 위한 설계 및 저작권감리용역</x:v>
      </x:c>
      <x:c r="E1490" s="22" t="n">
        <x:v>0</x:v>
      </x:c>
      <x:c r="F1490" s="22" t="str">
        <x:v>.doc</x:v>
      </x:c>
      <x:c r="G1490" s="25" t="str">
        <x:v>L2025-00097-1/붙임1. 공고내역 (KG-2025-10)/ENG - final/Section 4 - Request for Proposal (RFP).doc</x:v>
      </x:c>
      <x:c r="H1490" s="28" t="n">
        <x:v>210432</x:v>
      </x:c>
      <x:c r="I1490" s="22" t="str">
        <x:v>9d535b059268f36a635d5d560cbcc3ade47e7733be89c9c146e99daa57e95b22</x:v>
      </x:c>
      <x:c r="J1490" s="22" t="n">
        <x:v>0</x:v>
      </x:c>
      <x:c r="K1490" s="22" t="n">
        <x:v>0</x:v>
      </x:c>
      <x:c r="L1490" s="22" t="n">
        <x:v>0</x:v>
      </x:c>
      <x:c r="M1490" s="28" t="n">
        <x:v>0</x:v>
      </x:c>
      <x:c r="N1490" s="28" t="n">
        <x:v>0</x:v>
      </x:c>
      <x:c r="O1490" s="28" t="n">
        <x:v>0</x:v>
      </x:c>
      <x:c r="P1490" s="62" t="n">
        <x:v>0</x:v>
      </x:c>
      <x:c r="Q1490" s="22" t="n">
        <x:v>0</x:v>
      </x:c>
      <x:c r="R1490" s="22" t="str"/>
      <x:c r="S1490" s="22" t="str"/>
      <x:c r="T1490" s="22" t="str"/>
    </x:row>
    <x:row r="1491">
      <x:c r="A1491" s="22" t="str">
        <x:v>2024-00105</x:v>
      </x:c>
      <x:c r="B1491" s="22" t="str">
        <x:v>L2025-00097-1</x:v>
      </x:c>
      <x:c r="C1491" s="22" t="str">
        <x:v>용역</x:v>
      </x:c>
      <x:c r="D1491" s="25" t="str">
        <x:v>키르기스스탄 디지털 전환을 위한 국가 정보화 역량 강화 사업 ICT 교육센터 신축공사를 위한 설계 및 저작권감리용역</x:v>
      </x:c>
      <x:c r="E1491" s="22" t="n">
        <x:v>0</x:v>
      </x:c>
      <x:c r="F1491" s="22" t="str">
        <x:v>.doc</x:v>
      </x:c>
      <x:c r="G1491" s="25" t="str">
        <x:v>L2025-00097-1/붙임1. 공고내역 (KG-2025-10)/ENG - final/Section 4 (Annex 1) Sample of Technical Proposal.doc</x:v>
      </x:c>
      <x:c r="H1491" s="28" t="n">
        <x:v>186880</x:v>
      </x:c>
      <x:c r="I1491" s="22" t="str">
        <x:v>9e923904495ad061c8701fb58f6d972558c598a2940db18036fa42e492ca488f</x:v>
      </x:c>
      <x:c r="J1491" s="22" t="n">
        <x:v>0</x:v>
      </x:c>
      <x:c r="K1491" s="22" t="n">
        <x:v>0</x:v>
      </x:c>
      <x:c r="L1491" s="22" t="n">
        <x:v>0</x:v>
      </x:c>
      <x:c r="M1491" s="28" t="n">
        <x:v>0</x:v>
      </x:c>
      <x:c r="N1491" s="28" t="n">
        <x:v>0</x:v>
      </x:c>
      <x:c r="O1491" s="28" t="n">
        <x:v>0</x:v>
      </x:c>
      <x:c r="P1491" s="62" t="n">
        <x:v>0</x:v>
      </x:c>
      <x:c r="Q1491" s="22" t="n">
        <x:v>0</x:v>
      </x:c>
      <x:c r="R1491" s="22" t="str"/>
      <x:c r="S1491" s="22" t="str"/>
      <x:c r="T1491" s="22" t="str"/>
    </x:row>
    <x:row r="1492">
      <x:c r="A1492" s="22" t="str">
        <x:v>2024-00105</x:v>
      </x:c>
      <x:c r="B1492" s="22" t="str">
        <x:v>L2025-00097-1</x:v>
      </x:c>
      <x:c r="C1492" s="22" t="str">
        <x:v>용역</x:v>
      </x:c>
      <x:c r="D1492" s="25" t="str">
        <x:v>키르기스스탄 디지털 전환을 위한 국가 정보화 역량 강화 사업 ICT 교육센터 신축공사를 위한 설계 및 저작권감리용역</x:v>
      </x:c>
      <x:c r="E1492" s="22" t="n">
        <x:v>0</x:v>
      </x:c>
      <x:c r="F1492" s="22" t="str">
        <x:v>.docx</x:v>
      </x:c>
      <x:c r="G1492" s="25" t="str">
        <x:v>L2025-00097-1/붙임1. 공고내역 (KG-2025-10)/ENG - final/Section 3 - Bidding Forms.docx</x:v>
      </x:c>
      <x:c r="H1492" s="28" t="n">
        <x:v>60800</x:v>
      </x:c>
      <x:c r="I1492" s="22" t="str">
        <x:v>bbc3db62859f028d70fab768bfa9c8b7fa5338885712200cfbc45592e9dff6a0</x:v>
      </x:c>
      <x:c r="J1492" s="22" t="n">
        <x:v>0</x:v>
      </x:c>
      <x:c r="K1492" s="22" t="n">
        <x:v>0</x:v>
      </x:c>
      <x:c r="L1492" s="22" t="n">
        <x:v>0</x:v>
      </x:c>
      <x:c r="M1492" s="28" t="n">
        <x:v>0</x:v>
      </x:c>
      <x:c r="N1492" s="28" t="n">
        <x:v>0</x:v>
      </x:c>
      <x:c r="O1492" s="28" t="n">
        <x:v>0</x:v>
      </x:c>
      <x:c r="P1492" s="62" t="n">
        <x:v>0</x:v>
      </x:c>
      <x:c r="Q1492" s="22" t="n">
        <x:v>0</x:v>
      </x:c>
      <x:c r="R1492" s="22" t="str"/>
      <x:c r="S1492" s="22" t="str"/>
      <x:c r="T1492" s="22" t="str"/>
    </x:row>
    <x:row r="1493">
      <x:c r="A1493" s="22" t="str">
        <x:v>2024-00105</x:v>
      </x:c>
      <x:c r="B1493" s="22" t="str">
        <x:v>L2025-00097-1</x:v>
      </x:c>
      <x:c r="C1493" s="22" t="str">
        <x:v>용역</x:v>
      </x:c>
      <x:c r="D1493" s="25" t="str">
        <x:v>키르기스스탄 디지털 전환을 위한 국가 정보화 역량 강화 사업 ICT 교육센터 신축공사를 위한 설계 및 저작권감리용역</x:v>
      </x:c>
      <x:c r="E1493" s="22" t="n">
        <x:v>0</x:v>
      </x:c>
      <x:c r="F1493" s="22" t="str">
        <x:v>.pdf</x:v>
      </x:c>
      <x:c r="G1493" s="25" t="str">
        <x:v>L2025-00097-1/붙임1. 공고내역 (KG-2025-10)/ENG - final/Section 6 (Annex 1) Space Program MM.pdf</x:v>
      </x:c>
      <x:c r="H1493" s="28" t="n">
        <x:v>6305676</x:v>
      </x:c>
      <x:c r="I1493" s="22" t="str">
        <x:v>59063b41f48f49b54c51877fbbd1565c71c283e0e61ce8f9ac8e0de859674cad</x:v>
      </x:c>
      <x:c r="J1493" s="22" t="n">
        <x:v>0</x:v>
      </x:c>
      <x:c r="K1493" s="22" t="n">
        <x:v>0</x:v>
      </x:c>
      <x:c r="L1493" s="22" t="n">
        <x:v>0</x:v>
      </x:c>
      <x:c r="M1493" s="28" t="n">
        <x:v>0</x:v>
      </x:c>
      <x:c r="N1493" s="28" t="n">
        <x:v>0</x:v>
      </x:c>
      <x:c r="O1493" s="28" t="n">
        <x:v>0</x:v>
      </x:c>
      <x:c r="P1493" s="62" t="n">
        <x:v>0</x:v>
      </x:c>
      <x:c r="Q1493" s="22" t="n">
        <x:v>0</x:v>
      </x:c>
      <x:c r="R1493" s="22" t="str"/>
      <x:c r="S1493" s="22" t="str"/>
      <x:c r="T1493" s="22" t="str"/>
    </x:row>
    <x:row r="1494">
      <x:c r="A1494" s="22" t="str">
        <x:v>2024-00105</x:v>
      </x:c>
      <x:c r="B1494" s="22" t="str">
        <x:v>L2025-00097-1</x:v>
      </x:c>
      <x:c r="C1494" s="22" t="str">
        <x:v>용역</x:v>
      </x:c>
      <x:c r="D1494" s="25" t="str">
        <x:v>키르기스스탄 디지털 전환을 위한 국가 정보화 역량 강화 사업 ICT 교육센터 신축공사를 위한 설계 및 저작권감리용역</x:v>
      </x:c>
      <x:c r="E1494" s="22" t="n">
        <x:v>0</x:v>
      </x:c>
      <x:c r="F1494" s="22" t="str">
        <x:v>.docx</x:v>
      </x:c>
      <x:c r="G1494" s="25" t="str">
        <x:v>L2025-00097-1/붙임1. 공고내역 (KG-2025-10)/ENG - final/Section 8 - Special Conditions of Contract.docx</x:v>
      </x:c>
      <x:c r="H1494" s="28" t="n">
        <x:v>29224</x:v>
      </x:c>
      <x:c r="I1494" s="22" t="str">
        <x:v>0fe92b1805cac06d82cbc77e98e8ac7fa6d73810a529f0ec8beb6c26695fd786</x:v>
      </x:c>
      <x:c r="J1494" s="22" t="n">
        <x:v>0</x:v>
      </x:c>
      <x:c r="K1494" s="22" t="n">
        <x:v>0</x:v>
      </x:c>
      <x:c r="L1494" s="22" t="n">
        <x:v>0</x:v>
      </x:c>
      <x:c r="M1494" s="28" t="n">
        <x:v>0</x:v>
      </x:c>
      <x:c r="N1494" s="28" t="n">
        <x:v>0</x:v>
      </x:c>
      <x:c r="O1494" s="28" t="n">
        <x:v>0</x:v>
      </x:c>
      <x:c r="P1494" s="62" t="n">
        <x:v>0</x:v>
      </x:c>
      <x:c r="Q1494" s="22" t="n">
        <x:v>0</x:v>
      </x:c>
      <x:c r="R1494" s="22" t="str"/>
      <x:c r="S1494" s="22" t="str"/>
      <x:c r="T1494" s="22" t="str"/>
    </x:row>
    <x:row r="1495">
      <x:c r="A1495" s="22" t="str">
        <x:v>2019-03655</x:v>
      </x:c>
      <x:c r="B1495" s="22" t="str">
        <x:v>L2025-00099-1</x:v>
      </x:c>
      <x:c r="C1495" s="22" t="str">
        <x:v>공사</x:v>
      </x:c>
      <x:c r="D1495" s="25" t="str">
        <x:v>키르기스스탄 추이 주 교내 위생환경 개선 사업(프로젝트봉사단) 리모델링 시공업체 선정 현지 입찰</x:v>
      </x:c>
      <x:c r="E1495" s="22" t="n">
        <x:v>1</x:v>
      </x:c>
      <x:c r="F1495" s="22" t="str">
        <x:v>.zip</x:v>
      </x:c>
      <x:c r="G1495" s="25" t="str">
        <x:v>L2025-00099-1/KG-2025-11.zip</x:v>
      </x:c>
      <x:c r="H1495" s="28" t="n">
        <x:v>531988</x:v>
      </x:c>
      <x:c r="I1495" s="22" t="str">
        <x:v>a7f28b1f4cd2917e99aca906d3a360f06cac696e4dcce81fea88289925484ac1</x:v>
      </x:c>
      <x:c r="J1495" s="22" t="n">
        <x:v>0</x:v>
      </x:c>
      <x:c r="K1495" s="22" t="n">
        <x:v>0</x:v>
      </x:c>
      <x:c r="L1495" s="22" t="n">
        <x:v>0</x:v>
      </x:c>
      <x:c r="M1495" s="28" t="n">
        <x:v>0</x:v>
      </x:c>
      <x:c r="N1495" s="28" t="n">
        <x:v>0</x:v>
      </x:c>
      <x:c r="O1495" s="28" t="n">
        <x:v>0</x:v>
      </x:c>
      <x:c r="P1495" s="62" t="n">
        <x:v>0</x:v>
      </x:c>
      <x:c r="Q1495" s="22" t="n">
        <x:v>0</x:v>
      </x:c>
      <x:c r="R1495" s="22" t="str"/>
      <x:c r="S1495" s="22" t="str"/>
      <x:c r="T1495" s="22" t="str"/>
    </x:row>
    <x:row r="1496">
      <x:c r="A1496" s="22" t="str">
        <x:v>2019-03655</x:v>
      </x:c>
      <x:c r="B1496" s="22" t="str">
        <x:v>L2025-00099-1</x:v>
      </x:c>
      <x:c r="C1496" s="22" t="str">
        <x:v>공사</x:v>
      </x:c>
      <x:c r="D1496" s="25" t="str">
        <x:v>키르기스스탄 추이 주 교내 위생환경 개선 사업(프로젝트봉사단) 리모델링 시공업체 선정 현지 입찰</x:v>
      </x:c>
      <x:c r="E1496" s="22" t="n">
        <x:v>1</x:v>
      </x:c>
      <x:c r="F1496" s="22" t="str">
        <x:v>.hwp</x:v>
      </x:c>
      <x:c r="G1496" s="25" t="str">
        <x:v>L2025-00099-1/붙임 1. (국문) 입찰추진계획(안).hwp</x:v>
      </x:c>
      <x:c r="H1496" s="28" t="n">
        <x:v>376832</x:v>
      </x:c>
      <x:c r="I1496" s="22" t="str">
        <x:v>d639c73ef41f22cbf36f68776aeefd1ad920a248013437d4278f81b981211960</x:v>
      </x:c>
      <x:c r="J1496" s="22" t="n">
        <x:v>0</x:v>
      </x:c>
      <x:c r="K1496" s="22" t="n">
        <x:v>0</x:v>
      </x:c>
      <x:c r="L1496" s="22" t="n">
        <x:v>0</x:v>
      </x:c>
      <x:c r="M1496" s="28" t="n">
        <x:v>0</x:v>
      </x:c>
      <x:c r="N1496" s="28" t="n">
        <x:v>0</x:v>
      </x:c>
      <x:c r="O1496" s="28" t="n">
        <x:v>0</x:v>
      </x:c>
      <x:c r="P1496" s="62" t="n">
        <x:v>0</x:v>
      </x:c>
      <x:c r="Q1496" s="22" t="n">
        <x:v>0</x:v>
      </x:c>
      <x:c r="R1496" s="22" t="str"/>
      <x:c r="S1496" s="22" t="str"/>
      <x:c r="T1496" s="22" t="str"/>
    </x:row>
    <x:row r="1497">
      <x:c r="A1497" s="22" t="str">
        <x:v>2019-03655</x:v>
      </x:c>
      <x:c r="B1497" s="22" t="str">
        <x:v>L2025-00099-1</x:v>
      </x:c>
      <x:c r="C1497" s="22" t="str">
        <x:v>공사</x:v>
      </x:c>
      <x:c r="D1497" s="25" t="str">
        <x:v>키르기스스탄 추이 주 교내 위생환경 개선 사업(프로젝트봉사단) 리모델링 시공업체 선정 현지 입찰</x:v>
      </x:c>
      <x:c r="E1497" s="22" t="n">
        <x:v>1</x:v>
      </x:c>
      <x:c r="F1497" s="22" t="str">
        <x:v>.docx</x:v>
      </x:c>
      <x:c r="G1497" s="25" t="str">
        <x:v>L2025-00099-1/KG-2025-11/KG-2025-11/Section 9 - Contract Forms_WaSH.docx</x:v>
      </x:c>
      <x:c r="H1497" s="28" t="n">
        <x:v>38159</x:v>
      </x:c>
      <x:c r="I1497" s="22" t="str">
        <x:v>0bce2d1fb64d0b2bf7c95f60fe85f7f4c07bcf3ac8c4cb65912db9515bbb5644</x:v>
      </x:c>
      <x:c r="J1497" s="22" t="n">
        <x:v>0</x:v>
      </x:c>
      <x:c r="K1497" s="22" t="n">
        <x:v>0</x:v>
      </x:c>
      <x:c r="L1497" s="22" t="n">
        <x:v>0</x:v>
      </x:c>
      <x:c r="M1497" s="28" t="n">
        <x:v>0</x:v>
      </x:c>
      <x:c r="N1497" s="28" t="n">
        <x:v>0</x:v>
      </x:c>
      <x:c r="O1497" s="28" t="n">
        <x:v>0</x:v>
      </x:c>
      <x:c r="P1497" s="62" t="n">
        <x:v>0</x:v>
      </x:c>
      <x:c r="Q1497" s="22" t="n">
        <x:v>0</x:v>
      </x:c>
      <x:c r="R1497" s="22" t="str"/>
      <x:c r="S1497" s="22" t="str"/>
      <x:c r="T1497" s="22" t="str"/>
    </x:row>
    <x:row r="1498">
      <x:c r="A1498" s="22" t="str">
        <x:v>2019-03655</x:v>
      </x:c>
      <x:c r="B1498" s="22" t="str">
        <x:v>L2025-00099-1</x:v>
      </x:c>
      <x:c r="C1498" s="22" t="str">
        <x:v>공사</x:v>
      </x:c>
      <x:c r="D1498" s="25" t="str">
        <x:v>키르기스스탄 추이 주 교내 위생환경 개선 사업(프로젝트봉사단) 리모델링 시공업체 선정 현지 입찰</x:v>
      </x:c>
      <x:c r="E1498" s="22" t="n">
        <x:v>1</x:v>
      </x:c>
      <x:c r="F1498" s="22" t="str">
        <x:v>.doc</x:v>
      </x:c>
      <x:c r="G1498" s="25" t="str">
        <x:v>L2025-00099-1/KG-2025-11/KG-2025-11/ENG_Section 1 Instructions_to_Bidders_ITB_WaSH.doc</x:v>
      </x:c>
      <x:c r="H1498" s="28" t="n">
        <x:v>246288</x:v>
      </x:c>
      <x:c r="I1498" s="22" t="str">
        <x:v>9b89b017e84657decf8cc8353a7ecff9394196ea1b492f9957b8b20c91f82abd</x:v>
      </x:c>
      <x:c r="J1498" s="22" t="n">
        <x:v>0</x:v>
      </x:c>
      <x:c r="K1498" s="22" t="n">
        <x:v>0</x:v>
      </x:c>
      <x:c r="L1498" s="22" t="n">
        <x:v>0</x:v>
      </x:c>
      <x:c r="M1498" s="28" t="n">
        <x:v>0</x:v>
      </x:c>
      <x:c r="N1498" s="28" t="n">
        <x:v>0</x:v>
      </x:c>
      <x:c r="O1498" s="28" t="n">
        <x:v>0</x:v>
      </x:c>
      <x:c r="P1498" s="62" t="n">
        <x:v>0</x:v>
      </x:c>
      <x:c r="Q1498" s="22" t="n">
        <x:v>0</x:v>
      </x:c>
      <x:c r="R1498" s="22" t="str"/>
      <x:c r="S1498" s="22" t="str"/>
      <x:c r="T1498" s="22" t="str"/>
    </x:row>
    <x:row r="1499">
      <x:c r="A1499" s="22" t="str">
        <x:v>2019-03655</x:v>
      </x:c>
      <x:c r="B1499" s="22" t="str">
        <x:v>L2025-00099-1</x:v>
      </x:c>
      <x:c r="C1499" s="22" t="str">
        <x:v>공사</x:v>
      </x:c>
      <x:c r="D1499" s="25" t="str">
        <x:v>키르기스스탄 추이 주 교내 위생환경 개선 사업(프로젝트봉사단) 리모델링 시공업체 선정 현지 입찰</x:v>
      </x:c>
      <x:c r="E1499" s="22" t="n">
        <x:v>1</x:v>
      </x:c>
      <x:c r="F1499" s="22" t="str">
        <x:v>.docx</x:v>
      </x:c>
      <x:c r="G1499" s="25" t="str">
        <x:v>L2025-00099-1/KG-2025-11/KG-2025-11/Section 4_5_6 -Requirements_WaSH.docx</x:v>
      </x:c>
      <x:c r="H1499" s="28" t="n">
        <x:v>115032</x:v>
      </x:c>
      <x:c r="I1499" s="22" t="str">
        <x:v>fff6ae4089b443f0866debad5f50508a552d8ccc2586c4894621f4a148175b20</x:v>
      </x:c>
      <x:c r="J1499" s="22" t="n">
        <x:v>0</x:v>
      </x:c>
      <x:c r="K1499" s="22" t="n">
        <x:v>0</x:v>
      </x:c>
      <x:c r="L1499" s="22" t="n">
        <x:v>0</x:v>
      </x:c>
      <x:c r="M1499" s="28" t="n">
        <x:v>0</x:v>
      </x:c>
      <x:c r="N1499" s="28" t="n">
        <x:v>0</x:v>
      </x:c>
      <x:c r="O1499" s="28" t="n">
        <x:v>0</x:v>
      </x:c>
      <x:c r="P1499" s="62" t="n">
        <x:v>0</x:v>
      </x:c>
      <x:c r="Q1499" s="22" t="n">
        <x:v>0</x:v>
      </x:c>
      <x:c r="R1499" s="22" t="str"/>
      <x:c r="S1499" s="22" t="str"/>
      <x:c r="T1499" s="22" t="str"/>
    </x:row>
    <x:row r="1500">
      <x:c r="A1500" s="22" t="str">
        <x:v>2019-03655</x:v>
      </x:c>
      <x:c r="B1500" s="22" t="str">
        <x:v>L2025-00099-1</x:v>
      </x:c>
      <x:c r="C1500" s="22" t="str">
        <x:v>공사</x:v>
      </x:c>
      <x:c r="D1500" s="25" t="str">
        <x:v>키르기스스탄 추이 주 교내 위생환경 개선 사업(프로젝트봉사단) 리모델링 시공업체 선정 현지 입찰</x:v>
      </x:c>
      <x:c r="E1500" s="22" t="n">
        <x:v>1</x:v>
      </x:c>
      <x:c r="F1500" s="22" t="str">
        <x:v>.docx</x:v>
      </x:c>
      <x:c r="G1500" s="25" t="str">
        <x:v>L2025-00099-1/KG-2025-11/KG-2025-11/Section 7 - General Conditions of Contract_WaSH.docx</x:v>
      </x:c>
      <x:c r="H1500" s="28" t="n">
        <x:v>202912</x:v>
      </x:c>
      <x:c r="I1500" s="22" t="str">
        <x:v>fedf6aa3540ddde964e764325f1b28aff95914fe896d9a93b0b504953aef920a</x:v>
      </x:c>
      <x:c r="J1500" s="22" t="n">
        <x:v>0</x:v>
      </x:c>
      <x:c r="K1500" s="22" t="n">
        <x:v>0</x:v>
      </x:c>
      <x:c r="L1500" s="22" t="n">
        <x:v>0</x:v>
      </x:c>
      <x:c r="M1500" s="28" t="n">
        <x:v>0</x:v>
      </x:c>
      <x:c r="N1500" s="28" t="n">
        <x:v>0</x:v>
      </x:c>
      <x:c r="O1500" s="28" t="n">
        <x:v>0</x:v>
      </x:c>
      <x:c r="P1500" s="62" t="n">
        <x:v>0</x:v>
      </x:c>
      <x:c r="Q1500" s="22" t="n">
        <x:v>0</x:v>
      </x:c>
      <x:c r="R1500" s="22" t="str"/>
      <x:c r="S1500" s="22" t="str"/>
      <x:c r="T1500" s="22" t="str"/>
    </x:row>
    <x:row r="1501">
      <x:c r="A1501" s="22" t="str">
        <x:v>2019-03655</x:v>
      </x:c>
      <x:c r="B1501" s="22" t="str">
        <x:v>L2025-00099-1</x:v>
      </x:c>
      <x:c r="C1501" s="22" t="str">
        <x:v>공사</x:v>
      </x:c>
      <x:c r="D1501" s="25" t="str">
        <x:v>키르기스스탄 추이 주 교내 위생환경 개선 사업(프로젝트봉사단) 리모델링 시공업체 선정 현지 입찰</x:v>
      </x:c>
      <x:c r="E1501" s="22" t="n">
        <x:v>1</x:v>
      </x:c>
      <x:c r="F1501" s="22" t="str">
        <x:v>.docx</x:v>
      </x:c>
      <x:c r="G1501" s="25" t="str">
        <x:v>L2025-00099-1/KG-2025-11/KG-2025-11/Section 8 Special_Conditions_of_Contract_WaSH.docx</x:v>
      </x:c>
      <x:c r="H1501" s="28" t="n">
        <x:v>70468</x:v>
      </x:c>
      <x:c r="I1501" s="22" t="str">
        <x:v>fefd3e6e777f4f5782ab01975a604a274ff883a6760c69fae9230933c819c454</x:v>
      </x:c>
      <x:c r="J1501" s="22" t="n">
        <x:v>0</x:v>
      </x:c>
      <x:c r="K1501" s="22" t="n">
        <x:v>0</x:v>
      </x:c>
      <x:c r="L1501" s="22" t="n">
        <x:v>0</x:v>
      </x:c>
      <x:c r="M1501" s="28" t="n">
        <x:v>0</x:v>
      </x:c>
      <x:c r="N1501" s="28" t="n">
        <x:v>0</x:v>
      </x:c>
      <x:c r="O1501" s="28" t="n">
        <x:v>0</x:v>
      </x:c>
      <x:c r="P1501" s="62" t="n">
        <x:v>0</x:v>
      </x:c>
      <x:c r="Q1501" s="22" t="n">
        <x:v>0</x:v>
      </x:c>
      <x:c r="R1501" s="22" t="str"/>
      <x:c r="S1501" s="22" t="str"/>
      <x:c r="T1501" s="22" t="str"/>
    </x:row>
    <x:row r="1502">
      <x:c r="A1502" s="22" t="str">
        <x:v>2019-03655</x:v>
      </x:c>
      <x:c r="B1502" s="22" t="str">
        <x:v>L2025-00099-1</x:v>
      </x:c>
      <x:c r="C1502" s="22" t="str">
        <x:v>공사</x:v>
      </x:c>
      <x:c r="D1502" s="25" t="str">
        <x:v>키르기스스탄 추이 주 교내 위생환경 개선 사업(프로젝트봉사단) 리모델링 시공업체 선정 현지 입찰</x:v>
      </x:c>
      <x:c r="E1502" s="22" t="n">
        <x:v>1</x:v>
      </x:c>
      <x:c r="F1502" s="22" t="str">
        <x:v>.docx</x:v>
      </x:c>
      <x:c r="G1502" s="25" t="str">
        <x:v>L2025-00099-1/KG-2025-11/KG-2025-11/Section 2 - Bid Data Sheet (영문)_WaSH.docx</x:v>
      </x:c>
      <x:c r="H1502" s="28" t="n">
        <x:v>43852</x:v>
      </x:c>
      <x:c r="I1502" s="22" t="str">
        <x:v>40325e818f3cf96c218fe249aa6eae2d0b0afd35f797827a1aa45bc085a9b161</x:v>
      </x:c>
      <x:c r="J1502" s="22" t="n">
        <x:v>0</x:v>
      </x:c>
      <x:c r="K1502" s="22" t="n">
        <x:v>0</x:v>
      </x:c>
      <x:c r="L1502" s="22" t="n">
        <x:v>0</x:v>
      </x:c>
      <x:c r="M1502" s="28" t="n">
        <x:v>0</x:v>
      </x:c>
      <x:c r="N1502" s="28" t="n">
        <x:v>0</x:v>
      </x:c>
      <x:c r="O1502" s="28" t="n">
        <x:v>0</x:v>
      </x:c>
      <x:c r="P1502" s="62" t="n">
        <x:v>0</x:v>
      </x:c>
      <x:c r="Q1502" s="22" t="n">
        <x:v>0</x:v>
      </x:c>
      <x:c r="R1502" s="22" t="str"/>
      <x:c r="S1502" s="22" t="str"/>
      <x:c r="T1502" s="22" t="str"/>
    </x:row>
    <x:row r="1503">
      <x:c r="A1503" s="22" t="str">
        <x:v>2019-03655</x:v>
      </x:c>
      <x:c r="B1503" s="22" t="str">
        <x:v>L2025-00099-1</x:v>
      </x:c>
      <x:c r="C1503" s="22" t="str">
        <x:v>공사</x:v>
      </x:c>
      <x:c r="D1503" s="25" t="str">
        <x:v>키르기스스탄 추이 주 교내 위생환경 개선 사업(프로젝트봉사단) 리모델링 시공업체 선정 현지 입찰</x:v>
      </x:c>
      <x:c r="E1503" s="22" t="n">
        <x:v>1</x:v>
      </x:c>
      <x:c r="F1503" s="22" t="str">
        <x:v>.docx</x:v>
      </x:c>
      <x:c r="G1503" s="25" t="str">
        <x:v>L2025-00099-1/KG-2025-11/KG-2025-11/Section 3 - Bidding Forms_수정(250410)_WaSH.docx</x:v>
      </x:c>
      <x:c r="H1503" s="28" t="n">
        <x:v>57387</x:v>
      </x:c>
      <x:c r="I1503" s="22" t="str">
        <x:v>a88f15ba084d4ee94faf186a128eab2296f2751448f43b12b32b1d5d040e5c27</x:v>
      </x:c>
      <x:c r="J1503" s="22" t="n">
        <x:v>0</x:v>
      </x:c>
      <x:c r="K1503" s="22" t="n">
        <x:v>0</x:v>
      </x:c>
      <x:c r="L1503" s="22" t="n">
        <x:v>0</x:v>
      </x:c>
      <x:c r="M1503" s="28" t="n">
        <x:v>0</x:v>
      </x:c>
      <x:c r="N1503" s="28" t="n">
        <x:v>0</x:v>
      </x:c>
      <x:c r="O1503" s="28" t="n">
        <x:v>0</x:v>
      </x:c>
      <x:c r="P1503" s="62" t="n">
        <x:v>0</x:v>
      </x:c>
      <x:c r="Q1503" s="22" t="n">
        <x:v>0</x:v>
      </x:c>
      <x:c r="R1503" s="22" t="str"/>
      <x:c r="S1503" s="22" t="str"/>
      <x:c r="T1503" s="22" t="str"/>
    </x:row>
    <x:row r="1504">
      <x:c r="A1504" s="22" t="str">
        <x:v>2023-00100</x:v>
      </x:c>
      <x:c r="B1504" s="22" t="str">
        <x:v>L2025-00006-1</x:v>
      </x:c>
      <x:c r="C1504" s="22" t="str">
        <x:v>용역</x:v>
      </x:c>
      <x:c r="D1504" s="25" t="str">
        <x:v>탄자니아 도도마주 유수율 제고 시범모델 구축 및 상수도 시설 개선사업 기본 및 실시설계 용역</x:v>
      </x:c>
      <x:c r="E1504" s="22" t="n">
        <x:v>0</x:v>
      </x:c>
      <x:c r="F1504" s="22" t="str">
        <x:v>.zip</x:v>
      </x:c>
      <x:c r="G1504" s="25" t="str">
        <x:v>L2025-00006-1/상수도 설계 현지입찰 제반서류.zip</x:v>
      </x:c>
      <x:c r="H1504" s="28" t="n">
        <x:v>6340013</x:v>
      </x:c>
      <x:c r="I1504" s="22" t="str">
        <x:v>88b211a2270cfd2d3f1a70a7243e2142a82e7b4c7295fbcdac8bbdcd54529d79</x:v>
      </x:c>
      <x:c r="J1504" s="22" t="n">
        <x:v>0</x:v>
      </x:c>
      <x:c r="K1504" s="22" t="n">
        <x:v>0</x:v>
      </x:c>
      <x:c r="L1504" s="22" t="n">
        <x:v>0</x:v>
      </x:c>
      <x:c r="M1504" s="28" t="n">
        <x:v>0</x:v>
      </x:c>
      <x:c r="N1504" s="28" t="n">
        <x:v>0</x:v>
      </x:c>
      <x:c r="O1504" s="28" t="n">
        <x:v>0</x:v>
      </x:c>
      <x:c r="P1504" s="62" t="n">
        <x:v>0</x:v>
      </x:c>
      <x:c r="Q1504" s="22" t="n">
        <x:v>0</x:v>
      </x:c>
      <x:c r="R1504" s="22" t="str"/>
      <x:c r="S1504" s="22" t="str"/>
      <x:c r="T1504" s="22" t="str"/>
    </x:row>
    <x:row r="1505">
      <x:c r="A1505" s="22" t="str">
        <x:v>2023-00100</x:v>
      </x:c>
      <x:c r="B1505" s="22" t="str">
        <x:v>L2025-00006-1</x:v>
      </x:c>
      <x:c r="C1505" s="22" t="str">
        <x:v>용역</x:v>
      </x:c>
      <x:c r="D1505" s="25" t="str">
        <x:v>탄자니아 도도마주 유수율 제고 시범모델 구축 및 상수도 시설 개선사업 기본 및 실시설계 용역</x:v>
      </x:c>
      <x:c r="E1505" s="22" t="n">
        <x:v>0</x:v>
      </x:c>
      <x:c r="F1505" s="22" t="str">
        <x:v>.docx</x:v>
      </x:c>
      <x:c r="G1505" s="25" t="str">
        <x:v>L2025-00006-1/상수도 설계 현지입찰 제반서류/(┼║└┌┤╧╛╞ ╗τ╣½╝╥)Section 3 - Bidding Forms_TZ Dodoma(Draft).docx</x:v>
      </x:c>
      <x:c r="H1505" s="28" t="n">
        <x:v>51653</x:v>
      </x:c>
      <x:c r="I1505" s="22" t="str">
        <x:v>6aa05ec9ac60dd36f4965f0c51a3a33b1d8d6e89e8b8a7cc34ab9a258f1f101c</x:v>
      </x:c>
      <x:c r="J1505" s="22" t="n">
        <x:v>0</x:v>
      </x:c>
      <x:c r="K1505" s="22" t="n">
        <x:v>0</x:v>
      </x:c>
      <x:c r="L1505" s="22" t="n">
        <x:v>0</x:v>
      </x:c>
      <x:c r="M1505" s="28" t="n">
        <x:v>0</x:v>
      </x:c>
      <x:c r="N1505" s="28" t="n">
        <x:v>0</x:v>
      </x:c>
      <x:c r="O1505" s="28" t="n">
        <x:v>0</x:v>
      </x:c>
      <x:c r="P1505" s="62" t="n">
        <x:v>0</x:v>
      </x:c>
      <x:c r="Q1505" s="22" t="n">
        <x:v>0</x:v>
      </x:c>
      <x:c r="R1505" s="22" t="str"/>
      <x:c r="S1505" s="22" t="str"/>
      <x:c r="T1505" s="22" t="str"/>
    </x:row>
    <x:row r="1506">
      <x:c r="A1506" s="22" t="str">
        <x:v>2023-00100</x:v>
      </x:c>
      <x:c r="B1506" s="22" t="str">
        <x:v>L2025-00006-1</x:v>
      </x:c>
      <x:c r="C1506" s="22" t="str">
        <x:v>용역</x:v>
      </x:c>
      <x:c r="D1506" s="25" t="str">
        <x:v>탄자니아 도도마주 유수율 제고 시범모델 구축 및 상수도 시설 개선사업 기본 및 실시설계 용역</x:v>
      </x:c>
      <x:c r="E1506" s="22" t="n">
        <x:v>0</x:v>
      </x:c>
      <x:c r="F1506" s="22" t="str">
        <x:v>.docx</x:v>
      </x:c>
      <x:c r="G1506" s="25" t="str">
        <x:v>L2025-00006-1/상수도 설계 현지입찰 제반서류/(┼║└┌┤╧╛╞ ╗τ╣½╝╥)Section 9 - Contract Forms_TZ Dodoma(Draft).docx</x:v>
      </x:c>
      <x:c r="H1506" s="28" t="n">
        <x:v>25047</x:v>
      </x:c>
      <x:c r="I1506" s="22" t="str">
        <x:v>4561a444e1450d50a663e5e4848536d43a38586666786638a2b68cf7e06794c4</x:v>
      </x:c>
      <x:c r="J1506" s="22" t="n">
        <x:v>0</x:v>
      </x:c>
      <x:c r="K1506" s="22" t="n">
        <x:v>0</x:v>
      </x:c>
      <x:c r="L1506" s="22" t="n">
        <x:v>0</x:v>
      </x:c>
      <x:c r="M1506" s="28" t="n">
        <x:v>0</x:v>
      </x:c>
      <x:c r="N1506" s="28" t="n">
        <x:v>0</x:v>
      </x:c>
      <x:c r="O1506" s="28" t="n">
        <x:v>0</x:v>
      </x:c>
      <x:c r="P1506" s="62" t="n">
        <x:v>0</x:v>
      </x:c>
      <x:c r="Q1506" s="22" t="n">
        <x:v>0</x:v>
      </x:c>
      <x:c r="R1506" s="22" t="str"/>
      <x:c r="S1506" s="22" t="str"/>
      <x:c r="T1506" s="22" t="str"/>
    </x:row>
    <x:row r="1507">
      <x:c r="A1507" s="22" t="str">
        <x:v>2023-00100</x:v>
      </x:c>
      <x:c r="B1507" s="22" t="str">
        <x:v>L2025-00006-1</x:v>
      </x:c>
      <x:c r="C1507" s="22" t="str">
        <x:v>용역</x:v>
      </x:c>
      <x:c r="D1507" s="25" t="str">
        <x:v>탄자니아 도도마주 유수율 제고 시범모델 구축 및 상수도 시설 개선사업 기본 및 실시설계 용역</x:v>
      </x:c>
      <x:c r="E1507" s="22" t="n">
        <x:v>0</x:v>
      </x:c>
      <x:c r="F1507" s="22" t="str">
        <x:v>.docx</x:v>
      </x:c>
      <x:c r="G1507" s="25" t="str">
        <x:v>L2025-00006-1/상수도 설계 현지입찰 제반서류/Section 1-1. Expression of Interest(Tanzania)_230914_Final.docx</x:v>
      </x:c>
      <x:c r="H1507" s="28" t="n">
        <x:v>26618</x:v>
      </x:c>
      <x:c r="I1507" s="22" t="str">
        <x:v>545a4ebf90367313460ae0f12d221f517553eb13571cc5082e22e4f1bf817c3d</x:v>
      </x:c>
      <x:c r="J1507" s="22" t="n">
        <x:v>0</x:v>
      </x:c>
      <x:c r="K1507" s="22" t="n">
        <x:v>0</x:v>
      </x:c>
      <x:c r="L1507" s="22" t="n">
        <x:v>0</x:v>
      </x:c>
      <x:c r="M1507" s="28" t="n">
        <x:v>0</x:v>
      </x:c>
      <x:c r="N1507" s="28" t="n">
        <x:v>0</x:v>
      </x:c>
      <x:c r="O1507" s="28" t="n">
        <x:v>0</x:v>
      </x:c>
      <x:c r="P1507" s="62" t="n">
        <x:v>0</x:v>
      </x:c>
      <x:c r="Q1507" s="22" t="n">
        <x:v>0</x:v>
      </x:c>
      <x:c r="R1507" s="22" t="str"/>
      <x:c r="S1507" s="22" t="str"/>
      <x:c r="T1507" s="22" t="str"/>
    </x:row>
    <x:row r="1508">
      <x:c r="A1508" s="22" t="str">
        <x:v>2023-00100</x:v>
      </x:c>
      <x:c r="B1508" s="22" t="str">
        <x:v>L2025-00006-1</x:v>
      </x:c>
      <x:c r="C1508" s="22" t="str">
        <x:v>용역</x:v>
      </x:c>
      <x:c r="D1508" s="25" t="str">
        <x:v>탄자니아 도도마주 유수율 제고 시범모델 구축 및 상수도 시설 개선사업 기본 및 실시설계 용역</x:v>
      </x:c>
      <x:c r="E1508" s="22" t="n">
        <x:v>0</x:v>
      </x:c>
      <x:c r="F1508" s="22" t="str">
        <x:v>.hwp</x:v>
      </x:c>
      <x:c r="G1508" s="25" t="str">
        <x:v>L2025-00006-1/상수도 설계 현지입찰 제반서류/(┼║└┌┤╧╛╞ ╗τ╣½╝╥) Section 2 - └╘┬√░°░φ╣« (BDS)_TZ Dodoma(RevC).hwp</x:v>
      </x:c>
      <x:c r="H1508" s="28" t="n">
        <x:v>87040</x:v>
      </x:c>
      <x:c r="I1508" s="22" t="str">
        <x:v>40342716bbbc85796ced7b1f513834fff413d0f965ac47f3665b21a5b757472f</x:v>
      </x:c>
      <x:c r="J1508" s="22" t="n">
        <x:v>0</x:v>
      </x:c>
      <x:c r="K1508" s="22" t="n">
        <x:v>0</x:v>
      </x:c>
      <x:c r="L1508" s="22" t="n">
        <x:v>0</x:v>
      </x:c>
      <x:c r="M1508" s="28" t="n">
        <x:v>0</x:v>
      </x:c>
      <x:c r="N1508" s="28" t="n">
        <x:v>0</x:v>
      </x:c>
      <x:c r="O1508" s="28" t="n">
        <x:v>0</x:v>
      </x:c>
      <x:c r="P1508" s="62" t="n">
        <x:v>0</x:v>
      </x:c>
      <x:c r="Q1508" s="22" t="n">
        <x:v>0</x:v>
      </x:c>
      <x:c r="R1508" s="22" t="str"/>
      <x:c r="S1508" s="22" t="str"/>
      <x:c r="T1508" s="22" t="str"/>
    </x:row>
    <x:row r="1509">
      <x:c r="A1509" s="22" t="str">
        <x:v>2023-00100</x:v>
      </x:c>
      <x:c r="B1509" s="22" t="str">
        <x:v>L2025-00006-1</x:v>
      </x:c>
      <x:c r="C1509" s="22" t="str">
        <x:v>용역</x:v>
      </x:c>
      <x:c r="D1509" s="25" t="str">
        <x:v>탄자니아 도도마주 유수율 제고 시범모델 구축 및 상수도 시설 개선사업 기본 및 실시설계 용역</x:v>
      </x:c>
      <x:c r="E1509" s="22" t="n">
        <x:v>0</x:v>
      </x:c>
      <x:c r="F1509" s="22" t="str">
        <x:v>.docx</x:v>
      </x:c>
      <x:c r="G1509" s="25" t="str">
        <x:v>L2025-00006-1/상수도 설계 현지입찰 제반서류/Section 4 - RFP_TZ Dodoma(Draft).docx</x:v>
      </x:c>
      <x:c r="H1509" s="28" t="n">
        <x:v>58572</x:v>
      </x:c>
      <x:c r="I1509" s="22" t="str">
        <x:v>47dffdafbcba0a72a817795f178292ad36699581abeb0e76e0f1338ca5c7b799</x:v>
      </x:c>
      <x:c r="J1509" s="22" t="n">
        <x:v>0</x:v>
      </x:c>
      <x:c r="K1509" s="22" t="n">
        <x:v>0</x:v>
      </x:c>
      <x:c r="L1509" s="22" t="n">
        <x:v>0</x:v>
      </x:c>
      <x:c r="M1509" s="28" t="n">
        <x:v>0</x:v>
      </x:c>
      <x:c r="N1509" s="28" t="n">
        <x:v>0</x:v>
      </x:c>
      <x:c r="O1509" s="28" t="n">
        <x:v>0</x:v>
      </x:c>
      <x:c r="P1509" s="62" t="n">
        <x:v>0</x:v>
      </x:c>
      <x:c r="Q1509" s="22" t="n">
        <x:v>0</x:v>
      </x:c>
      <x:c r="R1509" s="22" t="str"/>
      <x:c r="S1509" s="22" t="str"/>
      <x:c r="T1509" s="22" t="str"/>
    </x:row>
    <x:row r="1510">
      <x:c r="A1510" s="22" t="str">
        <x:v>2023-00100</x:v>
      </x:c>
      <x:c r="B1510" s="22" t="str">
        <x:v>L2025-00006-1</x:v>
      </x:c>
      <x:c r="C1510" s="22" t="str">
        <x:v>용역</x:v>
      </x:c>
      <x:c r="D1510" s="25" t="str">
        <x:v>탄자니아 도도마주 유수율 제고 시범모델 구축 및 상수도 시설 개선사업 기본 및 실시설계 용역</x:v>
      </x:c>
      <x:c r="E1510" s="22" t="n">
        <x:v>0</x:v>
      </x:c>
      <x:c r="F1510" s="22" t="str">
        <x:v>.docx</x:v>
      </x:c>
      <x:c r="G1510" s="25" t="str">
        <x:v>L2025-00006-1/상수도 설계 현지입찰 제반서류/Section 5 - Terms of Reference - Incl SoW (Draft).docx</x:v>
      </x:c>
      <x:c r="H1510" s="28" t="n">
        <x:v>2901312</x:v>
      </x:c>
      <x:c r="I1510" s="22" t="str">
        <x:v>679d693226137e96dc3183866873bfce6ef2ff6c0882d2456c215a3a52097f68</x:v>
      </x:c>
      <x:c r="J1510" s="22" t="n">
        <x:v>0</x:v>
      </x:c>
      <x:c r="K1510" s="22" t="n">
        <x:v>0</x:v>
      </x:c>
      <x:c r="L1510" s="22" t="n">
        <x:v>0</x:v>
      </x:c>
      <x:c r="M1510" s="28" t="n">
        <x:v>0</x:v>
      </x:c>
      <x:c r="N1510" s="28" t="n">
        <x:v>0</x:v>
      </x:c>
      <x:c r="O1510" s="28" t="n">
        <x:v>0</x:v>
      </x:c>
      <x:c r="P1510" s="62" t="n">
        <x:v>0</x:v>
      </x:c>
      <x:c r="Q1510" s="22" t="n">
        <x:v>0</x:v>
      </x:c>
      <x:c r="R1510" s="22" t="str"/>
      <x:c r="S1510" s="22" t="str"/>
      <x:c r="T1510" s="22" t="str"/>
    </x:row>
    <x:row r="1511">
      <x:c r="A1511" s="22" t="str">
        <x:v>2023-00100</x:v>
      </x:c>
      <x:c r="B1511" s="22" t="str">
        <x:v>L2025-00006-1</x:v>
      </x:c>
      <x:c r="C1511" s="22" t="str">
        <x:v>용역</x:v>
      </x:c>
      <x:c r="D1511" s="25" t="str">
        <x:v>탄자니아 도도마주 유수율 제고 시범모델 구축 및 상수도 시설 개선사업 기본 및 실시설계 용역</x:v>
      </x:c>
      <x:c r="E1511" s="22" t="n">
        <x:v>0</x:v>
      </x:c>
      <x:c r="F1511" s="22" t="str">
        <x:v>.docx</x:v>
      </x:c>
      <x:c r="G1511" s="25" t="str">
        <x:v>L2025-00006-1/상수도 설계 현지입찰 제반서류/(┼║└┌┤╧╛╞ ╗τ╣½╝╥)Section 7 - General Conditions of Contract_TZ Dodoma(Draft).docx</x:v>
      </x:c>
      <x:c r="H1511" s="28" t="n">
        <x:v>37079</x:v>
      </x:c>
      <x:c r="I1511" s="22" t="str">
        <x:v>16094bb205a41bfe90dab603a672bc8ba22d20dc4d3e76253eba33a3f790008f</x:v>
      </x:c>
      <x:c r="J1511" s="22" t="n">
        <x:v>0</x:v>
      </x:c>
      <x:c r="K1511" s="22" t="n">
        <x:v>0</x:v>
      </x:c>
      <x:c r="L1511" s="22" t="n">
        <x:v>0</x:v>
      </x:c>
      <x:c r="M1511" s="28" t="n">
        <x:v>0</x:v>
      </x:c>
      <x:c r="N1511" s="28" t="n">
        <x:v>0</x:v>
      </x:c>
      <x:c r="O1511" s="28" t="n">
        <x:v>0</x:v>
      </x:c>
      <x:c r="P1511" s="62" t="n">
        <x:v>0</x:v>
      </x:c>
      <x:c r="Q1511" s="22" t="n">
        <x:v>0</x:v>
      </x:c>
      <x:c r="R1511" s="22" t="str"/>
      <x:c r="S1511" s="22" t="str"/>
      <x:c r="T1511" s="22" t="str"/>
    </x:row>
    <x:row r="1512">
      <x:c r="A1512" s="22" t="str">
        <x:v>2023-00100</x:v>
      </x:c>
      <x:c r="B1512" s="22" t="str">
        <x:v>L2025-00006-1</x:v>
      </x:c>
      <x:c r="C1512" s="22" t="str">
        <x:v>용역</x:v>
      </x:c>
      <x:c r="D1512" s="25" t="str">
        <x:v>탄자니아 도도마주 유수율 제고 시범모델 구축 및 상수도 시설 개선사업 기본 및 실시설계 용역</x:v>
      </x:c>
      <x:c r="E1512" s="22" t="n">
        <x:v>0</x:v>
      </x:c>
      <x:c r="F1512" s="22" t="str">
        <x:v>.docx</x:v>
      </x:c>
      <x:c r="G1512" s="25" t="str">
        <x:v>L2025-00006-1/상수도 설계 현지입찰 제반서류/Power of Attorney for the authority to sign and execute contracts (░Φ╛α╝¡ ╝¡╕φ▒╟╟╤ └º└╙└σ).docx</x:v>
      </x:c>
      <x:c r="H1512" s="28" t="n">
        <x:v>18258</x:v>
      </x:c>
      <x:c r="I1512" s="22" t="str">
        <x:v>fcdd58a32d36c56f229851e15bc9ac14e1aa253dcc9d5bb592396c7d6bb80a14</x:v>
      </x:c>
      <x:c r="J1512" s="22" t="n">
        <x:v>0</x:v>
      </x:c>
      <x:c r="K1512" s="22" t="n">
        <x:v>0</x:v>
      </x:c>
      <x:c r="L1512" s="22" t="n">
        <x:v>0</x:v>
      </x:c>
      <x:c r="M1512" s="28" t="n">
        <x:v>0</x:v>
      </x:c>
      <x:c r="N1512" s="28" t="n">
        <x:v>0</x:v>
      </x:c>
      <x:c r="O1512" s="28" t="n">
        <x:v>0</x:v>
      </x:c>
      <x:c r="P1512" s="62" t="n">
        <x:v>0</x:v>
      </x:c>
      <x:c r="Q1512" s="22" t="n">
        <x:v>0</x:v>
      </x:c>
      <x:c r="R1512" s="22" t="str"/>
      <x:c r="S1512" s="22" t="str"/>
      <x:c r="T1512" s="22" t="str"/>
    </x:row>
    <x:row r="1513">
      <x:c r="A1513" s="22" t="str">
        <x:v>2023-00100</x:v>
      </x:c>
      <x:c r="B1513" s="22" t="str">
        <x:v>L2025-00006-1</x:v>
      </x:c>
      <x:c r="C1513" s="22" t="str">
        <x:v>용역</x:v>
      </x:c>
      <x:c r="D1513" s="25" t="str">
        <x:v>탄자니아 도도마주 유수율 제고 시범모델 구축 및 상수도 시설 개선사업 기본 및 실시설계 용역</x:v>
      </x:c>
      <x:c r="E1513" s="22" t="n">
        <x:v>0</x:v>
      </x:c>
      <x:c r="F1513" s="22" t="str">
        <x:v>.docx</x:v>
      </x:c>
      <x:c r="G1513" s="25" t="str">
        <x:v>L2025-00006-1/상수도 설계 현지입찰 제반서류/(┼║└┌┤╧╛╞ ╗τ╣½╝╥)Section 8 - Specail Conditions of Contract_TZ Dodoma.docx</x:v>
      </x:c>
      <x:c r="H1513" s="28" t="n">
        <x:v>2898061</x:v>
      </x:c>
      <x:c r="I1513" s="22" t="str">
        <x:v>77dd0b13ceb46568dc6c329df6efbcbc5186a10a2aa96f1855af8b16fa5dbb55</x:v>
      </x:c>
      <x:c r="J1513" s="22" t="n">
        <x:v>0</x:v>
      </x:c>
      <x:c r="K1513" s="22" t="n">
        <x:v>0</x:v>
      </x:c>
      <x:c r="L1513" s="22" t="n">
        <x:v>0</x:v>
      </x:c>
      <x:c r="M1513" s="28" t="n">
        <x:v>0</x:v>
      </x:c>
      <x:c r="N1513" s="28" t="n">
        <x:v>0</x:v>
      </x:c>
      <x:c r="O1513" s="28" t="n">
        <x:v>0</x:v>
      </x:c>
      <x:c r="P1513" s="62" t="n">
        <x:v>0</x:v>
      </x:c>
      <x:c r="Q1513" s="22" t="n">
        <x:v>0</x:v>
      </x:c>
      <x:c r="R1513" s="22" t="str"/>
      <x:c r="S1513" s="22" t="str"/>
      <x:c r="T1513" s="22" t="str"/>
    </x:row>
    <x:row r="1514">
      <x:c r="A1514" s="22" t="str">
        <x:v>2023-00100</x:v>
      </x:c>
      <x:c r="B1514" s="22" t="str">
        <x:v>L2025-00006-1</x:v>
      </x:c>
      <x:c r="C1514" s="22" t="str">
        <x:v>용역</x:v>
      </x:c>
      <x:c r="D1514" s="25" t="str">
        <x:v>탄자니아 도도마주 유수율 제고 시범모델 구축 및 상수도 시설 개선사업 기본 및 실시설계 용역</x:v>
      </x:c>
      <x:c r="E1514" s="22" t="n">
        <x:v>0</x:v>
      </x:c>
      <x:c r="F1514" s="22" t="str">
        <x:v>.docx</x:v>
      </x:c>
      <x:c r="G1514" s="25" t="str">
        <x:v>L2025-00006-1/상수도 설계 현지입찰 제반서류/Section 1-2. Bid Security (Bank Guarantee)(Tanzania)_230914_Final.docx</x:v>
      </x:c>
      <x:c r="H1514" s="28" t="n">
        <x:v>39745</x:v>
      </x:c>
      <x:c r="I1514" s="22" t="str">
        <x:v>b68cebd1d09a01bf70a93a16a380476f9044bfe74307e5ce6d83a9d63a214b09</x:v>
      </x:c>
      <x:c r="J1514" s="22" t="n">
        <x:v>0</x:v>
      </x:c>
      <x:c r="K1514" s="22" t="n">
        <x:v>0</x:v>
      </x:c>
      <x:c r="L1514" s="22" t="n">
        <x:v>0</x:v>
      </x:c>
      <x:c r="M1514" s="28" t="n">
        <x:v>0</x:v>
      </x:c>
      <x:c r="N1514" s="28" t="n">
        <x:v>0</x:v>
      </x:c>
      <x:c r="O1514" s="28" t="n">
        <x:v>0</x:v>
      </x:c>
      <x:c r="P1514" s="62" t="n">
        <x:v>0</x:v>
      </x:c>
      <x:c r="Q1514" s="22" t="n">
        <x:v>0</x:v>
      </x:c>
      <x:c r="R1514" s="22" t="str"/>
      <x:c r="S1514" s="22" t="str"/>
      <x:c r="T1514" s="22" t="str"/>
    </x:row>
    <x:row r="1515">
      <x:c r="A1515" s="22" t="str">
        <x:v>2023-00100</x:v>
      </x:c>
      <x:c r="B1515" s="22" t="str">
        <x:v>L2025-00006-1</x:v>
      </x:c>
      <x:c r="C1515" s="22" t="str">
        <x:v>용역</x:v>
      </x:c>
      <x:c r="D1515" s="25" t="str">
        <x:v>탄자니아 도도마주 유수율 제고 시범모델 구축 및 상수도 시설 개선사업 기본 및 실시설계 용역</x:v>
      </x:c>
      <x:c r="E1515" s="22" t="n">
        <x:v>0</x:v>
      </x:c>
      <x:c r="F1515" s="22" t="str">
        <x:v>.docx</x:v>
      </x:c>
      <x:c r="G1515" s="25" t="str">
        <x:v>L2025-00006-1/상수도 설계 현지입찰 제반서류/(┼║└┌┤╧╛╞ ╗τ╣½╝╥)Summary of Bidding (┐Σ╛α║╗)_TZ Dodoma(Draft).docx</x:v>
      </x:c>
      <x:c r="H1515" s="28" t="n">
        <x:v>31550</x:v>
      </x:c>
      <x:c r="I1515" s="22" t="str">
        <x:v>37d6c2c91007bc09e9b6b6e07acb58bb82e0bdb62132af27c99dd3ffa96d4cd8</x:v>
      </x:c>
      <x:c r="J1515" s="22" t="n">
        <x:v>0</x:v>
      </x:c>
      <x:c r="K1515" s="22" t="n">
        <x:v>0</x:v>
      </x:c>
      <x:c r="L1515" s="22" t="n">
        <x:v>0</x:v>
      </x:c>
      <x:c r="M1515" s="28" t="n">
        <x:v>0</x:v>
      </x:c>
      <x:c r="N1515" s="28" t="n">
        <x:v>0</x:v>
      </x:c>
      <x:c r="O1515" s="28" t="n">
        <x:v>0</x:v>
      </x:c>
      <x:c r="P1515" s="62" t="n">
        <x:v>0</x:v>
      </x:c>
      <x:c r="Q1515" s="22" t="n">
        <x:v>0</x:v>
      </x:c>
      <x:c r="R1515" s="22" t="str"/>
      <x:c r="S1515" s="22" t="str"/>
      <x:c r="T1515" s="22" t="str"/>
    </x:row>
    <x:row r="1516">
      <x:c r="A1516" s="22" t="str">
        <x:v>2023-00100</x:v>
      </x:c>
      <x:c r="B1516" s="22" t="str">
        <x:v>L2025-00006-1</x:v>
      </x:c>
      <x:c r="C1516" s="22" t="str">
        <x:v>용역</x:v>
      </x:c>
      <x:c r="D1516" s="25" t="str">
        <x:v>탄자니아 도도마주 유수율 제고 시범모델 구축 및 상수도 시설 개선사업 기본 및 실시설계 용역</x:v>
      </x:c>
      <x:c r="E1516" s="22" t="n">
        <x:v>0</x:v>
      </x:c>
      <x:c r="F1516" s="22" t="str">
        <x:v>.hwp</x:v>
      </x:c>
      <x:c r="G1516" s="25" t="str">
        <x:v>L2025-00006-1/상수도 설계 현지입찰 제반서류/Section 1 - Instructions to Bidders (ITB) - ╝÷┴ñ(240731)_TZ Dodoma(Draft)/Section 1 - ▒╣┴ª└╘┬√└»└╟╝¡ (ITB).hwp</x:v>
      </x:c>
      <x:c r="H1516" s="28" t="n">
        <x:v>92672</x:v>
      </x:c>
      <x:c r="I1516" s="22" t="str">
        <x:v>fe8f8948abe9b6e4e05c3ce8e00a4b9cd2aa9b9a8b9dac0bc6ca94b3d564748b</x:v>
      </x:c>
      <x:c r="J1516" s="22" t="n">
        <x:v>0</x:v>
      </x:c>
      <x:c r="K1516" s="22" t="n">
        <x:v>0</x:v>
      </x:c>
      <x:c r="L1516" s="22" t="n">
        <x:v>0</x:v>
      </x:c>
      <x:c r="M1516" s="28" t="n">
        <x:v>0</x:v>
      </x:c>
      <x:c r="N1516" s="28" t="n">
        <x:v>0</x:v>
      </x:c>
      <x:c r="O1516" s="28" t="n">
        <x:v>0</x:v>
      </x:c>
      <x:c r="P1516" s="62" t="n">
        <x:v>0</x:v>
      </x:c>
      <x:c r="Q1516" s="22" t="n">
        <x:v>0</x:v>
      </x:c>
      <x:c r="R1516" s="22" t="str"/>
      <x:c r="S1516" s="22" t="str"/>
      <x:c r="T1516" s="22" t="str"/>
    </x:row>
    <x:row r="1517">
      <x:c r="A1517" s="22" t="str">
        <x:v>2023-00100</x:v>
      </x:c>
      <x:c r="B1517" s="22" t="str">
        <x:v>L2025-00006-1</x:v>
      </x:c>
      <x:c r="C1517" s="22" t="str">
        <x:v>용역</x:v>
      </x:c>
      <x:c r="D1517" s="25" t="str">
        <x:v>탄자니아 도도마주 유수율 제고 시범모델 구축 및 상수도 시설 개선사업 기본 및 실시설계 용역</x:v>
      </x:c>
      <x:c r="E1517" s="22" t="n">
        <x:v>0</x:v>
      </x:c>
      <x:c r="F1517" s="22" t="str">
        <x:v>.hwp</x:v>
      </x:c>
      <x:c r="G1517" s="25" t="str">
        <x:v>L2025-00006-1/상수도 설계 현지입찰 제반서류/Section 1 - Instructions to Bidders (ITB) - ╝÷┴ñ(240731)_TZ Dodoma(Draft)/Section 1 - Instructions to Bidders (ITB)_╝÷┴ñ.hwp</x:v>
      </x:c>
      <x:c r="H1517" s="28" t="n">
        <x:v>83456</x:v>
      </x:c>
      <x:c r="I1517" s="22" t="str">
        <x:v>3ce3109b3b32955d979b3ba8b9a42850e68629e83895ec3474b50bb1b1599d6a</x:v>
      </x:c>
      <x:c r="J1517" s="22" t="n">
        <x:v>0</x:v>
      </x:c>
      <x:c r="K1517" s="22" t="n">
        <x:v>0</x:v>
      </x:c>
      <x:c r="L1517" s="22" t="n">
        <x:v>0</x:v>
      </x:c>
      <x:c r="M1517" s="28" t="n">
        <x:v>0</x:v>
      </x:c>
      <x:c r="N1517" s="28" t="n">
        <x:v>0</x:v>
      </x:c>
      <x:c r="O1517" s="28" t="n">
        <x:v>0</x:v>
      </x:c>
      <x:c r="P1517" s="62" t="n">
        <x:v>0</x:v>
      </x:c>
      <x:c r="Q1517" s="22" t="n">
        <x:v>0</x:v>
      </x:c>
      <x:c r="R1517" s="22" t="str"/>
      <x:c r="S1517" s="22" t="str"/>
      <x:c r="T1517" s="22" t="str"/>
    </x:row>
    <x:row r="1518">
      <x:c r="A1518" s="22" t="str">
        <x:v>2023-00100</x:v>
      </x:c>
      <x:c r="B1518" s="22" t="str">
        <x:v>L2025-00006-1</x:v>
      </x:c>
      <x:c r="C1518" s="22" t="str">
        <x:v>용역</x:v>
      </x:c>
      <x:c r="D1518" s="25" t="str">
        <x:v>탄자니아 도도마주 유수율 제고 시범모델 구축 및 상수도 시설 개선사업 기본 및 실시설계 용역</x:v>
      </x:c>
      <x:c r="E1518" s="22" t="n">
        <x:v>0</x:v>
      </x:c>
      <x:c r="F1518" s="22" t="str">
        <x:v>.docx</x:v>
      </x:c>
      <x:c r="G1518" s="25" t="str">
        <x:v>L2025-00006-1/상수도 설계 현지입찰 제반서류/Section 6 - Pledges_TZ Dodoma(Draft)/Declaration of Anti_Corruption (╣▌║╬╞╨ ╝▒╛≡╝¡).docx</x:v>
      </x:c>
      <x:c r="H1518" s="28" t="n">
        <x:v>23026</x:v>
      </x:c>
      <x:c r="I1518" s="22" t="str">
        <x:v>81e22a438491f4d1b5a12be15e95b5278073d1be929b00b0cd4fe23da8b9d496</x:v>
      </x:c>
      <x:c r="J1518" s="22" t="n">
        <x:v>0</x:v>
      </x:c>
      <x:c r="K1518" s="22" t="n">
        <x:v>0</x:v>
      </x:c>
      <x:c r="L1518" s="22" t="n">
        <x:v>0</x:v>
      </x:c>
      <x:c r="M1518" s="28" t="n">
        <x:v>0</x:v>
      </x:c>
      <x:c r="N1518" s="28" t="n">
        <x:v>0</x:v>
      </x:c>
      <x:c r="O1518" s="28" t="n">
        <x:v>0</x:v>
      </x:c>
      <x:c r="P1518" s="62" t="n">
        <x:v>0</x:v>
      </x:c>
      <x:c r="Q1518" s="22" t="n">
        <x:v>0</x:v>
      </x:c>
      <x:c r="R1518" s="22" t="str"/>
      <x:c r="S1518" s="22" t="str"/>
      <x:c r="T1518" s="22" t="str"/>
    </x:row>
    <x:row r="1519">
      <x:c r="A1519" s="22" t="str">
        <x:v>2023-00100</x:v>
      </x:c>
      <x:c r="B1519" s="22" t="str">
        <x:v>L2025-00006-1</x:v>
      </x:c>
      <x:c r="C1519" s="22" t="str">
        <x:v>용역</x:v>
      </x:c>
      <x:c r="D1519" s="25" t="str">
        <x:v>탄자니아 도도마주 유수율 제고 시범모델 구축 및 상수도 시설 개선사업 기본 및 실시설계 용역</x:v>
      </x:c>
      <x:c r="E1519" s="22" t="n">
        <x:v>0</x:v>
      </x:c>
      <x:c r="F1519" s="22" t="str">
        <x:v>.docx</x:v>
      </x:c>
      <x:c r="G1519" s="25" t="str">
        <x:v>L2025-00006-1/상수도 설계 현지입찰 제반서류/Section 6 - Pledges_TZ Dodoma(Draft)/Fair Contract Pledge Letter (░°┴ñ░Φ╛α ╝¡╛α╝¡).docx</x:v>
      </x:c>
      <x:c r="H1519" s="28" t="n">
        <x:v>18756</x:v>
      </x:c>
      <x:c r="I1519" s="22" t="str">
        <x:v>379cc784a159e5c15ba0045a32dd793d03827ad46a1e4a966b9810ad99102277</x:v>
      </x:c>
      <x:c r="J1519" s="22" t="n">
        <x:v>0</x:v>
      </x:c>
      <x:c r="K1519" s="22" t="n">
        <x:v>0</x:v>
      </x:c>
      <x:c r="L1519" s="22" t="n">
        <x:v>0</x:v>
      </x:c>
      <x:c r="M1519" s="28" t="n">
        <x:v>0</x:v>
      </x:c>
      <x:c r="N1519" s="28" t="n">
        <x:v>0</x:v>
      </x:c>
      <x:c r="O1519" s="28" t="n">
        <x:v>0</x:v>
      </x:c>
      <x:c r="P1519" s="62" t="n">
        <x:v>0</x:v>
      </x:c>
      <x:c r="Q1519" s="22" t="n">
        <x:v>0</x:v>
      </x:c>
      <x:c r="R1519" s="22" t="str"/>
      <x:c r="S1519" s="22" t="str"/>
      <x:c r="T1519" s="22" t="str"/>
    </x:row>
    <x:row r="1520">
      <x:c r="A1520" s="22" t="str">
        <x:v>2023-00100</x:v>
      </x:c>
      <x:c r="B1520" s="22" t="str">
        <x:v>L2025-00006-1</x:v>
      </x:c>
      <x:c r="C1520" s="22" t="str">
        <x:v>용역</x:v>
      </x:c>
      <x:c r="D1520" s="25" t="str">
        <x:v>탄자니아 도도마주 유수율 제고 시범모델 구축 및 상수도 시설 개선사업 기본 및 실시설계 용역</x:v>
      </x:c>
      <x:c r="E1520" s="22" t="n">
        <x:v>0</x:v>
      </x:c>
      <x:c r="F1520" s="22" t="str">
        <x:v>.docx</x:v>
      </x:c>
      <x:c r="G1520" s="25" t="str">
        <x:v>L2025-00006-1/상수도 설계 현지입찰 제반서류/Section 6 - Pledges_TZ Dodoma(Draft)/Integrity Pledge (├╗╖┼░Φ╛α╝¡).docx</x:v>
      </x:c>
      <x:c r="H1520" s="28" t="n">
        <x:v>36507</x:v>
      </x:c>
      <x:c r="I1520" s="22" t="str">
        <x:v>bbf88b1bc23c5ed931639e65f36d47df7d7fbdb8447562024b0cf9f04ec6d6b6</x:v>
      </x:c>
      <x:c r="J1520" s="22" t="n">
        <x:v>0</x:v>
      </x:c>
      <x:c r="K1520" s="22" t="n">
        <x:v>0</x:v>
      </x:c>
      <x:c r="L1520" s="22" t="n">
        <x:v>0</x:v>
      </x:c>
      <x:c r="M1520" s="28" t="n">
        <x:v>0</x:v>
      </x:c>
      <x:c r="N1520" s="28" t="n">
        <x:v>0</x:v>
      </x:c>
      <x:c r="O1520" s="28" t="n">
        <x:v>0</x:v>
      </x:c>
      <x:c r="P1520" s="62" t="n">
        <x:v>0</x:v>
      </x:c>
      <x:c r="Q1520" s="22" t="n">
        <x:v>0</x:v>
      </x:c>
      <x:c r="R1520" s="22" t="str"/>
      <x:c r="S1520" s="22" t="str"/>
      <x:c r="T1520" s="22" t="str"/>
    </x:row>
    <x:row r="1521">
      <x:c r="A1521" s="22" t="str">
        <x:v>2024-00107</x:v>
      </x:c>
      <x:c r="B1521" s="22" t="str">
        <x:v>L2025-00066-1</x:v>
      </x:c>
      <x:c r="C1521" s="22" t="str">
        <x:v>용역</x:v>
      </x:c>
      <x:c r="D1521" s="25" t="str">
        <x:v>파키스탄 펀잡주 물탄시 우수저류시설 기본 및 실시설계 수립용역 현지입찰</x:v>
      </x:c>
      <x:c r="E1521" s="22" t="n">
        <x:v>0</x:v>
      </x:c>
      <x:c r="F1521" s="22" t="str">
        <x:v>.hwp</x:v>
      </x:c>
      <x:c r="G1521" s="25" t="str">
        <x:v>L2025-00066-1/붙임1. Section 2 - 입찰공고문 (BDS)_파키스탄_물탄_설계_최종.hwp</x:v>
      </x:c>
      <x:c r="H1521" s="28" t="n">
        <x:v>78336</x:v>
      </x:c>
      <x:c r="I1521" s="22" t="str">
        <x:v>e31a2a3fe5426bf6307fd4d609fa05017d34f0fd3bb152fe90d8e7b21c86610c</x:v>
      </x:c>
      <x:c r="J1521" s="22" t="n">
        <x:v>0</x:v>
      </x:c>
      <x:c r="K1521" s="22" t="n">
        <x:v>0</x:v>
      </x:c>
      <x:c r="L1521" s="22" t="n">
        <x:v>0</x:v>
      </x:c>
      <x:c r="M1521" s="28" t="n">
        <x:v>0</x:v>
      </x:c>
      <x:c r="N1521" s="28" t="n">
        <x:v>0</x:v>
      </x:c>
      <x:c r="O1521" s="28" t="n">
        <x:v>0</x:v>
      </x:c>
      <x:c r="P1521" s="62" t="n">
        <x:v>0</x:v>
      </x:c>
      <x:c r="Q1521" s="22" t="n">
        <x:v>0</x:v>
      </x:c>
      <x:c r="R1521" s="22" t="str"/>
      <x:c r="S1521" s="22" t="str"/>
      <x:c r="T1521" s="22" t="str"/>
    </x:row>
    <x:row r="1522">
      <x:c r="A1522" s="22" t="str">
        <x:v>2024-00107</x:v>
      </x:c>
      <x:c r="B1522" s="22" t="str">
        <x:v>L2025-00066-1</x:v>
      </x:c>
      <x:c r="C1522" s="22" t="str">
        <x:v>용역</x:v>
      </x:c>
      <x:c r="D1522" s="25" t="str">
        <x:v>파키스탄 펀잡주 물탄시 우수저류시설 기본 및 실시설계 수립용역 현지입찰</x:v>
      </x:c>
      <x:c r="E1522" s="22" t="n">
        <x:v>0</x:v>
      </x:c>
      <x:c r="F1522" s="22" t="str">
        <x:v>.zip</x:v>
      </x:c>
      <x:c r="G1522" s="25" t="str">
        <x:v>L2025-00066-1/붙임2. 입찰 부속서류 일체.fin.zip</x:v>
      </x:c>
      <x:c r="H1522" s="28" t="n">
        <x:v>6227677</x:v>
      </x:c>
      <x:c r="I1522" s="22" t="str">
        <x:v>e6a74b6349b27b95b0ca097ea551b02b48e1a9ed0c485132160cb4a09ae74255</x:v>
      </x:c>
      <x:c r="J1522" s="22" t="n">
        <x:v>0</x:v>
      </x:c>
      <x:c r="K1522" s="22" t="n">
        <x:v>0</x:v>
      </x:c>
      <x:c r="L1522" s="22" t="n">
        <x:v>0</x:v>
      </x:c>
      <x:c r="M1522" s="28" t="n">
        <x:v>0</x:v>
      </x:c>
      <x:c r="N1522" s="28" t="n">
        <x:v>0</x:v>
      </x:c>
      <x:c r="O1522" s="28" t="n">
        <x:v>0</x:v>
      </x:c>
      <x:c r="P1522" s="62" t="n">
        <x:v>0</x:v>
      </x:c>
      <x:c r="Q1522" s="22" t="n">
        <x:v>0</x:v>
      </x:c>
      <x:c r="R1522" s="22" t="str"/>
      <x:c r="S1522" s="22" t="str"/>
      <x:c r="T1522" s="22" t="str"/>
    </x:row>
    <x:row r="1523">
      <x:c r="A1523" s="22" t="str">
        <x:v>2024-00107</x:v>
      </x:c>
      <x:c r="B1523" s="22" t="str">
        <x:v>L2025-00066-1</x:v>
      </x:c>
      <x:c r="C1523" s="22" t="str">
        <x:v>용역</x:v>
      </x:c>
      <x:c r="D1523" s="25" t="str">
        <x:v>파키스탄 펀잡주 물탄시 우수저류시설 기본 및 실시설계 수립용역 현지입찰</x:v>
      </x:c>
      <x:c r="E1523" s="22" t="n">
        <x:v>0</x:v>
      </x:c>
      <x:c r="F1523" s="22" t="str">
        <x:v>.docx</x:v>
      </x:c>
      <x:c r="G1523" s="25" t="str">
        <x:v>L2025-00066-1/붙임2. 입찰 부속서류 일체.fin/Section 2 - Bid Data Sheet (BDS)_ver.fin.docx</x:v>
      </x:c>
      <x:c r="H1523" s="28" t="n">
        <x:v>73838</x:v>
      </x:c>
      <x:c r="I1523" s="22" t="str">
        <x:v>107d78dd88a5340a53ecdf44dc5a42627058feb49de4800111d6c8aa1df84b0b</x:v>
      </x:c>
      <x:c r="J1523" s="22" t="n">
        <x:v>0</x:v>
      </x:c>
      <x:c r="K1523" s="22" t="n">
        <x:v>0</x:v>
      </x:c>
      <x:c r="L1523" s="22" t="n">
        <x:v>0</x:v>
      </x:c>
      <x:c r="M1523" s="28" t="n">
        <x:v>0</x:v>
      </x:c>
      <x:c r="N1523" s="28" t="n">
        <x:v>0</x:v>
      </x:c>
      <x:c r="O1523" s="28" t="n">
        <x:v>0</x:v>
      </x:c>
      <x:c r="P1523" s="62" t="n">
        <x:v>0</x:v>
      </x:c>
      <x:c r="Q1523" s="22" t="n">
        <x:v>0</x:v>
      </x:c>
      <x:c r="R1523" s="22" t="str"/>
      <x:c r="S1523" s="22" t="str"/>
      <x:c r="T1523" s="22" t="str"/>
    </x:row>
    <x:row r="1524">
      <x:c r="A1524" s="22" t="str">
        <x:v>2024-00107</x:v>
      </x:c>
      <x:c r="B1524" s="22" t="str">
        <x:v>L2025-00066-1</x:v>
      </x:c>
      <x:c r="C1524" s="22" t="str">
        <x:v>용역</x:v>
      </x:c>
      <x:c r="D1524" s="25" t="str">
        <x:v>파키스탄 펀잡주 물탄시 우수저류시설 기본 및 실시설계 수립용역 현지입찰</x:v>
      </x:c>
      <x:c r="E1524" s="22" t="n">
        <x:v>0</x:v>
      </x:c>
      <x:c r="F1524" s="22" t="str">
        <x:v>.docx</x:v>
      </x:c>
      <x:c r="G1524" s="25" t="str">
        <x:v>L2025-00066-1/붙임2. 입찰 부속서류 일체.fin/Section 1 - Instructions to Bidders (ITB).docx</x:v>
      </x:c>
      <x:c r="H1524" s="28" t="n">
        <x:v>30052</x:v>
      </x:c>
      <x:c r="I1524" s="22" t="str">
        <x:v>35c5f26cb621d34cf696a769e4fee93d79dad2bb8a60ad510c3fa97437eb4512</x:v>
      </x:c>
      <x:c r="J1524" s="22" t="n">
        <x:v>0</x:v>
      </x:c>
      <x:c r="K1524" s="22" t="n">
        <x:v>0</x:v>
      </x:c>
      <x:c r="L1524" s="22" t="n">
        <x:v>0</x:v>
      </x:c>
      <x:c r="M1524" s="28" t="n">
        <x:v>0</x:v>
      </x:c>
      <x:c r="N1524" s="28" t="n">
        <x:v>0</x:v>
      </x:c>
      <x:c r="O1524" s="28" t="n">
        <x:v>0</x:v>
      </x:c>
      <x:c r="P1524" s="62" t="n">
        <x:v>0</x:v>
      </x:c>
      <x:c r="Q1524" s="22" t="n">
        <x:v>0</x:v>
      </x:c>
      <x:c r="R1524" s="22" t="str"/>
      <x:c r="S1524" s="22" t="str"/>
      <x:c r="T1524" s="22" t="str"/>
    </x:row>
    <x:row r="1525">
      <x:c r="A1525" s="22" t="str">
        <x:v>2024-00107</x:v>
      </x:c>
      <x:c r="B1525" s="22" t="str">
        <x:v>L2025-00066-1</x:v>
      </x:c>
      <x:c r="C1525" s="22" t="str">
        <x:v>용역</x:v>
      </x:c>
      <x:c r="D1525" s="25" t="str">
        <x:v>파키스탄 펀잡주 물탄시 우수저류시설 기본 및 실시설계 수립용역 현지입찰</x:v>
      </x:c>
      <x:c r="E1525" s="22" t="n">
        <x:v>0</x:v>
      </x:c>
      <x:c r="F1525" s="22" t="str">
        <x:v>.docx</x:v>
      </x:c>
      <x:c r="G1525" s="25" t="str">
        <x:v>L2025-00066-1/붙임2. 입찰 부속서류 일체.fin/Section 9 - Contract Forms.docx</x:v>
      </x:c>
      <x:c r="H1525" s="28" t="n">
        <x:v>23396</x:v>
      </x:c>
      <x:c r="I1525" s="22" t="str">
        <x:v>88d777c212f3c27f0d0943e4db47e47166a058e6ae53989b07ae235f3ecb073e</x:v>
      </x:c>
      <x:c r="J1525" s="22" t="n">
        <x:v>0</x:v>
      </x:c>
      <x:c r="K1525" s="22" t="n">
        <x:v>0</x:v>
      </x:c>
      <x:c r="L1525" s="22" t="n">
        <x:v>0</x:v>
      </x:c>
      <x:c r="M1525" s="28" t="n">
        <x:v>0</x:v>
      </x:c>
      <x:c r="N1525" s="28" t="n">
        <x:v>0</x:v>
      </x:c>
      <x:c r="O1525" s="28" t="n">
        <x:v>0</x:v>
      </x:c>
      <x:c r="P1525" s="62" t="n">
        <x:v>0</x:v>
      </x:c>
      <x:c r="Q1525" s="22" t="n">
        <x:v>0</x:v>
      </x:c>
      <x:c r="R1525" s="22" t="str"/>
      <x:c r="S1525" s="22" t="str"/>
      <x:c r="T1525" s="22" t="str"/>
    </x:row>
    <x:row r="1526">
      <x:c r="A1526" s="22" t="str">
        <x:v>2024-00107</x:v>
      </x:c>
      <x:c r="B1526" s="22" t="str">
        <x:v>L2025-00066-1</x:v>
      </x:c>
      <x:c r="C1526" s="22" t="str">
        <x:v>용역</x:v>
      </x:c>
      <x:c r="D1526" s="25" t="str">
        <x:v>파키스탄 펀잡주 물탄시 우수저류시설 기본 및 실시설계 수립용역 현지입찰</x:v>
      </x:c>
      <x:c r="E1526" s="22" t="n">
        <x:v>0</x:v>
      </x:c>
      <x:c r="F1526" s="22" t="str">
        <x:v>.docx</x:v>
      </x:c>
      <x:c r="G1526" s="25" t="str">
        <x:v>L2025-00066-1/붙임2. 입찰 부속서류 일체.fin/Section 7 - General Conditions of Contract.docx</x:v>
      </x:c>
      <x:c r="H1526" s="28" t="n">
        <x:v>35376</x:v>
      </x:c>
      <x:c r="I1526" s="22" t="str">
        <x:v>bce589c829dd003530e9943dbeb3d311678c5326af555a6ad4db1d5deefee22a</x:v>
      </x:c>
      <x:c r="J1526" s="22" t="n">
        <x:v>0</x:v>
      </x:c>
      <x:c r="K1526" s="22" t="n">
        <x:v>0</x:v>
      </x:c>
      <x:c r="L1526" s="22" t="n">
        <x:v>0</x:v>
      </x:c>
      <x:c r="M1526" s="28" t="n">
        <x:v>0</x:v>
      </x:c>
      <x:c r="N1526" s="28" t="n">
        <x:v>0</x:v>
      </x:c>
      <x:c r="O1526" s="28" t="n">
        <x:v>0</x:v>
      </x:c>
      <x:c r="P1526" s="62" t="n">
        <x:v>0</x:v>
      </x:c>
      <x:c r="Q1526" s="22" t="n">
        <x:v>0</x:v>
      </x:c>
      <x:c r="R1526" s="22" t="str"/>
      <x:c r="S1526" s="22" t="str"/>
      <x:c r="T1526" s="22" t="str"/>
    </x:row>
    <x:row r="1527">
      <x:c r="A1527" s="22" t="str">
        <x:v>2024-00107</x:v>
      </x:c>
      <x:c r="B1527" s="22" t="str">
        <x:v>L2025-00066-1</x:v>
      </x:c>
      <x:c r="C1527" s="22" t="str">
        <x:v>용역</x:v>
      </x:c>
      <x:c r="D1527" s="25" t="str">
        <x:v>파키스탄 펀잡주 물탄시 우수저류시설 기본 및 실시설계 수립용역 현지입찰</x:v>
      </x:c>
      <x:c r="E1527" s="22" t="n">
        <x:v>0</x:v>
      </x:c>
      <x:c r="F1527" s="22" t="str">
        <x:v>.zip</x:v>
      </x:c>
      <x:c r="G1527" s="25" t="str">
        <x:v>L2025-00066-1/붙임2. 입찰 부속서류 일체.fin/Section 6 - Reference Documents.zip</x:v>
      </x:c>
      <x:c r="H1527" s="28" t="n">
        <x:v>1284043</x:v>
      </x:c>
      <x:c r="I1527" s="22" t="str">
        <x:v>c2f708245b3f9e558535b7055c979407e2cf9daac6cbc628141d5b0158609afa</x:v>
      </x:c>
      <x:c r="J1527" s="22" t="n">
        <x:v>0</x:v>
      </x:c>
      <x:c r="K1527" s="22" t="n">
        <x:v>0</x:v>
      </x:c>
      <x:c r="L1527" s="22" t="n">
        <x:v>0</x:v>
      </x:c>
      <x:c r="M1527" s="28" t="n">
        <x:v>0</x:v>
      </x:c>
      <x:c r="N1527" s="28" t="n">
        <x:v>0</x:v>
      </x:c>
      <x:c r="O1527" s="28" t="n">
        <x:v>0</x:v>
      </x:c>
      <x:c r="P1527" s="62" t="n">
        <x:v>0</x:v>
      </x:c>
      <x:c r="Q1527" s="22" t="n">
        <x:v>0</x:v>
      </x:c>
      <x:c r="R1527" s="22" t="str"/>
      <x:c r="S1527" s="22" t="str"/>
      <x:c r="T1527" s="22" t="str"/>
    </x:row>
    <x:row r="1528">
      <x:c r="A1528" s="22" t="str">
        <x:v>2024-00107</x:v>
      </x:c>
      <x:c r="B1528" s="22" t="str">
        <x:v>L2025-00066-1</x:v>
      </x:c>
      <x:c r="C1528" s="22" t="str">
        <x:v>용역</x:v>
      </x:c>
      <x:c r="D1528" s="25" t="str">
        <x:v>파키스탄 펀잡주 물탄시 우수저류시설 기본 및 실시설계 수립용역 현지입찰</x:v>
      </x:c>
      <x:c r="E1528" s="22" t="n">
        <x:v>0</x:v>
      </x:c>
      <x:c r="F1528" s="22" t="str">
        <x:v>.docx</x:v>
      </x:c>
      <x:c r="G1528" s="25" t="str">
        <x:v>L2025-00066-1/붙임2. 입찰 부속서류 일체.fin/Section 3 - Bidding Forms.docx</x:v>
      </x:c>
      <x:c r="H1528" s="28" t="n">
        <x:v>82849</x:v>
      </x:c>
      <x:c r="I1528" s="22" t="str">
        <x:v>c46b55007e29db607635699b2f583430fdf6da6458d5a7bf86f7bf8a4aef008e</x:v>
      </x:c>
      <x:c r="J1528" s="22" t="n">
        <x:v>0</x:v>
      </x:c>
      <x:c r="K1528" s="22" t="n">
        <x:v>0</x:v>
      </x:c>
      <x:c r="L1528" s="22" t="n">
        <x:v>0</x:v>
      </x:c>
      <x:c r="M1528" s="28" t="n">
        <x:v>0</x:v>
      </x:c>
      <x:c r="N1528" s="28" t="n">
        <x:v>0</x:v>
      </x:c>
      <x:c r="O1528" s="28" t="n">
        <x:v>0</x:v>
      </x:c>
      <x:c r="P1528" s="62" t="n">
        <x:v>0</x:v>
      </x:c>
      <x:c r="Q1528" s="22" t="n">
        <x:v>0</x:v>
      </x:c>
      <x:c r="R1528" s="22" t="str"/>
      <x:c r="S1528" s="22" t="str"/>
      <x:c r="T1528" s="22" t="str"/>
    </x:row>
    <x:row r="1529">
      <x:c r="A1529" s="22" t="str">
        <x:v>2024-00107</x:v>
      </x:c>
      <x:c r="B1529" s="22" t="str">
        <x:v>L2025-00066-1</x:v>
      </x:c>
      <x:c r="C1529" s="22" t="str">
        <x:v>용역</x:v>
      </x:c>
      <x:c r="D1529" s="25" t="str">
        <x:v>파키스탄 펀잡주 물탄시 우수저류시설 기본 및 실시설계 수립용역 현지입찰</x:v>
      </x:c>
      <x:c r="E1529" s="22" t="n">
        <x:v>0</x:v>
      </x:c>
      <x:c r="F1529" s="22" t="str">
        <x:v>.docx</x:v>
      </x:c>
      <x:c r="G1529" s="25" t="str">
        <x:v>L2025-00066-1/붙임2. 입찰 부속서류 일체.fin/Section 8 - Special Conditions of Contract.docx</x:v>
      </x:c>
      <x:c r="H1529" s="28" t="n">
        <x:v>23821</x:v>
      </x:c>
      <x:c r="I1529" s="22" t="str">
        <x:v>25384831581cca35e25ff8636857ef56c7f9673dabbc8514cedd1ecb49276741</x:v>
      </x:c>
      <x:c r="J1529" s="22" t="n">
        <x:v>0</x:v>
      </x:c>
      <x:c r="K1529" s="22" t="n">
        <x:v>0</x:v>
      </x:c>
      <x:c r="L1529" s="22" t="n">
        <x:v>0</x:v>
      </x:c>
      <x:c r="M1529" s="28" t="n">
        <x:v>0</x:v>
      </x:c>
      <x:c r="N1529" s="28" t="n">
        <x:v>0</x:v>
      </x:c>
      <x:c r="O1529" s="28" t="n">
        <x:v>0</x:v>
      </x:c>
      <x:c r="P1529" s="62" t="n">
        <x:v>0</x:v>
      </x:c>
      <x:c r="Q1529" s="22" t="n">
        <x:v>0</x:v>
      </x:c>
      <x:c r="R1529" s="22" t="str"/>
      <x:c r="S1529" s="22" t="str"/>
      <x:c r="T1529" s="22" t="str"/>
    </x:row>
    <x:row r="1530">
      <x:c r="A1530" s="22" t="str">
        <x:v>2024-00107</x:v>
      </x:c>
      <x:c r="B1530" s="22" t="str">
        <x:v>L2025-00066-1</x:v>
      </x:c>
      <x:c r="C1530" s="22" t="str">
        <x:v>용역</x:v>
      </x:c>
      <x:c r="D1530" s="25" t="str">
        <x:v>파키스탄 펀잡주 물탄시 우수저류시설 기본 및 실시설계 수립용역 현지입찰</x:v>
      </x:c>
      <x:c r="E1530" s="22" t="n">
        <x:v>0</x:v>
      </x:c>
      <x:c r="F1530" s="22" t="str">
        <x:v>.docx</x:v>
      </x:c>
      <x:c r="G1530" s="25" t="str">
        <x:v>L2025-00066-1/붙임2. 입찰 부속서류 일체.fin/Section 5 - Terms of reference.docx</x:v>
      </x:c>
      <x:c r="H1530" s="28" t="n">
        <x:v>4648656</x:v>
      </x:c>
      <x:c r="I1530" s="22" t="str">
        <x:v>4b2a072b6addf961bf9a58c4c6c817a92dfb89604c8aac506a91ec6a68cda0ce</x:v>
      </x:c>
      <x:c r="J1530" s="22" t="n">
        <x:v>0</x:v>
      </x:c>
      <x:c r="K1530" s="22" t="n">
        <x:v>0</x:v>
      </x:c>
      <x:c r="L1530" s="22" t="n">
        <x:v>0</x:v>
      </x:c>
      <x:c r="M1530" s="28" t="n">
        <x:v>0</x:v>
      </x:c>
      <x:c r="N1530" s="28" t="n">
        <x:v>0</x:v>
      </x:c>
      <x:c r="O1530" s="28" t="n">
        <x:v>0</x:v>
      </x:c>
      <x:c r="P1530" s="62" t="n">
        <x:v>0</x:v>
      </x:c>
      <x:c r="Q1530" s="22" t="n">
        <x:v>0</x:v>
      </x:c>
      <x:c r="R1530" s="22" t="str"/>
      <x:c r="S1530" s="22" t="str"/>
      <x:c r="T1530" s="22" t="str"/>
    </x:row>
    <x:row r="1531">
      <x:c r="A1531" s="22" t="str">
        <x:v>2024-00107</x:v>
      </x:c>
      <x:c r="B1531" s="22" t="str">
        <x:v>L2025-00066-1</x:v>
      </x:c>
      <x:c r="C1531" s="22" t="str">
        <x:v>용역</x:v>
      </x:c>
      <x:c r="D1531" s="25" t="str">
        <x:v>파키스탄 펀잡주 물탄시 우수저류시설 기본 및 실시설계 수립용역 현지입찰</x:v>
      </x:c>
      <x:c r="E1531" s="22" t="n">
        <x:v>0</x:v>
      </x:c>
      <x:c r="F1531" s="22" t="str">
        <x:v>.docx</x:v>
      </x:c>
      <x:c r="G1531" s="25" t="str">
        <x:v>L2025-00066-1/붙임2. 입찰 부속서류 일체.fin/Section 4 - Request for Proposal (RFP).docx</x:v>
      </x:c>
      <x:c r="H1531" s="28" t="n">
        <x:v>52037</x:v>
      </x:c>
      <x:c r="I1531" s="22" t="str">
        <x:v>a29e8e5c7a353968fee7bd372921e039e1a15175874b6c119c92277da4b2aeef</x:v>
      </x:c>
      <x:c r="J1531" s="22" t="n">
        <x:v>0</x:v>
      </x:c>
      <x:c r="K1531" s="22" t="n">
        <x:v>0</x:v>
      </x:c>
      <x:c r="L1531" s="22" t="n">
        <x:v>0</x:v>
      </x:c>
      <x:c r="M1531" s="28" t="n">
        <x:v>0</x:v>
      </x:c>
      <x:c r="N1531" s="28" t="n">
        <x:v>0</x:v>
      </x:c>
      <x:c r="O1531" s="28" t="n">
        <x:v>0</x:v>
      </x:c>
      <x:c r="P1531" s="62" t="n">
        <x:v>0</x:v>
      </x:c>
      <x:c r="Q1531" s="22" t="n">
        <x:v>0</x:v>
      </x:c>
      <x:c r="R1531" s="22" t="str"/>
      <x:c r="S1531" s="22" t="str"/>
      <x:c r="T1531" s="22" t="str"/>
    </x:row>
    <x:row r="1532">
      <x:c r="A1532" s="22" t="str">
        <x:v>2024-00107</x:v>
      </x:c>
      <x:c r="B1532" s="22" t="str">
        <x:v>L2025-00066-1</x:v>
      </x:c>
      <x:c r="C1532" s="22" t="str">
        <x:v>용역</x:v>
      </x:c>
      <x:c r="D1532" s="25" t="str">
        <x:v>파키스탄 펀잡주 물탄시 우수저류시설 기본 및 실시설계 수립용역 현지입찰</x:v>
      </x:c>
      <x:c r="E1532" s="22" t="n">
        <x:v>0</x:v>
      </x:c>
      <x:c r="F1532" s="22" t="str">
        <x:v>.pdf</x:v>
      </x:c>
      <x:c r="G1532" s="25" t="str">
        <x:v>L2025-00066-1/붙임2. 입찰 부속서류 일체.fin/Section 6 - Reference Documents/Section 6 - Reference Documents/3. Regulations for Procurement and Contract in Grant Aid Projects(대외무상협력사업에 관한 조달 및 계약규정)_2019.05.20.pdf</x:v>
      </x:c>
      <x:c r="H1532" s="28" t="n">
        <x:v>157627</x:v>
      </x:c>
      <x:c r="I1532" s="22" t="str">
        <x:v>bcc6062e083bacf0c4b014b08f7566dde8d7c56ad7f791e30c25a04e71aee5ec</x:v>
      </x:c>
      <x:c r="J1532" s="22" t="n">
        <x:v>0</x:v>
      </x:c>
      <x:c r="K1532" s="22" t="n">
        <x:v>0</x:v>
      </x:c>
      <x:c r="L1532" s="22" t="n">
        <x:v>0</x:v>
      </x:c>
      <x:c r="M1532" s="28" t="n">
        <x:v>0</x:v>
      </x:c>
      <x:c r="N1532" s="28" t="n">
        <x:v>0</x:v>
      </x:c>
      <x:c r="O1532" s="28" t="n">
        <x:v>0</x:v>
      </x:c>
      <x:c r="P1532" s="62" t="n">
        <x:v>0</x:v>
      </x:c>
      <x:c r="Q1532" s="22" t="n">
        <x:v>0</x:v>
      </x:c>
      <x:c r="R1532" s="22" t="str"/>
      <x:c r="S1532" s="22" t="str"/>
      <x:c r="T1532" s="22" t="str"/>
    </x:row>
    <x:row r="1533">
      <x:c r="A1533" s="22" t="str">
        <x:v>2024-00107</x:v>
      </x:c>
      <x:c r="B1533" s="22" t="str">
        <x:v>L2025-00066-1</x:v>
      </x:c>
      <x:c r="C1533" s="22" t="str">
        <x:v>용역</x:v>
      </x:c>
      <x:c r="D1533" s="25" t="str">
        <x:v>파키스탄 펀잡주 물탄시 우수저류시설 기본 및 실시설계 수립용역 현지입찰</x:v>
      </x:c>
      <x:c r="E1533" s="22" t="n">
        <x:v>0</x:v>
      </x:c>
      <x:c r="F1533" s="22" t="str">
        <x:v>.pdf</x:v>
      </x:c>
      <x:c r="G1533" s="25" t="str">
        <x:v>L2025-00066-1/붙임2. 입찰 부속서류 일체.fin/Section 6 - Reference Documents/Section 6 - Reference Documents/4. Detailed Enforcement Rules of the Regulations for Procurement and Contract in Grant Aid Projects(대외무상협력사업에 관한 조달 및 계약규정 시.pdf</x:v>
      </x:c>
      <x:c r="H1533" s="28" t="n">
        <x:v>554876</x:v>
      </x:c>
      <x:c r="I1533" s="22" t="str">
        <x:v>23f11f2154d32db6e78fbfdafb1f52aeba37778e2dd3b78a197b4ea4c2d44892</x:v>
      </x:c>
      <x:c r="J1533" s="22" t="n">
        <x:v>0</x:v>
      </x:c>
      <x:c r="K1533" s="22" t="n">
        <x:v>0</x:v>
      </x:c>
      <x:c r="L1533" s="22" t="n">
        <x:v>0</x:v>
      </x:c>
      <x:c r="M1533" s="28" t="n">
        <x:v>0</x:v>
      </x:c>
      <x:c r="N1533" s="28" t="n">
        <x:v>0</x:v>
      </x:c>
      <x:c r="O1533" s="28" t="n">
        <x:v>0</x:v>
      </x:c>
      <x:c r="P1533" s="62" t="n">
        <x:v>0</x:v>
      </x:c>
      <x:c r="Q1533" s="22" t="n">
        <x:v>0</x:v>
      </x:c>
      <x:c r="R1533" s="22" t="str"/>
      <x:c r="S1533" s="22" t="str"/>
      <x:c r="T1533" s="22" t="str"/>
    </x:row>
    <x:row r="1534">
      <x:c r="A1534" s="22" t="str">
        <x:v>2024-00107</x:v>
      </x:c>
      <x:c r="B1534" s="22" t="str">
        <x:v>L2025-00066-1</x:v>
      </x:c>
      <x:c r="C1534" s="22" t="str">
        <x:v>용역</x:v>
      </x:c>
      <x:c r="D1534" s="25" t="str">
        <x:v>파키스탄 펀잡주 물탄시 우수저류시설 기본 및 실시설계 수립용역 현지입찰</x:v>
      </x:c>
      <x:c r="E1534" s="22" t="n">
        <x:v>0</x:v>
      </x:c>
      <x:c r="F1534" s="22" t="str">
        <x:v>.pdf</x:v>
      </x:c>
      <x:c r="G1534" s="25" t="str">
        <x:v>L2025-00066-1/붙임2. 입찰 부속서류 일체.fin/Section 6 - Reference Documents/Section 6 - Reference Documents/5. Guidelines for Technical Evaluation(기술평가지침)_2021.04.08.pdf</x:v>
      </x:c>
      <x:c r="H1534" s="28" t="n">
        <x:v>416852</x:v>
      </x:c>
      <x:c r="I1534" s="22" t="str">
        <x:v>5f61aa2d6d0a5a8e5112eb2bfc3afc5f9a4e31a1328154452eb19e5484072dd0</x:v>
      </x:c>
      <x:c r="J1534" s="22" t="n">
        <x:v>0</x:v>
      </x:c>
      <x:c r="K1534" s="22" t="n">
        <x:v>0</x:v>
      </x:c>
      <x:c r="L1534" s="22" t="n">
        <x:v>0</x:v>
      </x:c>
      <x:c r="M1534" s="28" t="n">
        <x:v>0</x:v>
      </x:c>
      <x:c r="N1534" s="28" t="n">
        <x:v>0</x:v>
      </x:c>
      <x:c r="O1534" s="28" t="n">
        <x:v>0</x:v>
      </x:c>
      <x:c r="P1534" s="62" t="n">
        <x:v>0</x:v>
      </x:c>
      <x:c r="Q1534" s="22" t="n">
        <x:v>0</x:v>
      </x:c>
      <x:c r="R1534" s="22" t="str"/>
      <x:c r="S1534" s="22" t="str"/>
      <x:c r="T1534" s="22" t="str"/>
    </x:row>
    <x:row r="1535">
      <x:c r="A1535" s="22" t="str">
        <x:v>2024-00107</x:v>
      </x:c>
      <x:c r="B1535" s="22" t="str">
        <x:v>L2025-00066-1</x:v>
      </x:c>
      <x:c r="C1535" s="22" t="str">
        <x:v>용역</x:v>
      </x:c>
      <x:c r="D1535" s="25" t="str">
        <x:v>파키스탄 펀잡주 물탄시 우수저류시설 기본 및 실시설계 수립용역 현지입찰</x:v>
      </x:c>
      <x:c r="E1535" s="22" t="n">
        <x:v>0</x:v>
      </x:c>
      <x:c r="F1535" s="22" t="str">
        <x:v>.pdf</x:v>
      </x:c>
      <x:c r="G1535" s="25" t="str">
        <x:v>L2025-00066-1/붙임2. 입찰 부속서류 일체.fin/Section 6 - Reference Documents/Section 6 - Reference Documents/1. KOICA REGULATIONS FOR INTERNATIONAL PROCUREMENT(국제조달규정)_2025.02.25.pdf</x:v>
      </x:c>
      <x:c r="H1535" s="28" t="n">
        <x:v>187697</x:v>
      </x:c>
      <x:c r="I1535" s="22" t="str">
        <x:v>48535a082d8a3ea93bedde5b85bafce55e1e4b1c5a0d7b9db790ee0e8be7e14f</x:v>
      </x:c>
      <x:c r="J1535" s="22" t="n">
        <x:v>0</x:v>
      </x:c>
      <x:c r="K1535" s="22" t="n">
        <x:v>0</x:v>
      </x:c>
      <x:c r="L1535" s="22" t="n">
        <x:v>0</x:v>
      </x:c>
      <x:c r="M1535" s="28" t="n">
        <x:v>0</x:v>
      </x:c>
      <x:c r="N1535" s="28" t="n">
        <x:v>0</x:v>
      </x:c>
      <x:c r="O1535" s="28" t="n">
        <x:v>0</x:v>
      </x:c>
      <x:c r="P1535" s="62" t="n">
        <x:v>0</x:v>
      </x:c>
      <x:c r="Q1535" s="22" t="n">
        <x:v>0</x:v>
      </x:c>
      <x:c r="R1535" s="22" t="str"/>
      <x:c r="S1535" s="22" t="str"/>
      <x:c r="T1535" s="22" t="str"/>
    </x:row>
    <x:row r="1536">
      <x:c r="A1536" s="22" t="str">
        <x:v>2024-00107</x:v>
      </x:c>
      <x:c r="B1536" s="22" t="str">
        <x:v>L2025-00066-1</x:v>
      </x:c>
      <x:c r="C1536" s="22" t="str">
        <x:v>용역</x:v>
      </x:c>
      <x:c r="D1536" s="25" t="str">
        <x:v>파키스탄 펀잡주 물탄시 우수저류시설 기본 및 실시설계 수립용역 현지입찰</x:v>
      </x:c>
      <x:c r="E1536" s="22" t="n">
        <x:v>0</x:v>
      </x:c>
      <x:c r="F1536" s="22" t="str">
        <x:v>.pdf</x:v>
      </x:c>
      <x:c r="G1536" s="25" t="str">
        <x:v>L2025-00066-1/붙임2. 입찰 부속서류 일체.fin/Section 6 - Reference Documents/Section 6 - Reference Documents/2. INSTRUCTIONS TO BIDDERS(SERVICES)(국제용역입찰유의서)_2025.02.25.pdf</x:v>
      </x:c>
      <x:c r="H1536" s="28" t="n">
        <x:v>139966</x:v>
      </x:c>
      <x:c r="I1536" s="22" t="str">
        <x:v>40e574ac857b12308fb4e50ddb7079a1cb113e2ecc89bd51fb9461e757b0ea0e</x:v>
      </x:c>
      <x:c r="J1536" s="22" t="n">
        <x:v>0</x:v>
      </x:c>
      <x:c r="K1536" s="22" t="n">
        <x:v>0</x:v>
      </x:c>
      <x:c r="L1536" s="22" t="n">
        <x:v>0</x:v>
      </x:c>
      <x:c r="M1536" s="28" t="n">
        <x:v>0</x:v>
      </x:c>
      <x:c r="N1536" s="28" t="n">
        <x:v>0</x:v>
      </x:c>
      <x:c r="O1536" s="28" t="n">
        <x:v>0</x:v>
      </x:c>
      <x:c r="P1536" s="62" t="n">
        <x:v>0</x:v>
      </x:c>
      <x:c r="Q1536" s="22" t="n">
        <x:v>0</x:v>
      </x:c>
      <x:c r="R1536" s="22" t="str"/>
      <x:c r="S1536" s="22" t="str"/>
      <x:c r="T1536" s="22" t="str"/>
    </x:row>
    <x:row r="1537">
      <x:c r="A1537" s="22" t="str">
        <x:v>2022-00076</x:v>
      </x:c>
      <x:c r="B1537" s="22" t="str">
        <x:v>L2023-00038-1</x:v>
      </x:c>
      <x:c r="C1537" s="22" t="str">
        <x:v>용역</x:v>
      </x:c>
      <x:c r="D1537" s="25" t="str">
        <x:v>피지 국립재활센터 건립사업 설계 및 감리용역 현지입찰계획</x:v>
      </x:c>
      <x:c r="E1537" s="22" t="n">
        <x:v>0</x:v>
      </x:c>
      <x:c r="F1537" s="22" t="str">
        <x:v>.zip</x:v>
      </x:c>
      <x:c r="G1537" s="25" t="str">
        <x:v>L2023-00038-1/2. 현지입찰 첨부문서 묶음.zip</x:v>
      </x:c>
      <x:c r="H1537" s="28" t="n">
        <x:v>1376906</x:v>
      </x:c>
      <x:c r="I1537" s="22" t="str">
        <x:v>7d7709d18af5a38ad9bbb045cde3e34cc548e2777421eac5557b55c3c40aa9cd</x:v>
      </x:c>
      <x:c r="J1537" s="22" t="n">
        <x:v>0</x:v>
      </x:c>
      <x:c r="K1537" s="22" t="n">
        <x:v>0</x:v>
      </x:c>
      <x:c r="L1537" s="22" t="n">
        <x:v>0</x:v>
      </x:c>
      <x:c r="M1537" s="28" t="n">
        <x:v>0</x:v>
      </x:c>
      <x:c r="N1537" s="28" t="n">
        <x:v>0</x:v>
      </x:c>
      <x:c r="O1537" s="28" t="n">
        <x:v>0</x:v>
      </x:c>
      <x:c r="P1537" s="62" t="n">
        <x:v>0</x:v>
      </x:c>
      <x:c r="Q1537" s="22" t="n">
        <x:v>0</x:v>
      </x:c>
      <x:c r="R1537" s="22" t="str"/>
      <x:c r="S1537" s="22" t="str"/>
      <x:c r="T1537" s="22" t="str"/>
    </x:row>
    <x:row r="1538">
      <x:c r="A1538" s="22" t="str">
        <x:v>2022-00076</x:v>
      </x:c>
      <x:c r="B1538" s="22" t="str">
        <x:v>L2023-00038-1</x:v>
      </x:c>
      <x:c r="C1538" s="22" t="str">
        <x:v>용역</x:v>
      </x:c>
      <x:c r="D1538" s="25" t="str">
        <x:v>피지 국립재활센터 건립사업 설계 및 감리용역 현지입찰계획</x:v>
      </x:c>
      <x:c r="E1538" s="22" t="n">
        <x:v>0</x:v>
      </x:c>
      <x:c r="F1538" s="22" t="str">
        <x:v>.hwp</x:v>
      </x:c>
      <x:c r="G1538" s="25" t="str">
        <x:v>L2023-00038-1/1. 입찰계획서(피지국립재활센터 건립사업 설계 및 감리 용역)-김우영-230713.hwp</x:v>
      </x:c>
      <x:c r="H1538" s="28" t="n">
        <x:v>120320</x:v>
      </x:c>
      <x:c r="I1538" s="22" t="str">
        <x:v>04167cb6664b62c6f899bc464177b9ec9ba5b791b83591988eb9db5ab108ea1c</x:v>
      </x:c>
      <x:c r="J1538" s="22" t="n">
        <x:v>0</x:v>
      </x:c>
      <x:c r="K1538" s="22" t="n">
        <x:v>0</x:v>
      </x:c>
      <x:c r="L1538" s="22" t="n">
        <x:v>0</x:v>
      </x:c>
      <x:c r="M1538" s="28" t="n">
        <x:v>0</x:v>
      </x:c>
      <x:c r="N1538" s="28" t="n">
        <x:v>0</x:v>
      </x:c>
      <x:c r="O1538" s="28" t="n">
        <x:v>0</x:v>
      </x:c>
      <x:c r="P1538" s="62" t="n">
        <x:v>0</x:v>
      </x:c>
      <x:c r="Q1538" s="22" t="n">
        <x:v>0</x:v>
      </x:c>
      <x:c r="R1538" s="22" t="str"/>
      <x:c r="S1538" s="22" t="str"/>
      <x:c r="T1538" s="22" t="str"/>
    </x:row>
    <x:row r="1539">
      <x:c r="A1539" s="22" t="str">
        <x:v>2022-00076</x:v>
      </x:c>
      <x:c r="B1539" s="22" t="str">
        <x:v>L2023-00038-1</x:v>
      </x:c>
      <x:c r="C1539" s="22" t="str">
        <x:v>용역</x:v>
      </x:c>
      <x:c r="D1539" s="25" t="str">
        <x:v>피지 국립재활센터 건립사업 설계 및 감리용역 현지입찰계획</x:v>
      </x:c>
      <x:c r="E1539" s="22" t="n">
        <x:v>0</x:v>
      </x:c>
      <x:c r="F1539" s="22" t="str">
        <x:v>.rtf</x:v>
      </x:c>
      <x:c r="G1539" s="25" t="str">
        <x:v>L2023-00038-1/2. 현지입찰 첨부문서 묶음/02_Chapter_2._Conditions_of_Contract.rtf</x:v>
      </x:c>
      <x:c r="H1539" s="28" t="n">
        <x:v>219151</x:v>
      </x:c>
      <x:c r="I1539" s="22" t="str">
        <x:v>1f12b81098fded704c83d41e0bab42bf64556dc084f5654ffb816697893c8e9b</x:v>
      </x:c>
      <x:c r="J1539" s="22" t="n">
        <x:v>0</x:v>
      </x:c>
      <x:c r="K1539" s="22" t="n">
        <x:v>0</x:v>
      </x:c>
      <x:c r="L1539" s="22" t="n">
        <x:v>0</x:v>
      </x:c>
      <x:c r="M1539" s="28" t="n">
        <x:v>0</x:v>
      </x:c>
      <x:c r="N1539" s="28" t="n">
        <x:v>0</x:v>
      </x:c>
      <x:c r="O1539" s="28" t="n">
        <x:v>0</x:v>
      </x:c>
      <x:c r="P1539" s="62" t="n">
        <x:v>0</x:v>
      </x:c>
      <x:c r="Q1539" s="22" t="n">
        <x:v>0</x:v>
      </x:c>
      <x:c r="R1539" s="22" t="str"/>
      <x:c r="S1539" s="22" t="str"/>
      <x:c r="T1539" s="22" t="str"/>
    </x:row>
    <x:row r="1540">
      <x:c r="A1540" s="22" t="str">
        <x:v>2022-00076</x:v>
      </x:c>
      <x:c r="B1540" s="22" t="str">
        <x:v>L2023-00038-1</x:v>
      </x:c>
      <x:c r="C1540" s="22" t="str">
        <x:v>용역</x:v>
      </x:c>
      <x:c r="D1540" s="25" t="str">
        <x:v>피지 국립재활센터 건립사업 설계 및 감리용역 현지입찰계획</x:v>
      </x:c>
      <x:c r="E1540" s="22" t="n">
        <x:v>0</x:v>
      </x:c>
      <x:c r="F1540" s="22" t="str">
        <x:v>.docx</x:v>
      </x:c>
      <x:c r="G1540" s="25" t="str">
        <x:v>L2023-00038-1/2. 현지입찰 첨부문서 묶음/Attachment_4_Bid Evaluation Criteria and Measurement.docx</x:v>
      </x:c>
      <x:c r="H1540" s="28" t="n">
        <x:v>31469</x:v>
      </x:c>
      <x:c r="I1540" s="22" t="str">
        <x:v>ebe1dfaaa6495051024e9f09fc8720791c260c18b839e207a22ecd5aec8867a5</x:v>
      </x:c>
      <x:c r="J1540" s="22" t="n">
        <x:v>0</x:v>
      </x:c>
      <x:c r="K1540" s="22" t="n">
        <x:v>0</x:v>
      </x:c>
      <x:c r="L1540" s="22" t="n">
        <x:v>0</x:v>
      </x:c>
      <x:c r="M1540" s="28" t="n">
        <x:v>0</x:v>
      </x:c>
      <x:c r="N1540" s="28" t="n">
        <x:v>0</x:v>
      </x:c>
      <x:c r="O1540" s="28" t="n">
        <x:v>0</x:v>
      </x:c>
      <x:c r="P1540" s="62" t="n">
        <x:v>0</x:v>
      </x:c>
      <x:c r="Q1540" s="22" t="n">
        <x:v>0</x:v>
      </x:c>
      <x:c r="R1540" s="22" t="str"/>
      <x:c r="S1540" s="22" t="str"/>
      <x:c r="T1540" s="22" t="str"/>
    </x:row>
    <x:row r="1541">
      <x:c r="A1541" s="22" t="str">
        <x:v>2022-00076</x:v>
      </x:c>
      <x:c r="B1541" s="22" t="str">
        <x:v>L2023-00038-1</x:v>
      </x:c>
      <x:c r="C1541" s="22" t="str">
        <x:v>용역</x:v>
      </x:c>
      <x:c r="D1541" s="25" t="str">
        <x:v>피지 국립재활센터 건립사업 설계 및 감리용역 현지입찰계획</x:v>
      </x:c>
      <x:c r="E1541" s="22" t="n">
        <x:v>0</x:v>
      </x:c>
      <x:c r="F1541" s="22" t="str">
        <x:v>.docx</x:v>
      </x:c>
      <x:c r="G1541" s="25" t="str">
        <x:v>L2023-00038-1/2. 현지입찰 첨부문서 묶음/Attachment_6. Integrity Pledge Sheet.docx</x:v>
      </x:c>
      <x:c r="H1541" s="28" t="n">
        <x:v>35927</x:v>
      </x:c>
      <x:c r="I1541" s="22" t="str">
        <x:v>868123e7ba20ab6396797a8bf8319d6009df6ef756849c865d4fc36152b89d3e</x:v>
      </x:c>
      <x:c r="J1541" s="22" t="n">
        <x:v>0</x:v>
      </x:c>
      <x:c r="K1541" s="22" t="n">
        <x:v>0</x:v>
      </x:c>
      <x:c r="L1541" s="22" t="n">
        <x:v>0</x:v>
      </x:c>
      <x:c r="M1541" s="28" t="n">
        <x:v>0</x:v>
      </x:c>
      <x:c r="N1541" s="28" t="n">
        <x:v>0</x:v>
      </x:c>
      <x:c r="O1541" s="28" t="n">
        <x:v>0</x:v>
      </x:c>
      <x:c r="P1541" s="62" t="n">
        <x:v>0</x:v>
      </x:c>
      <x:c r="Q1541" s="22" t="n">
        <x:v>0</x:v>
      </x:c>
      <x:c r="R1541" s="22" t="str"/>
      <x:c r="S1541" s="22" t="str"/>
      <x:c r="T1541" s="22" t="str"/>
    </x:row>
    <x:row r="1542">
      <x:c r="A1542" s="22" t="str">
        <x:v>2022-00076</x:v>
      </x:c>
      <x:c r="B1542" s="22" t="str">
        <x:v>L2023-00038-1</x:v>
      </x:c>
      <x:c r="C1542" s="22" t="str">
        <x:v>용역</x:v>
      </x:c>
      <x:c r="D1542" s="25" t="str">
        <x:v>피지 국립재활센터 건립사업 설계 및 감리용역 현지입찰계획</x:v>
      </x:c>
      <x:c r="E1542" s="22" t="n">
        <x:v>0</x:v>
      </x:c>
      <x:c r="F1542" s="22" t="str">
        <x:v>.pdf</x:v>
      </x:c>
      <x:c r="G1542" s="25" t="str">
        <x:v>L2023-00038-1/2. 현지입찰 첨부문서 묶음/Addendum_No.3_Space program.pdf</x:v>
      </x:c>
      <x:c r="H1542" s="28" t="n">
        <x:v>622746</x:v>
      </x:c>
      <x:c r="I1542" s="22" t="str">
        <x:v>a0e7f0b3c09be47039c130a5389de8b60f58af26f15d45f08cedd9c072d6d4c2</x:v>
      </x:c>
      <x:c r="J1542" s="22" t="n">
        <x:v>0</x:v>
      </x:c>
      <x:c r="K1542" s="22" t="n">
        <x:v>0</x:v>
      </x:c>
      <x:c r="L1542" s="22" t="n">
        <x:v>0</x:v>
      </x:c>
      <x:c r="M1542" s="28" t="n">
        <x:v>0</x:v>
      </x:c>
      <x:c r="N1542" s="28" t="n">
        <x:v>0</x:v>
      </x:c>
      <x:c r="O1542" s="28" t="n">
        <x:v>0</x:v>
      </x:c>
      <x:c r="P1542" s="62" t="n">
        <x:v>0</x:v>
      </x:c>
      <x:c r="Q1542" s="22" t="n">
        <x:v>0</x:v>
      </x:c>
      <x:c r="R1542" s="22" t="str"/>
      <x:c r="S1542" s="22" t="str"/>
      <x:c r="T1542" s="22" t="str"/>
    </x:row>
    <x:row r="1543">
      <x:c r="A1543" s="22" t="str">
        <x:v>2022-00076</x:v>
      </x:c>
      <x:c r="B1543" s="22" t="str">
        <x:v>L2023-00038-1</x:v>
      </x:c>
      <x:c r="C1543" s="22" t="str">
        <x:v>용역</x:v>
      </x:c>
      <x:c r="D1543" s="25" t="str">
        <x:v>피지 국립재활센터 건립사업 설계 및 감리용역 현지입찰계획</x:v>
      </x:c>
      <x:c r="E1543" s="22" t="n">
        <x:v>0</x:v>
      </x:c>
      <x:c r="F1543" s="22" t="str">
        <x:v>.docx</x:v>
      </x:c>
      <x:c r="G1543" s="25" t="str">
        <x:v>L2023-00038-1/2. 현지입찰 첨부문서 묶음/04_Chapter_4._Invitation_to_Bid.docx</x:v>
      </x:c>
      <x:c r="H1543" s="28" t="n">
        <x:v>43289</x:v>
      </x:c>
      <x:c r="I1543" s="22" t="str">
        <x:v>0ab2b0475c3c8e5c0b288a2454007f3af5db620b8bcfcac9dacddf91380f36be</x:v>
      </x:c>
      <x:c r="J1543" s="22" t="n">
        <x:v>0</x:v>
      </x:c>
      <x:c r="K1543" s="22" t="n">
        <x:v>0</x:v>
      </x:c>
      <x:c r="L1543" s="22" t="n">
        <x:v>0</x:v>
      </x:c>
      <x:c r="M1543" s="28" t="n">
        <x:v>0</x:v>
      </x:c>
      <x:c r="N1543" s="28" t="n">
        <x:v>0</x:v>
      </x:c>
      <x:c r="O1543" s="28" t="n">
        <x:v>0</x:v>
      </x:c>
      <x:c r="P1543" s="62" t="n">
        <x:v>0</x:v>
      </x:c>
      <x:c r="Q1543" s="22" t="n">
        <x:v>0</x:v>
      </x:c>
      <x:c r="R1543" s="22" t="str"/>
      <x:c r="S1543" s="22" t="str"/>
      <x:c r="T1543" s="22" t="str"/>
    </x:row>
    <x:row r="1544">
      <x:c r="A1544" s="22" t="str">
        <x:v>2022-00076</x:v>
      </x:c>
      <x:c r="B1544" s="22" t="str">
        <x:v>L2023-00038-1</x:v>
      </x:c>
      <x:c r="C1544" s="22" t="str">
        <x:v>용역</x:v>
      </x:c>
      <x:c r="D1544" s="25" t="str">
        <x:v>피지 국립재활센터 건립사업 설계 및 감리용역 현지입찰계획</x:v>
      </x:c>
      <x:c r="E1544" s="22" t="n">
        <x:v>0</x:v>
      </x:c>
      <x:c r="F1544" s="22" t="str">
        <x:v>.docx</x:v>
      </x:c>
      <x:c r="G1544" s="25" t="str">
        <x:v>L2023-00038-1/2. 현지입찰 첨부문서 묶음/Addendum_No.1_Scope_of_the_services.docx</x:v>
      </x:c>
      <x:c r="H1544" s="28" t="n">
        <x:v>316721</x:v>
      </x:c>
      <x:c r="I1544" s="22" t="str">
        <x:v>17c9e82d0c0746134d6cb8449a8f19363912856871a11f0767c5042598f1fe0d</x:v>
      </x:c>
      <x:c r="J1544" s="22" t="n">
        <x:v>0</x:v>
      </x:c>
      <x:c r="K1544" s="22" t="n">
        <x:v>0</x:v>
      </x:c>
      <x:c r="L1544" s="22" t="n">
        <x:v>0</x:v>
      </x:c>
      <x:c r="M1544" s="28" t="n">
        <x:v>0</x:v>
      </x:c>
      <x:c r="N1544" s="28" t="n">
        <x:v>0</x:v>
      </x:c>
      <x:c r="O1544" s="28" t="n">
        <x:v>0</x:v>
      </x:c>
      <x:c r="P1544" s="62" t="n">
        <x:v>0</x:v>
      </x:c>
      <x:c r="Q1544" s="22" t="n">
        <x:v>0</x:v>
      </x:c>
      <x:c r="R1544" s="22" t="str"/>
      <x:c r="S1544" s="22" t="str"/>
      <x:c r="T1544" s="22" t="str"/>
    </x:row>
    <x:row r="1545">
      <x:c r="A1545" s="22" t="str">
        <x:v>2022-00076</x:v>
      </x:c>
      <x:c r="B1545" s="22" t="str">
        <x:v>L2023-00038-1</x:v>
      </x:c>
      <x:c r="C1545" s="22" t="str">
        <x:v>용역</x:v>
      </x:c>
      <x:c r="D1545" s="25" t="str">
        <x:v>피지 국립재활센터 건립사업 설계 및 감리용역 현지입찰계획</x:v>
      </x:c>
      <x:c r="E1545" s="22" t="n">
        <x:v>0</x:v>
      </x:c>
      <x:c r="F1545" s="22" t="str">
        <x:v>.pdf</x:v>
      </x:c>
      <x:c r="G1545" s="25" t="str">
        <x:v>L2023-00038-1/2. 현지입찰 첨부문서 묶음/03_Chapter_3._KOICA Instructions on International Bidding (SERVICES).pdf</x:v>
      </x:c>
      <x:c r="H1545" s="28" t="n">
        <x:v>165396</x:v>
      </x:c>
      <x:c r="I1545" s="22" t="str">
        <x:v>bdbb7d275baa996f60515ba47f823648d48f5dd45aeaaaa04a94635c2f9b3592</x:v>
      </x:c>
      <x:c r="J1545" s="22" t="n">
        <x:v>0</x:v>
      </x:c>
      <x:c r="K1545" s="22" t="n">
        <x:v>0</x:v>
      </x:c>
      <x:c r="L1545" s="22" t="n">
        <x:v>0</x:v>
      </x:c>
      <x:c r="M1545" s="28" t="n">
        <x:v>0</x:v>
      </x:c>
      <x:c r="N1545" s="28" t="n">
        <x:v>0</x:v>
      </x:c>
      <x:c r="O1545" s="28" t="n">
        <x:v>0</x:v>
      </x:c>
      <x:c r="P1545" s="62" t="n">
        <x:v>0</x:v>
      </x:c>
      <x:c r="Q1545" s="22" t="n">
        <x:v>0</x:v>
      </x:c>
      <x:c r="R1545" s="22" t="str"/>
      <x:c r="S1545" s="22" t="str"/>
      <x:c r="T1545" s="22" t="str"/>
    </x:row>
    <x:row r="1546">
      <x:c r="A1546" s="22" t="str">
        <x:v>2022-00076</x:v>
      </x:c>
      <x:c r="B1546" s="22" t="str">
        <x:v>L2023-00038-1</x:v>
      </x:c>
      <x:c r="C1546" s="22" t="str">
        <x:v>용역</x:v>
      </x:c>
      <x:c r="D1546" s="25" t="str">
        <x:v>피지 국립재활센터 건립사업 설계 및 감리용역 현지입찰계획</x:v>
      </x:c>
      <x:c r="E1546" s="22" t="n">
        <x:v>0</x:v>
      </x:c>
      <x:c r="F1546" s="22" t="str">
        <x:v>.doc</x:v>
      </x:c>
      <x:c r="G1546" s="25" t="str">
        <x:v>L2023-00038-1/2. 현지입찰 첨부문서 묶음/00_ KOICA_BID Announcement.doc</x:v>
      </x:c>
      <x:c r="H1546" s="28" t="n">
        <x:v>108544</x:v>
      </x:c>
      <x:c r="I1546" s="22" t="str">
        <x:v>956591a0b6b2abb496f07e95eba57832f0866100bee3ff275590a2a04b5de15b</x:v>
      </x:c>
      <x:c r="J1546" s="22" t="n">
        <x:v>0</x:v>
      </x:c>
      <x:c r="K1546" s="22" t="n">
        <x:v>0</x:v>
      </x:c>
      <x:c r="L1546" s="22" t="n">
        <x:v>0</x:v>
      </x:c>
      <x:c r="M1546" s="28" t="n">
        <x:v>0</x:v>
      </x:c>
      <x:c r="N1546" s="28" t="n">
        <x:v>0</x:v>
      </x:c>
      <x:c r="O1546" s="28" t="n">
        <x:v>0</x:v>
      </x:c>
      <x:c r="P1546" s="62" t="n">
        <x:v>0</x:v>
      </x:c>
      <x:c r="Q1546" s="22" t="n">
        <x:v>0</x:v>
      </x:c>
      <x:c r="R1546" s="22" t="str"/>
      <x:c r="S1546" s="22" t="str"/>
      <x:c r="T1546" s="22" t="str"/>
    </x:row>
    <x:row r="1547">
      <x:c r="A1547" s="22" t="str">
        <x:v>2022-00076</x:v>
      </x:c>
      <x:c r="B1547" s="22" t="str">
        <x:v>L2023-00038-1</x:v>
      </x:c>
      <x:c r="C1547" s="22" t="str">
        <x:v>용역</x:v>
      </x:c>
      <x:c r="D1547" s="25" t="str">
        <x:v>피지 국립재활센터 건립사업 설계 및 감리용역 현지입찰계획</x:v>
      </x:c>
      <x:c r="E1547" s="22" t="n">
        <x:v>0</x:v>
      </x:c>
      <x:c r="F1547" s="22" t="str">
        <x:v>.doc</x:v>
      </x:c>
      <x:c r="G1547" s="25" t="str">
        <x:v>L2023-00038-1/2. 현지입찰 첨부문서 묶음/Attachment_1._Form_of_Price Proposal.doc</x:v>
      </x:c>
      <x:c r="H1547" s="28" t="n">
        <x:v>57344</x:v>
      </x:c>
      <x:c r="I1547" s="22" t="str">
        <x:v>42b7a0633a5e24ed610d5642b84e21074898cfa9c72461b3a9a544e415a2e585</x:v>
      </x:c>
      <x:c r="J1547" s="22" t="n">
        <x:v>0</x:v>
      </x:c>
      <x:c r="K1547" s="22" t="n">
        <x:v>0</x:v>
      </x:c>
      <x:c r="L1547" s="22" t="n">
        <x:v>0</x:v>
      </x:c>
      <x:c r="M1547" s="28" t="n">
        <x:v>0</x:v>
      </x:c>
      <x:c r="N1547" s="28" t="n">
        <x:v>0</x:v>
      </x:c>
      <x:c r="O1547" s="28" t="n">
        <x:v>0</x:v>
      </x:c>
      <x:c r="P1547" s="62" t="n">
        <x:v>0</x:v>
      </x:c>
      <x:c r="Q1547" s="22" t="n">
        <x:v>0</x:v>
      </x:c>
      <x:c r="R1547" s="22" t="str"/>
      <x:c r="S1547" s="22" t="str"/>
      <x:c r="T1547" s="22" t="str"/>
    </x:row>
    <x:row r="1548">
      <x:c r="A1548" s="22" t="str">
        <x:v>2022-00076</x:v>
      </x:c>
      <x:c r="B1548" s="22" t="str">
        <x:v>L2023-00038-1</x:v>
      </x:c>
      <x:c r="C1548" s="22" t="str">
        <x:v>용역</x:v>
      </x:c>
      <x:c r="D1548" s="25" t="str">
        <x:v>피지 국립재활센터 건립사업 설계 및 감리용역 현지입찰계획</x:v>
      </x:c>
      <x:c r="E1548" s="22" t="n">
        <x:v>0</x:v>
      </x:c>
      <x:c r="F1548" s="22" t="str">
        <x:v>.doc</x:v>
      </x:c>
      <x:c r="G1548" s="25" t="str">
        <x:v>L2023-00038-1/2. 현지입찰 첨부문서 묶음/Addendum_No.2_Term_of_Reference_for_Consultant_Services R1.doc</x:v>
      </x:c>
      <x:c r="H1548" s="28" t="n">
        <x:v>188928</x:v>
      </x:c>
      <x:c r="I1548" s="22" t="str">
        <x:v>5ee0bccec1ecc450a2ac70d1406b0298e81d06ab923bdba05b85dd6248669a7e</x:v>
      </x:c>
      <x:c r="J1548" s="22" t="n">
        <x:v>0</x:v>
      </x:c>
      <x:c r="K1548" s="22" t="n">
        <x:v>0</x:v>
      </x:c>
      <x:c r="L1548" s="22" t="n">
        <x:v>0</x:v>
      </x:c>
      <x:c r="M1548" s="28" t="n">
        <x:v>0</x:v>
      </x:c>
      <x:c r="N1548" s="28" t="n">
        <x:v>0</x:v>
      </x:c>
      <x:c r="O1548" s="28" t="n">
        <x:v>0</x:v>
      </x:c>
      <x:c r="P1548" s="62" t="n">
        <x:v>0</x:v>
      </x:c>
      <x:c r="Q1548" s="22" t="n">
        <x:v>0</x:v>
      </x:c>
      <x:c r="R1548" s="22" t="str"/>
      <x:c r="S1548" s="22" t="str"/>
      <x:c r="T1548" s="22" t="str"/>
    </x:row>
    <x:row r="1549">
      <x:c r="A1549" s="22" t="str">
        <x:v>2022-00076</x:v>
      </x:c>
      <x:c r="B1549" s="22" t="str">
        <x:v>L2023-00038-1</x:v>
      </x:c>
      <x:c r="C1549" s="22" t="str">
        <x:v>용역</x:v>
      </x:c>
      <x:c r="D1549" s="25" t="str">
        <x:v>피지 국립재활센터 건립사업 설계 및 감리용역 현지입찰계획</x:v>
      </x:c>
      <x:c r="E1549" s="22" t="n">
        <x:v>0</x:v>
      </x:c>
      <x:c r="F1549" s="22" t="str">
        <x:v>.docx</x:v>
      </x:c>
      <x:c r="G1549" s="25" t="str">
        <x:v>L2023-00038-1/2. 현지입찰 첨부문서 묶음/Attachment_5. ODA_Declaration of Anti_Corruption.docx</x:v>
      </x:c>
      <x:c r="H1549" s="28" t="n">
        <x:v>22679</x:v>
      </x:c>
      <x:c r="I1549" s="22" t="str">
        <x:v>3c040cdc91821571bec4dd33e5f12de628504dbd3e215574cc9112de452cad7d</x:v>
      </x:c>
      <x:c r="J1549" s="22" t="n">
        <x:v>0</x:v>
      </x:c>
      <x:c r="K1549" s="22" t="n">
        <x:v>0</x:v>
      </x:c>
      <x:c r="L1549" s="22" t="n">
        <x:v>0</x:v>
      </x:c>
      <x:c r="M1549" s="28" t="n">
        <x:v>0</x:v>
      </x:c>
      <x:c r="N1549" s="28" t="n">
        <x:v>0</x:v>
      </x:c>
      <x:c r="O1549" s="28" t="n">
        <x:v>0</x:v>
      </x:c>
      <x:c r="P1549" s="62" t="n">
        <x:v>0</x:v>
      </x:c>
      <x:c r="Q1549" s="22" t="n">
        <x:v>0</x:v>
      </x:c>
      <x:c r="R1549" s="22" t="str"/>
      <x:c r="S1549" s="22" t="str"/>
      <x:c r="T1549" s="22" t="str"/>
    </x:row>
    <x:row r="1550">
      <x:c r="A1550" s="22" t="str">
        <x:v>2022-00076</x:v>
      </x:c>
      <x:c r="B1550" s="22" t="str">
        <x:v>L2023-00038-1</x:v>
      </x:c>
      <x:c r="C1550" s="22" t="str">
        <x:v>용역</x:v>
      </x:c>
      <x:c r="D1550" s="25" t="str">
        <x:v>피지 국립재활센터 건립사업 설계 및 감리용역 현지입찰계획</x:v>
      </x:c>
      <x:c r="E1550" s="22" t="n">
        <x:v>0</x:v>
      </x:c>
      <x:c r="F1550" s="22" t="str">
        <x:v>.docx</x:v>
      </x:c>
      <x:c r="G1550" s="25" t="str">
        <x:v>L2023-00038-1/2. 현지입찰 첨부문서 묶음/01_Chapter_1._Contract_of_Consultant_Services.docx</x:v>
      </x:c>
      <x:c r="H1550" s="28" t="n">
        <x:v>24258</x:v>
      </x:c>
      <x:c r="I1550" s="22" t="str">
        <x:v>d2f92197e7262411cb85d4d082474c7e0a89adc722c4738ef1a4c4ec976dac46</x:v>
      </x:c>
      <x:c r="J1550" s="22" t="n">
        <x:v>0</x:v>
      </x:c>
      <x:c r="K1550" s="22" t="n">
        <x:v>0</x:v>
      </x:c>
      <x:c r="L1550" s="22" t="n">
        <x:v>0</x:v>
      </x:c>
      <x:c r="M1550" s="28" t="n">
        <x:v>0</x:v>
      </x:c>
      <x:c r="N1550" s="28" t="n">
        <x:v>0</x:v>
      </x:c>
      <x:c r="O1550" s="28" t="n">
        <x:v>0</x:v>
      </x:c>
      <x:c r="P1550" s="62" t="n">
        <x:v>0</x:v>
      </x:c>
      <x:c r="Q1550" s="22" t="n">
        <x:v>0</x:v>
      </x:c>
      <x:c r="R1550" s="22" t="str"/>
      <x:c r="S1550" s="22" t="str"/>
      <x:c r="T1550" s="22" t="str"/>
    </x:row>
    <x:row r="1551">
      <x:c r="A1551" s="22" t="str">
        <x:v>2022-00076</x:v>
      </x:c>
      <x:c r="B1551" s="22" t="str">
        <x:v>L2023-00038-1</x:v>
      </x:c>
      <x:c r="C1551" s="22" t="str">
        <x:v>용역</x:v>
      </x:c>
      <x:c r="D1551" s="25" t="str">
        <x:v>피지 국립재활센터 건립사업 설계 및 감리용역 현지입찰계획</x:v>
      </x:c>
      <x:c r="E1551" s="22" t="n">
        <x:v>0</x:v>
      </x:c>
      <x:c r="F1551" s="22" t="str">
        <x:v>.doc</x:v>
      </x:c>
      <x:c r="G1551" s="25" t="str">
        <x:v>L2023-00038-1/2. 현지입찰 첨부문서 묶음/Attachment_2._Form_of_Technical_Proporsal.doc</x:v>
      </x:c>
      <x:c r="H1551" s="28" t="n">
        <x:v>117248</x:v>
      </x:c>
      <x:c r="I1551" s="22" t="str">
        <x:v>667486e733c3a674805812f8c938c2ec2f551c8c8f4ad63936a871d641c3607f</x:v>
      </x:c>
      <x:c r="J1551" s="22" t="n">
        <x:v>0</x:v>
      </x:c>
      <x:c r="K1551" s="22" t="n">
        <x:v>0</x:v>
      </x:c>
      <x:c r="L1551" s="22" t="n">
        <x:v>0</x:v>
      </x:c>
      <x:c r="M1551" s="28" t="n">
        <x:v>0</x:v>
      </x:c>
      <x:c r="N1551" s="28" t="n">
        <x:v>0</x:v>
      </x:c>
      <x:c r="O1551" s="28" t="n">
        <x:v>0</x:v>
      </x:c>
      <x:c r="P1551" s="62" t="n">
        <x:v>0</x:v>
      </x:c>
      <x:c r="Q1551" s="22" t="n">
        <x:v>0</x:v>
      </x:c>
      <x:c r="R1551" s="22" t="str"/>
      <x:c r="S1551" s="22" t="str"/>
      <x:c r="T1551" s="22" t="str"/>
    </x:row>
    <x:row r="1552">
      <x:c r="A1552" s="22" t="str">
        <x:v>2022-00076</x:v>
      </x:c>
      <x:c r="B1552" s="22" t="str">
        <x:v>L2023-00038-1</x:v>
      </x:c>
      <x:c r="C1552" s="22" t="str">
        <x:v>용역</x:v>
      </x:c>
      <x:c r="D1552" s="25" t="str">
        <x:v>피지 국립재활센터 건립사업 설계 및 감리용역 현지입찰계획</x:v>
      </x:c>
      <x:c r="E1552" s="22" t="n">
        <x:v>0</x:v>
      </x:c>
      <x:c r="F1552" s="22" t="str">
        <x:v>.docx</x:v>
      </x:c>
      <x:c r="G1552" s="25" t="str">
        <x:v>L2023-00038-1/2. 현지입찰 첨부문서 묶음/Attachment_3._Security_forms.docx</x:v>
      </x:c>
      <x:c r="H1552" s="28" t="n">
        <x:v>32040</x:v>
      </x:c>
      <x:c r="I1552" s="22" t="str">
        <x:v>8231b1525c6c70f8ee0954469f6d86ee5795c59147a7298c933143a05ad13479</x:v>
      </x:c>
      <x:c r="J1552" s="22" t="n">
        <x:v>0</x:v>
      </x:c>
      <x:c r="K1552" s="22" t="n">
        <x:v>0</x:v>
      </x:c>
      <x:c r="L1552" s="22" t="n">
        <x:v>0</x:v>
      </x:c>
      <x:c r="M1552" s="28" t="n">
        <x:v>0</x:v>
      </x:c>
      <x:c r="N1552" s="28" t="n">
        <x:v>0</x:v>
      </x:c>
      <x:c r="O1552" s="28" t="n">
        <x:v>0</x:v>
      </x:c>
      <x:c r="P1552" s="62" t="n">
        <x:v>0</x:v>
      </x:c>
      <x:c r="Q1552" s="22" t="n">
        <x:v>0</x:v>
      </x:c>
      <x:c r="R1552" s="22" t="str"/>
      <x:c r="S1552" s="22" t="str"/>
      <x:c r="T1552" s="22" t="str"/>
    </x:row>
    <x:row r="1553">
      <x:c r="A1553" s="22" t="str">
        <x:v>2022-00076</x:v>
      </x:c>
      <x:c r="B1553" s="22" t="str">
        <x:v>L2025-00051-1</x:v>
      </x:c>
      <x:c r="C1553" s="22" t="str">
        <x:v>공사</x:v>
      </x:c>
      <x:c r="D1553" s="25" t="str">
        <x:v>피지 국립재활센터 신축 공사</x:v>
      </x:c>
      <x:c r="E1553" s="22" t="n">
        <x:v>1</x:v>
      </x:c>
      <x:c r="F1553" s="22" t="str">
        <x:v>.docx</x:v>
      </x:c>
      <x:c r="G1553" s="25" t="str">
        <x:v>L2025-00051-1/Section 7 - General Conditions of Contract.docx</x:v>
      </x:c>
      <x:c r="H1553" s="28" t="n">
        <x:v>204633</x:v>
      </x:c>
      <x:c r="I1553" s="22" t="str">
        <x:v>c2fc9ecf40bceaa276b14b066319e4b7d94fa4b46326dd3ac3ca9a525daf596e</x:v>
      </x:c>
      <x:c r="J1553" s="22" t="n">
        <x:v>0</x:v>
      </x:c>
      <x:c r="K1553" s="22" t="n">
        <x:v>0</x:v>
      </x:c>
      <x:c r="L1553" s="22" t="n">
        <x:v>0</x:v>
      </x:c>
      <x:c r="M1553" s="28" t="n">
        <x:v>0</x:v>
      </x:c>
      <x:c r="N1553" s="28" t="n">
        <x:v>0</x:v>
      </x:c>
      <x:c r="O1553" s="28" t="n">
        <x:v>0</x:v>
      </x:c>
      <x:c r="P1553" s="62" t="n">
        <x:v>0</x:v>
      </x:c>
      <x:c r="Q1553" s="22" t="n">
        <x:v>0</x:v>
      </x:c>
      <x:c r="R1553" s="22" t="str"/>
      <x:c r="S1553" s="22" t="str"/>
      <x:c r="T1553" s="22" t="str"/>
    </x:row>
    <x:row r="1554">
      <x:c r="A1554" s="22" t="str">
        <x:v>2022-00076</x:v>
      </x:c>
      <x:c r="B1554" s="22" t="str">
        <x:v>L2025-00051-1</x:v>
      </x:c>
      <x:c r="C1554" s="22" t="str">
        <x:v>공사</x:v>
      </x:c>
      <x:c r="D1554" s="25" t="str">
        <x:v>피지 국립재활센터 신축 공사</x:v>
      </x:c>
      <x:c r="E1554" s="22" t="n">
        <x:v>1</x:v>
      </x:c>
      <x:c r="F1554" s="22" t="str">
        <x:v>.docx</x:v>
      </x:c>
      <x:c r="G1554" s="25" t="str">
        <x:v>L2025-00051-1/Section 3 - Bidding FormsR1.docx</x:v>
      </x:c>
      <x:c r="H1554" s="28" t="n">
        <x:v>83558</x:v>
      </x:c>
      <x:c r="I1554" s="22" t="str">
        <x:v>18b3f5f1ebcea816be38da235d77578e1db5284f6ae29231dcd613e1997e09f1</x:v>
      </x:c>
      <x:c r="J1554" s="22" t="n">
        <x:v>0</x:v>
      </x:c>
      <x:c r="K1554" s="22" t="n">
        <x:v>0</x:v>
      </x:c>
      <x:c r="L1554" s="22" t="n">
        <x:v>0</x:v>
      </x:c>
      <x:c r="M1554" s="28" t="n">
        <x:v>0</x:v>
      </x:c>
      <x:c r="N1554" s="28" t="n">
        <x:v>0</x:v>
      </x:c>
      <x:c r="O1554" s="28" t="n">
        <x:v>0</x:v>
      </x:c>
      <x:c r="P1554" s="62" t="n">
        <x:v>0</x:v>
      </x:c>
      <x:c r="Q1554" s="22" t="n">
        <x:v>0</x:v>
      </x:c>
      <x:c r="R1554" s="22" t="str"/>
      <x:c r="S1554" s="22" t="str"/>
      <x:c r="T1554" s="22" t="str"/>
    </x:row>
    <x:row r="1555">
      <x:c r="A1555" s="22" t="str">
        <x:v>2022-00076</x:v>
      </x:c>
      <x:c r="B1555" s="22" t="str">
        <x:v>L2025-00051-1</x:v>
      </x:c>
      <x:c r="C1555" s="22" t="str">
        <x:v>공사</x:v>
      </x:c>
      <x:c r="D1555" s="25" t="str">
        <x:v>피지 국립재활센터 신축 공사</x:v>
      </x:c>
      <x:c r="E1555" s="22" t="n">
        <x:v>1</x:v>
      </x:c>
      <x:c r="F1555" s="22" t="str">
        <x:v>.docx</x:v>
      </x:c>
      <x:c r="G1555" s="25" t="str">
        <x:v>L2025-00051-1/Section 9 - Contract FormsR1.docx</x:v>
      </x:c>
      <x:c r="H1555" s="28" t="n">
        <x:v>24586</x:v>
      </x:c>
      <x:c r="I1555" s="22" t="str">
        <x:v>20d9cf46abc96dba63a71fef1b66287b7abd5501aa1a24dd2a939505a8cc3e00</x:v>
      </x:c>
      <x:c r="J1555" s="22" t="n">
        <x:v>0</x:v>
      </x:c>
      <x:c r="K1555" s="22" t="n">
        <x:v>0</x:v>
      </x:c>
      <x:c r="L1555" s="22" t="n">
        <x:v>0</x:v>
      </x:c>
      <x:c r="M1555" s="28" t="n">
        <x:v>0</x:v>
      </x:c>
      <x:c r="N1555" s="28" t="n">
        <x:v>0</x:v>
      </x:c>
      <x:c r="O1555" s="28" t="n">
        <x:v>0</x:v>
      </x:c>
      <x:c r="P1555" s="62" t="n">
        <x:v>0</x:v>
      </x:c>
      <x:c r="Q1555" s="22" t="n">
        <x:v>0</x:v>
      </x:c>
      <x:c r="R1555" s="22" t="str"/>
      <x:c r="S1555" s="22" t="str"/>
      <x:c r="T1555" s="22" t="str"/>
    </x:row>
    <x:row r="1556">
      <x:c r="A1556" s="22" t="str">
        <x:v>2022-00076</x:v>
      </x:c>
      <x:c r="B1556" s="22" t="str">
        <x:v>L2025-00051-1</x:v>
      </x:c>
      <x:c r="C1556" s="22" t="str">
        <x:v>공사</x:v>
      </x:c>
      <x:c r="D1556" s="25" t="str">
        <x:v>피지 국립재활센터 신축 공사</x:v>
      </x:c>
      <x:c r="E1556" s="22" t="n">
        <x:v>1</x:v>
      </x:c>
      <x:c r="F1556" s="22" t="str">
        <x:v>.xlsx</x:v>
      </x:c>
      <x:c r="G1556" s="25" t="str">
        <x:v>L2025-00051-1/Section 4 - Bill of Quantity.xlsx</x:v>
      </x:c>
      <x:c r="H1556" s="28" t="n">
        <x:v>791666</x:v>
      </x:c>
      <x:c r="I1556" s="22" t="str">
        <x:v>fdbb5bdceee51a500d8090d7ac47ab3d31ad8bb593aa9d322b6cfb899c69ad43</x:v>
      </x:c>
      <x:c r="J1556" s="22" t="n">
        <x:v>0</x:v>
      </x:c>
      <x:c r="K1556" s="22" t="n">
        <x:v>1</x:v>
      </x:c>
      <x:c r="L1556" s="22" t="n">
        <x:v>0</x:v>
      </x:c>
      <x:c r="M1556" s="28" t="n">
        <x:v>13</x:v>
      </x:c>
      <x:c r="N1556" s="28" t="n">
        <x:v>204</x:v>
      </x:c>
      <x:c r="O1556" s="28" t="n">
        <x:v>0</x:v>
      </x:c>
      <x:c r="P1556" s="62" t="n">
        <x:v>0</x:v>
      </x:c>
      <x:c r="Q1556" s="22" t="n">
        <x:v>0</x:v>
      </x:c>
      <x:c r="R1556" s="22" t="str">
        <x:v>Mechanical Services</x:v>
      </x:c>
      <x:c r="S1556" s="22" t="str">
        <x:v>visible</x:v>
      </x:c>
      <x:c r="T1556" s="22" t="str"/>
    </x:row>
    <x:row r="1557">
      <x:c r="A1557" s="22" t="str">
        <x:v>2022-00076</x:v>
      </x:c>
      <x:c r="B1557" s="22" t="str">
        <x:v>L2025-00051-1</x:v>
      </x:c>
      <x:c r="C1557" s="22" t="str">
        <x:v>공사</x:v>
      </x:c>
      <x:c r="D1557" s="25" t="str">
        <x:v>피지 국립재활센터 신축 공사</x:v>
      </x:c>
      <x:c r="E1557" s="22" t="n">
        <x:v>1</x:v>
      </x:c>
      <x:c r="F1557" s="22" t="str">
        <x:v>.hwp</x:v>
      </x:c>
      <x:c r="G1557" s="25" t="str">
        <x:v>L2025-00051-1/Section 2 - Bid Data Sheet (BDS).hwp</x:v>
      </x:c>
      <x:c r="H1557" s="28" t="n">
        <x:v>166400</x:v>
      </x:c>
      <x:c r="I1557" s="22" t="str">
        <x:v>b0111184274c98b83b307511bf13d321d3ef408db4cb22fca854e459e6b8b953</x:v>
      </x:c>
      <x:c r="J1557" s="22" t="n">
        <x:v>0</x:v>
      </x:c>
      <x:c r="K1557" s="22" t="n">
        <x:v>0</x:v>
      </x:c>
      <x:c r="L1557" s="22" t="n">
        <x:v>0</x:v>
      </x:c>
      <x:c r="M1557" s="28" t="n">
        <x:v>0</x:v>
      </x:c>
      <x:c r="N1557" s="28" t="n">
        <x:v>0</x:v>
      </x:c>
      <x:c r="O1557" s="28" t="n">
        <x:v>0</x:v>
      </x:c>
      <x:c r="P1557" s="62" t="n">
        <x:v>0</x:v>
      </x:c>
      <x:c r="Q1557" s="22" t="n">
        <x:v>0</x:v>
      </x:c>
      <x:c r="R1557" s="22" t="str"/>
      <x:c r="S1557" s="22" t="str"/>
      <x:c r="T1557" s="22" t="str"/>
    </x:row>
    <x:row r="1558">
      <x:c r="A1558" s="22" t="str">
        <x:v>2022-00076</x:v>
      </x:c>
      <x:c r="B1558" s="22" t="str">
        <x:v>L2025-00051-1</x:v>
      </x:c>
      <x:c r="C1558" s="22" t="str">
        <x:v>공사</x:v>
      </x:c>
      <x:c r="D1558" s="25" t="str">
        <x:v>피지 국립재활센터 신축 공사</x:v>
      </x:c>
      <x:c r="E1558" s="22" t="n">
        <x:v>1</x:v>
      </x:c>
      <x:c r="F1558" s="22" t="str">
        <x:v>.docx</x:v>
      </x:c>
      <x:c r="G1558" s="25" t="str">
        <x:v>L2025-00051-1/Section 8 - Specail Conditions of ContractR1.docx</x:v>
      </x:c>
      <x:c r="H1558" s="28" t="n">
        <x:v>44691</x:v>
      </x:c>
      <x:c r="I1558" s="22" t="str">
        <x:v>00db76fad3378a08a87f199f88a95f037af48fde04d761207ccb5a76a74966e6</x:v>
      </x:c>
      <x:c r="J1558" s="22" t="n">
        <x:v>0</x:v>
      </x:c>
      <x:c r="K1558" s="22" t="n">
        <x:v>0</x:v>
      </x:c>
      <x:c r="L1558" s="22" t="n">
        <x:v>0</x:v>
      </x:c>
      <x:c r="M1558" s="28" t="n">
        <x:v>0</x:v>
      </x:c>
      <x:c r="N1558" s="28" t="n">
        <x:v>0</x:v>
      </x:c>
      <x:c r="O1558" s="28" t="n">
        <x:v>0</x:v>
      </x:c>
      <x:c r="P1558" s="62" t="n">
        <x:v>0</x:v>
      </x:c>
      <x:c r="Q1558" s="22" t="n">
        <x:v>0</x:v>
      </x:c>
      <x:c r="R1558" s="22" t="str"/>
      <x:c r="S1558" s="22" t="str"/>
      <x:c r="T1558" s="22" t="str"/>
    </x:row>
    <x:row r="1559">
      <x:c r="A1559" s="22" t="str">
        <x:v>2022-00076</x:v>
      </x:c>
      <x:c r="B1559" s="22" t="str">
        <x:v>L2025-00051-1</x:v>
      </x:c>
      <x:c r="C1559" s="22" t="str">
        <x:v>공사</x:v>
      </x:c>
      <x:c r="D1559" s="25" t="str">
        <x:v>피지 국립재활센터 신축 공사</x:v>
      </x:c>
      <x:c r="E1559" s="22" t="n">
        <x:v>1</x:v>
      </x:c>
      <x:c r="F1559" s="22" t="str">
        <x:v>.zip</x:v>
      </x:c>
      <x:c r="G1559" s="25" t="str">
        <x:v>L2025-00051-1/Section 6- Specification Of Work.zip</x:v>
      </x:c>
      <x:c r="H1559" s="28" t="n">
        <x:v>12780360</x:v>
      </x:c>
      <x:c r="I1559" s="22" t="str">
        <x:v>561240ccfadb0f5736f39c773e324a90cb9998acf4d988da4436dfd89c2a4473</x:v>
      </x:c>
      <x:c r="J1559" s="22" t="n">
        <x:v>0</x:v>
      </x:c>
      <x:c r="K1559" s="22" t="n">
        <x:v>0</x:v>
      </x:c>
      <x:c r="L1559" s="22" t="n">
        <x:v>0</x:v>
      </x:c>
      <x:c r="M1559" s="28" t="n">
        <x:v>0</x:v>
      </x:c>
      <x:c r="N1559" s="28" t="n">
        <x:v>0</x:v>
      </x:c>
      <x:c r="O1559" s="28" t="n">
        <x:v>0</x:v>
      </x:c>
      <x:c r="P1559" s="62" t="n">
        <x:v>0</x:v>
      </x:c>
      <x:c r="Q1559" s="22" t="n">
        <x:v>0</x:v>
      </x:c>
      <x:c r="R1559" s="22" t="str"/>
      <x:c r="S1559" s="22" t="str"/>
      <x:c r="T1559" s="22" t="str"/>
    </x:row>
    <x:row r="1560">
      <x:c r="A1560" s="22" t="str">
        <x:v>2022-00076</x:v>
      </x:c>
      <x:c r="B1560" s="22" t="str">
        <x:v>L2025-00051-1</x:v>
      </x:c>
      <x:c r="C1560" s="22" t="str">
        <x:v>공사</x:v>
      </x:c>
      <x:c r="D1560" s="25" t="str">
        <x:v>피지 국립재활센터 신축 공사</x:v>
      </x:c>
      <x:c r="E1560" s="22" t="n">
        <x:v>1</x:v>
      </x:c>
      <x:c r="F1560" s="22" t="str">
        <x:v>.pdf</x:v>
      </x:c>
      <x:c r="G1560" s="25" t="str">
        <x:v>L2025-00051-1/Section 6- Specification Of Work/REHAB SPECIFICATION-ARCHITECTURAL.pdf</x:v>
      </x:c>
      <x:c r="H1560" s="28" t="n">
        <x:v>8524601</x:v>
      </x:c>
      <x:c r="I1560" s="22" t="str">
        <x:v>c1e664c94a79717284d29eeae40d32e8551fc979c0063722b1e2bad54de00cfc</x:v>
      </x:c>
      <x:c r="J1560" s="22" t="n">
        <x:v>0</x:v>
      </x:c>
      <x:c r="K1560" s="22" t="n">
        <x:v>0</x:v>
      </x:c>
      <x:c r="L1560" s="22" t="n">
        <x:v>0</x:v>
      </x:c>
      <x:c r="M1560" s="28" t="n">
        <x:v>0</x:v>
      </x:c>
      <x:c r="N1560" s="28" t="n">
        <x:v>0</x:v>
      </x:c>
      <x:c r="O1560" s="28" t="n">
        <x:v>0</x:v>
      </x:c>
      <x:c r="P1560" s="62" t="n">
        <x:v>0</x:v>
      </x:c>
      <x:c r="Q1560" s="22" t="n">
        <x:v>0</x:v>
      </x:c>
      <x:c r="R1560" s="22" t="str"/>
      <x:c r="S1560" s="22" t="str"/>
      <x:c r="T1560" s="22" t="str"/>
    </x:row>
    <x:row r="1561">
      <x:c r="A1561" s="22" t="str">
        <x:v>2022-00076</x:v>
      </x:c>
      <x:c r="B1561" s="22" t="str">
        <x:v>L2025-00051-1</x:v>
      </x:c>
      <x:c r="C1561" s="22" t="str">
        <x:v>공사</x:v>
      </x:c>
      <x:c r="D1561" s="25" t="str">
        <x:v>피지 국립재활센터 신축 공사</x:v>
      </x:c>
      <x:c r="E1561" s="22" t="n">
        <x:v>1</x:v>
      </x:c>
      <x:c r="F1561" s="22" t="str">
        <x:v>.pdf</x:v>
      </x:c>
      <x:c r="G1561" s="25" t="str">
        <x:v>L2025-00051-1/Section 6- Specification Of Work/Services Specifications/3921-Specifications-Fire protection Services-T1-2024.08.22.pdf</x:v>
      </x:c>
      <x:c r="H1561" s="28" t="n">
        <x:v>791984</x:v>
      </x:c>
      <x:c r="I1561" s="22" t="str">
        <x:v>b2ff29e763ccdbdbdb89ec88c16a1e031cb22958d1aa6d5f9ceb715ac35a649d</x:v>
      </x:c>
      <x:c r="J1561" s="22" t="n">
        <x:v>0</x:v>
      </x:c>
      <x:c r="K1561" s="22" t="n">
        <x:v>0</x:v>
      </x:c>
      <x:c r="L1561" s="22" t="n">
        <x:v>0</x:v>
      </x:c>
      <x:c r="M1561" s="28" t="n">
        <x:v>0</x:v>
      </x:c>
      <x:c r="N1561" s="28" t="n">
        <x:v>0</x:v>
      </x:c>
      <x:c r="O1561" s="28" t="n">
        <x:v>0</x:v>
      </x:c>
      <x:c r="P1561" s="62" t="n">
        <x:v>0</x:v>
      </x:c>
      <x:c r="Q1561" s="22" t="n">
        <x:v>0</x:v>
      </x:c>
      <x:c r="R1561" s="22" t="str"/>
      <x:c r="S1561" s="22" t="str"/>
      <x:c r="T1561" s="22" t="str"/>
    </x:row>
    <x:row r="1562">
      <x:c r="A1562" s="22" t="str">
        <x:v>2022-00076</x:v>
      </x:c>
      <x:c r="B1562" s="22" t="str">
        <x:v>L2025-00051-1</x:v>
      </x:c>
      <x:c r="C1562" s="22" t="str">
        <x:v>공사</x:v>
      </x:c>
      <x:c r="D1562" s="25" t="str">
        <x:v>피지 국립재활센터 신축 공사</x:v>
      </x:c>
      <x:c r="E1562" s="22" t="n">
        <x:v>1</x:v>
      </x:c>
      <x:c r="F1562" s="22" t="str">
        <x:v>.pdf</x:v>
      </x:c>
      <x:c r="G1562" s="25" t="str">
        <x:v>L2025-00051-1/Section 6- Specification Of Work/Services Specifications/3921-Specifications-Communication Services-T1-2024.08.22.pdf</x:v>
      </x:c>
      <x:c r="H1562" s="28" t="n">
        <x:v>1175896</x:v>
      </x:c>
      <x:c r="I1562" s="22" t="str">
        <x:v>6ec1ae716985644d39425a872a29f8aab1eea99e4b652c019e0870e6fd497430</x:v>
      </x:c>
      <x:c r="J1562" s="22" t="n">
        <x:v>0</x:v>
      </x:c>
      <x:c r="K1562" s="22" t="n">
        <x:v>0</x:v>
      </x:c>
      <x:c r="L1562" s="22" t="n">
        <x:v>0</x:v>
      </x:c>
      <x:c r="M1562" s="28" t="n">
        <x:v>0</x:v>
      </x:c>
      <x:c r="N1562" s="28" t="n">
        <x:v>0</x:v>
      </x:c>
      <x:c r="O1562" s="28" t="n">
        <x:v>0</x:v>
      </x:c>
      <x:c r="P1562" s="62" t="n">
        <x:v>0</x:v>
      </x:c>
      <x:c r="Q1562" s="22" t="n">
        <x:v>0</x:v>
      </x:c>
      <x:c r="R1562" s="22" t="str"/>
      <x:c r="S1562" s="22" t="str"/>
      <x:c r="T1562" s="22" t="str"/>
    </x:row>
    <x:row r="1563">
      <x:c r="A1563" s="22" t="str">
        <x:v>2022-00076</x:v>
      </x:c>
      <x:c r="B1563" s="22" t="str">
        <x:v>L2025-00051-1</x:v>
      </x:c>
      <x:c r="C1563" s="22" t="str">
        <x:v>공사</x:v>
      </x:c>
      <x:c r="D1563" s="25" t="str">
        <x:v>피지 국립재활센터 신축 공사</x:v>
      </x:c>
      <x:c r="E1563" s="22" t="n">
        <x:v>1</x:v>
      </x:c>
      <x:c r="F1563" s="22" t="str">
        <x:v>.pdf</x:v>
      </x:c>
      <x:c r="G1563" s="25" t="str">
        <x:v>L2025-00051-1/Section 6- Specification Of Work/Services Specifications/3921-Specifications-Mechanical Services-T1-2024.08.22.pdf</x:v>
      </x:c>
      <x:c r="H1563" s="28" t="n">
        <x:v>839820</x:v>
      </x:c>
      <x:c r="I1563" s="22" t="str">
        <x:v>b6cb2fecdcc347ef5de6cd0a62f8fcbb51267a8956460c1e8268ec2e9cbdef58</x:v>
      </x:c>
      <x:c r="J1563" s="22" t="n">
        <x:v>0</x:v>
      </x:c>
      <x:c r="K1563" s="22" t="n">
        <x:v>0</x:v>
      </x:c>
      <x:c r="L1563" s="22" t="n">
        <x:v>0</x:v>
      </x:c>
      <x:c r="M1563" s="28" t="n">
        <x:v>0</x:v>
      </x:c>
      <x:c r="N1563" s="28" t="n">
        <x:v>0</x:v>
      </x:c>
      <x:c r="O1563" s="28" t="n">
        <x:v>0</x:v>
      </x:c>
      <x:c r="P1563" s="62" t="n">
        <x:v>0</x:v>
      </x:c>
      <x:c r="Q1563" s="22" t="n">
        <x:v>0</x:v>
      </x:c>
      <x:c r="R1563" s="22" t="str"/>
      <x:c r="S1563" s="22" t="str"/>
      <x:c r="T1563" s="22" t="str"/>
    </x:row>
    <x:row r="1564">
      <x:c r="A1564" s="22" t="str">
        <x:v>2022-00076</x:v>
      </x:c>
      <x:c r="B1564" s="22" t="str">
        <x:v>L2025-00051-1</x:v>
      </x:c>
      <x:c r="C1564" s="22" t="str">
        <x:v>공사</x:v>
      </x:c>
      <x:c r="D1564" s="25" t="str">
        <x:v>피지 국립재활센터 신축 공사</x:v>
      </x:c>
      <x:c r="E1564" s="22" t="n">
        <x:v>1</x:v>
      </x:c>
      <x:c r="F1564" s="22" t="str">
        <x:v>.pdf</x:v>
      </x:c>
      <x:c r="G1564" s="25" t="str">
        <x:v>L2025-00051-1/Section 6- Specification Of Work/Services Specifications/3921-Specifications-Hydraulics Services-T1-2024.08.22.pdf</x:v>
      </x:c>
      <x:c r="H1564" s="28" t="n">
        <x:v>856981</x:v>
      </x:c>
      <x:c r="I1564" s="22" t="str">
        <x:v>1e9b6dd88e60b257a306a43b74eda25243ad298a2a7153745454208caa2f7877</x:v>
      </x:c>
      <x:c r="J1564" s="22" t="n">
        <x:v>0</x:v>
      </x:c>
      <x:c r="K1564" s="22" t="n">
        <x:v>0</x:v>
      </x:c>
      <x:c r="L1564" s="22" t="n">
        <x:v>0</x:v>
      </x:c>
      <x:c r="M1564" s="28" t="n">
        <x:v>0</x:v>
      </x:c>
      <x:c r="N1564" s="28" t="n">
        <x:v>0</x:v>
      </x:c>
      <x:c r="O1564" s="28" t="n">
        <x:v>0</x:v>
      </x:c>
      <x:c r="P1564" s="62" t="n">
        <x:v>0</x:v>
      </x:c>
      <x:c r="Q1564" s="22" t="n">
        <x:v>0</x:v>
      </x:c>
      <x:c r="R1564" s="22" t="str"/>
      <x:c r="S1564" s="22" t="str"/>
      <x:c r="T1564" s="22" t="str"/>
    </x:row>
    <x:row r="1565">
      <x:c r="A1565" s="22" t="str">
        <x:v>2022-00076</x:v>
      </x:c>
      <x:c r="B1565" s="22" t="str">
        <x:v>L2025-00051-1</x:v>
      </x:c>
      <x:c r="C1565" s="22" t="str">
        <x:v>공사</x:v>
      </x:c>
      <x:c r="D1565" s="25" t="str">
        <x:v>피지 국립재활센터 신축 공사</x:v>
      </x:c>
      <x:c r="E1565" s="22" t="n">
        <x:v>1</x:v>
      </x:c>
      <x:c r="F1565" s="22" t="str">
        <x:v>.pdf</x:v>
      </x:c>
      <x:c r="G1565" s="25" t="str">
        <x:v>L2025-00051-1/Section 6- Specification Of Work/Services Specifications/3921-Specifications-Electrical Services-T1-2024.08.22.pdf</x:v>
      </x:c>
      <x:c r="H1565" s="28" t="n">
        <x:v>798602</x:v>
      </x:c>
      <x:c r="I1565" s="22" t="str">
        <x:v>76d091c16bdb46972f3ad0bb7d448f033dfa4595cbbe8f2bde90b8a0a84ffecc</x:v>
      </x:c>
      <x:c r="J1565" s="22" t="n">
        <x:v>0</x:v>
      </x:c>
      <x:c r="K1565" s="22" t="n">
        <x:v>0</x:v>
      </x:c>
      <x:c r="L1565" s="22" t="n">
        <x:v>0</x:v>
      </x:c>
      <x:c r="M1565" s="28" t="n">
        <x:v>0</x:v>
      </x:c>
      <x:c r="N1565" s="28" t="n">
        <x:v>0</x:v>
      </x:c>
      <x:c r="O1565" s="28" t="n">
        <x:v>0</x:v>
      </x:c>
      <x:c r="P1565" s="62" t="n">
        <x:v>0</x:v>
      </x:c>
      <x:c r="Q1565" s="22" t="n">
        <x:v>0</x:v>
      </x:c>
      <x:c r="R1565" s="22" t="str"/>
      <x:c r="S1565" s="22" t="str"/>
      <x:c r="T1565" s="22" t="str"/>
    </x:row>
    <x:row r="1566">
      <x:c r="A1566" s="22" t="str">
        <x:v>2022-00076</x:v>
      </x:c>
      <x:c r="B1566" s="22" t="str">
        <x:v>L2025-00051-1</x:v>
      </x:c>
      <x:c r="C1566" s="22" t="str">
        <x:v>공사</x:v>
      </x:c>
      <x:c r="D1566" s="25" t="str">
        <x:v>피지 국립재활센터 신축 공사</x:v>
      </x:c>
      <x:c r="E1566" s="22" t="n">
        <x:v>1</x:v>
      </x:c>
      <x:c r="F1566" s="22" t="str">
        <x:v>.pdf</x:v>
      </x:c>
      <x:c r="G1566" s="25" t="str">
        <x:v>L2025-00051-1/Section 6- Specification Of Work/Services Specifications/3921-Specifications-Electronic Services-T1-2024.08.22.pdf</x:v>
      </x:c>
      <x:c r="H1566" s="28" t="n">
        <x:v>736421</x:v>
      </x:c>
      <x:c r="I1566" s="22" t="str">
        <x:v>f743b77399ceb9225a2fec3040585aeb09a86db20805a853bb76eb2a5aa9fe4a</x:v>
      </x:c>
      <x:c r="J1566" s="22" t="n">
        <x:v>0</x:v>
      </x:c>
      <x:c r="K1566" s="22" t="n">
        <x:v>0</x:v>
      </x:c>
      <x:c r="L1566" s="22" t="n">
        <x:v>0</x:v>
      </x:c>
      <x:c r="M1566" s="28" t="n">
        <x:v>0</x:v>
      </x:c>
      <x:c r="N1566" s="28" t="n">
        <x:v>0</x:v>
      </x:c>
      <x:c r="O1566" s="28" t="n">
        <x:v>0</x:v>
      </x:c>
      <x:c r="P1566" s="62" t="n">
        <x:v>0</x:v>
      </x:c>
      <x:c r="Q1566" s="22" t="n">
        <x:v>0</x:v>
      </x:c>
      <x:c r="R1566" s="22" t="str"/>
      <x:c r="S1566" s="22" t="str"/>
      <x:c r="T1566" s="22" t="str"/>
    </x:row>
    <x:row r="1567">
      <x:c r="A1567" s="22" t="str">
        <x:v>2022-00076</x:v>
      </x:c>
      <x:c r="B1567" s="22" t="str">
        <x:v>L2025-00051-2</x:v>
      </x:c>
      <x:c r="C1567" s="22" t="str">
        <x:v>공사</x:v>
      </x:c>
      <x:c r="D1567" s="25" t="str">
        <x:v>피지 국립재활센터 신축 공사</x:v>
      </x:c>
      <x:c r="E1567" s="22" t="n">
        <x:v>1</x:v>
      </x:c>
      <x:c r="F1567" s="22" t="str">
        <x:v>.xlsx</x:v>
      </x:c>
      <x:c r="G1567" s="25" t="str">
        <x:v>L2025-00051-2/Section 3-1. Annex 9 Self-Evaluation Table.xlsx</x:v>
      </x:c>
      <x:c r="H1567" s="28" t="n">
        <x:v>15221</x:v>
      </x:c>
      <x:c r="I1567" s="22" t="str">
        <x:v>f29149292606184375f4e0391fdea0f9a7b1a4de7e74f7d7ebba994f6d88eedc</x:v>
      </x:c>
      <x:c r="J1567" s="22" t="n">
        <x:v>0</x:v>
      </x:c>
      <x:c r="K1567" s="22" t="n">
        <x:v>0</x:v>
      </x:c>
      <x:c r="L1567" s="22" t="n">
        <x:v>0</x:v>
      </x:c>
      <x:c r="M1567" s="28" t="n">
        <x:v>0</x:v>
      </x:c>
      <x:c r="N1567" s="28" t="n">
        <x:v>0</x:v>
      </x:c>
      <x:c r="O1567" s="28" t="n">
        <x:v>0</x:v>
      </x:c>
      <x:c r="P1567" s="62" t="n">
        <x:v>0</x:v>
      </x:c>
      <x:c r="Q1567" s="22" t="n">
        <x:v>0</x:v>
      </x:c>
      <x:c r="R1567" s="22" t="str"/>
      <x:c r="S1567" s="22" t="str"/>
      <x:c r="T1567" s="22" t="str"/>
    </x:row>
    <x:row r="1568">
      <x:c r="A1568" s="22" t="str">
        <x:v>2022-00076</x:v>
      </x:c>
      <x:c r="B1568" s="22" t="str">
        <x:v>L2025-00051-2</x:v>
      </x:c>
      <x:c r="C1568" s="22" t="str">
        <x:v>공사</x:v>
      </x:c>
      <x:c r="D1568" s="25" t="str">
        <x:v>피지 국립재활센터 신축 공사</x:v>
      </x:c>
      <x:c r="E1568" s="22" t="n">
        <x:v>1</x:v>
      </x:c>
      <x:c r="F1568" s="22" t="str">
        <x:v>.docx</x:v>
      </x:c>
      <x:c r="G1568" s="25" t="str">
        <x:v>L2025-00051-2/Section 7 - General Conditions of Contract.docx</x:v>
      </x:c>
      <x:c r="H1568" s="28" t="n">
        <x:v>204633</x:v>
      </x:c>
      <x:c r="I1568" s="22" t="str">
        <x:v>c2fc9ecf40bceaa276b14b066319e4b7d94fa4b46326dd3ac3ca9a525daf596e</x:v>
      </x:c>
      <x:c r="J1568" s="22" t="n">
        <x:v>0</x:v>
      </x:c>
      <x:c r="K1568" s="22" t="n">
        <x:v>0</x:v>
      </x:c>
      <x:c r="L1568" s="22" t="n">
        <x:v>0</x:v>
      </x:c>
      <x:c r="M1568" s="28" t="n">
        <x:v>0</x:v>
      </x:c>
      <x:c r="N1568" s="28" t="n">
        <x:v>0</x:v>
      </x:c>
      <x:c r="O1568" s="28" t="n">
        <x:v>0</x:v>
      </x:c>
      <x:c r="P1568" s="62" t="n">
        <x:v>0</x:v>
      </x:c>
      <x:c r="Q1568" s="22" t="n">
        <x:v>0</x:v>
      </x:c>
      <x:c r="R1568" s="22" t="str"/>
      <x:c r="S1568" s="22" t="str"/>
      <x:c r="T1568" s="22" t="str"/>
    </x:row>
    <x:row r="1569">
      <x:c r="A1569" s="22" t="str">
        <x:v>2022-00076</x:v>
      </x:c>
      <x:c r="B1569" s="22" t="str">
        <x:v>L2025-00051-2</x:v>
      </x:c>
      <x:c r="C1569" s="22" t="str">
        <x:v>공사</x:v>
      </x:c>
      <x:c r="D1569" s="25" t="str">
        <x:v>피지 국립재활센터 신축 공사</x:v>
      </x:c>
      <x:c r="E1569" s="22" t="n">
        <x:v>1</x:v>
      </x:c>
      <x:c r="F1569" s="22" t="str">
        <x:v>.hwp</x:v>
      </x:c>
      <x:c r="G1569" s="25" t="str">
        <x:v>L2025-00051-2/1. (재입찰)피지 국립재활센터 설립사업 시공 입찰계획서.hwp</x:v>
      </x:c>
      <x:c r="H1569" s="28" t="n">
        <x:v>55808</x:v>
      </x:c>
      <x:c r="I1569" s="22" t="str">
        <x:v>4857dce8ffffa478ac3ed23b511883dd4234c500e230c4fa4b04b4662970601b</x:v>
      </x:c>
      <x:c r="J1569" s="22" t="n">
        <x:v>0</x:v>
      </x:c>
      <x:c r="K1569" s="22" t="n">
        <x:v>0</x:v>
      </x:c>
      <x:c r="L1569" s="22" t="n">
        <x:v>0</x:v>
      </x:c>
      <x:c r="M1569" s="28" t="n">
        <x:v>0</x:v>
      </x:c>
      <x:c r="N1569" s="28" t="n">
        <x:v>0</x:v>
      </x:c>
      <x:c r="O1569" s="28" t="n">
        <x:v>0</x:v>
      </x:c>
      <x:c r="P1569" s="62" t="n">
        <x:v>0</x:v>
      </x:c>
      <x:c r="Q1569" s="22" t="n">
        <x:v>0</x:v>
      </x:c>
      <x:c r="R1569" s="22" t="str"/>
      <x:c r="S1569" s="22" t="str"/>
      <x:c r="T1569" s="22" t="str"/>
    </x:row>
    <x:row r="1570">
      <x:c r="A1570" s="22" t="str">
        <x:v>2022-00076</x:v>
      </x:c>
      <x:c r="B1570" s="22" t="str">
        <x:v>L2025-00051-2</x:v>
      </x:c>
      <x:c r="C1570" s="22" t="str">
        <x:v>공사</x:v>
      </x:c>
      <x:c r="D1570" s="25" t="str">
        <x:v>피지 국립재활센터 신축 공사</x:v>
      </x:c>
      <x:c r="E1570" s="22" t="n">
        <x:v>1</x:v>
      </x:c>
      <x:c r="F1570" s="22" t="str">
        <x:v>.docx</x:v>
      </x:c>
      <x:c r="G1570" s="25" t="str">
        <x:v>L2025-00051-2/Section 3 - Bidding FormsR1.docx</x:v>
      </x:c>
      <x:c r="H1570" s="28" t="n">
        <x:v>83558</x:v>
      </x:c>
      <x:c r="I1570" s="22" t="str">
        <x:v>18b3f5f1ebcea816be38da235d77578e1db5284f6ae29231dcd613e1997e09f1</x:v>
      </x:c>
      <x:c r="J1570" s="22" t="n">
        <x:v>0</x:v>
      </x:c>
      <x:c r="K1570" s="22" t="n">
        <x:v>0</x:v>
      </x:c>
      <x:c r="L1570" s="22" t="n">
        <x:v>0</x:v>
      </x:c>
      <x:c r="M1570" s="28" t="n">
        <x:v>0</x:v>
      </x:c>
      <x:c r="N1570" s="28" t="n">
        <x:v>0</x:v>
      </x:c>
      <x:c r="O1570" s="28" t="n">
        <x:v>0</x:v>
      </x:c>
      <x:c r="P1570" s="62" t="n">
        <x:v>0</x:v>
      </x:c>
      <x:c r="Q1570" s="22" t="n">
        <x:v>0</x:v>
      </x:c>
      <x:c r="R1570" s="22" t="str"/>
      <x:c r="S1570" s="22" t="str"/>
      <x:c r="T1570" s="22" t="str"/>
    </x:row>
    <x:row r="1571">
      <x:c r="A1571" s="22" t="str">
        <x:v>2022-00076</x:v>
      </x:c>
      <x:c r="B1571" s="22" t="str">
        <x:v>L2025-00051-2</x:v>
      </x:c>
      <x:c r="C1571" s="22" t="str">
        <x:v>공사</x:v>
      </x:c>
      <x:c r="D1571" s="25" t="str">
        <x:v>피지 국립재활센터 신축 공사</x:v>
      </x:c>
      <x:c r="E1571" s="22" t="n">
        <x:v>1</x:v>
      </x:c>
      <x:c r="F1571" s="22" t="str">
        <x:v>.docx</x:v>
      </x:c>
      <x:c r="G1571" s="25" t="str">
        <x:v>L2025-00051-2/Section 9 - Contract FormsR1.docx</x:v>
      </x:c>
      <x:c r="H1571" s="28" t="n">
        <x:v>24586</x:v>
      </x:c>
      <x:c r="I1571" s="22" t="str">
        <x:v>20d9cf46abc96dba63a71fef1b66287b7abd5501aa1a24dd2a939505a8cc3e00</x:v>
      </x:c>
      <x:c r="J1571" s="22" t="n">
        <x:v>0</x:v>
      </x:c>
      <x:c r="K1571" s="22" t="n">
        <x:v>0</x:v>
      </x:c>
      <x:c r="L1571" s="22" t="n">
        <x:v>0</x:v>
      </x:c>
      <x:c r="M1571" s="28" t="n">
        <x:v>0</x:v>
      </x:c>
      <x:c r="N1571" s="28" t="n">
        <x:v>0</x:v>
      </x:c>
      <x:c r="O1571" s="28" t="n">
        <x:v>0</x:v>
      </x:c>
      <x:c r="P1571" s="62" t="n">
        <x:v>0</x:v>
      </x:c>
      <x:c r="Q1571" s="22" t="n">
        <x:v>0</x:v>
      </x:c>
      <x:c r="R1571" s="22" t="str"/>
      <x:c r="S1571" s="22" t="str"/>
      <x:c r="T1571" s="22" t="str"/>
    </x:row>
    <x:row r="1572">
      <x:c r="A1572" s="22" t="str">
        <x:v>2022-00076</x:v>
      </x:c>
      <x:c r="B1572" s="22" t="str">
        <x:v>L2025-00051-2</x:v>
      </x:c>
      <x:c r="C1572" s="22" t="str">
        <x:v>공사</x:v>
      </x:c>
      <x:c r="D1572" s="25" t="str">
        <x:v>피지 국립재활센터 신축 공사</x:v>
      </x:c>
      <x:c r="E1572" s="22" t="n">
        <x:v>1</x:v>
      </x:c>
      <x:c r="F1572" s="22" t="str">
        <x:v>.xlsx</x:v>
      </x:c>
      <x:c r="G1572" s="25" t="str">
        <x:v>L2025-00051-2/Section 4 - Bill of Quantity.xlsx</x:v>
      </x:c>
      <x:c r="H1572" s="28" t="n">
        <x:v>791666</x:v>
      </x:c>
      <x:c r="I1572" s="22" t="str">
        <x:v>fdbb5bdceee51a500d8090d7ac47ab3d31ad8bb593aa9d322b6cfb899c69ad43</x:v>
      </x:c>
      <x:c r="J1572" s="22" t="n">
        <x:v>1</x:v>
      </x:c>
      <x:c r="K1572" s="22" t="n">
        <x:v>1</x:v>
      </x:c>
      <x:c r="L1572" s="22" t="n">
        <x:v>0</x:v>
      </x:c>
      <x:c r="M1572" s="28" t="n">
        <x:v>13</x:v>
      </x:c>
      <x:c r="N1572" s="28" t="n">
        <x:v>204</x:v>
      </x:c>
      <x:c r="O1572" s="28" t="n">
        <x:v>0</x:v>
      </x:c>
      <x:c r="P1572" s="62" t="n">
        <x:v>0</x:v>
      </x:c>
      <x:c r="Q1572" s="22" t="n">
        <x:v>0</x:v>
      </x:c>
      <x:c r="R1572" s="22" t="str">
        <x:v>Mechanical Services</x:v>
      </x:c>
      <x:c r="S1572" s="22" t="str">
        <x:v>visible</x:v>
      </x:c>
      <x:c r="T1572" s="22" t="str"/>
    </x:row>
    <x:row r="1573">
      <x:c r="A1573" s="22" t="str">
        <x:v>2022-00076</x:v>
      </x:c>
      <x:c r="B1573" s="22" t="str">
        <x:v>L2025-00051-2</x:v>
      </x:c>
      <x:c r="C1573" s="22" t="str">
        <x:v>공사</x:v>
      </x:c>
      <x:c r="D1573" s="25" t="str">
        <x:v>피지 국립재활센터 신축 공사</x:v>
      </x:c>
      <x:c r="E1573" s="22" t="n">
        <x:v>1</x:v>
      </x:c>
      <x:c r="F1573" s="22" t="str">
        <x:v>.hwp</x:v>
      </x:c>
      <x:c r="G1573" s="25" t="str">
        <x:v>L2025-00051-2/Section 2 - Bid Data Sheet (BDS_09.2025).hwp</x:v>
      </x:c>
      <x:c r="H1573" s="28" t="n">
        <x:v>83968</x:v>
      </x:c>
      <x:c r="I1573" s="22" t="str">
        <x:v>777f35982b2b055b47236214ca6aa1ac5948ca6b7ce8de246400ede32cfb6c39</x:v>
      </x:c>
      <x:c r="J1573" s="22" t="n">
        <x:v>0</x:v>
      </x:c>
      <x:c r="K1573" s="22" t="n">
        <x:v>0</x:v>
      </x:c>
      <x:c r="L1573" s="22" t="n">
        <x:v>0</x:v>
      </x:c>
      <x:c r="M1573" s="28" t="n">
        <x:v>0</x:v>
      </x:c>
      <x:c r="N1573" s="28" t="n">
        <x:v>0</x:v>
      </x:c>
      <x:c r="O1573" s="28" t="n">
        <x:v>0</x:v>
      </x:c>
      <x:c r="P1573" s="62" t="n">
        <x:v>0</x:v>
      </x:c>
      <x:c r="Q1573" s="22" t="n">
        <x:v>0</x:v>
      </x:c>
      <x:c r="R1573" s="22" t="str"/>
      <x:c r="S1573" s="22" t="str"/>
      <x:c r="T1573" s="22" t="str"/>
    </x:row>
    <x:row r="1574">
      <x:c r="A1574" s="22" t="str">
        <x:v>2022-00076</x:v>
      </x:c>
      <x:c r="B1574" s="22" t="str">
        <x:v>L2025-00051-2</x:v>
      </x:c>
      <x:c r="C1574" s="22" t="str">
        <x:v>공사</x:v>
      </x:c>
      <x:c r="D1574" s="25" t="str">
        <x:v>피지 국립재활센터 신축 공사</x:v>
      </x:c>
      <x:c r="E1574" s="22" t="n">
        <x:v>1</x:v>
      </x:c>
      <x:c r="F1574" s="22" t="str">
        <x:v>.docx</x:v>
      </x:c>
      <x:c r="G1574" s="25" t="str">
        <x:v>L2025-00051-2/Section 8 - Specail Conditions of ContractR1.docx</x:v>
      </x:c>
      <x:c r="H1574" s="28" t="n">
        <x:v>44691</x:v>
      </x:c>
      <x:c r="I1574" s="22" t="str">
        <x:v>00db76fad3378a08a87f199f88a95f037af48fde04d761207ccb5a76a74966e6</x:v>
      </x:c>
      <x:c r="J1574" s="22" t="n">
        <x:v>0</x:v>
      </x:c>
      <x:c r="K1574" s="22" t="n">
        <x:v>0</x:v>
      </x:c>
      <x:c r="L1574" s="22" t="n">
        <x:v>0</x:v>
      </x:c>
      <x:c r="M1574" s="28" t="n">
        <x:v>0</x:v>
      </x:c>
      <x:c r="N1574" s="28" t="n">
        <x:v>0</x:v>
      </x:c>
      <x:c r="O1574" s="28" t="n">
        <x:v>0</x:v>
      </x:c>
      <x:c r="P1574" s="62" t="n">
        <x:v>0</x:v>
      </x:c>
      <x:c r="Q1574" s="22" t="n">
        <x:v>0</x:v>
      </x:c>
      <x:c r="R1574" s="22" t="str"/>
      <x:c r="S1574" s="22" t="str"/>
      <x:c r="T1574" s="22" t="str"/>
    </x:row>
    <x:row r="1575">
      <x:c r="A1575" s="22" t="str">
        <x:v>2022-00076</x:v>
      </x:c>
      <x:c r="B1575" s="22" t="str">
        <x:v>L2025-00051-2</x:v>
      </x:c>
      <x:c r="C1575" s="22" t="str">
        <x:v>공사</x:v>
      </x:c>
      <x:c r="D1575" s="25" t="str">
        <x:v>피지 국립재활센터 신축 공사</x:v>
      </x:c>
      <x:c r="E1575" s="22" t="n">
        <x:v>1</x:v>
      </x:c>
      <x:c r="F1575" s="22" t="str">
        <x:v>.zip</x:v>
      </x:c>
      <x:c r="G1575" s="25" t="str">
        <x:v>L2025-00051-2/Section 6- Specification Of Work.zip</x:v>
      </x:c>
      <x:c r="H1575" s="28" t="n">
        <x:v>12780360</x:v>
      </x:c>
      <x:c r="I1575" s="22" t="str">
        <x:v>561240ccfadb0f5736f39c773e324a90cb9998acf4d988da4436dfd89c2a4473</x:v>
      </x:c>
      <x:c r="J1575" s="22" t="n">
        <x:v>0</x:v>
      </x:c>
      <x:c r="K1575" s="22" t="n">
        <x:v>0</x:v>
      </x:c>
      <x:c r="L1575" s="22" t="n">
        <x:v>0</x:v>
      </x:c>
      <x:c r="M1575" s="28" t="n">
        <x:v>0</x:v>
      </x:c>
      <x:c r="N1575" s="28" t="n">
        <x:v>0</x:v>
      </x:c>
      <x:c r="O1575" s="28" t="n">
        <x:v>0</x:v>
      </x:c>
      <x:c r="P1575" s="62" t="n">
        <x:v>0</x:v>
      </x:c>
      <x:c r="Q1575" s="22" t="n">
        <x:v>0</x:v>
      </x:c>
      <x:c r="R1575" s="22" t="str"/>
      <x:c r="S1575" s="22" t="str"/>
      <x:c r="T1575" s="22" t="str"/>
    </x:row>
    <x:row r="1576">
      <x:c r="A1576" s="22" t="str">
        <x:v>2022-00076</x:v>
      </x:c>
      <x:c r="B1576" s="22" t="str">
        <x:v>L2025-00051-2</x:v>
      </x:c>
      <x:c r="C1576" s="22" t="str">
        <x:v>공사</x:v>
      </x:c>
      <x:c r="D1576" s="25" t="str">
        <x:v>피지 국립재활센터 신축 공사</x:v>
      </x:c>
      <x:c r="E1576" s="22" t="n">
        <x:v>1</x:v>
      </x:c>
      <x:c r="F1576" s="22" t="str">
        <x:v>.pdf</x:v>
      </x:c>
      <x:c r="G1576" s="25" t="str">
        <x:v>L2025-00051-2/Section 6- Specification Of Work/REHAB SPECIFICATION-ARCHITECTURAL.pdf</x:v>
      </x:c>
      <x:c r="H1576" s="28" t="n">
        <x:v>8524601</x:v>
      </x:c>
      <x:c r="I1576" s="22" t="str">
        <x:v>c1e664c94a79717284d29eeae40d32e8551fc979c0063722b1e2bad54de00cfc</x:v>
      </x:c>
      <x:c r="J1576" s="22" t="n">
        <x:v>0</x:v>
      </x:c>
      <x:c r="K1576" s="22" t="n">
        <x:v>0</x:v>
      </x:c>
      <x:c r="L1576" s="22" t="n">
        <x:v>0</x:v>
      </x:c>
      <x:c r="M1576" s="28" t="n">
        <x:v>0</x:v>
      </x:c>
      <x:c r="N1576" s="28" t="n">
        <x:v>0</x:v>
      </x:c>
      <x:c r="O1576" s="28" t="n">
        <x:v>0</x:v>
      </x:c>
      <x:c r="P1576" s="62" t="n">
        <x:v>0</x:v>
      </x:c>
      <x:c r="Q1576" s="22" t="n">
        <x:v>0</x:v>
      </x:c>
      <x:c r="R1576" s="22" t="str"/>
      <x:c r="S1576" s="22" t="str"/>
      <x:c r="T1576" s="22" t="str"/>
    </x:row>
    <x:row r="1577">
      <x:c r="A1577" s="22" t="str">
        <x:v>2022-00076</x:v>
      </x:c>
      <x:c r="B1577" s="22" t="str">
        <x:v>L2025-00051-2</x:v>
      </x:c>
      <x:c r="C1577" s="22" t="str">
        <x:v>공사</x:v>
      </x:c>
      <x:c r="D1577" s="25" t="str">
        <x:v>피지 국립재활센터 신축 공사</x:v>
      </x:c>
      <x:c r="E1577" s="22" t="n">
        <x:v>1</x:v>
      </x:c>
      <x:c r="F1577" s="22" t="str">
        <x:v>.pdf</x:v>
      </x:c>
      <x:c r="G1577" s="25" t="str">
        <x:v>L2025-00051-2/Section 6- Specification Of Work/Services Specifications/3921-Specifications-Fire protection Services-T1-2024.08.22.pdf</x:v>
      </x:c>
      <x:c r="H1577" s="28" t="n">
        <x:v>791984</x:v>
      </x:c>
      <x:c r="I1577" s="22" t="str">
        <x:v>b2ff29e763ccdbdbdb89ec88c16a1e031cb22958d1aa6d5f9ceb715ac35a649d</x:v>
      </x:c>
      <x:c r="J1577" s="22" t="n">
        <x:v>0</x:v>
      </x:c>
      <x:c r="K1577" s="22" t="n">
        <x:v>0</x:v>
      </x:c>
      <x:c r="L1577" s="22" t="n">
        <x:v>0</x:v>
      </x:c>
      <x:c r="M1577" s="28" t="n">
        <x:v>0</x:v>
      </x:c>
      <x:c r="N1577" s="28" t="n">
        <x:v>0</x:v>
      </x:c>
      <x:c r="O1577" s="28" t="n">
        <x:v>0</x:v>
      </x:c>
      <x:c r="P1577" s="62" t="n">
        <x:v>0</x:v>
      </x:c>
      <x:c r="Q1577" s="22" t="n">
        <x:v>0</x:v>
      </x:c>
      <x:c r="R1577" s="22" t="str"/>
      <x:c r="S1577" s="22" t="str"/>
      <x:c r="T1577" s="22" t="str"/>
    </x:row>
    <x:row r="1578">
      <x:c r="A1578" s="22" t="str">
        <x:v>2022-00076</x:v>
      </x:c>
      <x:c r="B1578" s="22" t="str">
        <x:v>L2025-00051-2</x:v>
      </x:c>
      <x:c r="C1578" s="22" t="str">
        <x:v>공사</x:v>
      </x:c>
      <x:c r="D1578" s="25" t="str">
        <x:v>피지 국립재활센터 신축 공사</x:v>
      </x:c>
      <x:c r="E1578" s="22" t="n">
        <x:v>1</x:v>
      </x:c>
      <x:c r="F1578" s="22" t="str">
        <x:v>.pdf</x:v>
      </x:c>
      <x:c r="G1578" s="25" t="str">
        <x:v>L2025-00051-2/Section 6- Specification Of Work/Services Specifications/3921-Specifications-Communication Services-T1-2024.08.22.pdf</x:v>
      </x:c>
      <x:c r="H1578" s="28" t="n">
        <x:v>1175896</x:v>
      </x:c>
      <x:c r="I1578" s="22" t="str">
        <x:v>6ec1ae716985644d39425a872a29f8aab1eea99e4b652c019e0870e6fd497430</x:v>
      </x:c>
      <x:c r="J1578" s="22" t="n">
        <x:v>0</x:v>
      </x:c>
      <x:c r="K1578" s="22" t="n">
        <x:v>0</x:v>
      </x:c>
      <x:c r="L1578" s="22" t="n">
        <x:v>0</x:v>
      </x:c>
      <x:c r="M1578" s="28" t="n">
        <x:v>0</x:v>
      </x:c>
      <x:c r="N1578" s="28" t="n">
        <x:v>0</x:v>
      </x:c>
      <x:c r="O1578" s="28" t="n">
        <x:v>0</x:v>
      </x:c>
      <x:c r="P1578" s="62" t="n">
        <x:v>0</x:v>
      </x:c>
      <x:c r="Q1578" s="22" t="n">
        <x:v>0</x:v>
      </x:c>
      <x:c r="R1578" s="22" t="str"/>
      <x:c r="S1578" s="22" t="str"/>
      <x:c r="T1578" s="22" t="str"/>
    </x:row>
    <x:row r="1579">
      <x:c r="A1579" s="22" t="str">
        <x:v>2022-00076</x:v>
      </x:c>
      <x:c r="B1579" s="22" t="str">
        <x:v>L2025-00051-2</x:v>
      </x:c>
      <x:c r="C1579" s="22" t="str">
        <x:v>공사</x:v>
      </x:c>
      <x:c r="D1579" s="25" t="str">
        <x:v>피지 국립재활센터 신축 공사</x:v>
      </x:c>
      <x:c r="E1579" s="22" t="n">
        <x:v>1</x:v>
      </x:c>
      <x:c r="F1579" s="22" t="str">
        <x:v>.pdf</x:v>
      </x:c>
      <x:c r="G1579" s="25" t="str">
        <x:v>L2025-00051-2/Section 6- Specification Of Work/Services Specifications/3921-Specifications-Mechanical Services-T1-2024.08.22.pdf</x:v>
      </x:c>
      <x:c r="H1579" s="28" t="n">
        <x:v>839820</x:v>
      </x:c>
      <x:c r="I1579" s="22" t="str">
        <x:v>b6cb2fecdcc347ef5de6cd0a62f8fcbb51267a8956460c1e8268ec2e9cbdef58</x:v>
      </x:c>
      <x:c r="J1579" s="22" t="n">
        <x:v>0</x:v>
      </x:c>
      <x:c r="K1579" s="22" t="n">
        <x:v>0</x:v>
      </x:c>
      <x:c r="L1579" s="22" t="n">
        <x:v>0</x:v>
      </x:c>
      <x:c r="M1579" s="28" t="n">
        <x:v>0</x:v>
      </x:c>
      <x:c r="N1579" s="28" t="n">
        <x:v>0</x:v>
      </x:c>
      <x:c r="O1579" s="28" t="n">
        <x:v>0</x:v>
      </x:c>
      <x:c r="P1579" s="62" t="n">
        <x:v>0</x:v>
      </x:c>
      <x:c r="Q1579" s="22" t="n">
        <x:v>0</x:v>
      </x:c>
      <x:c r="R1579" s="22" t="str"/>
      <x:c r="S1579" s="22" t="str"/>
      <x:c r="T1579" s="22" t="str"/>
    </x:row>
    <x:row r="1580">
      <x:c r="A1580" s="22" t="str">
        <x:v>2022-00076</x:v>
      </x:c>
      <x:c r="B1580" s="22" t="str">
        <x:v>L2025-00051-2</x:v>
      </x:c>
      <x:c r="C1580" s="22" t="str">
        <x:v>공사</x:v>
      </x:c>
      <x:c r="D1580" s="25" t="str">
        <x:v>피지 국립재활센터 신축 공사</x:v>
      </x:c>
      <x:c r="E1580" s="22" t="n">
        <x:v>1</x:v>
      </x:c>
      <x:c r="F1580" s="22" t="str">
        <x:v>.pdf</x:v>
      </x:c>
      <x:c r="G1580" s="25" t="str">
        <x:v>L2025-00051-2/Section 6- Specification Of Work/Services Specifications/3921-Specifications-Hydraulics Services-T1-2024.08.22.pdf</x:v>
      </x:c>
      <x:c r="H1580" s="28" t="n">
        <x:v>856981</x:v>
      </x:c>
      <x:c r="I1580" s="22" t="str">
        <x:v>1e9b6dd88e60b257a306a43b74eda25243ad298a2a7153745454208caa2f7877</x:v>
      </x:c>
      <x:c r="J1580" s="22" t="n">
        <x:v>0</x:v>
      </x:c>
      <x:c r="K1580" s="22" t="n">
        <x:v>0</x:v>
      </x:c>
      <x:c r="L1580" s="22" t="n">
        <x:v>0</x:v>
      </x:c>
      <x:c r="M1580" s="28" t="n">
        <x:v>0</x:v>
      </x:c>
      <x:c r="N1580" s="28" t="n">
        <x:v>0</x:v>
      </x:c>
      <x:c r="O1580" s="28" t="n">
        <x:v>0</x:v>
      </x:c>
      <x:c r="P1580" s="62" t="n">
        <x:v>0</x:v>
      </x:c>
      <x:c r="Q1580" s="22" t="n">
        <x:v>0</x:v>
      </x:c>
      <x:c r="R1580" s="22" t="str"/>
      <x:c r="S1580" s="22" t="str"/>
      <x:c r="T1580" s="22" t="str"/>
    </x:row>
    <x:row r="1581">
      <x:c r="A1581" s="22" t="str">
        <x:v>2022-00076</x:v>
      </x:c>
      <x:c r="B1581" s="22" t="str">
        <x:v>L2025-00051-2</x:v>
      </x:c>
      <x:c r="C1581" s="22" t="str">
        <x:v>공사</x:v>
      </x:c>
      <x:c r="D1581" s="25" t="str">
        <x:v>피지 국립재활센터 신축 공사</x:v>
      </x:c>
      <x:c r="E1581" s="22" t="n">
        <x:v>1</x:v>
      </x:c>
      <x:c r="F1581" s="22" t="str">
        <x:v>.pdf</x:v>
      </x:c>
      <x:c r="G1581" s="25" t="str">
        <x:v>L2025-00051-2/Section 6- Specification Of Work/Services Specifications/3921-Specifications-Electrical Services-T1-2024.08.22.pdf</x:v>
      </x:c>
      <x:c r="H1581" s="28" t="n">
        <x:v>798602</x:v>
      </x:c>
      <x:c r="I1581" s="22" t="str">
        <x:v>76d091c16bdb46972f3ad0bb7d448f033dfa4595cbbe8f2bde90b8a0a84ffecc</x:v>
      </x:c>
      <x:c r="J1581" s="22" t="n">
        <x:v>0</x:v>
      </x:c>
      <x:c r="K1581" s="22" t="n">
        <x:v>0</x:v>
      </x:c>
      <x:c r="L1581" s="22" t="n">
        <x:v>0</x:v>
      </x:c>
      <x:c r="M1581" s="28" t="n">
        <x:v>0</x:v>
      </x:c>
      <x:c r="N1581" s="28" t="n">
        <x:v>0</x:v>
      </x:c>
      <x:c r="O1581" s="28" t="n">
        <x:v>0</x:v>
      </x:c>
      <x:c r="P1581" s="62" t="n">
        <x:v>0</x:v>
      </x:c>
      <x:c r="Q1581" s="22" t="n">
        <x:v>0</x:v>
      </x:c>
      <x:c r="R1581" s="22" t="str"/>
      <x:c r="S1581" s="22" t="str"/>
      <x:c r="T1581" s="22" t="str"/>
    </x:row>
    <x:row r="1582">
      <x:c r="A1582" s="22" t="str">
        <x:v>2022-00076</x:v>
      </x:c>
      <x:c r="B1582" s="22" t="str">
        <x:v>L2025-00051-2</x:v>
      </x:c>
      <x:c r="C1582" s="22" t="str">
        <x:v>공사</x:v>
      </x:c>
      <x:c r="D1582" s="25" t="str">
        <x:v>피지 국립재활센터 신축 공사</x:v>
      </x:c>
      <x:c r="E1582" s="22" t="n">
        <x:v>1</x:v>
      </x:c>
      <x:c r="F1582" s="22" t="str">
        <x:v>.pdf</x:v>
      </x:c>
      <x:c r="G1582" s="25" t="str">
        <x:v>L2025-00051-2/Section 6- Specification Of Work/Services Specifications/3921-Specifications-Electronic Services-T1-2024.08.22.pdf</x:v>
      </x:c>
      <x:c r="H1582" s="28" t="n">
        <x:v>736421</x:v>
      </x:c>
      <x:c r="I1582" s="22" t="str">
        <x:v>f743b77399ceb9225a2fec3040585aeb09a86db20805a853bb76eb2a5aa9fe4a</x:v>
      </x:c>
      <x:c r="J1582" s="22" t="n">
        <x:v>0</x:v>
      </x:c>
      <x:c r="K1582" s="22" t="n">
        <x:v>0</x:v>
      </x:c>
      <x:c r="L1582" s="22" t="n">
        <x:v>0</x:v>
      </x:c>
      <x:c r="M1582" s="28" t="n">
        <x:v>0</x:v>
      </x:c>
      <x:c r="N1582" s="28" t="n">
        <x:v>0</x:v>
      </x:c>
      <x:c r="O1582" s="28" t="n">
        <x:v>0</x:v>
      </x:c>
      <x:c r="P1582" s="62" t="n">
        <x:v>0</x:v>
      </x:c>
      <x:c r="Q1582" s="22" t="n">
        <x:v>0</x:v>
      </x:c>
      <x:c r="R1582" s="22" t="str"/>
      <x:c r="S1582" s="22" t="str"/>
      <x:c r="T1582" s="22" t="str"/>
    </x:row>
    <x:row r="1583">
      <x:c r="A1583" s="22" t="str">
        <x:v>2021-00097</x:v>
      </x:c>
      <x:c r="B1583" s="22" t="str">
        <x:v>L2023-00030-1</x:v>
      </x:c>
      <x:c r="C1583" s="22" t="str">
        <x:v>용역</x:v>
      </x:c>
      <x:c r="D1583" s="25" t="str">
        <x:v>피지 농업공존형 태양광 발전사업(GCF) 영농기술센터 및 농기자재 보관창고 신축 설계 및 감리용역</x:v>
      </x:c>
      <x:c r="E1583" s="22" t="n">
        <x:v>0</x:v>
      </x:c>
      <x:c r="F1583" s="22" t="str">
        <x:v>.docx</x:v>
      </x:c>
      <x:c r="G1583" s="25" t="str">
        <x:v>L2023-00030-1/2. Bid Data Sheet(Design &amp; Construction Supervision Services_Ovalau_KOICA)_v2.docx</x:v>
      </x:c>
      <x:c r="H1583" s="28" t="n">
        <x:v>38488</x:v>
      </x:c>
      <x:c r="I1583" s="22" t="str">
        <x:v>366bd03a0d482e3ec42f83943771ecd43a07cfc70d28fa0f47c4d7840b315898</x:v>
      </x:c>
      <x:c r="J1583" s="22" t="n">
        <x:v>0</x:v>
      </x:c>
      <x:c r="K1583" s="22" t="n">
        <x:v>0</x:v>
      </x:c>
      <x:c r="L1583" s="22" t="n">
        <x:v>0</x:v>
      </x:c>
      <x:c r="M1583" s="28" t="n">
        <x:v>0</x:v>
      </x:c>
      <x:c r="N1583" s="28" t="n">
        <x:v>0</x:v>
      </x:c>
      <x:c r="O1583" s="28" t="n">
        <x:v>0</x:v>
      </x:c>
      <x:c r="P1583" s="62" t="n">
        <x:v>0</x:v>
      </x:c>
      <x:c r="Q1583" s="22" t="n">
        <x:v>0</x:v>
      </x:c>
      <x:c r="R1583" s="22" t="str"/>
      <x:c r="S1583" s="22" t="str"/>
      <x:c r="T1583" s="22" t="str"/>
    </x:row>
    <x:row r="1584">
      <x:c r="A1584" s="22" t="str">
        <x:v>2021-00097</x:v>
      </x:c>
      <x:c r="B1584" s="22" t="str">
        <x:v>L2023-00030-1</x:v>
      </x:c>
      <x:c r="C1584" s="22" t="str">
        <x:v>용역</x:v>
      </x:c>
      <x:c r="D1584" s="25" t="str">
        <x:v>피지 농업공존형 태양광 발전사업(GCF) 영농기술센터 및 농기자재 보관창고 신축 설계 및 감리용역</x:v>
      </x:c>
      <x:c r="E1584" s="22" t="n">
        <x:v>0</x:v>
      </x:c>
      <x:c r="F1584" s="22" t="str">
        <x:v>.docx</x:v>
      </x:c>
      <x:c r="G1584" s="25" t="str">
        <x:v>L2023-00030-1/1. Invitation for Bids(Design &amp; Construction Supervision Services_Ovalau_KOICA)_v3.docx</x:v>
      </x:c>
      <x:c r="H1584" s="28" t="n">
        <x:v>39421</x:v>
      </x:c>
      <x:c r="I1584" s="22" t="str">
        <x:v>6070876b063b0564b8744e94e742b8ec76b2c087b3cdb9c101f2abaf8476b41a</x:v>
      </x:c>
      <x:c r="J1584" s="22" t="n">
        <x:v>0</x:v>
      </x:c>
      <x:c r="K1584" s="22" t="n">
        <x:v>0</x:v>
      </x:c>
      <x:c r="L1584" s="22" t="n">
        <x:v>0</x:v>
      </x:c>
      <x:c r="M1584" s="28" t="n">
        <x:v>0</x:v>
      </x:c>
      <x:c r="N1584" s="28" t="n">
        <x:v>0</x:v>
      </x:c>
      <x:c r="O1584" s="28" t="n">
        <x:v>0</x:v>
      </x:c>
      <x:c r="P1584" s="62" t="n">
        <x:v>0</x:v>
      </x:c>
      <x:c r="Q1584" s="22" t="n">
        <x:v>0</x:v>
      </x:c>
      <x:c r="R1584" s="22" t="str"/>
      <x:c r="S1584" s="22" t="str"/>
      <x:c r="T1584" s="22" t="str"/>
    </x:row>
    <x:row r="1585">
      <x:c r="A1585" s="22" t="str">
        <x:v>2022-00069</x:v>
      </x:c>
      <x:c r="B1585" s="22" t="str">
        <x:v>L2025-00075-1</x:v>
      </x:c>
      <x:c r="C1585" s="22" t="str">
        <x:v>용역</x:v>
      </x:c>
      <x:c r="D1585" s="25" t="str">
        <x:v>(긴급) 필리핀 기마라스주 해수양식센터 건립 설계 용역업체 선정</x:v>
      </x:c>
      <x:c r="E1585" s="22" t="n">
        <x:v>0</x:v>
      </x:c>
      <x:c r="F1585" s="22" t="str">
        <x:v>.docx</x:v>
      </x:c>
      <x:c r="G1585" s="25" t="str">
        <x:v>L2025-00075-1/Section 5 - Request for Proposal (RFP)_Design Service_fin.docx</x:v>
      </x:c>
      <x:c r="H1585" s="28" t="n">
        <x:v>6199714</x:v>
      </x:c>
      <x:c r="I1585" s="22" t="str">
        <x:v>6598dc89bdaf38e8b5d7e09d6b9270584643632351e226a237870622fe0fdb9c</x:v>
      </x:c>
      <x:c r="J1585" s="22" t="n">
        <x:v>0</x:v>
      </x:c>
      <x:c r="K1585" s="22" t="n">
        <x:v>0</x:v>
      </x:c>
      <x:c r="L1585" s="22" t="n">
        <x:v>0</x:v>
      </x:c>
      <x:c r="M1585" s="28" t="n">
        <x:v>0</x:v>
      </x:c>
      <x:c r="N1585" s="28" t="n">
        <x:v>0</x:v>
      </x:c>
      <x:c r="O1585" s="28" t="n">
        <x:v>0</x:v>
      </x:c>
      <x:c r="P1585" s="62" t="n">
        <x:v>0</x:v>
      </x:c>
      <x:c r="Q1585" s="22" t="n">
        <x:v>0</x:v>
      </x:c>
      <x:c r="R1585" s="22" t="str"/>
      <x:c r="S1585" s="22" t="str"/>
      <x:c r="T1585" s="22" t="str"/>
    </x:row>
    <x:row r="1586">
      <x:c r="A1586" s="22" t="str">
        <x:v>2022-00069</x:v>
      </x:c>
      <x:c r="B1586" s="22" t="str">
        <x:v>L2025-00075-1</x:v>
      </x:c>
      <x:c r="C1586" s="22" t="str">
        <x:v>용역</x:v>
      </x:c>
      <x:c r="D1586" s="25" t="str">
        <x:v>(긴급) 필리핀 기마라스주 해수양식센터 건립 설계 용역업체 선정</x:v>
      </x:c>
      <x:c r="E1586" s="22" t="n">
        <x:v>0</x:v>
      </x:c>
      <x:c r="F1586" s="22" t="str">
        <x:v>.docx</x:v>
      </x:c>
      <x:c r="G1586" s="25" t="str">
        <x:v>L2025-00075-1/Section 8 - Contract Forms_fin.docx</x:v>
      </x:c>
      <x:c r="H1586" s="28" t="n">
        <x:v>27821</x:v>
      </x:c>
      <x:c r="I1586" s="22" t="str">
        <x:v>c9740972c19c25da3b736b36268da855e3bc8c63e65f0fbaef539de32ece365d</x:v>
      </x:c>
      <x:c r="J1586" s="22" t="n">
        <x:v>0</x:v>
      </x:c>
      <x:c r="K1586" s="22" t="n">
        <x:v>0</x:v>
      </x:c>
      <x:c r="L1586" s="22" t="n">
        <x:v>0</x:v>
      </x:c>
      <x:c r="M1586" s="28" t="n">
        <x:v>0</x:v>
      </x:c>
      <x:c r="N1586" s="28" t="n">
        <x:v>0</x:v>
      </x:c>
      <x:c r="O1586" s="28" t="n">
        <x:v>0</x:v>
      </x:c>
      <x:c r="P1586" s="62" t="n">
        <x:v>0</x:v>
      </x:c>
      <x:c r="Q1586" s="22" t="n">
        <x:v>0</x:v>
      </x:c>
      <x:c r="R1586" s="22" t="str"/>
      <x:c r="S1586" s="22" t="str"/>
      <x:c r="T1586" s="22" t="str"/>
    </x:row>
    <x:row r="1587">
      <x:c r="A1587" s="22" t="str">
        <x:v>2022-00069</x:v>
      </x:c>
      <x:c r="B1587" s="22" t="str">
        <x:v>L2025-00075-1</x:v>
      </x:c>
      <x:c r="C1587" s="22" t="str">
        <x:v>용역</x:v>
      </x:c>
      <x:c r="D1587" s="25" t="str">
        <x:v>(긴급) 필리핀 기마라스주 해수양식센터 건립 설계 용역업체 선정</x:v>
      </x:c>
      <x:c r="E1587" s="22" t="n">
        <x:v>0</x:v>
      </x:c>
      <x:c r="F1587" s="22" t="str">
        <x:v>.docx</x:v>
      </x:c>
      <x:c r="G1587" s="25" t="str">
        <x:v>L2025-00075-1/Section 6 - General Conditions of Contract_fin.docx</x:v>
      </x:c>
      <x:c r="H1587" s="28" t="n">
        <x:v>42999</x:v>
      </x:c>
      <x:c r="I1587" s="22" t="str">
        <x:v>e6e75d0ee09a632b11a4c7146081abb31fe87e5a7b4dcb669e949444959e00ea</x:v>
      </x:c>
      <x:c r="J1587" s="22" t="n">
        <x:v>0</x:v>
      </x:c>
      <x:c r="K1587" s="22" t="n">
        <x:v>0</x:v>
      </x:c>
      <x:c r="L1587" s="22" t="n">
        <x:v>0</x:v>
      </x:c>
      <x:c r="M1587" s="28" t="n">
        <x:v>0</x:v>
      </x:c>
      <x:c r="N1587" s="28" t="n">
        <x:v>0</x:v>
      </x:c>
      <x:c r="O1587" s="28" t="n">
        <x:v>0</x:v>
      </x:c>
      <x:c r="P1587" s="62" t="n">
        <x:v>0</x:v>
      </x:c>
      <x:c r="Q1587" s="22" t="n">
        <x:v>0</x:v>
      </x:c>
      <x:c r="R1587" s="22" t="str"/>
      <x:c r="S1587" s="22" t="str"/>
      <x:c r="T1587" s="22" t="str"/>
    </x:row>
    <x:row r="1588">
      <x:c r="A1588" s="22" t="str">
        <x:v>2022-00069</x:v>
      </x:c>
      <x:c r="B1588" s="22" t="str">
        <x:v>L2025-00075-1</x:v>
      </x:c>
      <x:c r="C1588" s="22" t="str">
        <x:v>용역</x:v>
      </x:c>
      <x:c r="D1588" s="25" t="str">
        <x:v>(긴급) 필리핀 기마라스주 해수양식센터 건립 설계 용역업체 선정</x:v>
      </x:c>
      <x:c r="E1588" s="22" t="n">
        <x:v>0</x:v>
      </x:c>
      <x:c r="F1588" s="22" t="str">
        <x:v>.docx</x:v>
      </x:c>
      <x:c r="G1588" s="25" t="str">
        <x:v>L2025-00075-1/Section 2 - Bid Data Sheet (BDS)_20250913_fin.docx</x:v>
      </x:c>
      <x:c r="H1588" s="28" t="n">
        <x:v>78715</x:v>
      </x:c>
      <x:c r="I1588" s="22" t="str">
        <x:v>06de9497af11d5c02ae901680f1f1bfb388617db825751a17b41f41e40a88c6d</x:v>
      </x:c>
      <x:c r="J1588" s="22" t="n">
        <x:v>0</x:v>
      </x:c>
      <x:c r="K1588" s="22" t="n">
        <x:v>0</x:v>
      </x:c>
      <x:c r="L1588" s="22" t="n">
        <x:v>0</x:v>
      </x:c>
      <x:c r="M1588" s="28" t="n">
        <x:v>0</x:v>
      </x:c>
      <x:c r="N1588" s="28" t="n">
        <x:v>0</x:v>
      </x:c>
      <x:c r="O1588" s="28" t="n">
        <x:v>0</x:v>
      </x:c>
      <x:c r="P1588" s="62" t="n">
        <x:v>0</x:v>
      </x:c>
      <x:c r="Q1588" s="22" t="n">
        <x:v>0</x:v>
      </x:c>
      <x:c r="R1588" s="22" t="str"/>
      <x:c r="S1588" s="22" t="str"/>
      <x:c r="T1588" s="22" t="str"/>
    </x:row>
    <x:row r="1589">
      <x:c r="A1589" s="22" t="str">
        <x:v>2022-00069</x:v>
      </x:c>
      <x:c r="B1589" s="22" t="str">
        <x:v>L2025-00075-1</x:v>
      </x:c>
      <x:c r="C1589" s="22" t="str">
        <x:v>용역</x:v>
      </x:c>
      <x:c r="D1589" s="25" t="str">
        <x:v>(긴급) 필리핀 기마라스주 해수양식센터 건립 설계 용역업체 선정</x:v>
      </x:c>
      <x:c r="E1589" s="22" t="n">
        <x:v>0</x:v>
      </x:c>
      <x:c r="F1589" s="22" t="str">
        <x:v>.docx</x:v>
      </x:c>
      <x:c r="G1589" s="25" t="str">
        <x:v>L2025-00075-1/Section 7 - Special Conditions of Contract_fin.docx</x:v>
      </x:c>
      <x:c r="H1589" s="28" t="n">
        <x:v>43667</x:v>
      </x:c>
      <x:c r="I1589" s="22" t="str">
        <x:v>9e57f046f2e1840be7526f0bdcc0089e604494511b118d39d21e1bd4b3c07ab5</x:v>
      </x:c>
      <x:c r="J1589" s="22" t="n">
        <x:v>0</x:v>
      </x:c>
      <x:c r="K1589" s="22" t="n">
        <x:v>0</x:v>
      </x:c>
      <x:c r="L1589" s="22" t="n">
        <x:v>0</x:v>
      </x:c>
      <x:c r="M1589" s="28" t="n">
        <x:v>0</x:v>
      </x:c>
      <x:c r="N1589" s="28" t="n">
        <x:v>0</x:v>
      </x:c>
      <x:c r="O1589" s="28" t="n">
        <x:v>0</x:v>
      </x:c>
      <x:c r="P1589" s="62" t="n">
        <x:v>0</x:v>
      </x:c>
      <x:c r="Q1589" s="22" t="n">
        <x:v>0</x:v>
      </x:c>
      <x:c r="R1589" s="22" t="str"/>
      <x:c r="S1589" s="22" t="str"/>
      <x:c r="T1589" s="22" t="str"/>
    </x:row>
    <x:row r="1590">
      <x:c r="A1590" s="22" t="str">
        <x:v>2022-00069</x:v>
      </x:c>
      <x:c r="B1590" s="22" t="str">
        <x:v>L2025-00075-1</x:v>
      </x:c>
      <x:c r="C1590" s="22" t="str">
        <x:v>용역</x:v>
      </x:c>
      <x:c r="D1590" s="25" t="str">
        <x:v>(긴급) 필리핀 기마라스주 해수양식센터 건립 설계 용역업체 선정</x:v>
      </x:c>
      <x:c r="E1590" s="22" t="n">
        <x:v>0</x:v>
      </x:c>
      <x:c r="F1590" s="22" t="str">
        <x:v>.docx</x:v>
      </x:c>
      <x:c r="G1590" s="25" t="str">
        <x:v>L2025-00075-1/Section 1 - Instructions to Bidders (ITB)_fin.docx</x:v>
      </x:c>
      <x:c r="H1590" s="28" t="n">
        <x:v>35098</x:v>
      </x:c>
      <x:c r="I1590" s="22" t="str">
        <x:v>04a0ad92bbc14a8ebab858b7def56f4aca6bea98247ea523985bfad1f3641c1b</x:v>
      </x:c>
      <x:c r="J1590" s="22" t="n">
        <x:v>0</x:v>
      </x:c>
      <x:c r="K1590" s="22" t="n">
        <x:v>0</x:v>
      </x:c>
      <x:c r="L1590" s="22" t="n">
        <x:v>0</x:v>
      </x:c>
      <x:c r="M1590" s="28" t="n">
        <x:v>0</x:v>
      </x:c>
      <x:c r="N1590" s="28" t="n">
        <x:v>0</x:v>
      </x:c>
      <x:c r="O1590" s="28" t="n">
        <x:v>0</x:v>
      </x:c>
      <x:c r="P1590" s="62" t="n">
        <x:v>0</x:v>
      </x:c>
      <x:c r="Q1590" s="22" t="n">
        <x:v>0</x:v>
      </x:c>
      <x:c r="R1590" s="22" t="str"/>
      <x:c r="S1590" s="22" t="str"/>
      <x:c r="T1590" s="22" t="str"/>
    </x:row>
    <x:row r="1591">
      <x:c r="A1591" s="22" t="str">
        <x:v>2022-00069</x:v>
      </x:c>
      <x:c r="B1591" s="22" t="str">
        <x:v>L2025-00075-1</x:v>
      </x:c>
      <x:c r="C1591" s="22" t="str">
        <x:v>용역</x:v>
      </x:c>
      <x:c r="D1591" s="25" t="str">
        <x:v>(긴급) 필리핀 기마라스주 해수양식센터 건립 설계 용역업체 선정</x:v>
      </x:c>
      <x:c r="E1591" s="22" t="n">
        <x:v>0</x:v>
      </x:c>
      <x:c r="F1591" s="22" t="str">
        <x:v>.docx</x:v>
      </x:c>
      <x:c r="G1591" s="25" t="str">
        <x:v>L2025-00075-1/Summary of Bidding_Invitation to Bid_250913.docx</x:v>
      </x:c>
      <x:c r="H1591" s="28" t="n">
        <x:v>31039</x:v>
      </x:c>
      <x:c r="I1591" s="22" t="str">
        <x:v>2637737f3bd873b493d93d19079202e2f41eca3050b75419df10a7c47f0a3cbe</x:v>
      </x:c>
      <x:c r="J1591" s="22" t="n">
        <x:v>0</x:v>
      </x:c>
      <x:c r="K1591" s="22" t="n">
        <x:v>0</x:v>
      </x:c>
      <x:c r="L1591" s="22" t="n">
        <x:v>0</x:v>
      </x:c>
      <x:c r="M1591" s="28" t="n">
        <x:v>0</x:v>
      </x:c>
      <x:c r="N1591" s="28" t="n">
        <x:v>0</x:v>
      </x:c>
      <x:c r="O1591" s="28" t="n">
        <x:v>0</x:v>
      </x:c>
      <x:c r="P1591" s="62" t="n">
        <x:v>0</x:v>
      </x:c>
      <x:c r="Q1591" s="22" t="n">
        <x:v>0</x:v>
      </x:c>
      <x:c r="R1591" s="22" t="str"/>
      <x:c r="S1591" s="22" t="str"/>
      <x:c r="T1591" s="22" t="str"/>
    </x:row>
    <x:row r="1592">
      <x:c r="A1592" s="22" t="str">
        <x:v>2022-00069</x:v>
      </x:c>
      <x:c r="B1592" s="22" t="str">
        <x:v>L2025-00075-1</x:v>
      </x:c>
      <x:c r="C1592" s="22" t="str">
        <x:v>용역</x:v>
      </x:c>
      <x:c r="D1592" s="25" t="str">
        <x:v>(긴급) 필리핀 기마라스주 해수양식센터 건립 설계 용역업체 선정</x:v>
      </x:c>
      <x:c r="E1592" s="22" t="n">
        <x:v>0</x:v>
      </x:c>
      <x:c r="F1592" s="22" t="str">
        <x:v>.docx</x:v>
      </x:c>
      <x:c r="G1592" s="25" t="str">
        <x:v>L2025-00075-1/Section 4 - Selection method of successful bidder_fin.docx</x:v>
      </x:c>
      <x:c r="H1592" s="28" t="n">
        <x:v>43394</x:v>
      </x:c>
      <x:c r="I1592" s="22" t="str">
        <x:v>1033c9ed1c9fd82c152b6b9da8598cf5e6e1d038b21edbf662124919c7e11e30</x:v>
      </x:c>
      <x:c r="J1592" s="22" t="n">
        <x:v>0</x:v>
      </x:c>
      <x:c r="K1592" s="22" t="n">
        <x:v>0</x:v>
      </x:c>
      <x:c r="L1592" s="22" t="n">
        <x:v>0</x:v>
      </x:c>
      <x:c r="M1592" s="28" t="n">
        <x:v>0</x:v>
      </x:c>
      <x:c r="N1592" s="28" t="n">
        <x:v>0</x:v>
      </x:c>
      <x:c r="O1592" s="28" t="n">
        <x:v>0</x:v>
      </x:c>
      <x:c r="P1592" s="62" t="n">
        <x:v>0</x:v>
      </x:c>
      <x:c r="Q1592" s="22" t="n">
        <x:v>0</x:v>
      </x:c>
      <x:c r="R1592" s="22" t="str"/>
      <x:c r="S1592" s="22" t="str"/>
      <x:c r="T1592" s="22" t="str"/>
    </x:row>
    <x:row r="1593">
      <x:c r="A1593" s="22" t="str">
        <x:v>2022-00069</x:v>
      </x:c>
      <x:c r="B1593" s="22" t="str">
        <x:v>L2025-00075-1</x:v>
      </x:c>
      <x:c r="C1593" s="22" t="str">
        <x:v>용역</x:v>
      </x:c>
      <x:c r="D1593" s="25" t="str">
        <x:v>(긴급) 필리핀 기마라스주 해수양식센터 건립 설계 용역업체 선정</x:v>
      </x:c>
      <x:c r="E1593" s="22" t="n">
        <x:v>0</x:v>
      </x:c>
      <x:c r="F1593" s="22" t="str">
        <x:v>.zip</x:v>
      </x:c>
      <x:c r="G1593" s="25" t="str">
        <x:v>L2025-00075-1/Section 9 - Pledges.zip</x:v>
      </x:c>
      <x:c r="H1593" s="28" t="n">
        <x:v>68676</x:v>
      </x:c>
      <x:c r="I1593" s="22" t="str">
        <x:v>af985e3415ad26dd7a4ebbde90a70b7dde3a79d5951d73755cbd6fd77b6aa32d</x:v>
      </x:c>
      <x:c r="J1593" s="22" t="n">
        <x:v>0</x:v>
      </x:c>
      <x:c r="K1593" s="22" t="n">
        <x:v>0</x:v>
      </x:c>
      <x:c r="L1593" s="22" t="n">
        <x:v>0</x:v>
      </x:c>
      <x:c r="M1593" s="28" t="n">
        <x:v>0</x:v>
      </x:c>
      <x:c r="N1593" s="28" t="n">
        <x:v>0</x:v>
      </x:c>
      <x:c r="O1593" s="28" t="n">
        <x:v>0</x:v>
      </x:c>
      <x:c r="P1593" s="62" t="n">
        <x:v>0</x:v>
      </x:c>
      <x:c r="Q1593" s="22" t="n">
        <x:v>0</x:v>
      </x:c>
      <x:c r="R1593" s="22" t="str"/>
      <x:c r="S1593" s="22" t="str"/>
      <x:c r="T1593" s="22" t="str"/>
    </x:row>
    <x:row r="1594">
      <x:c r="A1594" s="22" t="str">
        <x:v>2022-00069</x:v>
      </x:c>
      <x:c r="B1594" s="22" t="str">
        <x:v>L2025-00075-1</x:v>
      </x:c>
      <x:c r="C1594" s="22" t="str">
        <x:v>용역</x:v>
      </x:c>
      <x:c r="D1594" s="25" t="str">
        <x:v>(긴급) 필리핀 기마라스주 해수양식센터 건립 설계 용역업체 선정</x:v>
      </x:c>
      <x:c r="E1594" s="22" t="n">
        <x:v>0</x:v>
      </x:c>
      <x:c r="F1594" s="22" t="str">
        <x:v>.docx</x:v>
      </x:c>
      <x:c r="G1594" s="25" t="str">
        <x:v>L2025-00075-1/Power of Attorney for the authority to sign and execute contracts.docx</x:v>
      </x:c>
      <x:c r="H1594" s="28" t="n">
        <x:v>18112</x:v>
      </x:c>
      <x:c r="I1594" s="22" t="str">
        <x:v>741c56eddf14a4dc419eb3f7c5d73512a932a90f9466ade011b321b220718a2f</x:v>
      </x:c>
      <x:c r="J1594" s="22" t="n">
        <x:v>0</x:v>
      </x:c>
      <x:c r="K1594" s="22" t="n">
        <x:v>0</x:v>
      </x:c>
      <x:c r="L1594" s="22" t="n">
        <x:v>0</x:v>
      </x:c>
      <x:c r="M1594" s="28" t="n">
        <x:v>0</x:v>
      </x:c>
      <x:c r="N1594" s="28" t="n">
        <x:v>0</x:v>
      </x:c>
      <x:c r="O1594" s="28" t="n">
        <x:v>0</x:v>
      </x:c>
      <x:c r="P1594" s="62" t="n">
        <x:v>0</x:v>
      </x:c>
      <x:c r="Q1594" s="22" t="n">
        <x:v>0</x:v>
      </x:c>
      <x:c r="R1594" s="22" t="str"/>
      <x:c r="S1594" s="22" t="str"/>
      <x:c r="T1594" s="22" t="str"/>
    </x:row>
    <x:row r="1595">
      <x:c r="A1595" s="22" t="str">
        <x:v>2022-00069</x:v>
      </x:c>
      <x:c r="B1595" s="22" t="str">
        <x:v>L2025-00075-1</x:v>
      </x:c>
      <x:c r="C1595" s="22" t="str">
        <x:v>용역</x:v>
      </x:c>
      <x:c r="D1595" s="25" t="str">
        <x:v>(긴급) 필리핀 기마라스주 해수양식센터 건립 설계 용역업체 선정</x:v>
      </x:c>
      <x:c r="E1595" s="22" t="n">
        <x:v>0</x:v>
      </x:c>
      <x:c r="F1595" s="22" t="str">
        <x:v>.docx</x:v>
      </x:c>
      <x:c r="G1595" s="25" t="str">
        <x:v>L2025-00075-1/Section 3 - Bidding Forms_fin.docx</x:v>
      </x:c>
      <x:c r="H1595" s="28" t="n">
        <x:v>64142</x:v>
      </x:c>
      <x:c r="I1595" s="22" t="str">
        <x:v>41ecea64dc6366d6439f75559a3aa7196f3061bb7d7a10820e5ef1da033a43af</x:v>
      </x:c>
      <x:c r="J1595" s="22" t="n">
        <x:v>0</x:v>
      </x:c>
      <x:c r="K1595" s="22" t="n">
        <x:v>0</x:v>
      </x:c>
      <x:c r="L1595" s="22" t="n">
        <x:v>0</x:v>
      </x:c>
      <x:c r="M1595" s="28" t="n">
        <x:v>0</x:v>
      </x:c>
      <x:c r="N1595" s="28" t="n">
        <x:v>0</x:v>
      </x:c>
      <x:c r="O1595" s="28" t="n">
        <x:v>0</x:v>
      </x:c>
      <x:c r="P1595" s="62" t="n">
        <x:v>0</x:v>
      </x:c>
      <x:c r="Q1595" s="22" t="n">
        <x:v>0</x:v>
      </x:c>
      <x:c r="R1595" s="22" t="str"/>
      <x:c r="S1595" s="22" t="str"/>
      <x:c r="T1595" s="22" t="str"/>
    </x:row>
    <x:row r="1596">
      <x:c r="A1596" s="22" t="str">
        <x:v>2022-00069</x:v>
      </x:c>
      <x:c r="B1596" s="22" t="str">
        <x:v>L2025-00075-1</x:v>
      </x:c>
      <x:c r="C1596" s="22" t="str">
        <x:v>용역</x:v>
      </x:c>
      <x:c r="D1596" s="25" t="str">
        <x:v>(긴급) 필리핀 기마라스주 해수양식센터 건립 설계 용역업체 선정</x:v>
      </x:c>
      <x:c r="E1596" s="22" t="n">
        <x:v>0</x:v>
      </x:c>
      <x:c r="F1596" s="22" t="str">
        <x:v>.docx</x:v>
      </x:c>
      <x:c r="G1596" s="25" t="str">
        <x:v>L2025-00075-1/Section 9 - Pledges/Declaration of Anti_Corruption (╣▌║╬╞╨ ╝▒╛≡╝¡).docx</x:v>
      </x:c>
      <x:c r="H1596" s="28" t="n">
        <x:v>23025</x:v>
      </x:c>
      <x:c r="I1596" s="22" t="str">
        <x:v>749964c2ecd365ab5b0ae5f8aa6f187a6539e34e231bc7ead29e55fc21300e75</x:v>
      </x:c>
      <x:c r="J1596" s="22" t="n">
        <x:v>0</x:v>
      </x:c>
      <x:c r="K1596" s="22" t="n">
        <x:v>0</x:v>
      </x:c>
      <x:c r="L1596" s="22" t="n">
        <x:v>0</x:v>
      </x:c>
      <x:c r="M1596" s="28" t="n">
        <x:v>0</x:v>
      </x:c>
      <x:c r="N1596" s="28" t="n">
        <x:v>0</x:v>
      </x:c>
      <x:c r="O1596" s="28" t="n">
        <x:v>0</x:v>
      </x:c>
      <x:c r="P1596" s="62" t="n">
        <x:v>0</x:v>
      </x:c>
      <x:c r="Q1596" s="22" t="n">
        <x:v>0</x:v>
      </x:c>
      <x:c r="R1596" s="22" t="str"/>
      <x:c r="S1596" s="22" t="str"/>
      <x:c r="T1596" s="22" t="str"/>
    </x:row>
    <x:row r="1597">
      <x:c r="A1597" s="22" t="str">
        <x:v>2022-00069</x:v>
      </x:c>
      <x:c r="B1597" s="22" t="str">
        <x:v>L2025-00075-1</x:v>
      </x:c>
      <x:c r="C1597" s="22" t="str">
        <x:v>용역</x:v>
      </x:c>
      <x:c r="D1597" s="25" t="str">
        <x:v>(긴급) 필리핀 기마라스주 해수양식센터 건립 설계 용역업체 선정</x:v>
      </x:c>
      <x:c r="E1597" s="22" t="n">
        <x:v>0</x:v>
      </x:c>
      <x:c r="F1597" s="22" t="str">
        <x:v>.docx</x:v>
      </x:c>
      <x:c r="G1597" s="25" t="str">
        <x:v>L2025-00075-1/Section 9 - Pledges/Fair Contract Pledge Letter (░°┴ñ░Φ╛α ╝¡╛α╝¡).docx</x:v>
      </x:c>
      <x:c r="H1597" s="28" t="n">
        <x:v>18740</x:v>
      </x:c>
      <x:c r="I1597" s="22" t="str">
        <x:v>0cb576b8d68005ab913bfff40207233eeb887a54e873dd7fcdbef253ed70f573</x:v>
      </x:c>
      <x:c r="J1597" s="22" t="n">
        <x:v>0</x:v>
      </x:c>
      <x:c r="K1597" s="22" t="n">
        <x:v>0</x:v>
      </x:c>
      <x:c r="L1597" s="22" t="n">
        <x:v>0</x:v>
      </x:c>
      <x:c r="M1597" s="28" t="n">
        <x:v>0</x:v>
      </x:c>
      <x:c r="N1597" s="28" t="n">
        <x:v>0</x:v>
      </x:c>
      <x:c r="O1597" s="28" t="n">
        <x:v>0</x:v>
      </x:c>
      <x:c r="P1597" s="62" t="n">
        <x:v>0</x:v>
      </x:c>
      <x:c r="Q1597" s="22" t="n">
        <x:v>0</x:v>
      </x:c>
      <x:c r="R1597" s="22" t="str"/>
      <x:c r="S1597" s="22" t="str"/>
      <x:c r="T1597" s="22" t="str"/>
    </x:row>
    <x:row r="1598">
      <x:c r="A1598" s="22" t="str">
        <x:v>2022-00069</x:v>
      </x:c>
      <x:c r="B1598" s="22" t="str">
        <x:v>L2025-00075-1</x:v>
      </x:c>
      <x:c r="C1598" s="22" t="str">
        <x:v>용역</x:v>
      </x:c>
      <x:c r="D1598" s="25" t="str">
        <x:v>(긴급) 필리핀 기마라스주 해수양식센터 건립 설계 용역업체 선정</x:v>
      </x:c>
      <x:c r="E1598" s="22" t="n">
        <x:v>0</x:v>
      </x:c>
      <x:c r="F1598" s="22" t="str">
        <x:v>.docx</x:v>
      </x:c>
      <x:c r="G1598" s="25" t="str">
        <x:v>L2025-00075-1/Section 9 - Pledges/Integrity Pledge (├╗╖┼░Φ╛α╝¡).docx</x:v>
      </x:c>
      <x:c r="H1598" s="28" t="n">
        <x:v>36507</x:v>
      </x:c>
      <x:c r="I1598" s="22" t="str">
        <x:v>bbf88b1bc23c5ed931639e65f36d47df7d7fbdb8447562024b0cf9f04ec6d6b6</x:v>
      </x:c>
      <x:c r="J1598" s="22" t="n">
        <x:v>0</x:v>
      </x:c>
      <x:c r="K1598" s="22" t="n">
        <x:v>0</x:v>
      </x:c>
      <x:c r="L1598" s="22" t="n">
        <x:v>0</x:v>
      </x:c>
      <x:c r="M1598" s="28" t="n">
        <x:v>0</x:v>
      </x:c>
      <x:c r="N1598" s="28" t="n">
        <x:v>0</x:v>
      </x:c>
      <x:c r="O1598" s="28" t="n">
        <x:v>0</x:v>
      </x:c>
      <x:c r="P1598" s="62" t="n">
        <x:v>0</x:v>
      </x:c>
      <x:c r="Q1598" s="22" t="n">
        <x:v>0</x:v>
      </x:c>
      <x:c r="R1598" s="22" t="str"/>
      <x:c r="S1598" s="22" t="str"/>
      <x:c r="T1598" s="22" t="str"/>
    </x:row>
    <x:row r="1599">
      <x:c r="A1599" s="22" t="str">
        <x:v>2022-00069</x:v>
      </x:c>
      <x:c r="B1599" s="22" t="str">
        <x:v>L2025-00094-1</x:v>
      </x:c>
      <x:c r="C1599" s="22" t="str">
        <x:v>용역</x:v>
      </x:c>
      <x:c r="D1599" s="25" t="str">
        <x:v>[재공고][긴급] 필리핀 기마라스주 해수양식센터 건립 설계 용역업체 선정</x:v>
      </x:c>
      <x:c r="E1599" s="22" t="n">
        <x:v>0</x:v>
      </x:c>
      <x:c r="F1599" s="22" t="str">
        <x:v>.zip</x:v>
      </x:c>
      <x:c r="G1599" s="25" t="str">
        <x:v>L2025-00094-1/ReBidding Documents (Guimaras_Design) 1022v2.zip</x:v>
      </x:c>
      <x:c r="H1599" s="28" t="n">
        <x:v>6224101</x:v>
      </x:c>
      <x:c r="I1599" s="22" t="str">
        <x:v>b3f112ec88cbc102054f6ea62f6d28ea0760b8021858a6d290f5ebc1ecfb7359</x:v>
      </x:c>
      <x:c r="J1599" s="22" t="n">
        <x:v>0</x:v>
      </x:c>
      <x:c r="K1599" s="22" t="n">
        <x:v>0</x:v>
      </x:c>
      <x:c r="L1599" s="22" t="n">
        <x:v>0</x:v>
      </x:c>
      <x:c r="M1599" s="28" t="n">
        <x:v>0</x:v>
      </x:c>
      <x:c r="N1599" s="28" t="n">
        <x:v>0</x:v>
      </x:c>
      <x:c r="O1599" s="28" t="n">
        <x:v>0</x:v>
      </x:c>
      <x:c r="P1599" s="62" t="n">
        <x:v>0</x:v>
      </x:c>
      <x:c r="Q1599" s="22" t="n">
        <x:v>0</x:v>
      </x:c>
      <x:c r="R1599" s="22" t="str"/>
      <x:c r="S1599" s="22" t="str"/>
      <x:c r="T1599" s="22" t="str"/>
    </x:row>
    <x:row r="1600">
      <x:c r="A1600" s="22" t="str">
        <x:v>2022-00069</x:v>
      </x:c>
      <x:c r="B1600" s="22" t="str">
        <x:v>L2025-00094-1</x:v>
      </x:c>
      <x:c r="C1600" s="22" t="str">
        <x:v>용역</x:v>
      </x:c>
      <x:c r="D1600" s="25" t="str">
        <x:v>[재공고][긴급] 필리핀 기마라스주 해수양식센터 건립 설계 용역업체 선정</x:v>
      </x:c>
      <x:c r="E1600" s="22" t="n">
        <x:v>0</x:v>
      </x:c>
      <x:c r="F1600" s="22" t="str">
        <x:v>.pdf</x:v>
      </x:c>
      <x:c r="G1600" s="25" t="str">
        <x:v>L2025-00094-1/Summary of Rebidding Invitation to Bid 1022.pdf</x:v>
      </x:c>
      <x:c r="H1600" s="28" t="n">
        <x:v>1842650</x:v>
      </x:c>
      <x:c r="I1600" s="22" t="str">
        <x:v>cec618e8f68989013c581e56a0dfcd62e70d26f637deb16276cfe0974a9b6c34</x:v>
      </x:c>
      <x:c r="J1600" s="22" t="n">
        <x:v>0</x:v>
      </x:c>
      <x:c r="K1600" s="22" t="n">
        <x:v>0</x:v>
      </x:c>
      <x:c r="L1600" s="22" t="n">
        <x:v>0</x:v>
      </x:c>
      <x:c r="M1600" s="28" t="n">
        <x:v>0</x:v>
      </x:c>
      <x:c r="N1600" s="28" t="n">
        <x:v>0</x:v>
      </x:c>
      <x:c r="O1600" s="28" t="n">
        <x:v>0</x:v>
      </x:c>
      <x:c r="P1600" s="62" t="n">
        <x:v>0</x:v>
      </x:c>
      <x:c r="Q1600" s="22" t="n">
        <x:v>0</x:v>
      </x:c>
      <x:c r="R1600" s="22" t="str"/>
      <x:c r="S1600" s="22" t="str"/>
      <x:c r="T1600" s="22" t="str"/>
    </x:row>
    <x:row r="1601">
      <x:c r="A1601" s="22" t="str">
        <x:v>2022-00069</x:v>
      </x:c>
      <x:c r="B1601" s="22" t="str">
        <x:v>L2025-00094-1</x:v>
      </x:c>
      <x:c r="C1601" s="22" t="str">
        <x:v>용역</x:v>
      </x:c>
      <x:c r="D1601" s="25" t="str">
        <x:v>[재공고][긴급] 필리핀 기마라스주 해수양식센터 건립 설계 용역업체 선정</x:v>
      </x:c>
      <x:c r="E1601" s="22" t="n">
        <x:v>0</x:v>
      </x:c>
      <x:c r="F1601" s="22" t="str">
        <x:v>.docx</x:v>
      </x:c>
      <x:c r="G1601" s="25" t="str">
        <x:v>L2025-00094-1/ReBidding Documents (Guimaras_Design) 1022v2/ReBidding Documents (Guimaras_Design) 1022/Section 1 - Instructions to Bidders (ITB).docx</x:v>
      </x:c>
      <x:c r="H1601" s="28" t="n">
        <x:v>35098</x:v>
      </x:c>
      <x:c r="I1601" s="22" t="str">
        <x:v>04a0ad92bbc14a8ebab858b7def56f4aca6bea98247ea523985bfad1f3641c1b</x:v>
      </x:c>
      <x:c r="J1601" s="22" t="n">
        <x:v>0</x:v>
      </x:c>
      <x:c r="K1601" s="22" t="n">
        <x:v>0</x:v>
      </x:c>
      <x:c r="L1601" s="22" t="n">
        <x:v>0</x:v>
      </x:c>
      <x:c r="M1601" s="28" t="n">
        <x:v>0</x:v>
      </x:c>
      <x:c r="N1601" s="28" t="n">
        <x:v>0</x:v>
      </x:c>
      <x:c r="O1601" s="28" t="n">
        <x:v>0</x:v>
      </x:c>
      <x:c r="P1601" s="62" t="n">
        <x:v>0</x:v>
      </x:c>
      <x:c r="Q1601" s="22" t="n">
        <x:v>0</x:v>
      </x:c>
      <x:c r="R1601" s="22" t="str"/>
      <x:c r="S1601" s="22" t="str"/>
      <x:c r="T1601" s="22" t="str"/>
    </x:row>
    <x:row r="1602">
      <x:c r="A1602" s="22" t="str">
        <x:v>2022-00069</x:v>
      </x:c>
      <x:c r="B1602" s="22" t="str">
        <x:v>L2025-00094-1</x:v>
      </x:c>
      <x:c r="C1602" s="22" t="str">
        <x:v>용역</x:v>
      </x:c>
      <x:c r="D1602" s="25" t="str">
        <x:v>[재공고][긴급] 필리핀 기마라스주 해수양식센터 건립 설계 용역업체 선정</x:v>
      </x:c>
      <x:c r="E1602" s="22" t="n">
        <x:v>0</x:v>
      </x:c>
      <x:c r="F1602" s="22" t="str">
        <x:v>.docx</x:v>
      </x:c>
      <x:c r="G1602" s="25" t="str">
        <x:v>L2025-00094-1/ReBidding Documents (Guimaras_Design) 1022v2/ReBidding Documents (Guimaras_Design) 1022/Section 6 - General Conditions of Contract.docx</x:v>
      </x:c>
      <x:c r="H1602" s="28" t="n">
        <x:v>42999</x:v>
      </x:c>
      <x:c r="I1602" s="22" t="str">
        <x:v>e6e75d0ee09a632b11a4c7146081abb31fe87e5a7b4dcb669e949444959e00ea</x:v>
      </x:c>
      <x:c r="J1602" s="22" t="n">
        <x:v>0</x:v>
      </x:c>
      <x:c r="K1602" s="22" t="n">
        <x:v>0</x:v>
      </x:c>
      <x:c r="L1602" s="22" t="n">
        <x:v>0</x:v>
      </x:c>
      <x:c r="M1602" s="28" t="n">
        <x:v>0</x:v>
      </x:c>
      <x:c r="N1602" s="28" t="n">
        <x:v>0</x:v>
      </x:c>
      <x:c r="O1602" s="28" t="n">
        <x:v>0</x:v>
      </x:c>
      <x:c r="P1602" s="62" t="n">
        <x:v>0</x:v>
      </x:c>
      <x:c r="Q1602" s="22" t="n">
        <x:v>0</x:v>
      </x:c>
      <x:c r="R1602" s="22" t="str"/>
      <x:c r="S1602" s="22" t="str"/>
      <x:c r="T1602" s="22" t="str"/>
    </x:row>
    <x:row r="1603">
      <x:c r="A1603" s="22" t="str">
        <x:v>2022-00069</x:v>
      </x:c>
      <x:c r="B1603" s="22" t="str">
        <x:v>L2025-00094-1</x:v>
      </x:c>
      <x:c r="C1603" s="22" t="str">
        <x:v>용역</x:v>
      </x:c>
      <x:c r="D1603" s="25" t="str">
        <x:v>[재공고][긴급] 필리핀 기마라스주 해수양식센터 건립 설계 용역업체 선정</x:v>
      </x:c>
      <x:c r="E1603" s="22" t="n">
        <x:v>0</x:v>
      </x:c>
      <x:c r="F1603" s="22" t="str">
        <x:v>.docx</x:v>
      </x:c>
      <x:c r="G1603" s="25" t="str">
        <x:v>L2025-00094-1/ReBidding Documents (Guimaras_Design) 1022v2/ReBidding Documents (Guimaras_Design) 1022/Section 3 - Bidding Forms_251020.docx</x:v>
      </x:c>
      <x:c r="H1603" s="28" t="n">
        <x:v>64774</x:v>
      </x:c>
      <x:c r="I1603" s="22" t="str">
        <x:v>8bd72adc9749e13b6d5ba70324d4b18e305e2ae18edf0a59062bf02000354558</x:v>
      </x:c>
      <x:c r="J1603" s="22" t="n">
        <x:v>0</x:v>
      </x:c>
      <x:c r="K1603" s="22" t="n">
        <x:v>0</x:v>
      </x:c>
      <x:c r="L1603" s="22" t="n">
        <x:v>0</x:v>
      </x:c>
      <x:c r="M1603" s="28" t="n">
        <x:v>0</x:v>
      </x:c>
      <x:c r="N1603" s="28" t="n">
        <x:v>0</x:v>
      </x:c>
      <x:c r="O1603" s="28" t="n">
        <x:v>0</x:v>
      </x:c>
      <x:c r="P1603" s="62" t="n">
        <x:v>0</x:v>
      </x:c>
      <x:c r="Q1603" s="22" t="n">
        <x:v>0</x:v>
      </x:c>
      <x:c r="R1603" s="22" t="str"/>
      <x:c r="S1603" s="22" t="str"/>
      <x:c r="T1603" s="22" t="str"/>
    </x:row>
    <x:row r="1604">
      <x:c r="A1604" s="22" t="str">
        <x:v>2022-00069</x:v>
      </x:c>
      <x:c r="B1604" s="22" t="str">
        <x:v>L2025-00094-1</x:v>
      </x:c>
      <x:c r="C1604" s="22" t="str">
        <x:v>용역</x:v>
      </x:c>
      <x:c r="D1604" s="25" t="str">
        <x:v>[재공고][긴급] 필리핀 기마라스주 해수양식센터 건립 설계 용역업체 선정</x:v>
      </x:c>
      <x:c r="E1604" s="22" t="n">
        <x:v>0</x:v>
      </x:c>
      <x:c r="F1604" s="22" t="str">
        <x:v>.docx</x:v>
      </x:c>
      <x:c r="G1604" s="25" t="str">
        <x:v>L2025-00094-1/ReBidding Documents (Guimaras_Design) 1022v2/ReBidding Documents (Guimaras_Design) 1022/Section 8 - Contract Forms_251020v2.docx</x:v>
      </x:c>
      <x:c r="H1604" s="28" t="n">
        <x:v>28438</x:v>
      </x:c>
      <x:c r="I1604" s="22" t="str">
        <x:v>c58fa807cb2db116b212727b90a03a5f136cce7130f22219e98e22e8803f537b</x:v>
      </x:c>
      <x:c r="J1604" s="22" t="n">
        <x:v>0</x:v>
      </x:c>
      <x:c r="K1604" s="22" t="n">
        <x:v>0</x:v>
      </x:c>
      <x:c r="L1604" s="22" t="n">
        <x:v>0</x:v>
      </x:c>
      <x:c r="M1604" s="28" t="n">
        <x:v>0</x:v>
      </x:c>
      <x:c r="N1604" s="28" t="n">
        <x:v>0</x:v>
      </x:c>
      <x:c r="O1604" s="28" t="n">
        <x:v>0</x:v>
      </x:c>
      <x:c r="P1604" s="62" t="n">
        <x:v>0</x:v>
      </x:c>
      <x:c r="Q1604" s="22" t="n">
        <x:v>0</x:v>
      </x:c>
      <x:c r="R1604" s="22" t="str"/>
      <x:c r="S1604" s="22" t="str"/>
      <x:c r="T1604" s="22" t="str"/>
    </x:row>
    <x:row r="1605">
      <x:c r="A1605" s="22" t="str">
        <x:v>2022-00069</x:v>
      </x:c>
      <x:c r="B1605" s="22" t="str">
        <x:v>L2025-00094-1</x:v>
      </x:c>
      <x:c r="C1605" s="22" t="str">
        <x:v>용역</x:v>
      </x:c>
      <x:c r="D1605" s="25" t="str">
        <x:v>[재공고][긴급] 필리핀 기마라스주 해수양식센터 건립 설계 용역업체 선정</x:v>
      </x:c>
      <x:c r="E1605" s="22" t="n">
        <x:v>0</x:v>
      </x:c>
      <x:c r="F1605" s="22" t="str">
        <x:v>.docx</x:v>
      </x:c>
      <x:c r="G1605" s="25" t="str">
        <x:v>L2025-00094-1/ReBidding Documents (Guimaras_Design) 1022v2/ReBidding Documents (Guimaras_Design) 1022/Section 5 - Request for Proposal (RFP)_Design Service.docx</x:v>
      </x:c>
      <x:c r="H1605" s="28" t="n">
        <x:v>6199714</x:v>
      </x:c>
      <x:c r="I1605" s="22" t="str">
        <x:v>6598dc89bdaf38e8b5d7e09d6b9270584643632351e226a237870622fe0fdb9c</x:v>
      </x:c>
      <x:c r="J1605" s="22" t="n">
        <x:v>0</x:v>
      </x:c>
      <x:c r="K1605" s="22" t="n">
        <x:v>0</x:v>
      </x:c>
      <x:c r="L1605" s="22" t="n">
        <x:v>0</x:v>
      </x:c>
      <x:c r="M1605" s="28" t="n">
        <x:v>0</x:v>
      </x:c>
      <x:c r="N1605" s="28" t="n">
        <x:v>0</x:v>
      </x:c>
      <x:c r="O1605" s="28" t="n">
        <x:v>0</x:v>
      </x:c>
      <x:c r="P1605" s="62" t="n">
        <x:v>0</x:v>
      </x:c>
      <x:c r="Q1605" s="22" t="n">
        <x:v>0</x:v>
      </x:c>
      <x:c r="R1605" s="22" t="str"/>
      <x:c r="S1605" s="22" t="str"/>
      <x:c r="T1605" s="22" t="str"/>
    </x:row>
    <x:row r="1606">
      <x:c r="A1606" s="22" t="str">
        <x:v>2022-00069</x:v>
      </x:c>
      <x:c r="B1606" s="22" t="str">
        <x:v>L2025-00094-1</x:v>
      </x:c>
      <x:c r="C1606" s="22" t="str">
        <x:v>용역</x:v>
      </x:c>
      <x:c r="D1606" s="25" t="str">
        <x:v>[재공고][긴급] 필리핀 기마라스주 해수양식센터 건립 설계 용역업체 선정</x:v>
      </x:c>
      <x:c r="E1606" s="22" t="n">
        <x:v>0</x:v>
      </x:c>
      <x:c r="F1606" s="22" t="str">
        <x:v>.zip</x:v>
      </x:c>
      <x:c r="G1606" s="25" t="str">
        <x:v>L2025-00094-1/ReBidding Documents (Guimaras_Design) 1022v2/ReBidding Documents (Guimaras_Design) 1022/Section 9 - Pledges.zip</x:v>
      </x:c>
      <x:c r="H1606" s="28" t="n">
        <x:v>68676</x:v>
      </x:c>
      <x:c r="I1606" s="22" t="str">
        <x:v>af985e3415ad26dd7a4ebbde90a70b7dde3a79d5951d73755cbd6fd77b6aa32d</x:v>
      </x:c>
      <x:c r="J1606" s="22" t="n">
        <x:v>0</x:v>
      </x:c>
      <x:c r="K1606" s="22" t="n">
        <x:v>0</x:v>
      </x:c>
      <x:c r="L1606" s="22" t="n">
        <x:v>0</x:v>
      </x:c>
      <x:c r="M1606" s="28" t="n">
        <x:v>0</x:v>
      </x:c>
      <x:c r="N1606" s="28" t="n">
        <x:v>0</x:v>
      </x:c>
      <x:c r="O1606" s="28" t="n">
        <x:v>0</x:v>
      </x:c>
      <x:c r="P1606" s="62" t="n">
        <x:v>0</x:v>
      </x:c>
      <x:c r="Q1606" s="22" t="n">
        <x:v>0</x:v>
      </x:c>
      <x:c r="R1606" s="22" t="str"/>
      <x:c r="S1606" s="22" t="str"/>
      <x:c r="T1606" s="22" t="str"/>
    </x:row>
    <x:row r="1607">
      <x:c r="A1607" s="22" t="str">
        <x:v>2022-00069</x:v>
      </x:c>
      <x:c r="B1607" s="22" t="str">
        <x:v>L2025-00094-1</x:v>
      </x:c>
      <x:c r="C1607" s="22" t="str">
        <x:v>용역</x:v>
      </x:c>
      <x:c r="D1607" s="25" t="str">
        <x:v>[재공고][긴급] 필리핀 기마라스주 해수양식센터 건립 설계 용역업체 선정</x:v>
      </x:c>
      <x:c r="E1607" s="22" t="n">
        <x:v>0</x:v>
      </x:c>
      <x:c r="F1607" s="22" t="str">
        <x:v>.docx</x:v>
      </x:c>
      <x:c r="G1607" s="25" t="str">
        <x:v>L2025-00094-1/ReBidding Documents (Guimaras_Design) 1022v2/ReBidding Documents (Guimaras_Design) 1022/Section 4 - Selection method of successful bidder.docx</x:v>
      </x:c>
      <x:c r="H1607" s="28" t="n">
        <x:v>43394</x:v>
      </x:c>
      <x:c r="I1607" s="22" t="str">
        <x:v>1033c9ed1c9fd82c152b6b9da8598cf5e6e1d038b21edbf662124919c7e11e30</x:v>
      </x:c>
      <x:c r="J1607" s="22" t="n">
        <x:v>0</x:v>
      </x:c>
      <x:c r="K1607" s="22" t="n">
        <x:v>0</x:v>
      </x:c>
      <x:c r="L1607" s="22" t="n">
        <x:v>0</x:v>
      </x:c>
      <x:c r="M1607" s="28" t="n">
        <x:v>0</x:v>
      </x:c>
      <x:c r="N1607" s="28" t="n">
        <x:v>0</x:v>
      </x:c>
      <x:c r="O1607" s="28" t="n">
        <x:v>0</x:v>
      </x:c>
      <x:c r="P1607" s="62" t="n">
        <x:v>0</x:v>
      </x:c>
      <x:c r="Q1607" s="22" t="n">
        <x:v>0</x:v>
      </x:c>
      <x:c r="R1607" s="22" t="str"/>
      <x:c r="S1607" s="22" t="str"/>
      <x:c r="T1607" s="22" t="str"/>
    </x:row>
    <x:row r="1608">
      <x:c r="A1608" s="22" t="str">
        <x:v>2022-00069</x:v>
      </x:c>
      <x:c r="B1608" s="22" t="str">
        <x:v>L2025-00094-1</x:v>
      </x:c>
      <x:c r="C1608" s="22" t="str">
        <x:v>용역</x:v>
      </x:c>
      <x:c r="D1608" s="25" t="str">
        <x:v>[재공고][긴급] 필리핀 기마라스주 해수양식센터 건립 설계 용역업체 선정</x:v>
      </x:c>
      <x:c r="E1608" s="22" t="n">
        <x:v>0</x:v>
      </x:c>
      <x:c r="F1608" s="22" t="str">
        <x:v>.docx</x:v>
      </x:c>
      <x:c r="G1608" s="25" t="str">
        <x:v>L2025-00094-1/ReBidding Documents (Guimaras_Design) 1022v2/ReBidding Documents (Guimaras_Design) 1022/Power of Attorney for the authority to sign and execute contracts.docx</x:v>
      </x:c>
      <x:c r="H1608" s="28" t="n">
        <x:v>18112</x:v>
      </x:c>
      <x:c r="I1608" s="22" t="str">
        <x:v>741c56eddf14a4dc419eb3f7c5d73512a932a90f9466ade011b321b220718a2f</x:v>
      </x:c>
      <x:c r="J1608" s="22" t="n">
        <x:v>0</x:v>
      </x:c>
      <x:c r="K1608" s="22" t="n">
        <x:v>0</x:v>
      </x:c>
      <x:c r="L1608" s="22" t="n">
        <x:v>0</x:v>
      </x:c>
      <x:c r="M1608" s="28" t="n">
        <x:v>0</x:v>
      </x:c>
      <x:c r="N1608" s="28" t="n">
        <x:v>0</x:v>
      </x:c>
      <x:c r="O1608" s="28" t="n">
        <x:v>0</x:v>
      </x:c>
      <x:c r="P1608" s="62" t="n">
        <x:v>0</x:v>
      </x:c>
      <x:c r="Q1608" s="22" t="n">
        <x:v>0</x:v>
      </x:c>
      <x:c r="R1608" s="22" t="str"/>
      <x:c r="S1608" s="22" t="str"/>
      <x:c r="T1608" s="22" t="str"/>
    </x:row>
    <x:row r="1609">
      <x:c r="A1609" s="22" t="str">
        <x:v>2022-00069</x:v>
      </x:c>
      <x:c r="B1609" s="22" t="str">
        <x:v>L2025-00094-1</x:v>
      </x:c>
      <x:c r="C1609" s="22" t="str">
        <x:v>용역</x:v>
      </x:c>
      <x:c r="D1609" s="25" t="str">
        <x:v>[재공고][긴급] 필리핀 기마라스주 해수양식센터 건립 설계 용역업체 선정</x:v>
      </x:c>
      <x:c r="E1609" s="22" t="n">
        <x:v>0</x:v>
      </x:c>
      <x:c r="F1609" s="22" t="str">
        <x:v>.docx</x:v>
      </x:c>
      <x:c r="G1609" s="25" t="str">
        <x:v>L2025-00094-1/ReBidding Documents (Guimaras_Design) 1022v2/ReBidding Documents (Guimaras_Design) 1022/Section 7 - Special Conditions of Contract_20251016.docx</x:v>
      </x:c>
      <x:c r="H1609" s="28" t="n">
        <x:v>43667</x:v>
      </x:c>
      <x:c r="I1609" s="22" t="str">
        <x:v>9e57f046f2e1840be7526f0bdcc0089e604494511b118d39d21e1bd4b3c07ab5</x:v>
      </x:c>
      <x:c r="J1609" s="22" t="n">
        <x:v>0</x:v>
      </x:c>
      <x:c r="K1609" s="22" t="n">
        <x:v>0</x:v>
      </x:c>
      <x:c r="L1609" s="22" t="n">
        <x:v>0</x:v>
      </x:c>
      <x:c r="M1609" s="28" t="n">
        <x:v>0</x:v>
      </x:c>
      <x:c r="N1609" s="28" t="n">
        <x:v>0</x:v>
      </x:c>
      <x:c r="O1609" s="28" t="n">
        <x:v>0</x:v>
      </x:c>
      <x:c r="P1609" s="62" t="n">
        <x:v>0</x:v>
      </x:c>
      <x:c r="Q1609" s="22" t="n">
        <x:v>0</x:v>
      </x:c>
      <x:c r="R1609" s="22" t="str"/>
      <x:c r="S1609" s="22" t="str"/>
      <x:c r="T1609" s="22" t="str"/>
    </x:row>
    <x:row r="1610">
      <x:c r="A1610" s="22" t="str">
        <x:v>2022-00069</x:v>
      </x:c>
      <x:c r="B1610" s="22" t="str">
        <x:v>L2025-00094-1</x:v>
      </x:c>
      <x:c r="C1610" s="22" t="str">
        <x:v>용역</x:v>
      </x:c>
      <x:c r="D1610" s="25" t="str">
        <x:v>[재공고][긴급] 필리핀 기마라스주 해수양식센터 건립 설계 용역업체 선정</x:v>
      </x:c>
      <x:c r="E1610" s="22" t="n">
        <x:v>0</x:v>
      </x:c>
      <x:c r="F1610" s="22" t="str">
        <x:v>.docx</x:v>
      </x:c>
      <x:c r="G1610" s="25" t="str">
        <x:v>L2025-00094-1/ReBidding Documents (Guimaras_Design) 1022v2/ReBidding Documents (Guimaras_Design) 1022/Section 2 - Bid Data Sheet (BDS)_20251020v5.docx</x:v>
      </x:c>
      <x:c r="H1610" s="28" t="n">
        <x:v>78223</x:v>
      </x:c>
      <x:c r="I1610" s="22" t="str">
        <x:v>7400171c1f2172d0c81532d6d16f6604ac8ecc16e515424fd3fee734b35d418d</x:v>
      </x:c>
      <x:c r="J1610" s="22" t="n">
        <x:v>0</x:v>
      </x:c>
      <x:c r="K1610" s="22" t="n">
        <x:v>0</x:v>
      </x:c>
      <x:c r="L1610" s="22" t="n">
        <x:v>0</x:v>
      </x:c>
      <x:c r="M1610" s="28" t="n">
        <x:v>0</x:v>
      </x:c>
      <x:c r="N1610" s="28" t="n">
        <x:v>0</x:v>
      </x:c>
      <x:c r="O1610" s="28" t="n">
        <x:v>0</x:v>
      </x:c>
      <x:c r="P1610" s="62" t="n">
        <x:v>0</x:v>
      </x:c>
      <x:c r="Q1610" s="22" t="n">
        <x:v>0</x:v>
      </x:c>
      <x:c r="R1610" s="22" t="str"/>
      <x:c r="S1610" s="22" t="str"/>
      <x:c r="T1610" s="22" t="str"/>
    </x:row>
    <x:row r="1611">
      <x:c r="A1611" s="22" t="str">
        <x:v>2022-00069</x:v>
      </x:c>
      <x:c r="B1611" s="22" t="str">
        <x:v>L2025-00094-1</x:v>
      </x:c>
      <x:c r="C1611" s="22" t="str">
        <x:v>용역</x:v>
      </x:c>
      <x:c r="D1611" s="25" t="str">
        <x:v>[재공고][긴급] 필리핀 기마라스주 해수양식센터 건립 설계 용역업체 선정</x:v>
      </x:c>
      <x:c r="E1611" s="22" t="n">
        <x:v>0</x:v>
      </x:c>
      <x:c r="F1611" s="22" t="str">
        <x:v>.docx</x:v>
      </x:c>
      <x:c r="G1611" s="25" t="str">
        <x:v>L2025-00094-1/ReBidding Documents (Guimaras_Design) 1022v2/ReBidding Documents (Guimaras_Design) 1022/Section 9 - Pledges/Declaration of Anti_Corruption (╣▌║╬╞╨ ╝▒╛≡╝¡).docx</x:v>
      </x:c>
      <x:c r="H1611" s="28" t="n">
        <x:v>23025</x:v>
      </x:c>
      <x:c r="I1611" s="22" t="str">
        <x:v>749964c2ecd365ab5b0ae5f8aa6f187a6539e34e231bc7ead29e55fc21300e75</x:v>
      </x:c>
      <x:c r="J1611" s="22" t="n">
        <x:v>0</x:v>
      </x:c>
      <x:c r="K1611" s="22" t="n">
        <x:v>0</x:v>
      </x:c>
      <x:c r="L1611" s="22" t="n">
        <x:v>0</x:v>
      </x:c>
      <x:c r="M1611" s="28" t="n">
        <x:v>0</x:v>
      </x:c>
      <x:c r="N1611" s="28" t="n">
        <x:v>0</x:v>
      </x:c>
      <x:c r="O1611" s="28" t="n">
        <x:v>0</x:v>
      </x:c>
      <x:c r="P1611" s="62" t="n">
        <x:v>0</x:v>
      </x:c>
      <x:c r="Q1611" s="22" t="n">
        <x:v>0</x:v>
      </x:c>
      <x:c r="R1611" s="22" t="str"/>
      <x:c r="S1611" s="22" t="str"/>
      <x:c r="T1611" s="22" t="str"/>
    </x:row>
    <x:row r="1612">
      <x:c r="A1612" s="22" t="str">
        <x:v>2022-00069</x:v>
      </x:c>
      <x:c r="B1612" s="22" t="str">
        <x:v>L2025-00094-1</x:v>
      </x:c>
      <x:c r="C1612" s="22" t="str">
        <x:v>용역</x:v>
      </x:c>
      <x:c r="D1612" s="25" t="str">
        <x:v>[재공고][긴급] 필리핀 기마라스주 해수양식센터 건립 설계 용역업체 선정</x:v>
      </x:c>
      <x:c r="E1612" s="22" t="n">
        <x:v>0</x:v>
      </x:c>
      <x:c r="F1612" s="22" t="str">
        <x:v>.docx</x:v>
      </x:c>
      <x:c r="G1612" s="25" t="str">
        <x:v>L2025-00094-1/ReBidding Documents (Guimaras_Design) 1022v2/ReBidding Documents (Guimaras_Design) 1022/Section 9 - Pledges/Fair Contract Pledge Letter (░°┴ñ░Φ╛α ╝¡╛α╝¡).docx</x:v>
      </x:c>
      <x:c r="H1612" s="28" t="n">
        <x:v>18740</x:v>
      </x:c>
      <x:c r="I1612" s="22" t="str">
        <x:v>0cb576b8d68005ab913bfff40207233eeb887a54e873dd7fcdbef253ed70f573</x:v>
      </x:c>
      <x:c r="J1612" s="22" t="n">
        <x:v>0</x:v>
      </x:c>
      <x:c r="K1612" s="22" t="n">
        <x:v>0</x:v>
      </x:c>
      <x:c r="L1612" s="22" t="n">
        <x:v>0</x:v>
      </x:c>
      <x:c r="M1612" s="28" t="n">
        <x:v>0</x:v>
      </x:c>
      <x:c r="N1612" s="28" t="n">
        <x:v>0</x:v>
      </x:c>
      <x:c r="O1612" s="28" t="n">
        <x:v>0</x:v>
      </x:c>
      <x:c r="P1612" s="62" t="n">
        <x:v>0</x:v>
      </x:c>
      <x:c r="Q1612" s="22" t="n">
        <x:v>0</x:v>
      </x:c>
      <x:c r="R1612" s="22" t="str"/>
      <x:c r="S1612" s="22" t="str"/>
      <x:c r="T1612" s="22" t="str"/>
    </x:row>
    <x:row r="1613">
      <x:c r="A1613" s="22" t="str">
        <x:v>2022-00069</x:v>
      </x:c>
      <x:c r="B1613" s="22" t="str">
        <x:v>L2025-00094-1</x:v>
      </x:c>
      <x:c r="C1613" s="22" t="str">
        <x:v>용역</x:v>
      </x:c>
      <x:c r="D1613" s="25" t="str">
        <x:v>[재공고][긴급] 필리핀 기마라스주 해수양식센터 건립 설계 용역업체 선정</x:v>
      </x:c>
      <x:c r="E1613" s="22" t="n">
        <x:v>0</x:v>
      </x:c>
      <x:c r="F1613" s="22" t="str">
        <x:v>.docx</x:v>
      </x:c>
      <x:c r="G1613" s="25" t="str">
        <x:v>L2025-00094-1/ReBidding Documents (Guimaras_Design) 1022v2/ReBidding Documents (Guimaras_Design) 1022/Section 9 - Pledges/Integrity Pledge (├╗╖┼░Φ╛α╝¡).docx</x:v>
      </x:c>
      <x:c r="H1613" s="28" t="n">
        <x:v>36507</x:v>
      </x:c>
      <x:c r="I1613" s="22" t="str">
        <x:v>bbf88b1bc23c5ed931639e65f36d47df7d7fbdb8447562024b0cf9f04ec6d6b6</x:v>
      </x:c>
      <x:c r="J1613" s="22" t="n">
        <x:v>0</x:v>
      </x:c>
      <x:c r="K1613" s="22" t="n">
        <x:v>0</x:v>
      </x:c>
      <x:c r="L1613" s="22" t="n">
        <x:v>0</x:v>
      </x:c>
      <x:c r="M1613" s="28" t="n">
        <x:v>0</x:v>
      </x:c>
      <x:c r="N1613" s="28" t="n">
        <x:v>0</x:v>
      </x:c>
      <x:c r="O1613" s="28" t="n">
        <x:v>0</x:v>
      </x:c>
      <x:c r="P1613" s="62" t="n">
        <x:v>0</x:v>
      </x:c>
      <x:c r="Q1613" s="22" t="n">
        <x:v>0</x:v>
      </x:c>
      <x:c r="R1613" s="22" t="str"/>
      <x:c r="S1613" s="22" t="str"/>
      <x:c r="T1613" s="22" t="str"/>
    </x:row>
    <x:row r="1614">
      <x:c r="A1614" s="22" t="str">
        <x:v>2021-00018</x:v>
      </x:c>
      <x:c r="B1614" s="22" t="str">
        <x:v>L2023-00050-1</x:v>
      </x:c>
      <x:c r="C1614" s="22" t="str">
        <x:v>용역</x:v>
      </x:c>
      <x:c r="D1614" s="25" t="str">
        <x:v>몽골 철도교통관제센터 건립 및 운영 역량강화사업을 통한 철도교통 경쟁력 강화사업 설계업체 선정</x:v>
      </x:c>
      <x:c r="E1614" s="22" t="n">
        <x:v>0</x:v>
      </x:c>
      <x:c r="F1614" s="22" t="str">
        <x:v>.pdf</x:v>
      </x:c>
      <x:c r="G1614" s="25" t="str">
        <x:v>L2023-00050-1/현지입찰 평가위원회 결과 보고서(번역본).pdf</x:v>
      </x:c>
      <x:c r="H1614" s="28" t="n">
        <x:v>5064292</x:v>
      </x:c>
      <x:c r="I1614" s="22" t="str">
        <x:v>e09e38c9fd5f5df8c6fde440db773c22f42817f5c494e4edfc7dba45f2509c5c</x:v>
      </x:c>
      <x:c r="J1614" s="22" t="n">
        <x:v>0</x:v>
      </x:c>
      <x:c r="K1614" s="22" t="n">
        <x:v>0</x:v>
      </x:c>
      <x:c r="L1614" s="22" t="n">
        <x:v>0</x:v>
      </x:c>
      <x:c r="M1614" s="28" t="n">
        <x:v>0</x:v>
      </x:c>
      <x:c r="N1614" s="28" t="n">
        <x:v>0</x:v>
      </x:c>
      <x:c r="O1614" s="28" t="n">
        <x:v>0</x:v>
      </x:c>
      <x:c r="P1614" s="62" t="n">
        <x:v>0</x:v>
      </x:c>
      <x:c r="Q1614" s="22" t="n">
        <x:v>0</x:v>
      </x:c>
      <x:c r="R1614" s="22" t="str"/>
      <x:c r="S1614" s="22" t="str"/>
      <x:c r="T1614" s="22" t="str"/>
    </x:row>
    <x:row r="1615">
      <x:c r="A1615" s="22" t="str">
        <x:v>2021-00018</x:v>
      </x:c>
      <x:c r="B1615" s="22" t="str">
        <x:v>L2023-00050-1</x:v>
      </x:c>
      <x:c r="C1615" s="22" t="str">
        <x:v>용역</x:v>
      </x:c>
      <x:c r="D1615" s="25" t="str">
        <x:v>몽골 철도교통관제센터 건립 및 운영 역량강화사업을 통한 철도교통 경쟁력 강화사업 설계업체 선정</x:v>
      </x:c>
      <x:c r="E1615" s="22" t="n">
        <x:v>0</x:v>
      </x:c>
      <x:c r="F1615" s="22" t="str">
        <x:v>.pdf</x:v>
      </x:c>
      <x:c r="G1615" s="25" t="str">
        <x:v>L2023-00050-1/현지입찰 결과 통보 문서(번역본).pdf</x:v>
      </x:c>
      <x:c r="H1615" s="28" t="n">
        <x:v>496542</x:v>
      </x:c>
      <x:c r="I1615" s="22" t="str">
        <x:v>a52599883a2925d7605e6e75f878bc909b7079af49e5fca09dd3ff26def45498</x:v>
      </x:c>
      <x:c r="J1615" s="22" t="n">
        <x:v>0</x:v>
      </x:c>
      <x:c r="K1615" s="22" t="n">
        <x:v>0</x:v>
      </x:c>
      <x:c r="L1615" s="22" t="n">
        <x:v>0</x:v>
      </x:c>
      <x:c r="M1615" s="28" t="n">
        <x:v>0</x:v>
      </x:c>
      <x:c r="N1615" s="28" t="n">
        <x:v>0</x:v>
      </x:c>
      <x:c r="O1615" s="28" t="n">
        <x:v>0</x:v>
      </x:c>
      <x:c r="P1615" s="62" t="n">
        <x:v>0</x:v>
      </x:c>
      <x:c r="Q1615" s="22" t="n">
        <x:v>0</x:v>
      </x:c>
      <x:c r="R1615" s="22" t="str"/>
      <x:c r="S1615" s="22" t="str"/>
      <x:c r="T1615" s="22" t="str"/>
    </x:row>
    <x:row r="1616">
      <x:c r="A1616" s="22" t="str">
        <x:v>2021-00018</x:v>
      </x:c>
      <x:c r="B1616" s="22" t="str">
        <x:v>L2023-00050-1</x:v>
      </x:c>
      <x:c r="C1616" s="22" t="str">
        <x:v>용역</x:v>
      </x:c>
      <x:c r="D1616" s="25" t="str">
        <x:v>몽골 철도교통관제센터 건립 및 운영 역량강화사업을 통한 철도교통 경쟁력 강화사업 설계업체 선정</x:v>
      </x:c>
      <x:c r="E1616" s="22" t="n">
        <x:v>0</x:v>
      </x:c>
      <x:c r="F1616" s="22" t="str">
        <x:v>.pdf</x:v>
      </x:c>
      <x:c r="G1616" s="25" t="str">
        <x:v>L2023-00050-1/현지입찰 진행상황 보고 문서(번역본).pdf</x:v>
      </x:c>
      <x:c r="H1616" s="28" t="n">
        <x:v>1533893</x:v>
      </x:c>
      <x:c r="I1616" s="22" t="str">
        <x:v>be1982c664136fad51771e9709e487f30316088d9f2205dad3739b3eaf18b00b</x:v>
      </x:c>
      <x:c r="J1616" s="22" t="n">
        <x:v>0</x:v>
      </x:c>
      <x:c r="K1616" s="22" t="n">
        <x:v>0</x:v>
      </x:c>
      <x:c r="L1616" s="22" t="n">
        <x:v>0</x:v>
      </x:c>
      <x:c r="M1616" s="28" t="n">
        <x:v>0</x:v>
      </x:c>
      <x:c r="N1616" s="28" t="n">
        <x:v>0</x:v>
      </x:c>
      <x:c r="O1616" s="28" t="n">
        <x:v>0</x:v>
      </x:c>
      <x:c r="P1616" s="62" t="n">
        <x:v>0</x:v>
      </x:c>
      <x:c r="Q1616" s="22" t="n">
        <x:v>0</x:v>
      </x:c>
      <x:c r="R1616" s="22" t="str"/>
      <x:c r="S1616" s="22" t="str"/>
      <x:c r="T1616" s="22" t="str"/>
    </x:row>
    <x:row r="1617">
      <x:c r="A1617" s="22" t="str">
        <x:v>2021-00018</x:v>
      </x:c>
      <x:c r="B1617" s="22" t="str">
        <x:v>L2023-00075-1</x:v>
      </x:c>
      <x:c r="C1617" s="22" t="str">
        <x:v>공사</x:v>
      </x:c>
      <x:c r="D1617" s="25" t="str">
        <x:v>몽골 철도교통관제센터(RTCC) 건립 시공 입찰</x:v>
      </x:c>
      <x:c r="E1617" s="22" t="n">
        <x:v>1</x:v>
      </x:c>
      <x:c r="F1617" s="22" t="str">
        <x:v>.docx</x:v>
      </x:c>
      <x:c r="G1617" s="25" t="str">
        <x:v>L2023-00075-1/RTCC 시공 Terms of Reference for NIFS Construction(2023.12.14).docx</x:v>
      </x:c>
      <x:c r="H1617" s="28" t="n">
        <x:v>54988</x:v>
      </x:c>
      <x:c r="I1617" s="22" t="str">
        <x:v>0afaa8b87506057722b2404bdfd542abc37ec783fa4ab4469707e0b71fef65a7</x:v>
      </x:c>
      <x:c r="J1617" s="22" t="n">
        <x:v>0</x:v>
      </x:c>
      <x:c r="K1617" s="22" t="n">
        <x:v>0</x:v>
      </x:c>
      <x:c r="L1617" s="22" t="n">
        <x:v>0</x:v>
      </x:c>
      <x:c r="M1617" s="28" t="n">
        <x:v>0</x:v>
      </x:c>
      <x:c r="N1617" s="28" t="n">
        <x:v>0</x:v>
      </x:c>
      <x:c r="O1617" s="28" t="n">
        <x:v>0</x:v>
      </x:c>
      <x:c r="P1617" s="62" t="n">
        <x:v>0</x:v>
      </x:c>
      <x:c r="Q1617" s="22" t="n">
        <x:v>0</x:v>
      </x:c>
      <x:c r="R1617" s="22" t="str"/>
      <x:c r="S1617" s="22" t="str"/>
      <x:c r="T1617" s="22" t="str"/>
    </x:row>
    <x:row r="1618">
      <x:c r="A1618" s="22" t="str">
        <x:v>2021-00018</x:v>
      </x:c>
      <x:c r="B1618" s="22" t="str">
        <x:v>L2023-00075-1</x:v>
      </x:c>
      <x:c r="C1618" s="22" t="str">
        <x:v>공사</x:v>
      </x:c>
      <x:c r="D1618" s="25" t="str">
        <x:v>몽골 철도교통관제센터(RTCC) 건립 시공 입찰</x:v>
      </x:c>
      <x:c r="E1618" s="22" t="n">
        <x:v>1</x:v>
      </x:c>
      <x:c r="F1618" s="22" t="str">
        <x:v>.docx</x:v>
      </x:c>
      <x:c r="G1618" s="25" t="str">
        <x:v>L2023-00075-1/첨부1 RTCC 시공 3자계약서 (2023.12.18)_Rev1.docx</x:v>
      </x:c>
      <x:c r="H1618" s="28" t="n">
        <x:v>61141</x:v>
      </x:c>
      <x:c r="I1618" s="22" t="str">
        <x:v>38f9103d45b5294f73f49ea2f44a996d2dc85da9cdbbbe8568fab982191c095e</x:v>
      </x:c>
      <x:c r="J1618" s="22" t="n">
        <x:v>0</x:v>
      </x:c>
      <x:c r="K1618" s="22" t="n">
        <x:v>0</x:v>
      </x:c>
      <x:c r="L1618" s="22" t="n">
        <x:v>0</x:v>
      </x:c>
      <x:c r="M1618" s="28" t="n">
        <x:v>0</x:v>
      </x:c>
      <x:c r="N1618" s="28" t="n">
        <x:v>0</x:v>
      </x:c>
      <x:c r="O1618" s="28" t="n">
        <x:v>0</x:v>
      </x:c>
      <x:c r="P1618" s="62" t="n">
        <x:v>0</x:v>
      </x:c>
      <x:c r="Q1618" s="22" t="n">
        <x:v>0</x:v>
      </x:c>
      <x:c r="R1618" s="22" t="str"/>
      <x:c r="S1618" s="22" t="str"/>
      <x:c r="T1618" s="22" t="str"/>
    </x:row>
    <x:row r="1619">
      <x:c r="A1619" s="22" t="str">
        <x:v>2021-00018</x:v>
      </x:c>
      <x:c r="B1619" s="22" t="str">
        <x:v>L2023-00075-1</x:v>
      </x:c>
      <x:c r="C1619" s="22" t="str">
        <x:v>공사</x:v>
      </x:c>
      <x:c r="D1619" s="25" t="str">
        <x:v>몽골 철도교통관제센터(RTCC) 건립 시공 입찰</x:v>
      </x:c>
      <x:c r="E1619" s="22" t="n">
        <x:v>1</x:v>
      </x:c>
      <x:c r="F1619" s="22" t="str">
        <x:v>.pdf</x:v>
      </x:c>
      <x:c r="G1619" s="25" t="str">
        <x:v>L2023-00075-1/(231213) RTCC 발주감리 계약서.pdf</x:v>
      </x:c>
      <x:c r="H1619" s="28" t="n">
        <x:v>974425</x:v>
      </x:c>
      <x:c r="I1619" s="22" t="str">
        <x:v>c9be7b77c2c8caa32fd4a86ed0ddaf42bae85d59cdb3250a0876c7cae60d30b7</x:v>
      </x:c>
      <x:c r="J1619" s="22" t="n">
        <x:v>0</x:v>
      </x:c>
      <x:c r="K1619" s="22" t="n">
        <x:v>0</x:v>
      </x:c>
      <x:c r="L1619" s="22" t="n">
        <x:v>0</x:v>
      </x:c>
      <x:c r="M1619" s="28" t="n">
        <x:v>0</x:v>
      </x:c>
      <x:c r="N1619" s="28" t="n">
        <x:v>0</x:v>
      </x:c>
      <x:c r="O1619" s="28" t="n">
        <x:v>0</x:v>
      </x:c>
      <x:c r="P1619" s="62" t="n">
        <x:v>0</x:v>
      </x:c>
      <x:c r="Q1619" s="22" t="n">
        <x:v>0</x:v>
      </x:c>
      <x:c r="R1619" s="22" t="str"/>
      <x:c r="S1619" s="22" t="str"/>
      <x:c r="T1619" s="22" t="str"/>
    </x:row>
    <x:row r="1620">
      <x:c r="A1620" s="22" t="str">
        <x:v>2020-00073</x:v>
      </x:c>
      <x:c r="B1620" s="22" t="str">
        <x:v>L2022-00027-1</x:v>
      </x:c>
      <x:c r="C1620" s="22" t="str">
        <x:v>용역</x:v>
      </x:c>
      <x:c r="D1620" s="25" t="str">
        <x:v>에콰도르 키토시 혁신센터 건립을 통한 창업 및 기업혁신 지원체계 강화사업 리모델링 설계 용역</x:v>
      </x:c>
      <x:c r="E1620" s="22" t="n">
        <x:v>0</x:v>
      </x:c>
      <x:c r="F1620" s="22" t="str">
        <x:v>.zip</x:v>
      </x:c>
      <x:c r="G1620" s="25" t="str">
        <x:v>L2022-00027-1/2. 입찰서류(영문)_키토혁신센터 설계_220531.zip</x:v>
      </x:c>
      <x:c r="H1620" s="28" t="n">
        <x:v>16807128</x:v>
      </x:c>
      <x:c r="I1620" s="22" t="str">
        <x:v>06745012f4b96b429ebb17f0624195e233f0d922e99ace374d67755ba3271036</x:v>
      </x:c>
      <x:c r="J1620" s="22" t="n">
        <x:v>0</x:v>
      </x:c>
      <x:c r="K1620" s="22" t="n">
        <x:v>0</x:v>
      </x:c>
      <x:c r="L1620" s="22" t="n">
        <x:v>0</x:v>
      </x:c>
      <x:c r="M1620" s="28" t="n">
        <x:v>0</x:v>
      </x:c>
      <x:c r="N1620" s="28" t="n">
        <x:v>0</x:v>
      </x:c>
      <x:c r="O1620" s="28" t="n">
        <x:v>0</x:v>
      </x:c>
      <x:c r="P1620" s="62" t="n">
        <x:v>0</x:v>
      </x:c>
      <x:c r="Q1620" s="22" t="n">
        <x:v>0</x:v>
      </x:c>
      <x:c r="R1620" s="22" t="str"/>
      <x:c r="S1620" s="22" t="str"/>
      <x:c r="T1620" s="22" t="str"/>
    </x:row>
    <x:row r="1621">
      <x:c r="A1621" s="22" t="str">
        <x:v>2020-00073</x:v>
      </x:c>
      <x:c r="B1621" s="22" t="str">
        <x:v>L2022-00027-1</x:v>
      </x:c>
      <x:c r="C1621" s="22" t="str">
        <x:v>용역</x:v>
      </x:c>
      <x:c r="D1621" s="25" t="str">
        <x:v>에콰도르 키토시 혁신센터 건립을 통한 창업 및 기업혁신 지원체계 강화사업 리모델링 설계 용역</x:v>
      </x:c>
      <x:c r="E1621" s="22" t="n">
        <x:v>0</x:v>
      </x:c>
      <x:c r="F1621" s="22" t="str">
        <x:v>.hwp</x:v>
      </x:c>
      <x:c r="G1621" s="25" t="str">
        <x:v>L2022-00027-1/1. 입찰계획안(국문)_키토혁신센터 설계_220601.hwp</x:v>
      </x:c>
      <x:c r="H1621" s="28" t="n">
        <x:v>16566784</x:v>
      </x:c>
      <x:c r="I1621" s="22" t="str">
        <x:v>23496634d332514b8226ec61258b51a71e65f1b4b5f4933063e6dddb2cc53c73</x:v>
      </x:c>
      <x:c r="J1621" s="22" t="n">
        <x:v>0</x:v>
      </x:c>
      <x:c r="K1621" s="22" t="n">
        <x:v>0</x:v>
      </x:c>
      <x:c r="L1621" s="22" t="n">
        <x:v>0</x:v>
      </x:c>
      <x:c r="M1621" s="28" t="n">
        <x:v>0</x:v>
      </x:c>
      <x:c r="N1621" s="28" t="n">
        <x:v>0</x:v>
      </x:c>
      <x:c r="O1621" s="28" t="n">
        <x:v>0</x:v>
      </x:c>
      <x:c r="P1621" s="62" t="n">
        <x:v>0</x:v>
      </x:c>
      <x:c r="Q1621" s="22" t="n">
        <x:v>0</x:v>
      </x:c>
      <x:c r="R1621" s="22" t="str"/>
      <x:c r="S1621" s="22" t="str"/>
      <x:c r="T1621" s="22" t="str"/>
    </x:row>
    <x:row r="1622">
      <x:c r="A1622" s="22" t="str">
        <x:v>2020-00073</x:v>
      </x:c>
      <x:c r="B1622" s="22" t="str">
        <x:v>L2022-00027-1</x:v>
      </x:c>
      <x:c r="C1622" s="22" t="str">
        <x:v>용역</x:v>
      </x:c>
      <x:c r="D1622" s="25" t="str">
        <x:v>에콰도르 키토시 혁신센터 건립을 통한 창업 및 기업혁신 지원체계 강화사업 리모델링 설계 용역</x:v>
      </x:c>
      <x:c r="E1622" s="22" t="n">
        <x:v>0</x:v>
      </x:c>
      <x:c r="F1622" s="22" t="str">
        <x:v>.docx</x:v>
      </x:c>
      <x:c r="G1622" s="25" t="str">
        <x:v>L2022-00027-1/2. 입찰서류(영문)_키토혁신센터 설계_220531/0. Ecuador RFP Table of Contents 20220531.docx</x:v>
      </x:c>
      <x:c r="H1622" s="28" t="n">
        <x:v>14855</x:v>
      </x:c>
      <x:c r="I1622" s="22" t="str">
        <x:v>32b6cb69bc164675ee62153ca6d3996942577d062e4ad39302cdbb7949fd6f04</x:v>
      </x:c>
      <x:c r="J1622" s="22" t="n">
        <x:v>0</x:v>
      </x:c>
      <x:c r="K1622" s="22" t="n">
        <x:v>0</x:v>
      </x:c>
      <x:c r="L1622" s="22" t="n">
        <x:v>0</x:v>
      </x:c>
      <x:c r="M1622" s="28" t="n">
        <x:v>0</x:v>
      </x:c>
      <x:c r="N1622" s="28" t="n">
        <x:v>0</x:v>
      </x:c>
      <x:c r="O1622" s="28" t="n">
        <x:v>0</x:v>
      </x:c>
      <x:c r="P1622" s="62" t="n">
        <x:v>0</x:v>
      </x:c>
      <x:c r="Q1622" s="22" t="n">
        <x:v>0</x:v>
      </x:c>
      <x:c r="R1622" s="22" t="str"/>
      <x:c r="S1622" s="22" t="str"/>
      <x:c r="T1622" s="22" t="str"/>
    </x:row>
    <x:row r="1623">
      <x:c r="A1623" s="22" t="str">
        <x:v>2020-00073</x:v>
      </x:c>
      <x:c r="B1623" s="22" t="str">
        <x:v>L2022-00027-1</x:v>
      </x:c>
      <x:c r="C1623" s="22" t="str">
        <x:v>용역</x:v>
      </x:c>
      <x:c r="D1623" s="25" t="str">
        <x:v>에콰도르 키토시 혁신센터 건립을 통한 창업 및 기업혁신 지원체계 강화사업 리모델링 설계 용역</x:v>
      </x:c>
      <x:c r="E1623" s="22" t="n">
        <x:v>0</x:v>
      </x:c>
      <x:c r="F1623" s="22" t="str">
        <x:v>.docx</x:v>
      </x:c>
      <x:c r="G1623" s="25" t="str">
        <x:v>L2022-00027-1/2. 입찰서류(영문)_키토혁신센터 설계_220531/3. Ecuador Bidding Forms 20220531.docx</x:v>
      </x:c>
      <x:c r="H1623" s="28" t="n">
        <x:v>62529</x:v>
      </x:c>
      <x:c r="I1623" s="22" t="str">
        <x:v>16d487ea95ffe3254ba09b00fd077ea51ac4e94d35224b6d7e16ba94306ccece</x:v>
      </x:c>
      <x:c r="J1623" s="22" t="n">
        <x:v>0</x:v>
      </x:c>
      <x:c r="K1623" s="22" t="n">
        <x:v>0</x:v>
      </x:c>
      <x:c r="L1623" s="22" t="n">
        <x:v>0</x:v>
      </x:c>
      <x:c r="M1623" s="28" t="n">
        <x:v>0</x:v>
      </x:c>
      <x:c r="N1623" s="28" t="n">
        <x:v>0</x:v>
      </x:c>
      <x:c r="O1623" s="28" t="n">
        <x:v>0</x:v>
      </x:c>
      <x:c r="P1623" s="62" t="n">
        <x:v>0</x:v>
      </x:c>
      <x:c r="Q1623" s="22" t="n">
        <x:v>0</x:v>
      </x:c>
      <x:c r="R1623" s="22" t="str"/>
      <x:c r="S1623" s="22" t="str"/>
      <x:c r="T1623" s="22" t="str"/>
    </x:row>
    <x:row r="1624">
      <x:c r="A1624" s="22" t="str">
        <x:v>2020-00073</x:v>
      </x:c>
      <x:c r="B1624" s="22" t="str">
        <x:v>L2022-00027-1</x:v>
      </x:c>
      <x:c r="C1624" s="22" t="str">
        <x:v>용역</x:v>
      </x:c>
      <x:c r="D1624" s="25" t="str">
        <x:v>에콰도르 키토시 혁신센터 건립을 통한 창업 및 기업혁신 지원체계 강화사업 리모델링 설계 용역</x:v>
      </x:c>
      <x:c r="E1624" s="22" t="n">
        <x:v>0</x:v>
      </x:c>
      <x:c r="F1624" s="22" t="str">
        <x:v>.docx</x:v>
      </x:c>
      <x:c r="G1624" s="25" t="str">
        <x:v>L2022-00027-1/2. 입찰서류(영문)_키토혁신센터 설계_220531/5. Ecuador Standard Forms of Contract 20220531.docx</x:v>
      </x:c>
      <x:c r="H1624" s="28" t="n">
        <x:v>41950</x:v>
      </x:c>
      <x:c r="I1624" s="22" t="str">
        <x:v>43b1c79e872c8d29308d330627eeda8112fdef3af863d6750b9dc5316d5d07c5</x:v>
      </x:c>
      <x:c r="J1624" s="22" t="n">
        <x:v>0</x:v>
      </x:c>
      <x:c r="K1624" s="22" t="n">
        <x:v>0</x:v>
      </x:c>
      <x:c r="L1624" s="22" t="n">
        <x:v>0</x:v>
      </x:c>
      <x:c r="M1624" s="28" t="n">
        <x:v>0</x:v>
      </x:c>
      <x:c r="N1624" s="28" t="n">
        <x:v>0</x:v>
      </x:c>
      <x:c r="O1624" s="28" t="n">
        <x:v>0</x:v>
      </x:c>
      <x:c r="P1624" s="62" t="n">
        <x:v>0</x:v>
      </x:c>
      <x:c r="Q1624" s="22" t="n">
        <x:v>0</x:v>
      </x:c>
      <x:c r="R1624" s="22" t="str"/>
      <x:c r="S1624" s="22" t="str"/>
      <x:c r="T1624" s="22" t="str"/>
    </x:row>
    <x:row r="1625">
      <x:c r="A1625" s="22" t="str">
        <x:v>2020-00073</x:v>
      </x:c>
      <x:c r="B1625" s="22" t="str">
        <x:v>L2022-00027-1</x:v>
      </x:c>
      <x:c r="C1625" s="22" t="str">
        <x:v>용역</x:v>
      </x:c>
      <x:c r="D1625" s="25" t="str">
        <x:v>에콰도르 키토시 혁신센터 건립을 통한 창업 및 기업혁신 지원체계 강화사업 리모델링 설계 용역</x:v>
      </x:c>
      <x:c r="E1625" s="22" t="n">
        <x:v>0</x:v>
      </x:c>
      <x:c r="F1625" s="22" t="str">
        <x:v>.docx</x:v>
      </x:c>
      <x:c r="G1625" s="25" t="str">
        <x:v>L2022-00027-1/2. 입찰서류(영문)_키토혁신센터 설계_220531/1. Ecuador Bidding Guideline 20220531.docx</x:v>
      </x:c>
      <x:c r="H1625" s="28" t="n">
        <x:v>10779023</x:v>
      </x:c>
      <x:c r="I1625" s="22" t="str">
        <x:v>5561862e49de98991c1fe3460c2a0b369e105f1fc9b44bfd54d30032c65d4956</x:v>
      </x:c>
      <x:c r="J1625" s="22" t="n">
        <x:v>0</x:v>
      </x:c>
      <x:c r="K1625" s="22" t="n">
        <x:v>0</x:v>
      </x:c>
      <x:c r="L1625" s="22" t="n">
        <x:v>0</x:v>
      </x:c>
      <x:c r="M1625" s="28" t="n">
        <x:v>0</x:v>
      </x:c>
      <x:c r="N1625" s="28" t="n">
        <x:v>0</x:v>
      </x:c>
      <x:c r="O1625" s="28" t="n">
        <x:v>0</x:v>
      </x:c>
      <x:c r="P1625" s="62" t="n">
        <x:v>0</x:v>
      </x:c>
      <x:c r="Q1625" s="22" t="n">
        <x:v>0</x:v>
      </x:c>
      <x:c r="R1625" s="22" t="str"/>
      <x:c r="S1625" s="22" t="str"/>
      <x:c r="T1625" s="22" t="str"/>
    </x:row>
    <x:row r="1626">
      <x:c r="A1626" s="22" t="str">
        <x:v>2020-00073</x:v>
      </x:c>
      <x:c r="B1626" s="22" t="str">
        <x:v>L2022-00027-1</x:v>
      </x:c>
      <x:c r="C1626" s="22" t="str">
        <x:v>용역</x:v>
      </x:c>
      <x:c r="D1626" s="25" t="str">
        <x:v>에콰도르 키토시 혁신센터 건립을 통한 창업 및 기업혁신 지원체계 강화사업 리모델링 설계 용역</x:v>
      </x:c>
      <x:c r="E1626" s="22" t="n">
        <x:v>0</x:v>
      </x:c>
      <x:c r="F1626" s="22" t="str">
        <x:v>.pdf</x:v>
      </x:c>
      <x:c r="G1626" s="25" t="str">
        <x:v>L2022-00027-1/2. 입찰서류(영문)_키토혁신센터 설계_220531/2. Ecuador Instructions on International Bidding 20220531.pdf</x:v>
      </x:c>
      <x:c r="H1626" s="28" t="n">
        <x:v>165396</x:v>
      </x:c>
      <x:c r="I1626" s="22" t="str">
        <x:v>bdbb7d275baa996f60515ba47f823648d48f5dd45aeaaaa04a94635c2f9b3592</x:v>
      </x:c>
      <x:c r="J1626" s="22" t="n">
        <x:v>0</x:v>
      </x:c>
      <x:c r="K1626" s="22" t="n">
        <x:v>0</x:v>
      </x:c>
      <x:c r="L1626" s="22" t="n">
        <x:v>0</x:v>
      </x:c>
      <x:c r="M1626" s="28" t="n">
        <x:v>0</x:v>
      </x:c>
      <x:c r="N1626" s="28" t="n">
        <x:v>0</x:v>
      </x:c>
      <x:c r="O1626" s="28" t="n">
        <x:v>0</x:v>
      </x:c>
      <x:c r="P1626" s="62" t="n">
        <x:v>0</x:v>
      </x:c>
      <x:c r="Q1626" s="22" t="n">
        <x:v>0</x:v>
      </x:c>
      <x:c r="R1626" s="22" t="str"/>
      <x:c r="S1626" s="22" t="str"/>
      <x:c r="T1626" s="22" t="str"/>
    </x:row>
    <x:row r="1627">
      <x:c r="A1627" s="22" t="str">
        <x:v>2020-00073</x:v>
      </x:c>
      <x:c r="B1627" s="22" t="str">
        <x:v>L2022-00027-1</x:v>
      </x:c>
      <x:c r="C1627" s="22" t="str">
        <x:v>용역</x:v>
      </x:c>
      <x:c r="D1627" s="25" t="str">
        <x:v>에콰도르 키토시 혁신센터 건립을 통한 창업 및 기업혁신 지원체계 강화사업 리모델링 설계 용역</x:v>
      </x:c>
      <x:c r="E1627" s="22" t="n">
        <x:v>0</x:v>
      </x:c>
      <x:c r="F1627" s="22" t="str">
        <x:v>.docx</x:v>
      </x:c>
      <x:c r="G1627" s="25" t="str">
        <x:v>L2022-00027-1/2. 입찰서류(영문)_키토혁신센터 설계_220531/4. Ecuador Terms of Reference 20220601.docx</x:v>
      </x:c>
      <x:c r="H1627" s="28" t="n">
        <x:v>5851219</x:v>
      </x:c>
      <x:c r="I1627" s="22" t="str">
        <x:v>00e9a03a19a1c0542a2096e41ec22edb2e876cb1dc07a06107b67b858be872fc</x:v>
      </x:c>
      <x:c r="J1627" s="22" t="n">
        <x:v>0</x:v>
      </x:c>
      <x:c r="K1627" s="22" t="n">
        <x:v>0</x:v>
      </x:c>
      <x:c r="L1627" s="22" t="n">
        <x:v>0</x:v>
      </x:c>
      <x:c r="M1627" s="28" t="n">
        <x:v>0</x:v>
      </x:c>
      <x:c r="N1627" s="28" t="n">
        <x:v>0</x:v>
      </x:c>
      <x:c r="O1627" s="28" t="n">
        <x:v>0</x:v>
      </x:c>
      <x:c r="P1627" s="62" t="n">
        <x:v>0</x:v>
      </x:c>
      <x:c r="Q1627" s="22" t="n">
        <x:v>0</x:v>
      </x:c>
      <x:c r="R1627" s="22" t="str"/>
      <x:c r="S1627" s="22" t="str"/>
      <x:c r="T1627" s="22" t="str"/>
    </x:row>
    <x:row r="1628">
      <x:c r="A1628" s="22" t="str">
        <x:v>2015-00019</x:v>
      </x:c>
      <x:c r="B1628" s="22" t="str">
        <x:v>L2021-00022-1</x:v>
      </x:c>
      <x:c r="C1628" s="22" t="str">
        <x:v>물품</x:v>
      </x:c>
      <x:c r="D1628" s="25" t="str">
        <x:v>한코협력센터 건립사업 사후지원 IT 기자재 구매 현지입찰</x:v>
      </x:c>
      <x:c r="E1628" s="22" t="n">
        <x:v>0</x:v>
      </x:c>
      <x:c r="F1628" s="22" t="str">
        <x:v>.zip</x:v>
      </x:c>
      <x:c r="G1628" s="25" t="str">
        <x:v>L2021-00022-1/(붙임 2) 가격조사자료 및 물량내역서.zip</x:v>
      </x:c>
      <x:c r="H1628" s="28" t="n">
        <x:v>1639987</x:v>
      </x:c>
      <x:c r="I1628" s="22" t="str">
        <x:v>bf78666834f6745381c052a6ec7d3530e8c6f15fb9f326eb87a6c3fb11712130</x:v>
      </x:c>
      <x:c r="J1628" s="22" t="n">
        <x:v>0</x:v>
      </x:c>
      <x:c r="K1628" s="22" t="n">
        <x:v>1</x:v>
      </x:c>
      <x:c r="L1628" s="22" t="n">
        <x:v>0</x:v>
      </x:c>
      <x:c r="M1628" s="28" t="n">
        <x:v>0</x:v>
      </x:c>
      <x:c r="N1628" s="28" t="n">
        <x:v>0</x:v>
      </x:c>
      <x:c r="O1628" s="28" t="n">
        <x:v>0</x:v>
      </x:c>
      <x:c r="P1628" s="62" t="n">
        <x:v>0</x:v>
      </x:c>
      <x:c r="Q1628" s="22" t="n">
        <x:v>0</x:v>
      </x:c>
      <x:c r="R1628" s="22" t="str"/>
      <x:c r="S1628" s="22" t="str"/>
      <x:c r="T1628" s="22" t="str"/>
    </x:row>
    <x:row r="1629">
      <x:c r="A1629" s="22" t="str">
        <x:v>2015-00019</x:v>
      </x:c>
      <x:c r="B1629" s="22" t="str">
        <x:v>L2021-00022-1</x:v>
      </x:c>
      <x:c r="C1629" s="22" t="str">
        <x:v>물품</x:v>
      </x:c>
      <x:c r="D1629" s="25" t="str">
        <x:v>한코협력센터 건립사업 사후지원 IT 기자재 구매 현지입찰</x:v>
      </x:c>
      <x:c r="E1629" s="22" t="n">
        <x:v>0</x:v>
      </x:c>
      <x:c r="F1629" s="22" t="str">
        <x:v>.pdf</x:v>
      </x:c>
      <x:c r="G1629" s="25" t="str">
        <x:v>L2021-00022-1/(붙임 6) 코트디부아르 공공계약규정(Code-Marches-Publics-Ordonnance).pdf</x:v>
      </x:c>
      <x:c r="H1629" s="28" t="n">
        <x:v>1911490</x:v>
      </x:c>
      <x:c r="I1629" s="22" t="str">
        <x:v>2ce2d92a5a13742711e498be6e16eaebbf69dc75a45754c3f0c5f0c584d1dc60</x:v>
      </x:c>
      <x:c r="J1629" s="22" t="n">
        <x:v>0</x:v>
      </x:c>
      <x:c r="K1629" s="22" t="n">
        <x:v>0</x:v>
      </x:c>
      <x:c r="L1629" s="22" t="n">
        <x:v>0</x:v>
      </x:c>
      <x:c r="M1629" s="28" t="n">
        <x:v>0</x:v>
      </x:c>
      <x:c r="N1629" s="28" t="n">
        <x:v>0</x:v>
      </x:c>
      <x:c r="O1629" s="28" t="n">
        <x:v>0</x:v>
      </x:c>
      <x:c r="P1629" s="62" t="n">
        <x:v>0</x:v>
      </x:c>
      <x:c r="Q1629" s="22" t="n">
        <x:v>0</x:v>
      </x:c>
      <x:c r="R1629" s="22" t="str"/>
      <x:c r="S1629" s="22" t="str"/>
      <x:c r="T1629" s="22" t="str"/>
    </x:row>
    <x:row r="1630">
      <x:c r="A1630" s="22" t="str">
        <x:v>2015-00019</x:v>
      </x:c>
      <x:c r="B1630" s="22" t="str">
        <x:v>L2021-00022-1</x:v>
      </x:c>
      <x:c r="C1630" s="22" t="str">
        <x:v>물품</x:v>
      </x:c>
      <x:c r="D1630" s="25" t="str">
        <x:v>한코협력센터 건립사업 사후지원 IT 기자재 구매 현지입찰</x:v>
      </x:c>
      <x:c r="E1630" s="22" t="n">
        <x:v>0</x:v>
      </x:c>
      <x:c r="F1630" s="22" t="str">
        <x:v>.hwp</x:v>
      </x:c>
      <x:c r="G1630" s="25" t="str">
        <x:v>L2021-00022-1/(붙임 1) 한코센터 IT 기자재 입찰계획안_국문본(210622).hwp</x:v>
      </x:c>
      <x:c r="H1630" s="28" t="n">
        <x:v>114176</x:v>
      </x:c>
      <x:c r="I1630" s="22" t="str">
        <x:v>e749043b955b8828d8e8f7cefbb98d8faf1345b877047e4d9988bcf6132d1e01</x:v>
      </x:c>
      <x:c r="J1630" s="22" t="n">
        <x:v>0</x:v>
      </x:c>
      <x:c r="K1630" s="22" t="n">
        <x:v>0</x:v>
      </x:c>
      <x:c r="L1630" s="22" t="n">
        <x:v>0</x:v>
      </x:c>
      <x:c r="M1630" s="28" t="n">
        <x:v>0</x:v>
      </x:c>
      <x:c r="N1630" s="28" t="n">
        <x:v>0</x:v>
      </x:c>
      <x:c r="O1630" s="28" t="n">
        <x:v>0</x:v>
      </x:c>
      <x:c r="P1630" s="62" t="n">
        <x:v>0</x:v>
      </x:c>
      <x:c r="Q1630" s="22" t="n">
        <x:v>0</x:v>
      </x:c>
      <x:c r="R1630" s="22" t="str"/>
      <x:c r="S1630" s="22" t="str"/>
      <x:c r="T1630" s="22" t="str"/>
    </x:row>
    <x:row r="1631">
      <x:c r="A1631" s="22" t="str">
        <x:v>2015-00019</x:v>
      </x:c>
      <x:c r="B1631" s="22" t="str">
        <x:v>L2021-00022-1</x:v>
      </x:c>
      <x:c r="C1631" s="22" t="str">
        <x:v>물품</x:v>
      </x:c>
      <x:c r="D1631" s="25" t="str">
        <x:v>한코협력센터 건립사업 사후지원 IT 기자재 구매 현지입찰</x:v>
      </x:c>
      <x:c r="E1631" s="22" t="n">
        <x:v>0</x:v>
      </x:c>
      <x:c r="F1631" s="22" t="str">
        <x:v>.docx</x:v>
      </x:c>
      <x:c r="G1631" s="25" t="str">
        <x:v>L2021-00022-1/(붙임 5) 제안요청서_불문본(210623).docx</x:v>
      </x:c>
      <x:c r="H1631" s="28" t="n">
        <x:v>62360</x:v>
      </x:c>
      <x:c r="I1631" s="22" t="str">
        <x:v>db26feb0776055bb3e1d2782d3c848bfd2b28f5458a90c2e920c2195aeb88ae1</x:v>
      </x:c>
      <x:c r="J1631" s="22" t="n">
        <x:v>0</x:v>
      </x:c>
      <x:c r="K1631" s="22" t="n">
        <x:v>0</x:v>
      </x:c>
      <x:c r="L1631" s="22" t="n">
        <x:v>0</x:v>
      </x:c>
      <x:c r="M1631" s="28" t="n">
        <x:v>0</x:v>
      </x:c>
      <x:c r="N1631" s="28" t="n">
        <x:v>0</x:v>
      </x:c>
      <x:c r="O1631" s="28" t="n">
        <x:v>0</x:v>
      </x:c>
      <x:c r="P1631" s="62" t="n">
        <x:v>0</x:v>
      </x:c>
      <x:c r="Q1631" s="22" t="n">
        <x:v>0</x:v>
      </x:c>
      <x:c r="R1631" s="22" t="str"/>
      <x:c r="S1631" s="22" t="str"/>
      <x:c r="T1631" s="22" t="str"/>
    </x:row>
    <x:row r="1632">
      <x:c r="A1632" s="22" t="str">
        <x:v>2015-00019</x:v>
      </x:c>
      <x:c r="B1632" s="22" t="str">
        <x:v>L2021-00022-1</x:v>
      </x:c>
      <x:c r="C1632" s="22" t="str">
        <x:v>물품</x:v>
      </x:c>
      <x:c r="D1632" s="25" t="str">
        <x:v>한코협력센터 건립사업 사후지원 IT 기자재 구매 현지입찰</x:v>
      </x:c>
      <x:c r="E1632" s="22" t="n">
        <x:v>0</x:v>
      </x:c>
      <x:c r="F1632" s="22" t="str">
        <x:v>.docx</x:v>
      </x:c>
      <x:c r="G1632" s="25" t="str">
        <x:v>L2021-00022-1/(붙임 4) 입찰공고문_불문본(210623).docx</x:v>
      </x:c>
      <x:c r="H1632" s="28" t="n">
        <x:v>33820</x:v>
      </x:c>
      <x:c r="I1632" s="22" t="str">
        <x:v>cff9f9f7c6eed4e80b8be989b581fac1de3b015a2b2cd01701cdd4b45a9442b0</x:v>
      </x:c>
      <x:c r="J1632" s="22" t="n">
        <x:v>0</x:v>
      </x:c>
      <x:c r="K1632" s="22" t="n">
        <x:v>0</x:v>
      </x:c>
      <x:c r="L1632" s="22" t="n">
        <x:v>0</x:v>
      </x:c>
      <x:c r="M1632" s="28" t="n">
        <x:v>0</x:v>
      </x:c>
      <x:c r="N1632" s="28" t="n">
        <x:v>0</x:v>
      </x:c>
      <x:c r="O1632" s="28" t="n">
        <x:v>0</x:v>
      </x:c>
      <x:c r="P1632" s="62" t="n">
        <x:v>0</x:v>
      </x:c>
      <x:c r="Q1632" s="22" t="n">
        <x:v>0</x:v>
      </x:c>
      <x:c r="R1632" s="22" t="str"/>
      <x:c r="S1632" s="22" t="str"/>
      <x:c r="T1632" s="22" t="str"/>
    </x:row>
    <x:row r="1633">
      <x:c r="A1633" s="22" t="str">
        <x:v>2015-00019</x:v>
      </x:c>
      <x:c r="B1633" s="22" t="str">
        <x:v>L2021-00022-1</x:v>
      </x:c>
      <x:c r="C1633" s="22" t="str">
        <x:v>물품</x:v>
      </x:c>
      <x:c r="D1633" s="25" t="str">
        <x:v>한코협력센터 건립사업 사후지원 IT 기자재 구매 현지입찰</x:v>
      </x:c>
      <x:c r="E1633" s="22" t="n">
        <x:v>0</x:v>
      </x:c>
      <x:c r="F1633" s="22" t="str">
        <x:v>.zip</x:v>
      </x:c>
      <x:c r="G1633" s="25" t="str">
        <x:v>L2021-00022-1/(붙임 7) 입찰공고비용 Invoice.zip</x:v>
      </x:c>
      <x:c r="H1633" s="28" t="n">
        <x:v>835488</x:v>
      </x:c>
      <x:c r="I1633" s="22" t="str">
        <x:v>6b961c6391164f2f45db054a9262239502ea83ded6e54cc908f4bf943bdc8217</x:v>
      </x:c>
      <x:c r="J1633" s="22" t="n">
        <x:v>0</x:v>
      </x:c>
      <x:c r="K1633" s="22" t="n">
        <x:v>0</x:v>
      </x:c>
      <x:c r="L1633" s="22" t="n">
        <x:v>0</x:v>
      </x:c>
      <x:c r="M1633" s="28" t="n">
        <x:v>0</x:v>
      </x:c>
      <x:c r="N1633" s="28" t="n">
        <x:v>0</x:v>
      </x:c>
      <x:c r="O1633" s="28" t="n">
        <x:v>0</x:v>
      </x:c>
      <x:c r="P1633" s="62" t="n">
        <x:v>0</x:v>
      </x:c>
      <x:c r="Q1633" s="22" t="n">
        <x:v>0</x:v>
      </x:c>
      <x:c r="R1633" s="22" t="str"/>
      <x:c r="S1633" s="22" t="str"/>
      <x:c r="T1633" s="22" t="str"/>
    </x:row>
    <x:row r="1634">
      <x:c r="A1634" s="22" t="str">
        <x:v>2015-00019</x:v>
      </x:c>
      <x:c r="B1634" s="22" t="str">
        <x:v>L2021-00022-1</x:v>
      </x:c>
      <x:c r="C1634" s="22" t="str">
        <x:v>물품</x:v>
      </x:c>
      <x:c r="D1634" s="25" t="str">
        <x:v>한코협력센터 건립사업 사후지원 IT 기자재 구매 현지입찰</x:v>
      </x:c>
      <x:c r="E1634" s="22" t="n">
        <x:v>0</x:v>
      </x:c>
      <x:c r="F1634" s="22" t="str">
        <x:v>.pdf</x:v>
      </x:c>
      <x:c r="G1634" s="25" t="str">
        <x:v>L2021-00022-1/(붙임 3) 센터측 긴급입찰 요청 공한.pdf</x:v>
      </x:c>
      <x:c r="H1634" s="28" t="n">
        <x:v>335596</x:v>
      </x:c>
      <x:c r="I1634" s="22" t="str">
        <x:v>86fb69bb9c907660a5caffe1249a2f27caee5e00220aaccc5e23a56b34d7db79</x:v>
      </x:c>
      <x:c r="J1634" s="22" t="n">
        <x:v>0</x:v>
      </x:c>
      <x:c r="K1634" s="22" t="n">
        <x:v>0</x:v>
      </x:c>
      <x:c r="L1634" s="22" t="n">
        <x:v>0</x:v>
      </x:c>
      <x:c r="M1634" s="28" t="n">
        <x:v>0</x:v>
      </x:c>
      <x:c r="N1634" s="28" t="n">
        <x:v>0</x:v>
      </x:c>
      <x:c r="O1634" s="28" t="n">
        <x:v>0</x:v>
      </x:c>
      <x:c r="P1634" s="62" t="n">
        <x:v>0</x:v>
      </x:c>
      <x:c r="Q1634" s="22" t="n">
        <x:v>0</x:v>
      </x:c>
      <x:c r="R1634" s="22" t="str"/>
      <x:c r="S1634" s="22" t="str"/>
      <x:c r="T1634" s="22" t="str"/>
    </x:row>
    <x:row r="1635">
      <x:c r="A1635" s="22" t="str">
        <x:v>2015-00019</x:v>
      </x:c>
      <x:c r="B1635" s="22" t="str">
        <x:v>L2021-00022-1</x:v>
      </x:c>
      <x:c r="C1635" s="22" t="str">
        <x:v>물품</x:v>
      </x:c>
      <x:c r="D1635" s="25" t="str">
        <x:v>한코협력센터 건립사업 사후지원 IT 기자재 구매 현지입찰</x:v>
      </x:c>
      <x:c r="E1635" s="22" t="n">
        <x:v>0</x:v>
      </x:c>
      <x:c r="F1635" s="22" t="str">
        <x:v>.xlsx</x:v>
      </x:c>
      <x:c r="G1635" s="25" t="str">
        <x:v>L2021-00022-1/(붙임 2) 가격조사자료 및 물량내역서/(║┘└╙ 2-2) ╣░╖«│╗┐¬╝¡ BoQ(210609).xlsx</x:v>
      </x:c>
      <x:c r="H1635" s="28" t="n">
        <x:v>12901</x:v>
      </x:c>
      <x:c r="I1635" s="22" t="str">
        <x:v>b786ffcc206644a4cb7ae20c969cc5780c869cfe6daa69cfe1bc147ed75779c0</x:v>
      </x:c>
      <x:c r="J1635" s="22" t="n">
        <x:v>0</x:v>
      </x:c>
      <x:c r="K1635" s="22" t="n">
        <x:v>1</x:v>
      </x:c>
      <x:c r="L1635" s="22" t="n">
        <x:v>0</x:v>
      </x:c>
      <x:c r="M1635" s="28" t="n">
        <x:v>1</x:v>
      </x:c>
      <x:c r="N1635" s="28" t="n">
        <x:v>4</x:v>
      </x:c>
      <x:c r="O1635" s="28" t="n">
        <x:v>4</x:v>
      </x:c>
      <x:c r="P1635" s="62" t="n">
        <x:v>1</x:v>
      </x:c>
      <x:c r="Q1635" s="22" t="n">
        <x:v>1</x:v>
      </x:c>
      <x:c r="R1635" s="22" t="str">
        <x:v>Feuil1</x:v>
      </x:c>
      <x:c r="S1635" s="22" t="str">
        <x:v>visible</x:v>
      </x:c>
      <x:c r="T1635" s="22" t="str"/>
    </x:row>
    <x:row r="1636">
      <x:c r="A1636" s="22" t="str">
        <x:v>2015-00019</x:v>
      </x:c>
      <x:c r="B1636" s="22" t="str">
        <x:v>L2021-00022-1</x:v>
      </x:c>
      <x:c r="C1636" s="22" t="str">
        <x:v>물품</x:v>
      </x:c>
      <x:c r="D1636" s="25" t="str">
        <x:v>한코협력센터 건립사업 사후지원 IT 기자재 구매 현지입찰</x:v>
      </x:c>
      <x:c r="E1636" s="22" t="n">
        <x:v>0</x:v>
      </x:c>
      <x:c r="F1636" s="22" t="str">
        <x:v>.pdf</x:v>
      </x:c>
      <x:c r="G1636" s="25" t="str">
        <x:v>L2021-00022-1/(붙임 7) 입찰공고비용 Invoice/(║┘└╙ 7-3) Fraternite Matin └╬║╕└╠╜║.pdf</x:v>
      </x:c>
      <x:c r="H1636" s="28" t="n">
        <x:v>144940</x:v>
      </x:c>
      <x:c r="I1636" s="22" t="str">
        <x:v>0cd764dc60ebc29e820fcaaa8611cef4ec256f51e536b4175711c6b0427382be</x:v>
      </x:c>
      <x:c r="J1636" s="22" t="n">
        <x:v>0</x:v>
      </x:c>
      <x:c r="K1636" s="22" t="n">
        <x:v>0</x:v>
      </x:c>
      <x:c r="L1636" s="22" t="n">
        <x:v>0</x:v>
      </x:c>
      <x:c r="M1636" s="28" t="n">
        <x:v>0</x:v>
      </x:c>
      <x:c r="N1636" s="28" t="n">
        <x:v>0</x:v>
      </x:c>
      <x:c r="O1636" s="28" t="n">
        <x:v>0</x:v>
      </x:c>
      <x:c r="P1636" s="62" t="n">
        <x:v>0</x:v>
      </x:c>
      <x:c r="Q1636" s="22" t="n">
        <x:v>0</x:v>
      </x:c>
      <x:c r="R1636" s="22" t="str"/>
      <x:c r="S1636" s="22" t="str"/>
      <x:c r="T1636" s="22" t="str"/>
    </x:row>
    <x:row r="1637">
      <x:c r="A1637" s="22" t="str">
        <x:v>2015-00019</x:v>
      </x:c>
      <x:c r="B1637" s="22" t="str">
        <x:v>L2021-00022-1</x:v>
      </x:c>
      <x:c r="C1637" s="22" t="str">
        <x:v>물품</x:v>
      </x:c>
      <x:c r="D1637" s="25" t="str">
        <x:v>한코협력센터 건립사업 사후지원 IT 기자재 구매 현지입찰</x:v>
      </x:c>
      <x:c r="E1637" s="22" t="n">
        <x:v>0</x:v>
      </x:c>
      <x:c r="F1637" s="22" t="str">
        <x:v>.pdf</x:v>
      </x:c>
      <x:c r="G1637" s="25" t="str">
        <x:v>L2021-00022-1/(붙임 7) 입찰공고비용 Invoice/(║┘└╙ 7-2) EDUCARRIERE └╬║╕└╠╜║.pdf</x:v>
      </x:c>
      <x:c r="H1637" s="28" t="n">
        <x:v>678880</x:v>
      </x:c>
      <x:c r="I1637" s="22" t="str">
        <x:v>14d3201525a67017bb79479880cc97bac0a79c1734cfa07cf8508d8411b72e41</x:v>
      </x:c>
      <x:c r="J1637" s="22" t="n">
        <x:v>0</x:v>
      </x:c>
      <x:c r="K1637" s="22" t="n">
        <x:v>0</x:v>
      </x:c>
      <x:c r="L1637" s="22" t="n">
        <x:v>0</x:v>
      </x:c>
      <x:c r="M1637" s="28" t="n">
        <x:v>0</x:v>
      </x:c>
      <x:c r="N1637" s="28" t="n">
        <x:v>0</x:v>
      </x:c>
      <x:c r="O1637" s="28" t="n">
        <x:v>0</x:v>
      </x:c>
      <x:c r="P1637" s="62" t="n">
        <x:v>0</x:v>
      </x:c>
      <x:c r="Q1637" s="22" t="n">
        <x:v>0</x:v>
      </x:c>
      <x:c r="R1637" s="22" t="str"/>
      <x:c r="S1637" s="22" t="str"/>
      <x:c r="T1637" s="22" t="str"/>
    </x:row>
    <x:row r="1638">
      <x:c r="A1638" s="22" t="str">
        <x:v>2015-00019</x:v>
      </x:c>
      <x:c r="B1638" s="22" t="str">
        <x:v>L2021-00022-1</x:v>
      </x:c>
      <x:c r="C1638" s="22" t="str">
        <x:v>물품</x:v>
      </x:c>
      <x:c r="D1638" s="25" t="str">
        <x:v>한코협력센터 건립사업 사후지원 IT 기자재 구매 현지입찰</x:v>
      </x:c>
      <x:c r="E1638" s="22" t="n">
        <x:v>0</x:v>
      </x:c>
      <x:c r="F1638" s="22" t="str">
        <x:v>.pdf</x:v>
      </x:c>
      <x:c r="G1638" s="25" t="str">
        <x:v>L2021-00022-1/(붙임 7) 입찰공고비용 Invoice/(║┘└╙ 7-1) Abidjan.net └╬║╕└╠╜║.pdf</x:v>
      </x:c>
      <x:c r="H1638" s="28" t="n">
        <x:v>58119</x:v>
      </x:c>
      <x:c r="I1638" s="22" t="str">
        <x:v>dfb112854504b5e486c0e73698400c54ca6873335552d297c1b717f863120c41</x:v>
      </x:c>
      <x:c r="J1638" s="22" t="n">
        <x:v>0</x:v>
      </x:c>
      <x:c r="K1638" s="22" t="n">
        <x:v>0</x:v>
      </x:c>
      <x:c r="L1638" s="22" t="n">
        <x:v>0</x:v>
      </x:c>
      <x:c r="M1638" s="28" t="n">
        <x:v>0</x:v>
      </x:c>
      <x:c r="N1638" s="28" t="n">
        <x:v>0</x:v>
      </x:c>
      <x:c r="O1638" s="28" t="n">
        <x:v>0</x:v>
      </x:c>
      <x:c r="P1638" s="62" t="n">
        <x:v>0</x:v>
      </x:c>
      <x:c r="Q1638" s="22" t="n">
        <x:v>0</x:v>
      </x:c>
      <x:c r="R1638" s="22" t="str"/>
      <x:c r="S1638" s="22" t="str"/>
      <x:c r="T1638" s="22" t="str"/>
    </x:row>
    <x:row r="1639">
      <x:c r="A1639" s="22" t="str">
        <x:v>2015-00019</x:v>
      </x:c>
      <x:c r="B1639" s="22" t="str">
        <x:v>L2021-00022-1</x:v>
      </x:c>
      <x:c r="C1639" s="22" t="str">
        <x:v>물품</x:v>
      </x:c>
      <x:c r="D1639" s="25" t="str">
        <x:v>한코협력센터 건립사업 사후지원 IT 기자재 구매 현지입찰</x:v>
      </x:c>
      <x:c r="E1639" s="22" t="n">
        <x:v>0</x:v>
      </x:c>
      <x:c r="F1639" s="22" t="str">
        <x:v>.pdf</x:v>
      </x:c>
      <x:c r="G1639" s="25" t="str">
        <x:v>L2021-00022-1/(붙임 2) 가격조사자료 및 물량내역서/(║┘└╙ 2-1) ░í░▌┴╢╗τ└┌╖ß/IBR/Proforma_IBR_Services 026042021 KOICA PC ET LAPTOP (1).pdf</x:v>
      </x:c>
      <x:c r="H1639" s="28" t="n">
        <x:v>166115</x:v>
      </x:c>
      <x:c r="I1639" s="22" t="str">
        <x:v>43bed15628177fa1e414ed018418790990c9e05f1e1fbc6762893032d6f97bf5</x:v>
      </x:c>
      <x:c r="J1639" s="22" t="n">
        <x:v>0</x:v>
      </x:c>
      <x:c r="K1639" s="22" t="n">
        <x:v>1</x:v>
      </x:c>
      <x:c r="L1639" s="22" t="n">
        <x:v>0</x:v>
      </x:c>
      <x:c r="M1639" s="28" t="n">
        <x:v>0</x:v>
      </x:c>
      <x:c r="N1639" s="28" t="n">
        <x:v>0</x:v>
      </x:c>
      <x:c r="O1639" s="28" t="n">
        <x:v>0</x:v>
      </x:c>
      <x:c r="P1639" s="62" t="n">
        <x:v>0</x:v>
      </x:c>
      <x:c r="Q1639" s="22" t="n">
        <x:v>0</x:v>
      </x:c>
      <x:c r="R1639" s="22" t="str"/>
      <x:c r="S1639" s="22" t="str"/>
      <x:c r="T1639" s="22" t="str"/>
    </x:row>
    <x:row r="1640">
      <x:c r="A1640" s="22" t="str">
        <x:v>2015-00019</x:v>
      </x:c>
      <x:c r="B1640" s="22" t="str">
        <x:v>L2021-00022-1</x:v>
      </x:c>
      <x:c r="C1640" s="22" t="str">
        <x:v>물품</x:v>
      </x:c>
      <x:c r="D1640" s="25" t="str">
        <x:v>한코협력센터 건립사업 사후지원 IT 기자재 구매 현지입찰</x:v>
      </x:c>
      <x:c r="E1640" s="22" t="n">
        <x:v>0</x:v>
      </x:c>
      <x:c r="F1640" s="22" t="str">
        <x:v>.pdf</x:v>
      </x:c>
      <x:c r="G1640" s="25" t="str">
        <x:v>L2021-00022-1/(붙임 2) 가격조사자료 및 물량내역서/(║┘└╙ 2-1) ░í░▌┴╢╗τ└┌╖ß/phoenix/KOICA ORDI 11 (1).pdf</x:v>
      </x:c>
      <x:c r="H1640" s="28" t="n">
        <x:v>357228</x:v>
      </x:c>
      <x:c r="I1640" s="22" t="str">
        <x:v>9a468fcc13fd6c7cbb130564680bf39f81ca2cdc79ede72575033218c06e490f</x:v>
      </x:c>
      <x:c r="J1640" s="22" t="n">
        <x:v>0</x:v>
      </x:c>
      <x:c r="K1640" s="22" t="n">
        <x:v>1</x:v>
      </x:c>
      <x:c r="L1640" s="22" t="n">
        <x:v>0</x:v>
      </x:c>
      <x:c r="M1640" s="28" t="n">
        <x:v>0</x:v>
      </x:c>
      <x:c r="N1640" s="28" t="n">
        <x:v>0</x:v>
      </x:c>
      <x:c r="O1640" s="28" t="n">
        <x:v>0</x:v>
      </x:c>
      <x:c r="P1640" s="62" t="n">
        <x:v>0</x:v>
      </x:c>
      <x:c r="Q1640" s="22" t="n">
        <x:v>0</x:v>
      </x:c>
      <x:c r="R1640" s="22" t="str"/>
      <x:c r="S1640" s="22" t="str"/>
      <x:c r="T1640" s="22" t="str"/>
    </x:row>
    <x:row r="1641">
      <x:c r="A1641" s="22" t="str">
        <x:v>2015-00019</x:v>
      </x:c>
      <x:c r="B1641" s="22" t="str">
        <x:v>L2021-00022-1</x:v>
      </x:c>
      <x:c r="C1641" s="22" t="str">
        <x:v>물품</x:v>
      </x:c>
      <x:c r="D1641" s="25" t="str">
        <x:v>한코협력센터 건립사업 사후지원 IT 기자재 구매 현지입찰</x:v>
      </x:c>
      <x:c r="E1641" s="22" t="n">
        <x:v>0</x:v>
      </x:c>
      <x:c r="F1641" s="22" t="str">
        <x:v>.pdf</x:v>
      </x:c>
      <x:c r="G1641" s="25" t="str">
        <x:v>L2021-00022-1/(붙임 2) 가격조사자료 및 물량내역서/(║┘└╙ 2-1) ░í░▌┴╢╗τ└┌╖ß/phoenix/KOICA (2) (2)IMPRIMANTE 12.pdf</x:v>
      </x:c>
      <x:c r="H1641" s="28" t="n">
        <x:v>310038</x:v>
      </x:c>
      <x:c r="I1641" s="22" t="str">
        <x:v>3f37ae137f44c72f12bee2aed26e1801452fb404d3e0dd95988d3243f869172e</x:v>
      </x:c>
      <x:c r="J1641" s="22" t="n">
        <x:v>0</x:v>
      </x:c>
      <x:c r="K1641" s="22" t="n">
        <x:v>1</x:v>
      </x:c>
      <x:c r="L1641" s="22" t="n">
        <x:v>0</x:v>
      </x:c>
      <x:c r="M1641" s="28" t="n">
        <x:v>0</x:v>
      </x:c>
      <x:c r="N1641" s="28" t="n">
        <x:v>0</x:v>
      </x:c>
      <x:c r="O1641" s="28" t="n">
        <x:v>0</x:v>
      </x:c>
      <x:c r="P1641" s="62" t="n">
        <x:v>0</x:v>
      </x:c>
      <x:c r="Q1641" s="22" t="n">
        <x:v>0</x:v>
      </x:c>
      <x:c r="R1641" s="22" t="str"/>
      <x:c r="S1641" s="22" t="str"/>
      <x:c r="T1641" s="22" t="str"/>
    </x:row>
    <x:row r="1642">
      <x:c r="A1642" s="22" t="str">
        <x:v>2015-00019</x:v>
      </x:c>
      <x:c r="B1642" s="22" t="str">
        <x:v>L2021-00022-1</x:v>
      </x:c>
      <x:c r="C1642" s="22" t="str">
        <x:v>물품</x:v>
      </x:c>
      <x:c r="D1642" s="25" t="str">
        <x:v>한코협력센터 건립사업 사후지원 IT 기자재 구매 현지입찰</x:v>
      </x:c>
      <x:c r="E1642" s="22" t="n">
        <x:v>0</x:v>
      </x:c>
      <x:c r="F1642" s="22" t="str">
        <x:v>.pdf</x:v>
      </x:c>
      <x:c r="G1642" s="25" t="str">
        <x:v>L2021-00022-1/(붙임 2) 가격조사자료 및 물량내역서/(║┘└╙ 2-1) ░í░▌┴╢╗τ└┌╖ß/synopse/Proforma Koica r_vis_e -  Imprimantes.pdf</x:v>
      </x:c>
      <x:c r="H1642" s="28" t="n">
        <x:v>533291</x:v>
      </x:c>
      <x:c r="I1642" s="22" t="str">
        <x:v>8e9caf1b513a3665e792b55b925d8f0612c9a9c8b2db342ed98250bfafdf13f3</x:v>
      </x:c>
      <x:c r="J1642" s="22" t="n">
        <x:v>0</x:v>
      </x:c>
      <x:c r="K1642" s="22" t="n">
        <x:v>1</x:v>
      </x:c>
      <x:c r="L1642" s="22" t="n">
        <x:v>0</x:v>
      </x:c>
      <x:c r="M1642" s="28" t="n">
        <x:v>0</x:v>
      </x:c>
      <x:c r="N1642" s="28" t="n">
        <x:v>0</x:v>
      </x:c>
      <x:c r="O1642" s="28" t="n">
        <x:v>0</x:v>
      </x:c>
      <x:c r="P1642" s="62" t="n">
        <x:v>0</x:v>
      </x:c>
      <x:c r="Q1642" s="22" t="n">
        <x:v>0</x:v>
      </x:c>
      <x:c r="R1642" s="22" t="str"/>
      <x:c r="S1642" s="22" t="str"/>
      <x:c r="T1642" s="22" t="str"/>
    </x:row>
    <x:row r="1643">
      <x:c r="A1643" s="22" t="str">
        <x:v>2015-00019</x:v>
      </x:c>
      <x:c r="B1643" s="22" t="str">
        <x:v>L2021-00022-1</x:v>
      </x:c>
      <x:c r="C1643" s="22" t="str">
        <x:v>물품</x:v>
      </x:c>
      <x:c r="D1643" s="25" t="str">
        <x:v>한코협력센터 건립사업 사후지원 IT 기자재 구매 현지입찰</x:v>
      </x:c>
      <x:c r="E1643" s="22" t="n">
        <x:v>0</x:v>
      </x:c>
      <x:c r="F1643" s="22" t="str">
        <x:v>.pdf</x:v>
      </x:c>
      <x:c r="G1643" s="25" t="str">
        <x:v>L2021-00022-1/(붙임 2) 가격조사자료 및 물량내역서/(║┘└╙ 2-1) ░í░▌┴╢╗τ└┌╖ß/synopse/Proforma Koica revis_ -  Ordinateurs.pdf</x:v>
      </x:c>
      <x:c r="H1643" s="28" t="n">
        <x:v>560006</x:v>
      </x:c>
      <x:c r="I1643" s="22" t="str">
        <x:v>178ad87adcc39d571301558d3489b385a7123c419d7fe8ea92d2ac152c7be2cc</x:v>
      </x:c>
      <x:c r="J1643" s="22" t="n">
        <x:v>0</x:v>
      </x:c>
      <x:c r="K1643" s="22" t="n">
        <x:v>1</x:v>
      </x:c>
      <x:c r="L1643" s="22" t="n">
        <x:v>0</x:v>
      </x:c>
      <x:c r="M1643" s="28" t="n">
        <x:v>0</x:v>
      </x:c>
      <x:c r="N1643" s="28" t="n">
        <x:v>0</x:v>
      </x:c>
      <x:c r="O1643" s="28" t="n">
        <x:v>0</x:v>
      </x:c>
      <x:c r="P1643" s="62" t="n">
        <x:v>0</x:v>
      </x:c>
      <x:c r="Q1643" s="22" t="n">
        <x:v>0</x:v>
      </x:c>
      <x:c r="R1643" s="22" t="str"/>
      <x:c r="S1643" s="22" t="str"/>
      <x:c r="T1643" s="22" t="str"/>
    </x:row>
    <x:row r="1644">
      <x:c r="A1644" s="22" t="str">
        <x:v>2015-00019</x:v>
      </x:c>
      <x:c r="B1644" s="22" t="str">
        <x:v>L2021-00028-1</x:v>
      </x:c>
      <x:c r="C1644" s="22" t="str">
        <x:v>물품</x:v>
      </x:c>
      <x:c r="D1644" s="25" t="str">
        <x:v>한코협력센터 건립사업 사후지원 IT기자재 추가구매 현지입찰</x:v>
      </x:c>
      <x:c r="E1644" s="22" t="n">
        <x:v>0</x:v>
      </x:c>
      <x:c r="F1644" s="22" t="str">
        <x:v>.docx</x:v>
      </x:c>
      <x:c r="G1644" s="25" t="str">
        <x:v>L2021-00028-1/(붙임 5) 제안요청서 DAO.docx</x:v>
      </x:c>
      <x:c r="H1644" s="28" t="n">
        <x:v>61319</x:v>
      </x:c>
      <x:c r="I1644" s="22" t="str">
        <x:v>2b37f2560847f0a025281fd98f2e331908a816a2bfaa655d28c2f7c41383713e</x:v>
      </x:c>
      <x:c r="J1644" s="22" t="n">
        <x:v>0</x:v>
      </x:c>
      <x:c r="K1644" s="22" t="n">
        <x:v>0</x:v>
      </x:c>
      <x:c r="L1644" s="22" t="n">
        <x:v>0</x:v>
      </x:c>
      <x:c r="M1644" s="28" t="n">
        <x:v>0</x:v>
      </x:c>
      <x:c r="N1644" s="28" t="n">
        <x:v>0</x:v>
      </x:c>
      <x:c r="O1644" s="28" t="n">
        <x:v>0</x:v>
      </x:c>
      <x:c r="P1644" s="62" t="n">
        <x:v>0</x:v>
      </x:c>
      <x:c r="Q1644" s="22" t="n">
        <x:v>0</x:v>
      </x:c>
      <x:c r="R1644" s="22" t="str"/>
      <x:c r="S1644" s="22" t="str"/>
      <x:c r="T1644" s="22" t="str"/>
    </x:row>
    <x:row r="1645">
      <x:c r="A1645" s="22" t="str">
        <x:v>2015-00019</x:v>
      </x:c>
      <x:c r="B1645" s="22" t="str">
        <x:v>L2021-00028-1</x:v>
      </x:c>
      <x:c r="C1645" s="22" t="str">
        <x:v>물품</x:v>
      </x:c>
      <x:c r="D1645" s="25" t="str">
        <x:v>한코협력센터 건립사업 사후지원 IT기자재 추가구매 현지입찰</x:v>
      </x:c>
      <x:c r="E1645" s="22" t="n">
        <x:v>0</x:v>
      </x:c>
      <x:c r="F1645" s="22" t="str">
        <x:v>.docx</x:v>
      </x:c>
      <x:c r="G1645" s="25" t="str">
        <x:v>L2021-00028-1/(붙임 4) 입찰공고문(불문).docx</x:v>
      </x:c>
      <x:c r="H1645" s="28" t="n">
        <x:v>36644</x:v>
      </x:c>
      <x:c r="I1645" s="22" t="str">
        <x:v>3d4cd9fd32fc319f9d1ed48f068e689b352696aa1eaa9e6e810ffcbf1a866ba9</x:v>
      </x:c>
      <x:c r="J1645" s="22" t="n">
        <x:v>0</x:v>
      </x:c>
      <x:c r="K1645" s="22" t="n">
        <x:v>0</x:v>
      </x:c>
      <x:c r="L1645" s="22" t="n">
        <x:v>0</x:v>
      </x:c>
      <x:c r="M1645" s="28" t="n">
        <x:v>0</x:v>
      </x:c>
      <x:c r="N1645" s="28" t="n">
        <x:v>0</x:v>
      </x:c>
      <x:c r="O1645" s="28" t="n">
        <x:v>0</x:v>
      </x:c>
      <x:c r="P1645" s="62" t="n">
        <x:v>0</x:v>
      </x:c>
      <x:c r="Q1645" s="22" t="n">
        <x:v>0</x:v>
      </x:c>
      <x:c r="R1645" s="22" t="str"/>
      <x:c r="S1645" s="22" t="str"/>
      <x:c r="T1645" s="22" t="str"/>
    </x:row>
    <x:row r="1646">
      <x:c r="A1646" s="23" t="str">
        <x:v>2015-00019</x:v>
      </x:c>
      <x:c r="B1646" s="23" t="str">
        <x:v>L2021-00028-1</x:v>
      </x:c>
      <x:c r="C1646" s="23" t="str">
        <x:v>물품</x:v>
      </x:c>
      <x:c r="D1646" s="26" t="str">
        <x:v>한코협력센터 건립사업 사후지원 IT기자재 추가구매 현지입찰</x:v>
      </x:c>
      <x:c r="E1646" s="23" t="n">
        <x:v>0</x:v>
      </x:c>
      <x:c r="F1646" s="23" t="str">
        <x:v>.hwp</x:v>
      </x:c>
      <x:c r="G1646" s="26" t="str">
        <x:v>L2021-00028-1/(붙임 1) 한코센터 추가 IT 기자재 구매 입찰계획안_국문본(210915).hwp</x:v>
      </x:c>
      <x:c r="H1646" s="29" t="n">
        <x:v>138752</x:v>
      </x:c>
      <x:c r="I1646" s="23" t="str">
        <x:v>bbad30ce6ea48721740c579dd7ae3d23c2cae6208cf96070494b30f39dfc53f4</x:v>
      </x:c>
      <x:c r="J1646" s="23" t="n">
        <x:v>0</x:v>
      </x:c>
      <x:c r="K1646" s="23" t="n">
        <x:v>0</x:v>
      </x:c>
      <x:c r="L1646" s="23" t="n">
        <x:v>0</x:v>
      </x:c>
      <x:c r="M1646" s="29" t="n">
        <x:v>0</x:v>
      </x:c>
      <x:c r="N1646" s="29" t="n">
        <x:v>0</x:v>
      </x:c>
      <x:c r="O1646" s="29" t="n">
        <x:v>0</x:v>
      </x:c>
      <x:c r="P1646" s="63" t="n">
        <x:v>0</x:v>
      </x:c>
      <x:c r="Q1646" s="23" t="n">
        <x:v>0</x:v>
      </x:c>
      <x:c r="R1646" s="23" t="str"/>
      <x:c r="S1646" s="23" t="str"/>
      <x:c r="T1646" s="23" t="str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4155d9510ee849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등급기준·가격단계·해석 한계</x:v>
      </x:c>
    </x:row>
    <x:row r="2" ht="38" customHeight="1">
      <x:c r="A2" s="7" t="str">
        <x:v>등급, 가격단계, 공사범위, 검증수준을 분리합니다. A라고 해서 계약·준공 실적이거나 국가 대표가격인 것은 아닙니다.</x:v>
      </x:c>
    </x:row>
    <x:row r="4" ht="25" customHeight="1">
      <x:c r="A4" s="66" t="str">
        <x:v>A/B/C 및 보조상태</x:v>
      </x:c>
      <x:c r="B4" s="66"/>
      <x:c r="C4" s="66"/>
      <x:c r="D4" s="66"/>
      <x:c r="E4" s="66"/>
      <x:c r="F4" s="66"/>
      <x:c r="G4" s="66"/>
      <x:c r="H4" s="66"/>
    </x:row>
    <x:row r="5" ht="30" customHeight="1">
      <x:c r="A5" s="13" t="str">
        <x:v>상태</x:v>
      </x:c>
      <x:c r="B5" s="13" t="str">
        <x:v>필수근거</x:v>
      </x:c>
      <x:c r="C5" s="13" t="str">
        <x:v>가능한 활용</x:v>
      </x:c>
      <x:c r="D5" s="13" t="str">
        <x:v>금지 해석</x:v>
      </x:c>
    </x:row>
    <x:row r="6">
      <x:c r="A6" s="46" t="str">
        <x:v>A</x:v>
      </x:c>
      <x:c r="B6" s="46" t="str">
        <x:v>품목 설명·단위·수량 + 양수 단가/금액</x:v>
      </x:c>
      <x:c r="C6" s="46" t="str">
        <x:v>수량×단가 상세견적</x:v>
      </x:c>
      <x:c r="D6" s="46" t="str">
        <x:v>계약·준공가 또는 국가 대표단가</x:v>
      </x:c>
    </x:row>
    <x:row r="7">
      <x:c r="A7" s="47" t="str">
        <x:v>B</x:v>
      </x:c>
      <x:c r="B7" s="47" t="str">
        <x:v>품목 설명·단위·수량, usable 단가 없음</x:v>
      </x:c>
      <x:c r="C7" s="47" t="str">
        <x:v>현지단가 입력형 수량견적</x:v>
      </x:c>
      <x:c r="D7" s="47" t="str">
        <x:v>현재 직접 공사비 확정</x:v>
      </x:c>
    </x:row>
    <x:row r="8">
      <x:c r="A8" s="47" t="str">
        <x:v>C</x:v>
      </x:c>
      <x:c r="B8" s="47" t="str">
        <x:v>범위 일치 공사한도 + GFA</x:v>
      </x:c>
      <x:c r="C8" s="47" t="str">
        <x:v>초기 원단위 스크리닝</x:v>
      </x:c>
      <x:c r="D8" s="47" t="str">
        <x:v>BOQ 합계 또는 실제 공사비</x:v>
      </x:c>
    </x:row>
    <x:row r="9">
      <x:c r="A9" s="47" t="str">
        <x:v>U</x:v>
      </x:c>
      <x:c r="B9" s="47" t="str">
        <x:v>건축후보이나 직접 요건 미충족</x:v>
      </x:c>
      <x:c r="C9" s="47" t="str">
        <x:v>추가 첨부·OCR·수동검토</x:v>
      </x:c>
      <x:c r="D9" s="47" t="str">
        <x:v>0 또는 저위험</x:v>
      </x:c>
    </x:row>
    <x:row r="10">
      <x:c r="A10" s="48" t="str">
        <x:v>X</x:v>
      </x:c>
      <x:c r="B10" s="48" t="str">
        <x:v>설계·감리·물품·전체사업비</x:v>
      </x:c>
      <x:c r="C10" s="48" t="str">
        <x:v>건축공사비 표본에서 제외</x:v>
      </x:c>
      <x:c r="D10" s="48" t="str">
        <x:v>건축단가 산정</x:v>
      </x:c>
    </x:row>
    <x:row r="12" ht="25" customHeight="1">
      <x:c r="A12" s="66" t="str">
        <x:v>별도 판정축</x:v>
      </x:c>
      <x:c r="B12" s="66"/>
      <x:c r="C12" s="66"/>
      <x:c r="D12" s="66"/>
      <x:c r="E12" s="66"/>
      <x:c r="F12" s="66"/>
      <x:c r="G12" s="66"/>
      <x:c r="H12" s="66"/>
    </x:row>
    <x:row r="13" ht="30" customHeight="1">
      <x:c r="A13" s="13" t="str">
        <x:v>축</x:v>
      </x:c>
      <x:c r="B13" s="13" t="str">
        <x:v>값</x:v>
      </x:c>
      <x:c r="C13" s="13" t="str">
        <x:v>뜻</x:v>
      </x:c>
      <x:c r="D13" s="13" t="str">
        <x:v>적용</x:v>
      </x:c>
    </x:row>
    <x:row r="14">
      <x:c r="A14" s="46" t="str">
        <x:v>가격단계</x:v>
      </x:c>
      <x:c r="B14" s="46" t="str">
        <x:v>DESIGN_ESTIMATE</x:v>
      </x:c>
      <x:c r="C14" s="46" t="str">
        <x:v>설계·엔지니어 견적</x:v>
      </x:c>
      <x:c r="D14" s="46" t="str">
        <x:v>가나·IKHCC A</x:v>
      </x:c>
    </x:row>
    <x:row r="15">
      <x:c r="A15" s="47" t="str">
        <x:v>가격단계</x:v>
      </x:c>
      <x:c r="B15" s="47" t="str">
        <x:v>PLAN_CEILING</x:v>
      </x:c>
      <x:c r="C15" s="47" t="str">
        <x:v>연간발주계획 한도</x:v>
      </x:c>
      <x:c r="D15" s="47" t="str">
        <x:v>C 잠정후보</x:v>
      </x:c>
    </x:row>
    <x:row r="16">
      <x:c r="A16" s="47" t="str">
        <x:v>가격단계</x:v>
      </x:c>
      <x:c r="B16" s="47" t="str">
        <x:v>NONE</x:v>
      </x:c>
      <x:c r="C16" s="47" t="str">
        <x:v>가격 없음</x:v>
      </x:c>
      <x:c r="D16" s="47" t="str">
        <x:v>B</x:v>
      </x:c>
    </x:row>
    <x:row r="17">
      <x:c r="A17" s="47" t="str">
        <x:v>공사범위</x:v>
      </x:c>
      <x:c r="B17" s="47" t="str">
        <x:v>FULL</x:v>
      </x:c>
      <x:c r="C17" s="47" t="str">
        <x:v>주요 공종 전체 패키지</x:v>
      </x:c>
      <x:c r="D17" s="47" t="str">
        <x:v>가나 등</x:v>
      </x:c>
    </x:row>
    <x:row r="18">
      <x:c r="A18" s="47" t="str">
        <x:v>공사범위</x:v>
      </x:c>
      <x:c r="B18" s="47" t="str">
        <x:v>PARTIAL_BOUNDED</x:v>
      </x:c>
      <x:c r="C18" s="47" t="str">
        <x:v>특정 시설·Bill·공종</x:v>
      </x:c>
      <x:c r="D18" s="47" t="str">
        <x:v>IKHCC·도미니카·자이툰</x:v>
      </x:c>
    </x:row>
    <x:row r="19">
      <x:c r="A19" s="47" t="str">
        <x:v>검증수준</x:v>
      </x:c>
      <x:c r="B19" s="47" t="str">
        <x:v>V2</x:v>
      </x:c>
      <x:c r="C19" s="47" t="str">
        <x:v>표·셀 자동추출</x:v>
      </x:c>
      <x:c r="D19" s="47" t="str">
        <x:v>물음표 상태</x:v>
      </x:c>
    </x:row>
    <x:row r="20">
      <x:c r="A20" s="48" t="str">
        <x:v>검증수준</x:v>
      </x:c>
      <x:c r="B20" s="48" t="str">
        <x:v>V3</x:v>
      </x:c>
      <x:c r="C20" s="48" t="str">
        <x:v>원문 의미·범위 수동확인</x:v>
      </x:c>
      <x:c r="D20" s="48" t="str">
        <x:v>확정 A/B</x:v>
      </x:c>
    </x:row>
    <x:row r="22" ht="25" customHeight="1">
      <x:c r="A22" s="66" t="str">
        <x:v>검사범위·출처</x:v>
      </x:c>
      <x:c r="B22" s="66"/>
      <x:c r="C22" s="66"/>
      <x:c r="D22" s="66"/>
      <x:c r="E22" s="66"/>
      <x:c r="F22" s="66"/>
      <x:c r="G22" s="66"/>
      <x:c r="H22" s="66"/>
    </x:row>
    <x:row r="23">
      <x:c r="A23" s="46" t="str">
        <x:v>공식 후보</x:v>
      </x:c>
      <x:c r="B23" s="46" t="str">
        <x:v>127행 / 39개 국가·지역</x:v>
      </x:c>
    </x:row>
    <x:row r="24">
      <x:c r="A24" s="47" t="str">
        <x:v>유효 프로젝트 묶음</x:v>
      </x:c>
      <x:c r="B24" s="47" t="str">
        <x:v>96개</x:v>
      </x:c>
    </x:row>
    <x:row r="25">
      <x:c r="A25" s="47" t="str">
        <x:v>현재 공고 연결</x:v>
      </x:c>
      <x:c r="B25" s="47" t="str">
        <x:v>98개</x:v>
      </x:c>
    </x:row>
    <x:row r="26">
      <x:c r="A26" s="47" t="str">
        <x:v>최상위 첨부</x:v>
      </x:c>
      <x:c r="B26" s="47" t="str">
        <x:v>266개</x:v>
      </x:c>
    </x:row>
    <x:row r="27">
      <x:c r="A27" s="47" t="str">
        <x:v>첨부·중첩 색인파일</x:v>
      </x:c>
      <x:c r="B27" s="47" t="str">
        <x:v>1,642개</x:v>
      </x:c>
    </x:row>
    <x:row r="28">
      <x:c r="A28" s="47" t="str">
        <x:v>KOICA 연간발주계획</x:v>
      </x:c>
      <x:c r="B28" s="47" t="str">
        <x:v>https://www.data.go.kr/data/15085055/fileData.do</x:v>
      </x:c>
    </x:row>
    <x:row r="29">
      <x:c r="A29" s="47" t="str">
        <x:v>KOICA 원조조달계약</x:v>
      </x:c>
      <x:c r="B29" s="47" t="str">
        <x:v>https://www.data.go.kr/data/15073135/fileData.do</x:v>
      </x:c>
    </x:row>
    <x:row r="30">
      <x:c r="A30" s="47" t="str">
        <x:v>KOICA 국별사업보고서</x:v>
      </x:c>
      <x:c r="B30" s="47" t="str">
        <x:v>https://www.data.go.kr/data/15052832/fileData.do</x:v>
      </x:c>
    </x:row>
    <x:row r="31">
      <x:c r="A31" s="48" t="str">
        <x:v>경계</x:v>
      </x:c>
      <x:c r="B31" s="48" t="str">
        <x:v>현재 127 후보집합의 준비도이며 KOICA 전체 사업 모집단이 아님</x:v>
      </x:c>
    </x:row>
    <x:row r="33" ht="30" customHeight="1">
      <x:c r="A33" s="13" t="str">
        <x:v>검증 메트릭</x:v>
      </x:c>
      <x:c r="B33" s="13" t="str">
        <x:v>값</x:v>
      </x:c>
    </x:row>
    <x:row r="34">
      <x:c r="A34" s="43" t="str">
        <x:v>공식 레코드</x:v>
      </x:c>
      <x:c r="B34" s="49" t="n">
        <x:v>127</x:v>
      </x:c>
    </x:row>
    <x:row r="35">
      <x:c r="A35" s="44" t="str">
        <x:v>프로젝트 묶음</x:v>
      </x:c>
      <x:c r="B35" s="50" t="n">
        <x:v>96</x:v>
      </x:c>
    </x:row>
    <x:row r="36">
      <x:c r="A36" s="44" t="str">
        <x:v>국가·지역</x:v>
      </x:c>
      <x:c r="B36" s="50" t="n">
        <x:v>39</x:v>
      </x:c>
    </x:row>
    <x:row r="37">
      <x:c r="A37" s="44" t="str">
        <x:v>현재공고 연결 레코드</x:v>
      </x:c>
      <x:c r="B37" s="50" t="n">
        <x:v>66</x:v>
      </x:c>
    </x:row>
    <x:row r="38">
      <x:c r="A38" s="44" t="str">
        <x:v>현재공고 연결 프로젝트</x:v>
      </x:c>
      <x:c r="B38" s="50" t="n">
        <x:v>40</x:v>
      </x:c>
    </x:row>
    <x:row r="39">
      <x:c r="A39" s="44" t="str">
        <x:v>현재공고 연결 국가</x:v>
      </x:c>
      <x:c r="B39" s="50" t="n">
        <x:v>21</x:v>
      </x:c>
    </x:row>
    <x:row r="40">
      <x:c r="A40" s="44" t="str">
        <x:v>현재 연결공고</x:v>
      </x:c>
      <x:c r="B40" s="50" t="n">
        <x:v>98</x:v>
      </x:c>
    </x:row>
    <x:row r="41">
      <x:c r="A41" s="44" t="str">
        <x:v>첨부보유 레코드</x:v>
      </x:c>
      <x:c r="B41" s="50" t="n">
        <x:v>57</x:v>
      </x:c>
    </x:row>
    <x:row r="42">
      <x:c r="A42" s="44" t="str">
        <x:v>첨부보유 프로젝트</x:v>
      </x:c>
      <x:c r="B42" s="50" t="n">
        <x:v>34</x:v>
      </x:c>
    </x:row>
    <x:row r="43">
      <x:c r="A43" s="44" t="str">
        <x:v>첨부보유 국가</x:v>
      </x:c>
      <x:c r="B43" s="50" t="n">
        <x:v>19</x:v>
      </x:c>
    </x:row>
    <x:row r="44">
      <x:c r="A44" s="44" t="str">
        <x:v>색인파일 보유 공고</x:v>
      </x:c>
      <x:c r="B44" s="50" t="n">
        <x:v>72</x:v>
      </x:c>
    </x:row>
    <x:row r="45">
      <x:c r="A45" s="44" t="str">
        <x:v>색인파일</x:v>
      </x:c>
      <x:c r="B45" s="50" t="n">
        <x:v>1642</x:v>
      </x:c>
    </x:row>
    <x:row r="46">
      <x:c r="A46" s="45" t="str">
        <x:v>최상위 첨부</x:v>
      </x:c>
      <x:c r="B46" s="51" t="n">
        <x:v>266</x:v>
      </x:c>
    </x:row>
  </x:sheetData>
  <x:mergeCells>
    <x:mergeCell ref="A1:H1"/>
    <x:mergeCell ref="A2:H2"/>
    <x:mergeCell ref="A4:H4"/>
    <x:mergeCell ref="A12:H12"/>
    <x:mergeCell ref="A22:H22"/>
  </x:mergeCells>
  <x:pageMargins left="0.7" right="0.7" top="0.75" bottom="0.75" header="0.3" footer="0.3"/>
</x:worksheet>
</file>