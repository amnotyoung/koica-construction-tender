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a29be02c6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판정" sheetId="1" r:id="Rb0921dad5dd34c2f"/>
    <x:sheet xmlns:r="http://schemas.openxmlformats.org/officeDocument/2006/relationships" name="미래사업 적용" sheetId="2" r:id="R45fddcb244aa4cf2"/>
    <x:sheet xmlns:r="http://schemas.openxmlformats.org/officeDocument/2006/relationships" name="시설·공종 요약" sheetId="3" r:id="R2f89f9bcfe7b4f46"/>
    <x:sheet xmlns:r="http://schemas.openxmlformats.org/officeDocument/2006/relationships" name="BOQ 수량·단가" sheetId="4" r:id="Rc32760e2248d443b"/>
    <x:sheet xmlns:r="http://schemas.openxmlformats.org/officeDocument/2006/relationships" name="숨김 단가 라이브러리" sheetId="5" r:id="Rd08ccc2b65d44f13"/>
    <x:sheet xmlns:r="http://schemas.openxmlformats.org/officeDocument/2006/relationships" name="회수감사·한계" sheetId="6" r:id="R66e0477b7baa4dae"/>
  </x:sheets>
</x:workbook>
</file>

<file path=xl/comments1.xml><?xml version="1.0" encoding="utf-8"?>
<x:comments xmlns:x="http://schemas.openxmlformats.org/spreadsheetml/2006/main">
  <x:authors>
    <x:author>tc={D3C89010-B950-FC27-9C7C-275F71DB145B}</x:author>
    <x:author>tc={EA1AC4C4-9088-3831-7E34-F00815857E80}</x:author>
    <x:author>tc={B7E69BE5-A772-24BB-F2B4-26F4AB9B0E47}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https://www.data.go.kr/data/15085055/fileData.do — KOICA 연간발주계획의 5,486㎡ 계획값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https://nebid.koica.go.kr/oep/lobi/localBidManageDetail.do?P_LOAZ_BID_PBLANC_NO=L2025-00085&amp;P_PBLANC_ODR=1 — 현지입찰 집행한도 USD 13,292,831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KOICA 공개 입찰첨부 숨김 캐시 설계단가 × 보이는 BOQ 수량. 계약가가 아님.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0"/>
    <x:numFmt numFmtId="201" formatCode="@"/>
    <x:numFmt numFmtId="202" formatCode="&quot;$&quot;#,##0.00"/>
    <x:numFmt numFmtId="203" formatCode="0"/>
    <x:numFmt numFmtId="204" formatCode="#,##0"/>
    <x:numFmt numFmtId="205" formatCode="&quot;$&quot;#,##0"/>
    <x:numFmt numFmtId="206" formatCode="0.0%"/>
    <x:numFmt numFmtId="207" formatCode="&quot;₩&quot;#,##0"/>
    <x:numFmt numFmtId="208" formatCode="0.0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4313D"/>
      <x:name val="Carlito"/>
    </x:font>
    <x:font>
      <x:b/>
      <x:sz val="9"/>
      <x:color rgb="FFFFFFFF"/>
      <x:name val="Carlito"/>
    </x:font>
    <x:font>
      <x:sz val="8"/>
      <x:color rgb="FF24313D"/>
      <x:name val="Carlito"/>
    </x:font>
    <x:font>
      <x:sz val="9"/>
      <x:color rgb="FF24313D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b/>
      <x:sz val="10"/>
      <x:color rgb="FFB42318"/>
      <x:name val="Carlito"/>
    </x:font>
    <x:font>
      <x:b/>
      <x:sz val="9"/>
      <x:color rgb="FF24313D"/>
      <x:name val="Carlito"/>
    </x:font>
    <x:font>
      <x:b/>
      <x:sz val="17"/>
      <x:color rgb="FF17324D"/>
      <x:name val="Carlito"/>
    </x:font>
    <x:font>
      <x:b/>
      <x:sz val="11"/>
      <x:color rgb="FF3D7D58"/>
      <x:name val="Carlito"/>
    </x:font>
    <x:font>
      <x:sz val="9"/>
      <x:color rgb="FF285D7B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7"/>
      </x:patternFill>
    </x:fill>
    <x:fill>
      <x:patternFill patternType="solid">
        <x:fgColor rgb="FF285D7B"/>
      </x:patternFill>
    </x:fill>
    <x:fill>
      <x:patternFill patternType="solid">
        <x:fgColor rgb="FF0F6D73"/>
      </x:patternFill>
    </x:fill>
    <x:fill>
      <x:patternFill patternType="solid">
        <x:fgColor rgb="FFB7791F"/>
      </x:patternFill>
    </x:fill>
    <x:fill>
      <x:patternFill patternType="solid">
        <x:fgColor rgb="FFFFF2CC"/>
      </x:patternFill>
    </x:fill>
    <x:fill>
      <x:patternFill patternType="solid">
        <x:fgColor rgb="FF3D7D58"/>
      </x:patternFill>
    </x:fill>
    <x:fill>
      <x:patternFill patternType="solid">
        <x:fgColor rgb="FFFDEBE9"/>
      </x:patternFill>
    </x:fill>
    <x:fill>
      <x:patternFill patternType="solid">
        <x:fgColor rgb="FFFFFFFF"/>
      </x:patternFill>
    </x:fill>
    <x:fill>
      <x:patternFill patternType="solid">
        <x:fgColor rgb="FFEAF4EC"/>
      </x:patternFill>
    </x:fill>
    <x:fill>
      <x:patternFill patternType="solid">
        <x:fgColor rgb="FFB42318"/>
      </x:patternFill>
    </x:fill>
  </x:fills>
  <x:borders count="36">
    <x:border/>
    <x:border>
      <x:bottom style="medium">
        <x:color rgb="FF285D7B"/>
      </x:bottom>
    </x:border>
    <x:border>
      <x:bottom style="thin">
        <x:color rgb="FFE9EEF2"/>
      </x:bottom>
    </x:border>
    <x:border>
      <x:top style="thin">
        <x:color rgb="FFE9EEF2"/>
      </x:top>
      <x:bottom style="thin">
        <x:color rgb="FFE9EEF2"/>
      </x:bottom>
    </x:border>
    <x:border>
      <x:top style="thin">
        <x:color rgb="FFE9EEF2"/>
      </x:top>
    </x:border>
    <x:border>
      <x:bottom style="medium">
        <x:color rgb="FF0F6D73"/>
      </x:bottom>
    </x:border>
    <x:border>
      <x:left style="thin">
        <x:color rgb="FFB7791F"/>
      </x:left>
      <x:right style="thin">
        <x:color rgb="FFB7791F"/>
      </x:right>
      <x:top style="thin">
        <x:color rgb="FFB7791F"/>
      </x:top>
    </x:border>
    <x:border>
      <x:left style="thin">
        <x:color rgb="FFB7791F"/>
      </x:left>
      <x:right style="thin">
        <x:color rgb="FFB7791F"/>
      </x:right>
    </x:border>
    <x:border>
      <x:left style="thin">
        <x:color rgb="FFB7791F"/>
      </x:left>
      <x:right style="thin">
        <x:color rgb="FFB7791F"/>
      </x:right>
      <x:bottom style="thin">
        <x:color rgb="FFB7791F"/>
      </x:bottom>
    </x:border>
    <x:border>
      <x:left style="thin">
        <x:color rgb="FFB42318"/>
      </x:left>
      <x:top style="thin">
        <x:color rgb="FFB42318"/>
      </x:top>
    </x:border>
    <x:border>
      <x:top style="thin">
        <x:color rgb="FFB42318"/>
      </x:top>
    </x:border>
    <x:border>
      <x:right style="thin">
        <x:color rgb="FFB42318"/>
      </x:right>
      <x:top style="thin">
        <x:color rgb="FFB42318"/>
      </x:top>
    </x:border>
    <x:border>
      <x:left style="thin">
        <x:color rgb="FFB42318"/>
      </x:left>
    </x:border>
    <x:border>
      <x:right style="thin">
        <x:color rgb="FFB42318"/>
      </x:right>
    </x:border>
    <x:border>
      <x:left style="thin">
        <x:color rgb="FFB42318"/>
      </x:left>
      <x:bottom style="thin">
        <x:color rgb="FFB42318"/>
      </x:bottom>
    </x:border>
    <x:border>
      <x:bottom style="thin">
        <x:color rgb="FFB42318"/>
      </x:bottom>
    </x:border>
    <x:border>
      <x:right style="thin">
        <x:color rgb="FFB42318"/>
      </x:right>
      <x:bottom style="thin">
        <x:color rgb="FFB42318"/>
      </x:bottom>
    </x:border>
    <x:border>
      <x:left style="thin">
        <x:color rgb="FFB7791F"/>
      </x:left>
      <x:right style="thin">
        <x:color rgb="FFB7791F"/>
      </x:right>
      <x:bottom style="thin">
        <x:color rgb="FFE9EEF2"/>
      </x:bottom>
    </x:border>
    <x:border>
      <x:left style="thin">
        <x:color rgb="FFB7791F"/>
      </x:left>
      <x:right style="thin">
        <x:color rgb="FFB7791F"/>
      </x:right>
      <x:top style="thin">
        <x:color rgb="FFE9EEF2"/>
      </x:top>
      <x:bottom style="thin">
        <x:color rgb="FFE9EEF2"/>
      </x:bottom>
    </x:border>
    <x:border>
      <x:left style="thin">
        <x:color rgb="FFB7791F"/>
      </x:left>
      <x:right style="thin">
        <x:color rgb="FFB7791F"/>
      </x:right>
      <x:top style="thin">
        <x:color rgb="FFE9EEF2"/>
      </x:top>
    </x:border>
    <x:border>
      <x:left style="thin">
        <x:color rgb="FFD7E0E7"/>
      </x:left>
      <x:top style="thin">
        <x:color rgb="FFD7E0E7"/>
      </x:top>
    </x:border>
    <x:border>
      <x:top style="thin">
        <x:color rgb="FFD7E0E7"/>
      </x:top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</x:border>
    <x:border>
      <x:right style="thin">
        <x:color rgb="FFD7E0E7"/>
      </x:right>
    </x:border>
    <x:border>
      <x:left style="thin">
        <x:color rgb="FFD7E0E7"/>
      </x:left>
      <x:bottom style="thin">
        <x:color rgb="FFD7E0E7"/>
      </x:bottom>
    </x:border>
    <x:border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left style="thin">
        <x:color rgb="FF3D7D58"/>
      </x:left>
      <x:top style="thin">
        <x:color rgb="FF3D7D58"/>
      </x:top>
    </x:border>
    <x:border>
      <x:top style="thin">
        <x:color rgb="FF3D7D58"/>
      </x:top>
    </x:border>
    <x:border>
      <x:right style="thin">
        <x:color rgb="FF3D7D58"/>
      </x:right>
      <x:top style="thin">
        <x:color rgb="FF3D7D58"/>
      </x:top>
    </x:border>
    <x:border>
      <x:left style="thin">
        <x:color rgb="FF3D7D58"/>
      </x:left>
    </x:border>
    <x:border>
      <x:right style="thin">
        <x:color rgb="FF3D7D58"/>
      </x:right>
    </x:border>
    <x:border>
      <x:left style="thin">
        <x:color rgb="FF3D7D58"/>
      </x:left>
      <x:bottom style="thin">
        <x:color rgb="FF3D7D58"/>
      </x:bottom>
    </x:border>
    <x:border>
      <x:bottom style="thin">
        <x:color rgb="FF3D7D58"/>
      </x:bottom>
    </x:border>
    <x:border>
      <x:right style="thin">
        <x:color rgb="FF3D7D58"/>
      </x:right>
      <x:bottom style="thin">
        <x:color rgb="FF3D7D58"/>
      </x:bottom>
    </x:border>
  </x:borders>
  <x:cellStyleXfs count="1">
    <x:xf numFmtId="0" fontId="0" fillId="0" borderId="0"/>
  </x:cellStyleXfs>
  <x:cellXfs count="2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0"/>
    </x:xf>
    <x:xf numFmtId="0" fontId="4" fillId="0" borderId="3" xfId="0" applyNumberFormat="1" applyFont="1" applyFill="1" applyBorder="1" applyAlignment="1">
      <x:alignment wrapText="0"/>
    </x:xf>
    <x:xf numFmtId="0" fontId="4" fillId="0" borderId="4" xfId="0" applyNumberFormat="1" applyFont="1" applyFill="1" applyBorder="1" applyAlignment="1">
      <x:alignment wrapText="0"/>
    </x:xf>
    <x:xf numFmtId="0" fontId="4" fillId="0" borderId="2" xfId="0" applyNumberFormat="1" applyFont="1" applyFill="1" applyBorder="1" applyAlignment="1">
      <x:alignment vertical="top" wrapText="0"/>
    </x:xf>
    <x:xf numFmtId="0" fontId="4" fillId="0" borderId="3" xfId="0" applyNumberFormat="1" applyFont="1" applyFill="1" applyBorder="1" applyAlignment="1">
      <x:alignment vertical="top" wrapText="0"/>
    </x:xf>
    <x:xf numFmtId="0" fontId="4" fillId="0" borderId="4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0"/>
    </x:xf>
    <x:xf numFmtId="200" fontId="4" fillId="0" borderId="3" xfId="0" applyNumberFormat="1" applyFont="1" applyFill="1" applyBorder="1" applyAlignment="1">
      <x:alignment vertical="top" wrapText="0"/>
    </x:xf>
    <x:xf numFmtId="200" fontId="4" fillId="0" borderId="4" xfId="0" applyNumberFormat="1" applyFont="1" applyFill="1" applyBorder="1" applyAlignment="1">
      <x:alignment vertical="top" wrapText="0"/>
    </x:xf>
    <x:xf numFmtId="201" fontId="4" fillId="0" borderId="2" xfId="0" applyNumberFormat="1" applyFont="1" applyFill="1" applyBorder="1" applyAlignment="1">
      <x:alignment vertical="top" wrapText="0"/>
    </x:xf>
    <x:xf numFmtId="201" fontId="4" fillId="0" borderId="3" xfId="0" applyNumberFormat="1" applyFont="1" applyFill="1" applyBorder="1" applyAlignment="1">
      <x:alignment vertical="top" wrapText="0"/>
    </x:xf>
    <x:xf numFmtId="201" fontId="4" fillId="0" borderId="4" xfId="0" applyNumberFormat="1" applyFont="1" applyFill="1" applyBorder="1" applyAlignment="1">
      <x:alignment vertical="top" wrapText="0"/>
    </x:xf>
    <x:xf numFmtId="202" fontId="4" fillId="0" borderId="2" xfId="0" applyNumberFormat="1" applyFont="1" applyFill="1" applyBorder="1" applyAlignment="1">
      <x:alignment vertical="top" wrapText="0"/>
    </x:xf>
    <x:xf numFmtId="202" fontId="4" fillId="0" borderId="3" xfId="0" applyNumberFormat="1" applyFont="1" applyFill="1" applyBorder="1" applyAlignment="1">
      <x:alignment vertical="top" wrapText="0"/>
    </x:xf>
    <x:xf numFmtId="202" fontId="4" fillId="0" borderId="4" xfId="0" applyNumberFormat="1" applyFont="1" applyFill="1" applyBorder="1" applyAlignment="1">
      <x:alignment vertical="top" wrapText="0"/>
    </x:xf>
    <x:xf numFmtId="203" fontId="4" fillId="0" borderId="2" xfId="0" applyNumberFormat="1" applyFont="1" applyFill="1" applyBorder="1" applyAlignment="1">
      <x:alignment vertical="top" wrapText="0"/>
    </x:xf>
    <x:xf numFmtId="203" fontId="4" fillId="0" borderId="3" xfId="0" applyNumberFormat="1" applyFont="1" applyFill="1" applyBorder="1" applyAlignment="1">
      <x:alignment vertical="top" wrapText="0"/>
    </x:xf>
    <x:xf numFmtId="203" fontId="4" fillId="0" borderId="4" xfId="0" applyNumberFormat="1" applyFont="1" applyFill="1" applyBorder="1" applyAlignment="1">
      <x:alignment vertical="top" wrapText="0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5" xfId="0" applyNumberFormat="1" applyFont="1" applyFill="1" applyBorder="1"/>
    <x:xf numFmtId="0" fontId="3" fillId="5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0"/>
    </x:xf>
    <x:xf numFmtId="0" fontId="5" fillId="0" borderId="3" xfId="0" applyNumberFormat="1" applyFont="1" applyFill="1" applyBorder="1" applyAlignment="1">
      <x:alignment wrapText="0"/>
    </x:xf>
    <x:xf numFmtId="0" fontId="5" fillId="0" borderId="4" xfId="0" applyNumberFormat="1" applyFont="1" applyFill="1" applyBorder="1" applyAlignment="1">
      <x:alignment wrapText="0"/>
    </x:xf>
    <x:xf numFmtId="0" fontId="5" fillId="0" borderId="2" xfId="0" applyNumberFormat="1" applyFont="1" applyFill="1" applyBorder="1" applyAlignment="1">
      <x:alignment vertical="top" wrapText="0"/>
    </x:xf>
    <x:xf numFmtId="0" fontId="5" fillId="0" borderId="3" xfId="0" applyNumberFormat="1" applyFont="1" applyFill="1" applyBorder="1" applyAlignment="1">
      <x:alignment vertical="top" wrapText="0"/>
    </x:xf>
    <x:xf numFmtId="0" fontId="5" fillId="0" borderId="4" xfId="0" applyNumberFormat="1" applyFont="1" applyFill="1" applyBorder="1" applyAlignment="1">
      <x:alignment vertical="top" wrapText="0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0"/>
    </x:xf>
    <x:xf numFmtId="204" fontId="5" fillId="0" borderId="3" xfId="0" applyNumberFormat="1" applyFont="1" applyFill="1" applyBorder="1" applyAlignment="1">
      <x:alignment vertical="top" wrapText="0"/>
    </x:xf>
    <x:xf numFmtId="204" fontId="5" fillId="0" borderId="4" xfId="0" applyNumberFormat="1" applyFont="1" applyFill="1" applyBorder="1" applyAlignment="1">
      <x:alignment vertical="top" wrapText="0"/>
    </x:xf>
    <x:xf numFmtId="201" fontId="5" fillId="0" borderId="2" xfId="0" applyNumberFormat="1" applyFont="1" applyFill="1" applyBorder="1" applyAlignment="1">
      <x:alignment vertical="top" wrapText="0"/>
    </x:xf>
    <x:xf numFmtId="201" fontId="5" fillId="0" borderId="3" xfId="0" applyNumberFormat="1" applyFont="1" applyFill="1" applyBorder="1" applyAlignment="1">
      <x:alignment vertical="top" wrapText="0"/>
    </x:xf>
    <x:xf numFmtId="201" fontId="5" fillId="0" borderId="4" xfId="0" applyNumberFormat="1" applyFont="1" applyFill="1" applyBorder="1" applyAlignment="1">
      <x:alignment vertical="top" wrapText="0"/>
    </x:xf>
    <x:xf numFmtId="205" fontId="5" fillId="0" borderId="2" xfId="0" applyNumberFormat="1" applyFont="1" applyFill="1" applyBorder="1" applyAlignment="1">
      <x:alignment vertical="top" wrapText="0"/>
    </x:xf>
    <x:xf numFmtId="205" fontId="5" fillId="0" borderId="3" xfId="0" applyNumberFormat="1" applyFont="1" applyFill="1" applyBorder="1" applyAlignment="1">
      <x:alignment vertical="top" wrapText="0"/>
    </x:xf>
    <x:xf numFmtId="205" fontId="5" fillId="0" borderId="4" xfId="0" applyNumberFormat="1" applyFont="1" applyFill="1" applyBorder="1" applyAlignment="1">
      <x:alignment vertical="top" wrapText="0"/>
    </x:xf>
    <x:xf numFmtId="206" fontId="5" fillId="0" borderId="2" xfId="0" applyNumberFormat="1" applyFont="1" applyFill="1" applyBorder="1" applyAlignment="1">
      <x:alignment vertical="top" wrapText="0"/>
    </x:xf>
    <x:xf numFmtId="206" fontId="5" fillId="0" borderId="3" xfId="0" applyNumberFormat="1" applyFont="1" applyFill="1" applyBorder="1" applyAlignment="1">
      <x:alignment vertical="top" wrapText="0"/>
    </x:xf>
    <x:xf numFmtId="206" fontId="5" fillId="0" borderId="4" xfId="0" applyNumberFormat="1" applyFont="1" applyFill="1" applyBorder="1" applyAlignment="1">
      <x:alignment vertical="top" wrapText="0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9" xfId="0" applyNumberFormat="1" applyFont="1" applyFill="1" applyBorder="1"/>
    <x:xf numFmtId="0" fontId="8" fillId="9" borderId="10" xfId="0" applyNumberFormat="1" applyFont="1" applyFill="1" applyBorder="1"/>
    <x:xf numFmtId="0" fontId="8" fillId="9" borderId="11" xfId="0" applyNumberFormat="1" applyFont="1" applyFill="1" applyBorder="1"/>
    <x:xf numFmtId="0" fontId="8" fillId="9" borderId="12" xfId="0" applyNumberFormat="1" applyFont="1" applyFill="1" applyBorder="1"/>
    <x:xf numFmtId="0" fontId="8" fillId="9" borderId="13" xfId="0" applyNumberFormat="1" applyFont="1" applyFill="1" applyBorder="1"/>
    <x:xf numFmtId="0" fontId="8" fillId="9" borderId="14" xfId="0" applyNumberFormat="1" applyFont="1" applyFill="1" applyBorder="1"/>
    <x:xf numFmtId="0" fontId="8" fillId="9" borderId="15" xfId="0" applyNumberFormat="1" applyFont="1" applyFill="1" applyBorder="1"/>
    <x:xf numFmtId="0" fontId="8" fillId="9" borderId="16" xfId="0" applyNumberFormat="1" applyFont="1" applyFill="1" applyBorder="1"/>
    <x:xf numFmtId="0" fontId="8" fillId="9" borderId="9" xfId="0" applyNumberFormat="1" applyFont="1" applyFill="1" applyBorder="1" applyAlignment="1">
      <x:alignment wrapText="1"/>
    </x:xf>
    <x:xf numFmtId="0" fontId="8" fillId="9" borderId="10" xfId="0" applyNumberFormat="1" applyFont="1" applyFill="1" applyBorder="1" applyAlignment="1">
      <x:alignment wrapText="1"/>
    </x:xf>
    <x:xf numFmtId="0" fontId="8" fillId="9" borderId="11" xfId="0" applyNumberFormat="1" applyFont="1" applyFill="1" applyBorder="1" applyAlignment="1">
      <x:alignment wrapText="1"/>
    </x:xf>
    <x:xf numFmtId="0" fontId="8" fillId="9" borderId="12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13" xfId="0" applyNumberFormat="1" applyFont="1" applyFill="1" applyBorder="1" applyAlignment="1">
      <x:alignment wrapText="1"/>
    </x:xf>
    <x:xf numFmtId="0" fontId="8" fillId="9" borderId="14" xfId="0" applyNumberFormat="1" applyFont="1" applyFill="1" applyBorder="1" applyAlignment="1">
      <x:alignment wrapText="1"/>
    </x:xf>
    <x:xf numFmtId="0" fontId="8" fillId="9" borderId="15" xfId="0" applyNumberFormat="1" applyFont="1" applyFill="1" applyBorder="1" applyAlignment="1">
      <x:alignment wrapText="1"/>
    </x:xf>
    <x:xf numFmtId="0" fontId="8" fillId="9" borderId="16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vertical="center" wrapText="1"/>
    </x:xf>
    <x:xf numFmtId="0" fontId="8" fillId="9" borderId="10" xfId="0" applyNumberFormat="1" applyFont="1" applyFill="1" applyBorder="1" applyAlignment="1">
      <x:alignment vertical="center" wrapText="1"/>
    </x:xf>
    <x:xf numFmtId="0" fontId="8" fillId="9" borderId="11" xfId="0" applyNumberFormat="1" applyFont="1" applyFill="1" applyBorder="1" applyAlignment="1">
      <x:alignment vertical="center" wrapText="1"/>
    </x:xf>
    <x:xf numFmtId="0" fontId="8" fillId="9" borderId="12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9" borderId="15" xfId="0" applyNumberFormat="1" applyFont="1" applyFill="1" applyBorder="1" applyAlignment="1">
      <x:alignment vertical="center" wrapText="1"/>
    </x:xf>
    <x:xf numFmtId="0" fontId="8" fillId="9" borderId="16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9" fillId="7" borderId="6" xfId="0" applyNumberFormat="1" applyFont="1" applyFill="1" applyBorder="1"/>
    <x:xf numFmtId="0" fontId="9" fillId="7" borderId="7" xfId="0" applyNumberFormat="1" applyFont="1" applyFill="1" applyBorder="1"/>
    <x:xf numFmtId="0" fontId="9" fillId="7" borderId="8" xfId="0" applyNumberFormat="1" applyFont="1" applyFill="1" applyBorder="1"/>
    <x:xf numFmtId="0" fontId="9" fillId="7" borderId="17" xfId="0" applyNumberFormat="1" applyFont="1" applyFill="1" applyBorder="1"/>
    <x:xf numFmtId="0" fontId="9" fillId="7" borderId="18" xfId="0" applyNumberFormat="1" applyFont="1" applyFill="1" applyBorder="1"/>
    <x:xf numFmtId="0" fontId="9" fillId="7" borderId="19" xfId="0" applyNumberFormat="1" applyFont="1" applyFill="1" applyBorder="1"/>
    <x:xf numFmtId="0" fontId="9" fillId="7" borderId="17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wrapText="1"/>
    </x:xf>
    <x:xf numFmtId="0" fontId="9" fillId="7" borderId="19" xfId="0" applyNumberFormat="1" applyFont="1" applyFill="1" applyBorder="1" applyAlignment="1">
      <x:alignment wrapText="1"/>
    </x:xf>
    <x:xf numFmtId="0" fontId="9" fillId="7" borderId="17" xfId="0" applyNumberFormat="1" applyFont="1" applyFill="1" applyBorder="1" applyAlignment="1">
      <x:alignment vertical="top" wrapText="1"/>
    </x:xf>
    <x:xf numFmtId="0" fontId="9" fillId="7" borderId="18" xfId="0" applyNumberFormat="1" applyFont="1" applyFill="1" applyBorder="1" applyAlignment="1">
      <x:alignment vertical="top" wrapText="1"/>
    </x:xf>
    <x:xf numFmtId="0" fontId="9" fillId="7" borderId="19" xfId="0" applyNumberFormat="1" applyFont="1" applyFill="1" applyBorder="1" applyAlignment="1">
      <x:alignment vertical="top" wrapText="1"/>
    </x:xf>
    <x:xf numFmtId="202" fontId="5" fillId="0" borderId="2" xfId="0" applyNumberFormat="1" applyFont="1" applyFill="1" applyBorder="1" applyAlignment="1">
      <x:alignment vertical="top" wrapText="1"/>
    </x:xf>
    <x:xf numFmtId="202" fontId="5" fillId="0" borderId="3" xfId="0" applyNumberFormat="1" applyFont="1" applyFill="1" applyBorder="1" applyAlignment="1">
      <x:alignment vertical="top" wrapText="1"/>
    </x:xf>
    <x:xf numFmtId="204" fontId="5" fillId="0" borderId="2" xfId="0" applyNumberFormat="1" applyFont="1" applyFill="1" applyBorder="1" applyAlignment="1">
      <x:alignment vertical="top" wrapText="1"/>
    </x:xf>
    <x:xf numFmtId="206" fontId="5" fillId="0" borderId="3" xfId="0" applyNumberFormat="1" applyFont="1" applyFill="1" applyBorder="1" applyAlignment="1">
      <x:alignment vertical="top" wrapText="1"/>
    </x:xf>
    <x:xf numFmtId="207" fontId="5" fillId="0" borderId="3" xfId="0" applyNumberFormat="1" applyFont="1" applyFill="1" applyBorder="1" applyAlignment="1">
      <x:alignment vertical="top" wrapText="1"/>
    </x:xf>
    <x:xf numFmtId="207" fontId="5" fillId="0" borderId="4" xfId="0" applyNumberFormat="1" applyFont="1" applyFill="1" applyBorder="1" applyAlignment="1">
      <x:alignment vertical="top" wrapText="1"/>
    </x:xf>
    <x:xf numFmtId="204" fontId="9" fillId="7" borderId="17" xfId="0" applyNumberFormat="1" applyFont="1" applyFill="1" applyBorder="1" applyAlignment="1">
      <x:alignment vertical="top" wrapText="1"/>
    </x:xf>
    <x:xf numFmtId="208" fontId="9" fillId="7" borderId="18" xfId="0" applyNumberFormat="1" applyFont="1" applyFill="1" applyBorder="1" applyAlignment="1">
      <x:alignment vertical="top" wrapText="1"/>
    </x:xf>
    <x:xf numFmtId="208" fontId="9" fillId="7" borderId="19" xfId="0" applyNumberFormat="1" applyFont="1" applyFill="1" applyBorder="1" applyAlignment="1">
      <x:alignment vertical="top" wrapText="1"/>
    </x:xf>
    <x:xf numFmtId="202" fontId="5" fillId="0" borderId="4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20" xfId="0" applyNumberFormat="1" applyFont="1" applyFill="1" applyBorder="1"/>
    <x:xf numFmtId="0" fontId="10" fillId="10" borderId="21" xfId="0" applyNumberFormat="1" applyFont="1" applyFill="1" applyBorder="1"/>
    <x:xf numFmtId="0" fontId="10" fillId="10" borderId="22" xfId="0" applyNumberFormat="1" applyFont="1" applyFill="1" applyBorder="1"/>
    <x:xf numFmtId="0" fontId="10" fillId="10" borderId="23" xfId="0" applyNumberFormat="1" applyFont="1" applyFill="1" applyBorder="1"/>
    <x:xf numFmtId="0" fontId="10" fillId="10" borderId="24" xfId="0" applyNumberFormat="1" applyFont="1" applyFill="1" applyBorder="1"/>
    <x:xf numFmtId="0" fontId="10" fillId="10" borderId="25" xfId="0" applyNumberFormat="1" applyFont="1" applyFill="1" applyBorder="1"/>
    <x:xf numFmtId="0" fontId="10" fillId="10" borderId="26" xfId="0" applyNumberFormat="1" applyFont="1" applyFill="1" applyBorder="1"/>
    <x:xf numFmtId="0" fontId="10" fillId="10" borderId="27" xfId="0" applyNumberFormat="1" applyFont="1" applyFill="1" applyBorder="1"/>
    <x:xf numFmtId="204" fontId="10" fillId="10" borderId="20" xfId="0" applyNumberFormat="1" applyFont="1" applyFill="1" applyBorder="1"/>
    <x:xf numFmtId="204" fontId="10" fillId="10" borderId="21" xfId="0" applyNumberFormat="1" applyFont="1" applyFill="1" applyBorder="1"/>
    <x:xf numFmtId="204" fontId="10" fillId="10" borderId="22" xfId="0" applyNumberFormat="1" applyFont="1" applyFill="1" applyBorder="1"/>
    <x:xf numFmtId="204" fontId="10" fillId="10" borderId="23" xfId="0" applyNumberFormat="1" applyFont="1" applyFill="1" applyBorder="1"/>
    <x:xf numFmtId="204" fontId="10" fillId="10" borderId="0" xfId="0" applyNumberFormat="1" applyFont="1" applyFill="1" applyBorder="1"/>
    <x:xf numFmtId="204" fontId="10" fillId="10" borderId="24" xfId="0" applyNumberFormat="1" applyFont="1" applyFill="1" applyBorder="1"/>
    <x:xf numFmtId="204" fontId="10" fillId="10" borderId="25" xfId="0" applyNumberFormat="1" applyFont="1" applyFill="1" applyBorder="1"/>
    <x:xf numFmtId="204" fontId="10" fillId="10" borderId="26" xfId="0" applyNumberFormat="1" applyFont="1" applyFill="1" applyBorder="1"/>
    <x:xf numFmtId="204" fontId="10" fillId="10" borderId="27" xfId="0" applyNumberFormat="1" applyFont="1" applyFill="1" applyBorder="1"/>
    <x:xf numFmtId="204" fontId="10" fillId="10" borderId="20" xfId="0" applyNumberFormat="1" applyFont="1" applyFill="1" applyBorder="1" applyAlignment="1">
      <x:alignment horizontal="center"/>
    </x:xf>
    <x:xf numFmtId="204" fontId="10" fillId="10" borderId="21" xfId="0" applyNumberFormat="1" applyFont="1" applyFill="1" applyBorder="1" applyAlignment="1">
      <x:alignment horizontal="center"/>
    </x:xf>
    <x:xf numFmtId="204" fontId="10" fillId="10" borderId="22" xfId="0" applyNumberFormat="1" applyFont="1" applyFill="1" applyBorder="1" applyAlignment="1">
      <x:alignment horizontal="center"/>
    </x:xf>
    <x:xf numFmtId="204" fontId="10" fillId="10" borderId="23" xfId="0" applyNumberFormat="1" applyFont="1" applyFill="1" applyBorder="1" applyAlignment="1">
      <x:alignment horizontal="center"/>
    </x:xf>
    <x:xf numFmtId="204" fontId="10" fillId="10" borderId="0" xfId="0" applyNumberFormat="1" applyFont="1" applyFill="1" applyBorder="1" applyAlignment="1">
      <x:alignment horizontal="center"/>
    </x:xf>
    <x:xf numFmtId="204" fontId="10" fillId="10" borderId="24" xfId="0" applyNumberFormat="1" applyFont="1" applyFill="1" applyBorder="1" applyAlignment="1">
      <x:alignment horizontal="center"/>
    </x:xf>
    <x:xf numFmtId="204" fontId="10" fillId="10" borderId="25" xfId="0" applyNumberFormat="1" applyFont="1" applyFill="1" applyBorder="1" applyAlignment="1">
      <x:alignment horizontal="center"/>
    </x:xf>
    <x:xf numFmtId="204" fontId="10" fillId="10" borderId="26" xfId="0" applyNumberFormat="1" applyFont="1" applyFill="1" applyBorder="1" applyAlignment="1">
      <x:alignment horizontal="center"/>
    </x:xf>
    <x:xf numFmtId="204" fontId="10" fillId="10" borderId="27" xfId="0" applyNumberFormat="1" applyFont="1" applyFill="1" applyBorder="1" applyAlignment="1">
      <x:alignment horizontal="center"/>
    </x:xf>
    <x:xf numFmtId="204" fontId="10" fillId="10" borderId="20" xfId="0" applyNumberFormat="1" applyFont="1" applyFill="1" applyBorder="1" applyAlignment="1">
      <x:alignment horizontal="center" vertical="center"/>
    </x:xf>
    <x:xf numFmtId="204" fontId="10" fillId="10" borderId="21" xfId="0" applyNumberFormat="1" applyFont="1" applyFill="1" applyBorder="1" applyAlignment="1">
      <x:alignment horizontal="center" vertical="center"/>
    </x:xf>
    <x:xf numFmtId="204" fontId="10" fillId="10" borderId="22" xfId="0" applyNumberFormat="1" applyFont="1" applyFill="1" applyBorder="1" applyAlignment="1">
      <x:alignment horizontal="center" vertical="center"/>
    </x:xf>
    <x:xf numFmtId="204" fontId="10" fillId="10" borderId="23" xfId="0" applyNumberFormat="1" applyFont="1" applyFill="1" applyBorder="1" applyAlignment="1">
      <x:alignment horizontal="center" vertical="center"/>
    </x:xf>
    <x:xf numFmtId="204" fontId="10" fillId="10" borderId="0" xfId="0" applyNumberFormat="1" applyFont="1" applyFill="1" applyBorder="1" applyAlignment="1">
      <x:alignment horizontal="center" vertical="center"/>
    </x:xf>
    <x:xf numFmtId="204" fontId="10" fillId="10" borderId="24" xfId="0" applyNumberFormat="1" applyFont="1" applyFill="1" applyBorder="1" applyAlignment="1">
      <x:alignment horizontal="center" vertical="center"/>
    </x:xf>
    <x:xf numFmtId="204" fontId="10" fillId="10" borderId="25" xfId="0" applyNumberFormat="1" applyFont="1" applyFill="1" applyBorder="1" applyAlignment="1">
      <x:alignment horizontal="center" vertical="center"/>
    </x:xf>
    <x:xf numFmtId="204" fontId="10" fillId="10" borderId="26" xfId="0" applyNumberFormat="1" applyFont="1" applyFill="1" applyBorder="1" applyAlignment="1">
      <x:alignment horizontal="center" vertical="center"/>
    </x:xf>
    <x:xf numFmtId="204" fontId="10" fillId="10" borderId="27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206" fontId="10" fillId="10" borderId="20" xfId="0" applyNumberFormat="1" applyFont="1" applyFill="1" applyBorder="1"/>
    <x:xf numFmtId="206" fontId="10" fillId="10" borderId="21" xfId="0" applyNumberFormat="1" applyFont="1" applyFill="1" applyBorder="1"/>
    <x:xf numFmtId="206" fontId="10" fillId="10" borderId="22" xfId="0" applyNumberFormat="1" applyFont="1" applyFill="1" applyBorder="1"/>
    <x:xf numFmtId="206" fontId="10" fillId="10" borderId="23" xfId="0" applyNumberFormat="1" applyFont="1" applyFill="1" applyBorder="1"/>
    <x:xf numFmtId="206" fontId="10" fillId="10" borderId="0" xfId="0" applyNumberFormat="1" applyFont="1" applyFill="1" applyBorder="1"/>
    <x:xf numFmtId="206" fontId="10" fillId="10" borderId="24" xfId="0" applyNumberFormat="1" applyFont="1" applyFill="1" applyBorder="1"/>
    <x:xf numFmtId="206" fontId="10" fillId="10" borderId="25" xfId="0" applyNumberFormat="1" applyFont="1" applyFill="1" applyBorder="1"/>
    <x:xf numFmtId="206" fontId="10" fillId="10" borderId="26" xfId="0" applyNumberFormat="1" applyFont="1" applyFill="1" applyBorder="1"/>
    <x:xf numFmtId="206" fontId="10" fillId="10" borderId="27" xfId="0" applyNumberFormat="1" applyFont="1" applyFill="1" applyBorder="1"/>
    <x:xf numFmtId="206" fontId="10" fillId="10" borderId="20" xfId="0" applyNumberFormat="1" applyFont="1" applyFill="1" applyBorder="1" applyAlignment="1">
      <x:alignment horizontal="center"/>
    </x:xf>
    <x:xf numFmtId="206" fontId="10" fillId="10" borderId="21" xfId="0" applyNumberFormat="1" applyFont="1" applyFill="1" applyBorder="1" applyAlignment="1">
      <x:alignment horizontal="center"/>
    </x:xf>
    <x:xf numFmtId="206" fontId="10" fillId="10" borderId="22" xfId="0" applyNumberFormat="1" applyFont="1" applyFill="1" applyBorder="1" applyAlignment="1">
      <x:alignment horizontal="center"/>
    </x:xf>
    <x:xf numFmtId="206" fontId="10" fillId="10" borderId="23" xfId="0" applyNumberFormat="1" applyFont="1" applyFill="1" applyBorder="1" applyAlignment="1">
      <x:alignment horizontal="center"/>
    </x:xf>
    <x:xf numFmtId="206" fontId="10" fillId="10" borderId="0" xfId="0" applyNumberFormat="1" applyFont="1" applyFill="1" applyBorder="1" applyAlignment="1">
      <x:alignment horizontal="center"/>
    </x:xf>
    <x:xf numFmtId="206" fontId="10" fillId="10" borderId="24" xfId="0" applyNumberFormat="1" applyFont="1" applyFill="1" applyBorder="1" applyAlignment="1">
      <x:alignment horizontal="center"/>
    </x:xf>
    <x:xf numFmtId="206" fontId="10" fillId="10" borderId="25" xfId="0" applyNumberFormat="1" applyFont="1" applyFill="1" applyBorder="1" applyAlignment="1">
      <x:alignment horizontal="center"/>
    </x:xf>
    <x:xf numFmtId="206" fontId="10" fillId="10" borderId="26" xfId="0" applyNumberFormat="1" applyFont="1" applyFill="1" applyBorder="1" applyAlignment="1">
      <x:alignment horizontal="center"/>
    </x:xf>
    <x:xf numFmtId="206" fontId="10" fillId="10" borderId="27" xfId="0" applyNumberFormat="1" applyFont="1" applyFill="1" applyBorder="1" applyAlignment="1">
      <x:alignment horizontal="center"/>
    </x:xf>
    <x:xf numFmtId="206" fontId="10" fillId="10" borderId="20" xfId="0" applyNumberFormat="1" applyFont="1" applyFill="1" applyBorder="1" applyAlignment="1">
      <x:alignment horizontal="center" vertical="center"/>
    </x:xf>
    <x:xf numFmtId="206" fontId="10" fillId="10" borderId="21" xfId="0" applyNumberFormat="1" applyFont="1" applyFill="1" applyBorder="1" applyAlignment="1">
      <x:alignment horizontal="center" vertical="center"/>
    </x:xf>
    <x:xf numFmtId="206" fontId="10" fillId="10" borderId="22" xfId="0" applyNumberFormat="1" applyFont="1" applyFill="1" applyBorder="1" applyAlignment="1">
      <x:alignment horizontal="center" vertical="center"/>
    </x:xf>
    <x:xf numFmtId="206" fontId="10" fillId="10" borderId="23" xfId="0" applyNumberFormat="1" applyFont="1" applyFill="1" applyBorder="1" applyAlignment="1">
      <x:alignment horizontal="center" vertical="center"/>
    </x:xf>
    <x:xf numFmtId="206" fontId="10" fillId="10" borderId="0" xfId="0" applyNumberFormat="1" applyFont="1" applyFill="1" applyBorder="1" applyAlignment="1">
      <x:alignment horizontal="center" vertical="center"/>
    </x:xf>
    <x:xf numFmtId="206" fontId="10" fillId="10" borderId="24" xfId="0" applyNumberFormat="1" applyFont="1" applyFill="1" applyBorder="1" applyAlignment="1">
      <x:alignment horizontal="center" vertical="center"/>
    </x:xf>
    <x:xf numFmtId="206" fontId="10" fillId="10" borderId="25" xfId="0" applyNumberFormat="1" applyFont="1" applyFill="1" applyBorder="1" applyAlignment="1">
      <x:alignment horizontal="center" vertical="center"/>
    </x:xf>
    <x:xf numFmtId="206" fontId="10" fillId="10" borderId="26" xfId="0" applyNumberFormat="1" applyFont="1" applyFill="1" applyBorder="1" applyAlignment="1">
      <x:alignment horizontal="center" vertical="center"/>
    </x:xf>
    <x:xf numFmtId="206" fontId="10" fillId="10" borderId="27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5" fontId="10" fillId="10" borderId="20" xfId="0" applyNumberFormat="1" applyFont="1" applyFill="1" applyBorder="1"/>
    <x:xf numFmtId="205" fontId="10" fillId="10" borderId="21" xfId="0" applyNumberFormat="1" applyFont="1" applyFill="1" applyBorder="1"/>
    <x:xf numFmtId="205" fontId="10" fillId="10" borderId="22" xfId="0" applyNumberFormat="1" applyFont="1" applyFill="1" applyBorder="1"/>
    <x:xf numFmtId="205" fontId="10" fillId="10" borderId="23" xfId="0" applyNumberFormat="1" applyFont="1" applyFill="1" applyBorder="1"/>
    <x:xf numFmtId="205" fontId="10" fillId="10" borderId="0" xfId="0" applyNumberFormat="1" applyFont="1" applyFill="1" applyBorder="1"/>
    <x:xf numFmtId="205" fontId="10" fillId="10" borderId="24" xfId="0" applyNumberFormat="1" applyFont="1" applyFill="1" applyBorder="1"/>
    <x:xf numFmtId="205" fontId="10" fillId="10" borderId="25" xfId="0" applyNumberFormat="1" applyFont="1" applyFill="1" applyBorder="1"/>
    <x:xf numFmtId="205" fontId="10" fillId="10" borderId="26" xfId="0" applyNumberFormat="1" applyFont="1" applyFill="1" applyBorder="1"/>
    <x:xf numFmtId="205" fontId="10" fillId="10" borderId="27" xfId="0" applyNumberFormat="1" applyFont="1" applyFill="1" applyBorder="1"/>
    <x:xf numFmtId="205" fontId="10" fillId="10" borderId="20" xfId="0" applyNumberFormat="1" applyFont="1" applyFill="1" applyBorder="1" applyAlignment="1">
      <x:alignment horizontal="center"/>
    </x:xf>
    <x:xf numFmtId="205" fontId="10" fillId="10" borderId="21" xfId="0" applyNumberFormat="1" applyFont="1" applyFill="1" applyBorder="1" applyAlignment="1">
      <x:alignment horizontal="center"/>
    </x:xf>
    <x:xf numFmtId="205" fontId="10" fillId="10" borderId="22" xfId="0" applyNumberFormat="1" applyFont="1" applyFill="1" applyBorder="1" applyAlignment="1">
      <x:alignment horizontal="center"/>
    </x:xf>
    <x:xf numFmtId="205" fontId="10" fillId="10" borderId="23" xfId="0" applyNumberFormat="1" applyFont="1" applyFill="1" applyBorder="1" applyAlignment="1">
      <x:alignment horizontal="center"/>
    </x:xf>
    <x:xf numFmtId="205" fontId="10" fillId="10" borderId="0" xfId="0" applyNumberFormat="1" applyFont="1" applyFill="1" applyBorder="1" applyAlignment="1">
      <x:alignment horizontal="center"/>
    </x:xf>
    <x:xf numFmtId="205" fontId="10" fillId="10" borderId="24" xfId="0" applyNumberFormat="1" applyFont="1" applyFill="1" applyBorder="1" applyAlignment="1">
      <x:alignment horizontal="center"/>
    </x:xf>
    <x:xf numFmtId="205" fontId="10" fillId="10" borderId="25" xfId="0" applyNumberFormat="1" applyFont="1" applyFill="1" applyBorder="1" applyAlignment="1">
      <x:alignment horizontal="center"/>
    </x:xf>
    <x:xf numFmtId="205" fontId="10" fillId="10" borderId="26" xfId="0" applyNumberFormat="1" applyFont="1" applyFill="1" applyBorder="1" applyAlignment="1">
      <x:alignment horizontal="center"/>
    </x:xf>
    <x:xf numFmtId="205" fontId="10" fillId="10" borderId="27" xfId="0" applyNumberFormat="1" applyFont="1" applyFill="1" applyBorder="1" applyAlignment="1">
      <x:alignment horizontal="center"/>
    </x:xf>
    <x:xf numFmtId="205" fontId="10" fillId="10" borderId="20" xfId="0" applyNumberFormat="1" applyFont="1" applyFill="1" applyBorder="1" applyAlignment="1">
      <x:alignment horizontal="center" vertical="center"/>
    </x:xf>
    <x:xf numFmtId="205" fontId="10" fillId="10" borderId="21" xfId="0" applyNumberFormat="1" applyFont="1" applyFill="1" applyBorder="1" applyAlignment="1">
      <x:alignment horizontal="center" vertical="center"/>
    </x:xf>
    <x:xf numFmtId="205" fontId="10" fillId="10" borderId="22" xfId="0" applyNumberFormat="1" applyFont="1" applyFill="1" applyBorder="1" applyAlignment="1">
      <x:alignment horizontal="center" vertical="center"/>
    </x:xf>
    <x:xf numFmtId="205" fontId="10" fillId="10" borderId="23" xfId="0" applyNumberFormat="1" applyFont="1" applyFill="1" applyBorder="1" applyAlignment="1">
      <x:alignment horizontal="center" vertical="center"/>
    </x:xf>
    <x:xf numFmtId="205" fontId="10" fillId="10" borderId="0" xfId="0" applyNumberFormat="1" applyFont="1" applyFill="1" applyBorder="1" applyAlignment="1">
      <x:alignment horizontal="center" vertical="center"/>
    </x:xf>
    <x:xf numFmtId="205" fontId="10" fillId="10" borderId="24" xfId="0" applyNumberFormat="1" applyFont="1" applyFill="1" applyBorder="1" applyAlignment="1">
      <x:alignment horizontal="center" vertical="center"/>
    </x:xf>
    <x:xf numFmtId="205" fontId="10" fillId="10" borderId="25" xfId="0" applyNumberFormat="1" applyFont="1" applyFill="1" applyBorder="1" applyAlignment="1">
      <x:alignment horizontal="center" vertical="center"/>
    </x:xf>
    <x:xf numFmtId="205" fontId="10" fillId="10" borderId="26" xfId="0" applyNumberFormat="1" applyFont="1" applyFill="1" applyBorder="1" applyAlignment="1">
      <x:alignment horizontal="center" vertical="center"/>
    </x:xf>
    <x:xf numFmtId="205" fontId="10" fillId="10" borderId="27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28" xfId="0" applyNumberFormat="1" applyFont="1" applyFill="1" applyBorder="1"/>
    <x:xf numFmtId="0" fontId="11" fillId="11" borderId="29" xfId="0" applyNumberFormat="1" applyFont="1" applyFill="1" applyBorder="1"/>
    <x:xf numFmtId="0" fontId="11" fillId="11" borderId="30" xfId="0" applyNumberFormat="1" applyFont="1" applyFill="1" applyBorder="1"/>
    <x:xf numFmtId="0" fontId="11" fillId="11" borderId="31" xfId="0" applyNumberFormat="1" applyFont="1" applyFill="1" applyBorder="1"/>
    <x:xf numFmtId="0" fontId="11" fillId="11" borderId="32" xfId="0" applyNumberFormat="1" applyFont="1" applyFill="1" applyBorder="1"/>
    <x:xf numFmtId="0" fontId="11" fillId="11" borderId="33" xfId="0" applyNumberFormat="1" applyFont="1" applyFill="1" applyBorder="1"/>
    <x:xf numFmtId="0" fontId="11" fillId="11" borderId="34" xfId="0" applyNumberFormat="1" applyFont="1" applyFill="1" applyBorder="1"/>
    <x:xf numFmtId="0" fontId="11" fillId="11" borderId="35" xfId="0" applyNumberFormat="1" applyFont="1" applyFill="1" applyBorder="1"/>
    <x:xf numFmtId="0" fontId="11" fillId="11" borderId="28" xfId="0" applyNumberFormat="1" applyFont="1" applyFill="1" applyBorder="1" applyAlignment="1">
      <x:alignment wrapText="1"/>
    </x:xf>
    <x:xf numFmtId="0" fontId="11" fillId="11" borderId="29" xfId="0" applyNumberFormat="1" applyFont="1" applyFill="1" applyBorder="1" applyAlignment="1">
      <x:alignment wrapText="1"/>
    </x:xf>
    <x:xf numFmtId="0" fontId="11" fillId="11" borderId="30" xfId="0" applyNumberFormat="1" applyFont="1" applyFill="1" applyBorder="1" applyAlignment="1">
      <x:alignment wrapText="1"/>
    </x:xf>
    <x:xf numFmtId="0" fontId="11" fillId="11" borderId="31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11" fillId="11" borderId="32" xfId="0" applyNumberFormat="1" applyFont="1" applyFill="1" applyBorder="1" applyAlignment="1">
      <x:alignment wrapText="1"/>
    </x:xf>
    <x:xf numFmtId="0" fontId="11" fillId="11" borderId="33" xfId="0" applyNumberFormat="1" applyFont="1" applyFill="1" applyBorder="1" applyAlignment="1">
      <x:alignment wrapText="1"/>
    </x:xf>
    <x:xf numFmtId="0" fontId="11" fillId="11" borderId="34" xfId="0" applyNumberFormat="1" applyFont="1" applyFill="1" applyBorder="1" applyAlignment="1">
      <x:alignment wrapText="1"/>
    </x:xf>
    <x:xf numFmtId="0" fontId="11" fillId="11" borderId="35" xfId="0" applyNumberFormat="1" applyFont="1" applyFill="1" applyBorder="1" applyAlignment="1">
      <x:alignment wrapText="1"/>
    </x:xf>
    <x:xf numFmtId="0" fontId="11" fillId="11" borderId="28" xfId="0" applyNumberFormat="1" applyFont="1" applyFill="1" applyBorder="1" applyAlignment="1">
      <x:alignment vertical="center" wrapText="1"/>
    </x:xf>
    <x:xf numFmtId="0" fontId="11" fillId="11" borderId="29" xfId="0" applyNumberFormat="1" applyFont="1" applyFill="1" applyBorder="1" applyAlignment="1">
      <x:alignment vertical="center" wrapText="1"/>
    </x:xf>
    <x:xf numFmtId="0" fontId="11" fillId="11" borderId="30" xfId="0" applyNumberFormat="1" applyFont="1" applyFill="1" applyBorder="1" applyAlignment="1">
      <x:alignment vertical="center" wrapText="1"/>
    </x:xf>
    <x:xf numFmtId="0" fontId="11" fillId="11" borderId="31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32" xfId="0" applyNumberFormat="1" applyFont="1" applyFill="1" applyBorder="1" applyAlignment="1">
      <x:alignment vertical="center" wrapText="1"/>
    </x:xf>
    <x:xf numFmtId="0" fontId="11" fillId="11" borderId="33" xfId="0" applyNumberFormat="1" applyFont="1" applyFill="1" applyBorder="1" applyAlignment="1">
      <x:alignment vertical="center" wrapText="1"/>
    </x:xf>
    <x:xf numFmtId="0" fontId="11" fillId="11" borderId="34" xfId="0" applyNumberFormat="1" applyFont="1" applyFill="1" applyBorder="1" applyAlignment="1">
      <x:alignment vertical="center" wrapText="1"/>
    </x:xf>
    <x:xf numFmtId="0" fontId="11" fillId="11" borderId="35" xfId="0" applyNumberFormat="1" applyFont="1" applyFill="1" applyBorder="1" applyAlignment="1">
      <x:alignment vertical="center" wrapText="1"/>
    </x:xf>
    <x:xf numFmtId="204" fontId="5" fillId="0" borderId="4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3D7D58"/>
      </x:font>
      <x:fill>
        <x:patternFill patternType="solid">
          <x:bgColor rgb="FFEAF4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ecf567a174613" /><Relationship Type="http://schemas.openxmlformats.org/officeDocument/2006/relationships/theme" Target="/xl/theme/theme1.xml" Id="Rabf3b1026e954341" /><Relationship Type="http://schemas.openxmlformats.org/officeDocument/2006/relationships/sharedStrings" Target="/xl/sharedStrings.xml" Id="Rc324cb9a3a6e4a6c" /><Relationship Type="http://schemas.openxmlformats.org/officeDocument/2006/relationships/worksheet" Target="/xl/worksheets/sheet1.xml" Id="Rb0921dad5dd34c2f" /><Relationship Type="http://schemas.openxmlformats.org/officeDocument/2006/relationships/worksheet" Target="/xl/worksheets/sheet2.xml" Id="R45fddcb244aa4cf2" /><Relationship Type="http://schemas.openxmlformats.org/officeDocument/2006/relationships/worksheet" Target="/xl/worksheets/sheet3.xml" Id="R2f89f9bcfe7b4f46" /><Relationship Type="http://schemas.openxmlformats.org/officeDocument/2006/relationships/worksheet" Target="/xl/worksheets/sheet4.xml" Id="Rc32760e2248d443b" /><Relationship Type="http://schemas.openxmlformats.org/officeDocument/2006/relationships/worksheet" Target="/xl/worksheets/sheet5.xml" Id="Rd08ccc2b65d44f13" /><Relationship Type="http://schemas.openxmlformats.org/officeDocument/2006/relationships/worksheet" Target="/xl/worksheets/sheet6.xml" Id="R66e0477b7baa4dae" /><Relationship Type="http://schemas.microsoft.com/office/2017/10/relationships/person" Target="/xl/persons/person.xml" Id="R27638f3578e14f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b8789ea4214b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시설별 건축 Bill No.01 복원액 (USD)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항목수</c:v>
          </c:tx>
          <c:cat>
            <c:strRef>
              <c:f>'판정'!$A$14:$A$16</c:f>
              <c:strCache>
                <c:ptCount val="0"/>
              </c:strCache>
            </c:strRef>
          </c:cat>
          <c:val>
            <c:numRef>
              <c:f>'판정'!$B$14:$B$16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복원액 USD</c:v>
          </c:tx>
          <c:cat>
            <c:strRef>
              <c:f>'판정'!$A$14:$A$16</c:f>
              <c:strCache>
                <c:ptCount val="0"/>
              </c:strCache>
            </c:strRef>
          </c:cat>
          <c:val>
            <c:numRef>
              <c:f>'판정'!$C$14:$C$16</c:f>
              <c:numCache>
                <c:formatCode>"$"#,##0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$&quot;0.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b8789ea4214b4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C796D93C-82A7-4848-B1CB-98B29EDFFB5A}"/>
</xltc:personList>
</file>

<file path=xl/tables/table1.xml><?xml version="1.0" encoding="utf-8"?>
<x:table xmlns:x="http://schemas.openxmlformats.org/spreadsheetml/2006/main" id="3" name="IKHCCSectionSummary" displayName="IKHCCSectionSummary" ref="A4:J50" headerRowCount="1" totalsRowCount="0" totalsRowShown="0">
  <x:tableColumns count="10">
    <x:tableColumn id="1" name="시설"/>
    <x:tableColumn id="2" name="공종키"/>
    <x:tableColumn id="3" name="공종명"/>
    <x:tableColumn id="4" name="항목수"/>
    <x:tableColumn id="5" name="복원수"/>
    <x:tableColumn id="6" name="재료비 USD"/>
    <x:tableColumn id="7" name="노무비 USD"/>
    <x:tableColumn id="8" name="경비 USD"/>
    <x:tableColumn id="9" name="합계 USD"/>
    <x:tableColumn id="10" name="구성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IKHCCBOQItems" displayName="IKHCCBOQItems" ref="A4:V565" headerRowCount="1" totalsRowCount="0" totalsRowShown="0">
  <x:tableColumns count="22">
    <x:tableColumn id="1" name="시설"/>
    <x:tableColumn id="2" name="공종키"/>
    <x:tableColumn id="3" name="공종명"/>
    <x:tableColumn id="4" name="품목"/>
    <x:tableColumn id="5" name="규격"/>
    <x:tableColumn id="6" name="단위"/>
    <x:tableColumn id="7" name="수량"/>
    <x:tableColumn id="8" name="품목코드"/>
    <x:tableColumn id="9" name="단가출처"/>
    <x:tableColumn id="10" name="재료단가 USD"/>
    <x:tableColumn id="11" name="노무단가 USD"/>
    <x:tableColumn id="12" name="경비단가 USD"/>
    <x:tableColumn id="13" name="합계단가 USD"/>
    <x:tableColumn id="14" name="재료금액 USD"/>
    <x:tableColumn id="15" name="노무금액 USD"/>
    <x:tableColumn id="16" name="경비금액 USD"/>
    <x:tableColumn id="17" name="합계금액 USD"/>
    <x:tableColumn id="18" name="복원상태"/>
    <x:tableColumn id="19" name="원본행"/>
    <x:tableColumn id="20" name="원본파일"/>
    <x:tableColumn id="21" name="집계키"/>
    <x:tableColumn id="22" name="복원플래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IKHCCRateLibrary" displayName="IKHCCRateLibrary" ref="A4:Q648" headerRowCount="1" totalsRowCount="0" totalsRowShown="0">
  <x:tableColumns count="17">
    <x:tableColumn id="1" name="단가유형"/>
    <x:tableColumn id="2" name="품목코드"/>
    <x:tableColumn id="3" name="품명"/>
    <x:tableColumn id="4" name="규격"/>
    <x:tableColumn id="5" name="단위"/>
    <x:tableColumn id="6" name="재료비 USD"/>
    <x:tableColumn id="7" name="노무비 USD"/>
    <x:tableColumn id="8" name="경비 USD"/>
    <x:tableColumn id="9" name="합계 USD"/>
    <x:tableColumn id="10" name="가격후보"/>
    <x:tableColumn id="11" name="가격면·쪽"/>
    <x:tableColumn id="12" name="비고"/>
    <x:tableColumn id="13" name="숨김시트"/>
    <x:tableColumn id="14" name="원본행"/>
    <x:tableColumn id="15" name="원본파일"/>
    <x:tableColumn id="16" name="SHA-256"/>
    <x:tableColumn id="17" name="원본 합계수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31T13:58:50.918" personId="{C796D93C-82A7-4848-B1CB-98B29EDFFB5A}" id="{D3C89010-B950-FC27-9C7C-275F71DB145B}">
    <xltc:text>Source: https://www.data.go.kr/data/15085055/fileData.do — KOICA 연간발주계획의 5,486㎡ 계획값</xltc:text>
  </xltc:threadedComment>
  <xltc:threadedComment ref="B8" dT="2026-07-31T13:58:50.919" personId="{C796D93C-82A7-4848-B1CB-98B29EDFFB5A}" id="{EA1AC4C4-9088-3831-7E34-F00815857E80}">
    <xltc:text>Source: https://nebid.koica.go.kr/oep/lobi/localBidManageDetail.do?P_LOAZ_BID_PBLANC_NO=L2025-00085&amp;P_PBLANC_ODR=1 — 현지입찰 집행한도 USD 13,292,831</xltc:text>
  </xltc:threadedComment>
  <xltc:threadedComment ref="B6" dT="2026-07-31T13:58:50.919" personId="{C796D93C-82A7-4848-B1CB-98B29EDFFB5A}" id="{B7E69BE5-A772-24BB-F2B4-26F4AB9B0E47}">
    <xltc:text>Source: KOICA 공개 입찰첨부 숨김 캐시 설계단가 × 보이는 BOQ 수량. 계약가가 아님.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3f4146fd2a47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8cf8a70fc7b413c" /><Relationship Type="http://schemas.openxmlformats.org/officeDocument/2006/relationships/vmlDrawing" Target="/xl/drawings/vmldrawing.vml" Id="Rde33da1de00d4bbc" /><Relationship Type="http://schemas.microsoft.com/office/2017/10/relationships/threadedComment" Target="/xl/threadedcomments/threadedcomment.xml" Id="Rf9fb901c50e4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b306c3b4a84f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15a48994fff4b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9dda1e2777b42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KOICA-only 건축비 데이터 복원 판정</x:v>
      </x:c>
    </x:row>
    <x:row r="2" ht="38" customHeight="1">
      <x:c r="A2" s="7" t="str">
        <x:v>결론: KOICA 공개자료만으로도 수량×설계견적 단가 수준의 벤치마크를 만들 수 있습니다. 실제 계약·준공단가는 아직 별도 확보가 필요합니다.</x:v>
      </x:c>
    </x:row>
    <x:row r="4">
      <x:c r="A4" s="138" t="str">
        <x:v>숨김 단가</x:v>
      </x:c>
      <x:c r="B4" s="138"/>
      <x:c r="C4" s="138"/>
      <x:c r="D4" s="178" t="str">
        <x:v>BOQ 결합 항목</x:v>
      </x:c>
      <x:c r="E4" s="178"/>
      <x:c r="F4" s="178"/>
      <x:c r="G4" s="182" t="str">
        <x:v>항목 복원률</x:v>
      </x:c>
      <x:c r="H4" s="182"/>
      <x:c r="I4" s="182"/>
      <x:c r="J4" s="213" t="str">
        <x:v>복원 건축 Bill</x:v>
      </x:c>
      <x:c r="K4" s="213"/>
      <x:c r="L4" s="213"/>
    </x:row>
    <x:row r="5">
      <x:c r="A5" s="167" t="n">
        <x:f>COUNTA('숨김 단가 라이브러리'!$B$5:$B$648)</x:f>
        <x:v>644</x:v>
      </x:c>
      <x:c r="B5" s="168"/>
      <x:c r="C5" s="169"/>
      <x:c r="D5" s="167" t="n">
        <x:f>COUNTA('BOQ 수량·단가'!$H$5:$H$565)</x:f>
        <x:v>561</x:v>
      </x:c>
      <x:c r="E5" s="168"/>
      <x:c r="F5" s="169"/>
      <x:c r="G5" s="201" t="n">
        <x:f>SUM('BOQ 수량·단가'!$V$5:$V$565)/COUNTA('BOQ 수량·단가'!$H$5:$H$565)</x:f>
        <x:v>1</x:v>
      </x:c>
      <x:c r="H5" s="202"/>
      <x:c r="I5" s="203"/>
      <x:c r="J5" s="232" t="n">
        <x:f>SUM('BOQ 수량·단가'!$Q$5:$Q$565)</x:f>
        <x:v>8372712.422776783</x:v>
      </x:c>
      <x:c r="K5" s="233"/>
      <x:c r="L5" s="234"/>
    </x:row>
    <x:row r="6">
      <x:c r="A6" s="170"/>
      <x:c r="B6" s="171"/>
      <x:c r="C6" s="172"/>
      <x:c r="D6" s="170"/>
      <x:c r="E6" s="171"/>
      <x:c r="F6" s="172"/>
      <x:c r="G6" s="204"/>
      <x:c r="H6" s="205"/>
      <x:c r="I6" s="206"/>
      <x:c r="J6" s="235"/>
      <x:c r="K6" s="236"/>
      <x:c r="L6" s="237"/>
    </x:row>
    <x:row r="7">
      <x:c r="A7" s="173"/>
      <x:c r="B7" s="174"/>
      <x:c r="C7" s="175"/>
      <x:c r="D7" s="173"/>
      <x:c r="E7" s="174"/>
      <x:c r="F7" s="175"/>
      <x:c r="G7" s="207"/>
      <x:c r="H7" s="208"/>
      <x:c r="I7" s="209"/>
      <x:c r="J7" s="238"/>
      <x:c r="K7" s="239"/>
      <x:c r="L7" s="240"/>
    </x:row>
    <x:row r="9">
      <x:c r="A9" s="260" t="str">
        <x:v>핵심 개선: 기존 ‘입찰한도÷연면적’ 수준에서, 355개 고유 품목코드의 재료·노무·경비 단가와 561개 설계수량을 직접 결합하는 단계로 올라갔습니다.</x:v>
      </x:c>
      <x:c r="B9" s="261"/>
      <x:c r="C9" s="261"/>
      <x:c r="D9" s="261"/>
      <x:c r="E9" s="261"/>
      <x:c r="F9" s="261"/>
      <x:c r="G9" s="261"/>
      <x:c r="H9" s="261"/>
      <x:c r="I9" s="261"/>
      <x:c r="J9" s="261"/>
      <x:c r="K9" s="261"/>
      <x:c r="L9" s="262"/>
    </x:row>
    <x:row r="10">
      <x:c r="A10" s="263"/>
      <x:c r="B10" s="264"/>
      <x:c r="C10" s="264"/>
      <x:c r="D10" s="264"/>
      <x:c r="E10" s="264"/>
      <x:c r="F10" s="264"/>
      <x:c r="G10" s="264"/>
      <x:c r="H10" s="264"/>
      <x:c r="I10" s="264"/>
      <x:c r="J10" s="264"/>
      <x:c r="K10" s="264"/>
      <x:c r="L10" s="265"/>
    </x:row>
    <x:row r="11">
      <x:c r="A11" s="266"/>
      <x:c r="B11" s="267"/>
      <x:c r="C11" s="267"/>
      <x:c r="D11" s="267"/>
      <x:c r="E11" s="267"/>
      <x:c r="F11" s="267"/>
      <x:c r="G11" s="267"/>
      <x:c r="H11" s="267"/>
      <x:c r="I11" s="267"/>
      <x:c r="J11" s="267"/>
      <x:c r="K11" s="267"/>
      <x:c r="L11" s="268"/>
    </x:row>
    <x:row r="13" ht="30" customHeight="1">
      <x:c r="A13" s="44" t="str">
        <x:v>시설</x:v>
      </x:c>
      <x:c r="B13" s="44" t="str">
        <x:v>항목수</x:v>
      </x:c>
      <x:c r="C13" s="44" t="str">
        <x:v>복원액 USD</x:v>
      </x:c>
    </x:row>
    <x:row r="14">
      <x:c r="A14" s="52" t="str">
        <x:v>병원</x:v>
      </x:c>
      <x:c r="B14" s="58" t="n">
        <x:f>COUNTIF('BOQ 수량·단가'!$A$5:$A$565,A14)</x:f>
        <x:v>377</x:v>
      </x:c>
      <x:c r="C14" s="64" t="n">
        <x:f>SUMIF('BOQ 수량·단가'!$A$5:$A$565,A14,'BOQ 수량·단가'!$Q$5:$Q$565)</x:f>
        <x:v>3237630.6756702187</x:v>
      </x:c>
    </x:row>
    <x:row r="15">
      <x:c r="A15" s="53" t="str">
        <x:v>기계·전기동</x:v>
      </x:c>
      <x:c r="B15" s="59" t="n">
        <x:f>COUNTIF('BOQ 수량·단가'!$A$5:$A$565,A15)</x:f>
        <x:v>136</x:v>
      </x:c>
      <x:c r="C15" s="65" t="n">
        <x:f>SUMIF('BOQ 수량·단가'!$A$5:$A$565,A15,'BOQ 수량·단가'!$Q$5:$Q$565)</x:f>
        <x:v>4936190.372168406</x:v>
      </x:c>
    </x:row>
    <x:row r="16">
      <x:c r="A16" s="54" t="str">
        <x:v>연결교량</x:v>
      </x:c>
      <x:c r="B16" s="60" t="n">
        <x:f>COUNTIF('BOQ 수량·단가'!$A$5:$A$565,A16)</x:f>
        <x:v>48</x:v>
      </x:c>
      <x:c r="C16" s="66" t="n">
        <x:f>SUMIF('BOQ 수량·단가'!$A$5:$A$565,A16,'BOQ 수량·단가'!$Q$5:$Q$565)</x:f>
        <x:v>198891.37493816187</x:v>
      </x:c>
    </x:row>
    <x:row r="19" ht="30" customHeight="1">
      <x:c r="A19" s="13" t="str">
        <x:v>비교지표</x:v>
      </x:c>
      <x:c r="B19" s="13" t="str">
        <x:v>값</x:v>
      </x:c>
      <x:c r="C19" s="13" t="str">
        <x:v>해석</x:v>
      </x:c>
    </x:row>
    <x:row r="20">
      <x:c r="A20" s="55" t="str">
        <x:v>복원 건축비/㎡</x:v>
      </x:c>
      <x:c r="B20" s="126" t="n">
        <x:f>'미래사업 적용'!B7</x:f>
        <x:v>1526.1962126826072</x:v>
      </x:c>
      <x:c r="C20" s="55" t="str">
        <x:v>Bill No.01만 포함</x:v>
      </x:c>
    </x:row>
    <x:row r="21">
      <x:c r="A21" s="56" t="str">
        <x:v>현지입찰 한도/㎡</x:v>
      </x:c>
      <x:c r="B21" s="127" t="n">
        <x:f>'미래사업 적용'!B9</x:f>
        <x:v>2423.0461173897193</x:v>
      </x:c>
      <x:c r="C21" s="56" t="str">
        <x:v>전체 입찰 범위 상한</x:v>
      </x:c>
    </x:row>
    <x:row r="22">
      <x:c r="A22" s="56" t="str">
        <x:v>건축 Bill/한도</x:v>
      </x:c>
      <x:c r="B22" s="129" t="n">
        <x:f>'미래사업 적용'!B10</x:f>
        <x:v>0.6298667622252011</x:v>
      </x:c>
      <x:c r="C22" s="56" t="str">
        <x:v>63%는 범위차 포함</x:v>
      </x:c>
    </x:row>
    <x:row r="23">
      <x:c r="A23" s="57" t="str">
        <x:v>중첩자료 색인</x:v>
      </x:c>
      <x:c r="B23" s="269" t="n">
        <x:v>1005</x:v>
      </x:c>
      <x:c r="C23" s="57" t="str">
        <x:v>중첩 위치 파일 확인·색인</x:v>
      </x:c>
    </x:row>
  </x:sheetData>
  <x:mergeCells>
    <x:mergeCell ref="A1:L1"/>
    <x:mergeCell ref="A2:L2"/>
    <x:mergeCell ref="A4:C4"/>
    <x:mergeCell ref="A5:C7"/>
    <x:mergeCell ref="D4:F4"/>
    <x:mergeCell ref="D5:F7"/>
    <x:mergeCell ref="G4:I4"/>
    <x:mergeCell ref="G5:I7"/>
    <x:mergeCell ref="J4:L4"/>
    <x:mergeCell ref="J5:L7"/>
    <x:mergeCell ref="A9:L11"/>
  </x:mergeCells>
  <x:pageMargins left="0.7" right="0.7" top="0.75" bottom="0.75" header="0.3" footer="0.3"/>
  <x:drawing xmlns:r="http://schemas.openxmlformats.org/officeDocument/2006/relationships" r:id="R133f4146fd2a470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34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KOICA 미래사업 적용 시뮬레이터</x:v>
      </x:c>
    </x:row>
    <x:row r="2" ht="38" customHeight="1">
      <x:c r="A2" s="7" t="str">
        <x:v>노란 셀만 조정하십시오. 결과는 ‘건축 Bill No.01’ 범위의 예비 스크리닝이며 전체 공사비가 아닙니다.</x:v>
      </x:c>
    </x:row>
    <x:row r="4" ht="25" customHeight="1">
      <x:c r="A4" s="71" t="str">
        <x:v>기준 벤치마크</x:v>
      </x:c>
      <x:c r="B4" s="71"/>
      <x:c r="C4" s="71"/>
      <x:c r="D4" s="71"/>
    </x:row>
    <x:row r="5">
      <x:c r="A5" s="55" t="str">
        <x:v>기준 연면적</x:v>
      </x:c>
      <x:c r="B5" s="128" t="n">
        <x:v>5486</x:v>
      </x:c>
      <x:c r="C5" s="55" t="str">
        <x:v>㎡</x:v>
      </x:c>
      <x:c r="D5" s="55" t="str">
        <x:v>KOICA 연간발주계획</x:v>
      </x:c>
    </x:row>
    <x:row r="6">
      <x:c r="A6" s="56" t="str">
        <x:v>복원 건축 Bill No.01</x:v>
      </x:c>
      <x:c r="B6" s="127" t="n">
        <x:f>SUM('BOQ 수량·단가'!$Q$5:$Q$565)</x:f>
        <x:v>8372712.422776783</x:v>
      </x:c>
      <x:c r="C6" s="56" t="str">
        <x:v>USD</x:v>
      </x:c>
      <x:c r="D6" s="56" t="str">
        <x:v>561개 항목 수식 합계</x:v>
      </x:c>
    </x:row>
    <x:row r="7">
      <x:c r="A7" s="56" t="str">
        <x:v>복원 건축비/㎡</x:v>
      </x:c>
      <x:c r="B7" s="127" t="n">
        <x:f>B6/B5</x:f>
        <x:v>1526.1962126826072</x:v>
      </x:c>
      <x:c r="C7" s="56" t="str">
        <x:v>USD/㎡</x:v>
      </x:c>
      <x:c r="D7" s="56" t="str">
        <x:v>건축 Bill만 해당</x:v>
      </x:c>
    </x:row>
    <x:row r="8">
      <x:c r="A8" s="56" t="str">
        <x:v>현지입찰 집행한도</x:v>
      </x:c>
      <x:c r="B8" s="127" t="n">
        <x:v>13292831</x:v>
      </x:c>
      <x:c r="C8" s="56" t="str">
        <x:v>USD</x:v>
      </x:c>
      <x:c r="D8" s="56" t="str">
        <x:v>L2025-00085-1</x:v>
      </x:c>
    </x:row>
    <x:row r="9">
      <x:c r="A9" s="56" t="str">
        <x:v>집행한도/㎡</x:v>
      </x:c>
      <x:c r="B9" s="127" t="n">
        <x:f>B8/B5</x:f>
        <x:v>2423.0461173897193</x:v>
      </x:c>
      <x:c r="C9" s="56" t="str">
        <x:v>USD/㎡</x:v>
      </x:c>
      <x:c r="D9" s="56" t="str">
        <x:v>전체 입찰 범위 상한 지표</x:v>
      </x:c>
    </x:row>
    <x:row r="10">
      <x:c r="A10" s="56" t="str">
        <x:v>건축 Bill/집행한도</x:v>
      </x:c>
      <x:c r="B10" s="129" t="n">
        <x:f>B6/B8</x:f>
        <x:v>0.6298667622252011</x:v>
      </x:c>
      <x:c r="C10" s="56" t="str">
        <x:v>%</x:v>
      </x:c>
      <x:c r="D10" s="56" t="str">
        <x:v>범위 차이 포함</x:v>
      </x:c>
    </x:row>
    <x:row r="11">
      <x:c r="A11" s="56" t="str">
        <x:v>계획 입찰한도</x:v>
      </x:c>
      <x:c r="B11" s="130" t="n">
        <x:v>17940000000</x:v>
      </x:c>
      <x:c r="C11" s="56" t="str">
        <x:v>KRW</x:v>
      </x:c>
      <x:c r="D11" s="56" t="str">
        <x:v>KOICA 연간발주계획</x:v>
      </x:c>
    </x:row>
    <x:row r="12">
      <x:c r="A12" s="57" t="str">
        <x:v>계획 한도/㎡</x:v>
      </x:c>
      <x:c r="B12" s="131" t="n">
        <x:f>B11/B5</x:f>
        <x:v>3270142.180094787</x:v>
      </x:c>
      <x:c r="C12" s="57" t="str">
        <x:v>KRW/㎡</x:v>
      </x:c>
      <x:c r="D12" s="57" t="str">
        <x:v>계획값·변경 가능</x:v>
      </x:c>
    </x:row>
    <x:row r="14" ht="25" customHeight="1">
      <x:c r="A14" s="74" t="str">
        <x:v>미래사업 입력</x:v>
      </x:c>
      <x:c r="B14" s="74"/>
      <x:c r="C14" s="74"/>
      <x:c r="D14" s="74"/>
    </x:row>
    <x:row r="15">
      <x:c r="A15" s="55" t="str">
        <x:v>목표 연면적</x:v>
      </x:c>
      <x:c r="B15" s="132" t="n">
        <x:v>3000</x:v>
      </x:c>
      <x:c r="C15" s="55" t="str">
        <x:v>㎡</x:v>
      </x:c>
      <x:c r="D15" s="55" t="str">
        <x:v>사용자 입력</x:v>
      </x:c>
    </x:row>
    <x:row r="16">
      <x:c r="A16" s="56" t="str">
        <x:v>규모 보정계수</x:v>
      </x:c>
      <x:c r="B16" s="133" t="n">
        <x:v>1</x:v>
      </x:c>
      <x:c r="C16" s="56" t="str">
        <x:v>배</x:v>
      </x:c>
      <x:c r="D16" s="56" t="str">
        <x:v>형태·규모 차이</x:v>
      </x:c>
    </x:row>
    <x:row r="17">
      <x:c r="A17" s="56" t="str">
        <x:v>국가·입지 보정계수</x:v>
      </x:c>
      <x:c r="B17" s="133" t="n">
        <x:v>1</x:v>
      </x:c>
      <x:c r="C17" s="56" t="str">
        <x:v>배</x:v>
      </x:c>
      <x:c r="D17" s="56" t="str">
        <x:v>시장·물류·치안</x:v>
      </x:c>
    </x:row>
    <x:row r="18">
      <x:c r="A18" s="56" t="str">
        <x:v>시점 보정계수</x:v>
      </x:c>
      <x:c r="B18" s="133" t="n">
        <x:v>1</x:v>
      </x:c>
      <x:c r="C18" s="56" t="str">
        <x:v>배</x:v>
      </x:c>
      <x:c r="D18" s="56" t="str">
        <x:v>물가·환율</x:v>
      </x:c>
    </x:row>
    <x:row r="19">
      <x:c r="A19" s="57" t="str">
        <x:v>설계범위 보정계수</x:v>
      </x:c>
      <x:c r="B19" s="134" t="n">
        <x:v>1</x:v>
      </x:c>
      <x:c r="C19" s="57" t="str">
        <x:v>배</x:v>
      </x:c>
      <x:c r="D19" s="57" t="str">
        <x:v>사양·복잡도</x:v>
      </x:c>
    </x:row>
    <x:row r="21" ht="25" customHeight="1">
      <x:c r="A21" s="82" t="str">
        <x:v>산정 결과</x:v>
      </x:c>
      <x:c r="B21" s="82"/>
      <x:c r="C21" s="82"/>
      <x:c r="D21" s="82"/>
    </x:row>
    <x:row r="22">
      <x:c r="A22" s="55" t="str">
        <x:v>보정 건축비/㎡</x:v>
      </x:c>
      <x:c r="B22" s="126" t="n">
        <x:f>B7*B16*B17*B18*B19</x:f>
        <x:v>1526.1962126826072</x:v>
      </x:c>
      <x:c r="C22" s="55" t="str">
        <x:v>USD/㎡</x:v>
      </x:c>
      <x:c r="D22" s="55" t="str">
        <x:v>기준×4개 보정계수</x:v>
      </x:c>
    </x:row>
    <x:row r="23">
      <x:c r="A23" s="57" t="str">
        <x:v>미래사업 건축 Bill 예비액</x:v>
      </x:c>
      <x:c r="B23" s="135" t="n">
        <x:f>B15*B22</x:f>
        <x:v>4578588.638047822</x:v>
      </x:c>
      <x:c r="C23" s="57" t="str">
        <x:v>USD</x:v>
      </x:c>
      <x:c r="D23" s="57" t="str">
        <x:v>전체 공사비 아님</x:v>
      </x:c>
    </x:row>
    <x:row r="25">
      <x:c r="A25" s="102" t="str">
        <x:v>주의: 토목·기계·전기·통신·소방·동원·사인, 세금·예비비·계약변경은 포함되지 않습니다. 실제 사업에서는 현지 견적과 최신 BOQ로 재산정해야 합니다.</x:v>
      </x:c>
      <x:c r="B25" s="103"/>
      <x:c r="C25" s="103"/>
      <x:c r="D25" s="103"/>
      <x:c r="E25" s="103"/>
      <x:c r="F25" s="103"/>
      <x:c r="G25" s="103"/>
      <x:c r="H25" s="104"/>
    </x:row>
    <x:row r="26">
      <x:c r="A26" s="105"/>
      <x:c r="B26" s="106"/>
      <x:c r="C26" s="106"/>
      <x:c r="D26" s="106"/>
      <x:c r="E26" s="106"/>
      <x:c r="F26" s="106"/>
      <x:c r="G26" s="106"/>
      <x:c r="H26" s="107"/>
    </x:row>
    <x:row r="27">
      <x:c r="A27" s="108"/>
      <x:c r="B27" s="109"/>
      <x:c r="C27" s="109"/>
      <x:c r="D27" s="109"/>
      <x:c r="E27" s="109"/>
      <x:c r="F27" s="109"/>
      <x:c r="G27" s="109"/>
      <x:c r="H27" s="110"/>
    </x:row>
  </x:sheetData>
  <x:mergeCells>
    <x:mergeCell ref="A1:H1"/>
    <x:mergeCell ref="A2:H2"/>
    <x:mergeCell ref="A4:D4"/>
    <x:mergeCell ref="A14:D14"/>
    <x:mergeCell ref="A21:D21"/>
    <x:mergeCell ref="A25:H27"/>
  </x:mergeCells>
  <x:dataValidations count="2">
    <x:dataValidation type="decimal" operator="greaterThan" sqref="B15">
      <x:formula1>0</x:formula1>
    </x:dataValidation>
    <x:dataValidation type="decimal" operator="between" sqref="B16:B19">
      <x:formula1>0.1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de33da1de00d4bb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10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1" hidden="0" customWidth="1"/>
  </x:cols>
  <x:sheetData>
    <x:row r="1" ht="34" customHeight="1">
      <x:c r="A1" s="3" t="str">
        <x:v>시설·공종별 복원 설계견적</x:v>
      </x:c>
    </x:row>
    <x:row r="2" ht="38" customHeight="1">
      <x:c r="A2" s="7" t="str">
        <x:v>모든 금액은 BOQ 수량·단가 시트에서 시설·공종키별로 SUMIF 집계됩니다.</x:v>
      </x:c>
    </x:row>
    <x:row r="4" ht="30" customHeight="1">
      <x:c r="A4" s="13" t="str">
        <x:v>시설</x:v>
      </x:c>
      <x:c r="B4" s="13" t="str">
        <x:v>공종키</x:v>
      </x:c>
      <x:c r="C4" s="13" t="str">
        <x:v>공종명</x:v>
      </x:c>
      <x:c r="D4" s="13" t="str">
        <x:v>항목수</x:v>
      </x:c>
      <x:c r="E4" s="13" t="str">
        <x:v>복원수</x:v>
      </x:c>
      <x:c r="F4" s="13" t="str">
        <x:v>재료비 USD</x:v>
      </x:c>
      <x:c r="G4" s="13" t="str">
        <x:v>노무비 USD</x:v>
      </x:c>
      <x:c r="H4" s="13" t="str">
        <x:v>경비 USD</x:v>
      </x:c>
      <x:c r="I4" s="13" t="str">
        <x:v>합계 USD</x:v>
      </x:c>
      <x:c r="J4" s="13" t="str">
        <x:v>구성비</x:v>
      </x:c>
    </x:row>
    <x:row r="5">
      <x:c r="A5" s="52" t="str">
        <x:v>기계·전기동</x:v>
      </x:c>
      <x:c r="B5" s="61" t="str">
        <x:f>"C-010201"</x:f>
        <x:v>C-010201</x:v>
      </x:c>
      <x:c r="C5" s="55" t="str">
        <x:v>010201  STRUCTURE WORKS</x:v>
      </x:c>
      <x:c r="D5" s="58" t="n">
        <x:f>COUNTIF('BOQ 수량·단가'!$U$5:$U$565,A5&amp;"|"&amp;B5)</x:f>
        <x:v>9</x:v>
      </x:c>
      <x:c r="E5" s="58" t="n">
        <x:f>SUMIF('BOQ 수량·단가'!$U$5:$U$565,A5&amp;"|"&amp;B5,'BOQ 수량·단가'!$V$5:$V$565)</x:f>
        <x:v>9</x:v>
      </x:c>
      <x:c r="F5" s="64" t="n">
        <x:f>SUMIF('BOQ 수량·단가'!$U$5:$U$565,A5&amp;"|"&amp;B5,'BOQ 수량·단가'!$N$5:$N$565)</x:f>
        <x:v>564931.7</x:v>
      </x:c>
      <x:c r="G5" s="64" t="n">
        <x:f>SUMIF('BOQ 수량·단가'!$U$5:$U$565,A5&amp;"|"&amp;B5,'BOQ 수량·단가'!$O$5:$O$565)</x:f>
        <x:v>55925.9</x:v>
      </x:c>
      <x:c r="H5" s="64" t="n">
        <x:f>SUMIF('BOQ 수량·단가'!$U$5:$U$565,A5&amp;"|"&amp;B5,'BOQ 수량·단가'!$P$5:$P$565)</x:f>
        <x:v>9622.59</x:v>
      </x:c>
      <x:c r="I5" s="64" t="n">
        <x:f>SUM(F5:H5)</x:f>
        <x:v>630480.19</x:v>
      </x:c>
      <x:c r="J5" s="67" t="n">
        <x:f>IFERROR(I5/SUM($I$5:$I$50),0)</x:f>
        <x:v>0.07530178491319817</x:v>
      </x:c>
    </x:row>
    <x:row r="6">
      <x:c r="A6" s="53" t="str">
        <x:v>기계·전기동</x:v>
      </x:c>
      <x:c r="B6" s="62" t="str">
        <x:f>"C-010202"</x:f>
        <x:v>C-010202</x:v>
      </x:c>
      <x:c r="C6" s="56" t="str">
        <x:v>010202  STEEL STRUCTURE WORKS</x:v>
      </x:c>
      <x:c r="D6" s="59" t="n">
        <x:f>COUNTIF('BOQ 수량·단가'!$U$5:$U$565,A6&amp;"|"&amp;B6)</x:f>
        <x:v>21</x:v>
      </x:c>
      <x:c r="E6" s="59" t="n">
        <x:f>SUMIF('BOQ 수량·단가'!$U$5:$U$565,A6&amp;"|"&amp;B6,'BOQ 수량·단가'!$V$5:$V$565)</x:f>
        <x:v>21</x:v>
      </x:c>
      <x:c r="F6" s="65" t="n">
        <x:f>SUMIF('BOQ 수량·단가'!$U$5:$U$565,A6&amp;"|"&amp;B6,'BOQ 수량·단가'!$N$5:$N$565)</x:f>
        <x:v>1807087.1455454342</x:v>
      </x:c>
      <x:c r="G6" s="65" t="n">
        <x:f>SUMIF('BOQ 수량·단가'!$U$5:$U$565,A6&amp;"|"&amp;B6,'BOQ 수량·단가'!$O$5:$O$565)</x:f>
        <x:v>0</x:v>
      </x:c>
      <x:c r="H6" s="65" t="n">
        <x:f>SUMIF('BOQ 수량·단가'!$U$5:$U$565,A6&amp;"|"&amp;B6,'BOQ 수량·단가'!$P$5:$P$565)</x:f>
        <x:v>0</x:v>
      </x:c>
      <x:c r="I6" s="65" t="n">
        <x:f>SUM(F6:H6)</x:f>
        <x:v>1807087.1455454342</x:v>
      </x:c>
      <x:c r="J6" s="68" t="n">
        <x:f>IFERROR(I6/SUM($I$5:$I$50),0)</x:f>
        <x:v>0.21583055219112837</x:v>
      </x:c>
    </x:row>
    <x:row r="7">
      <x:c r="A7" s="53" t="str">
        <x:v>기계·전기동</x:v>
      </x:c>
      <x:c r="B7" s="62" t="str">
        <x:f>"C-010203"</x:f>
        <x:v>C-010203</x:v>
      </x:c>
      <x:c r="C7" s="56" t="str">
        <x:v>010203  MASONRY WORKS</x:v>
      </x:c>
      <x:c r="D7" s="59" t="n">
        <x:f>COUNTIF('BOQ 수량·단가'!$U$5:$U$565,A7&amp;"|"&amp;B7)</x:f>
        <x:v>5</x:v>
      </x:c>
      <x:c r="E7" s="59" t="n">
        <x:f>SUMIF('BOQ 수량·단가'!$U$5:$U$565,A7&amp;"|"&amp;B7,'BOQ 수량·단가'!$V$5:$V$565)</x:f>
        <x:v>5</x:v>
      </x:c>
      <x:c r="F7" s="65" t="n">
        <x:f>SUMIF('BOQ 수량·단가'!$U$5:$U$565,A7&amp;"|"&amp;B7,'BOQ 수량·단가'!$N$5:$N$565)</x:f>
        <x:v>304932.64</x:v>
      </x:c>
      <x:c r="G7" s="65" t="n">
        <x:f>SUMIF('BOQ 수량·단가'!$U$5:$U$565,A7&amp;"|"&amp;B7,'BOQ 수량·단가'!$O$5:$O$565)</x:f>
        <x:v>869.44</x:v>
      </x:c>
      <x:c r="H7" s="65" t="n">
        <x:f>SUMIF('BOQ 수량·단가'!$U$5:$U$565,A7&amp;"|"&amp;B7,'BOQ 수량·단가'!$P$5:$P$565)</x:f>
        <x:v>36.8</x:v>
      </x:c>
      <x:c r="I7" s="65" t="n">
        <x:f>SUM(F7:H7)</x:f>
        <x:v>305838.88</x:v>
      </x:c>
      <x:c r="J7" s="68" t="n">
        <x:f>IFERROR(I7/SUM($I$5:$I$50),0)</x:f>
        <x:v>0.03652805262581434</x:v>
      </x:c>
    </x:row>
    <x:row r="8">
      <x:c r="A8" s="53" t="str">
        <x:v>기계·전기동</x:v>
      </x:c>
      <x:c r="B8" s="62" t="str">
        <x:f>"C-010204"</x:f>
        <x:v>C-010204</x:v>
      </x:c>
      <x:c r="C8" s="56" t="str">
        <x:v>010204  FINISH WORKS</x:v>
      </x:c>
      <x:c r="D8" s="59" t="n">
        <x:f>COUNTIF('BOQ 수량·단가'!$U$5:$U$565,A8&amp;"|"&amp;B8)</x:f>
        <x:v>3</x:v>
      </x:c>
      <x:c r="E8" s="59" t="n">
        <x:f>SUMIF('BOQ 수량·단가'!$U$5:$U$565,A8&amp;"|"&amp;B8,'BOQ 수량·단가'!$V$5:$V$565)</x:f>
        <x:v>3</x:v>
      </x:c>
      <x:c r="F8" s="65" t="n">
        <x:f>SUMIF('BOQ 수량·단가'!$U$5:$U$565,A8&amp;"|"&amp;B8,'BOQ 수량·단가'!$N$5:$N$565)</x:f>
        <x:v>8179.5</x:v>
      </x:c>
      <x:c r="G8" s="65" t="n">
        <x:f>SUMIF('BOQ 수량·단가'!$U$5:$U$565,A8&amp;"|"&amp;B8,'BOQ 수량·단가'!$O$5:$O$565)</x:f>
        <x:v>4904.05</x:v>
      </x:c>
      <x:c r="H8" s="65" t="n">
        <x:f>SUMIF('BOQ 수량·단가'!$U$5:$U$565,A8&amp;"|"&amp;B8,'BOQ 수량·단가'!$P$5:$P$565)</x:f>
        <x:v>256.62</x:v>
      </x:c>
      <x:c r="I8" s="65" t="n">
        <x:f>SUM(F8:H8)</x:f>
        <x:v>13340.17</x:v>
      </x:c>
      <x:c r="J8" s="68" t="n">
        <x:f>IFERROR(I8/SUM($I$5:$I$50),0)</x:f>
        <x:v>0.0015932913166478693</x:v>
      </x:c>
    </x:row>
    <x:row r="9">
      <x:c r="A9" s="53" t="str">
        <x:v>기계·전기동</x:v>
      </x:c>
      <x:c r="B9" s="62" t="str">
        <x:f>"C-010205"</x:f>
        <x:v>C-010205</x:v>
      </x:c>
      <x:c r="C9" s="56" t="str">
        <x:v>010205  WATERPROOFING WORKS</x:v>
      </x:c>
      <x:c r="D9" s="59" t="n">
        <x:f>COUNTIF('BOQ 수량·단가'!$U$5:$U$565,A9&amp;"|"&amp;B9)</x:f>
        <x:v>5</x:v>
      </x:c>
      <x:c r="E9" s="59" t="n">
        <x:f>SUMIF('BOQ 수량·단가'!$U$5:$U$565,A9&amp;"|"&amp;B9,'BOQ 수량·단가'!$V$5:$V$565)</x:f>
        <x:v>5</x:v>
      </x:c>
      <x:c r="F9" s="65" t="n">
        <x:f>SUMIF('BOQ 수량·단가'!$U$5:$U$565,A9&amp;"|"&amp;B9,'BOQ 수량·단가'!$N$5:$N$565)</x:f>
        <x:v>68196.1</x:v>
      </x:c>
      <x:c r="G9" s="65" t="n">
        <x:f>SUMIF('BOQ 수량·단가'!$U$5:$U$565,A9&amp;"|"&amp;B9,'BOQ 수량·단가'!$O$5:$O$565)</x:f>
        <x:v>19300.9</x:v>
      </x:c>
      <x:c r="H9" s="65" t="n">
        <x:f>SUMIF('BOQ 수량·단가'!$U$5:$U$565,A9&amp;"|"&amp;B9,'BOQ 수량·단가'!$P$5:$P$565)</x:f>
        <x:v>2192</x:v>
      </x:c>
      <x:c r="I9" s="65" t="n">
        <x:f>SUM(F9:H9)</x:f>
        <x:v>89689</x:v>
      </x:c>
      <x:c r="J9" s="68" t="n">
        <x:f>IFERROR(I9/SUM($I$5:$I$50),0)</x:f>
        <x:v>0.010712060258514754</x:v>
      </x:c>
    </x:row>
    <x:row r="10">
      <x:c r="A10" s="53" t="str">
        <x:v>기계·전기동</x:v>
      </x:c>
      <x:c r="B10" s="62" t="str">
        <x:f>"C-010206"</x:f>
        <x:v>C-010206</x:v>
      </x:c>
      <x:c r="C10" s="56" t="str">
        <x:v>010206  ROOF &amp; DRAINGPIPE WORKS</x:v>
      </x:c>
      <x:c r="D10" s="59" t="n">
        <x:f>COUNTIF('BOQ 수량·단가'!$U$5:$U$565,A10&amp;"|"&amp;B10)</x:f>
        <x:v>2</x:v>
      </x:c>
      <x:c r="E10" s="59" t="n">
        <x:f>SUMIF('BOQ 수량·단가'!$U$5:$U$565,A10&amp;"|"&amp;B10,'BOQ 수량·단가'!$V$5:$V$565)</x:f>
        <x:v>2</x:v>
      </x:c>
      <x:c r="F10" s="65" t="n">
        <x:f>SUMIF('BOQ 수량·단가'!$U$5:$U$565,A10&amp;"|"&amp;B10,'BOQ 수량·단가'!$N$5:$N$565)</x:f>
        <x:v>42.98</x:v>
      </x:c>
      <x:c r="G10" s="65" t="n">
        <x:f>SUMIF('BOQ 수량·단가'!$U$5:$U$565,A10&amp;"|"&amp;B10,'BOQ 수량·단가'!$O$5:$O$565)</x:f>
        <x:v>75.6</x:v>
      </x:c>
      <x:c r="H10" s="65" t="n">
        <x:f>SUMIF('BOQ 수량·단가'!$U$5:$U$565,A10&amp;"|"&amp;B10,'BOQ 수량·단가'!$P$5:$P$565)</x:f>
        <x:v>0</x:v>
      </x:c>
      <x:c r="I10" s="65" t="n">
        <x:f>SUM(F10:H10)</x:f>
        <x:v>118.57999999999998</x:v>
      </x:c>
      <x:c r="J10" s="68" t="n">
        <x:f>IFERROR(I10/SUM($I$5:$I$50),0)</x:f>
        <x:v>0.000014162674413302403</x:v>
      </x:c>
    </x:row>
    <x:row r="11">
      <x:c r="A11" s="53" t="str">
        <x:v>기계·전기동</x:v>
      </x:c>
      <x:c r="B11" s="62" t="str">
        <x:f>"C-010207"</x:f>
        <x:v>C-010207</x:v>
      </x:c>
      <x:c r="C11" s="56" t="str">
        <x:v>010207  METAL WORKS</x:v>
      </x:c>
      <x:c r="D11" s="59" t="n">
        <x:f>COUNTIF('BOQ 수량·단가'!$U$5:$U$565,A11&amp;"|"&amp;B11)</x:f>
        <x:v>6</x:v>
      </x:c>
      <x:c r="E11" s="59" t="n">
        <x:f>SUMIF('BOQ 수량·단가'!$U$5:$U$565,A11&amp;"|"&amp;B11,'BOQ 수량·단가'!$V$5:$V$565)</x:f>
        <x:v>6</x:v>
      </x:c>
      <x:c r="F11" s="65" t="n">
        <x:f>SUMIF('BOQ 수량·단가'!$U$5:$U$565,A11&amp;"|"&amp;B11,'BOQ 수량·단가'!$N$5:$N$565)</x:f>
        <x:v>101745</x:v>
      </x:c>
      <x:c r="G11" s="65" t="n">
        <x:f>SUMIF('BOQ 수량·단가'!$U$5:$U$565,A11&amp;"|"&amp;B11,'BOQ 수량·단가'!$O$5:$O$565)</x:f>
        <x:v>18260.28</x:v>
      </x:c>
      <x:c r="H11" s="65" t="n">
        <x:f>SUMIF('BOQ 수량·단가'!$U$5:$U$565,A11&amp;"|"&amp;B11,'BOQ 수량·단가'!$P$5:$P$565)</x:f>
        <x:v>0</x:v>
      </x:c>
      <x:c r="I11" s="65" t="n">
        <x:f>SUM(F11:H11)</x:f>
        <x:v>120005.28</x:v>
      </x:c>
      <x:c r="J11" s="68" t="n">
        <x:f>IFERROR(I11/SUM($I$5:$I$50),0)</x:f>
        <x:v>0.01433290359687292</x:v>
      </x:c>
    </x:row>
    <x:row r="12">
      <x:c r="A12" s="53" t="str">
        <x:v>기계·전기동</x:v>
      </x:c>
      <x:c r="B12" s="62" t="str">
        <x:f>"C-010208"</x:f>
        <x:v>C-010208</x:v>
      </x:c>
      <x:c r="C12" s="56" t="str">
        <x:v>010208  PLASTER WORKS</x:v>
      </x:c>
      <x:c r="D12" s="59" t="n">
        <x:f>COUNTIF('BOQ 수량·단가'!$U$5:$U$565,A12&amp;"|"&amp;B12)</x:f>
        <x:v>6</x:v>
      </x:c>
      <x:c r="E12" s="59" t="n">
        <x:f>SUMIF('BOQ 수량·단가'!$U$5:$U$565,A12&amp;"|"&amp;B12,'BOQ 수량·단가'!$V$5:$V$565)</x:f>
        <x:v>6</x:v>
      </x:c>
      <x:c r="F12" s="65" t="n">
        <x:f>SUMIF('BOQ 수량·단가'!$U$5:$U$565,A12&amp;"|"&amp;B12,'BOQ 수량·단가'!$N$5:$N$565)</x:f>
        <x:v>42900.24</x:v>
      </x:c>
      <x:c r="G12" s="65" t="n">
        <x:f>SUMIF('BOQ 수량·단가'!$U$5:$U$565,A12&amp;"|"&amp;B12,'BOQ 수량·단가'!$O$5:$O$565)</x:f>
        <x:v>5070</x:v>
      </x:c>
      <x:c r="H12" s="65" t="n">
        <x:f>SUMIF('BOQ 수량·단가'!$U$5:$U$565,A12&amp;"|"&amp;B12,'BOQ 수량·단가'!$P$5:$P$565)</x:f>
        <x:v>96.33</x:v>
      </x:c>
      <x:c r="I12" s="65" t="n">
        <x:f>SUM(F12:H12)</x:f>
        <x:v>48066.57</x:v>
      </x:c>
      <x:c r="J12" s="68" t="n">
        <x:f>IFERROR(I12/SUM($I$5:$I$50),0)</x:f>
        <x:v>0.005740860019178689</x:v>
      </x:c>
    </x:row>
    <x:row r="13">
      <x:c r="A13" s="53" t="str">
        <x:v>기계·전기동</x:v>
      </x:c>
      <x:c r="B13" s="62" t="str">
        <x:f>"C-010209"</x:f>
        <x:v>C-010209</x:v>
      </x:c>
      <x:c r="C13" s="56" t="str">
        <x:v>010209  DOORS &amp; WINDOWS WORKS-1</x:v>
      </x:c>
      <x:c r="D13" s="59" t="n">
        <x:f>COUNTIF('BOQ 수량·단가'!$U$5:$U$565,A13&amp;"|"&amp;B13)</x:f>
        <x:v>7</x:v>
      </x:c>
      <x:c r="E13" s="59" t="n">
        <x:f>SUMIF('BOQ 수량·단가'!$U$5:$U$565,A13&amp;"|"&amp;B13,'BOQ 수량·단가'!$V$5:$V$565)</x:f>
        <x:v>7</x:v>
      </x:c>
      <x:c r="F13" s="65" t="n">
        <x:f>SUMIF('BOQ 수량·단가'!$U$5:$U$565,A13&amp;"|"&amp;B13,'BOQ 수량·단가'!$N$5:$N$565)</x:f>
        <x:v>34613.789528252986</x:v>
      </x:c>
      <x:c r="G13" s="65" t="n">
        <x:f>SUMIF('BOQ 수량·단가'!$U$5:$U$565,A13&amp;"|"&amp;B13,'BOQ 수량·단가'!$O$5:$O$565)</x:f>
        <x:v>4280.0859068355185</x:v>
      </x:c>
      <x:c r="H13" s="65" t="n">
        <x:f>SUMIF('BOQ 수량·단가'!$U$5:$U$565,A13&amp;"|"&amp;B13,'BOQ 수량·단가'!$P$5:$P$565)</x:f>
        <x:v>6382.248389246835</x:v>
      </x:c>
      <x:c r="I13" s="65" t="n">
        <x:f>SUM(F13:H13)</x:f>
        <x:v>45276.123824335344</x:v>
      </x:c>
      <x:c r="J13" s="68" t="n">
        <x:f>IFERROR(I13/SUM($I$5:$I$50),0)</x:f>
        <x:v>0.005407581383204804</x:v>
      </x:c>
    </x:row>
    <x:row r="14">
      <x:c r="A14" s="53" t="str">
        <x:v>기계·전기동</x:v>
      </x:c>
      <x:c r="B14" s="62" t="str">
        <x:f>"C-010210"</x:f>
        <x:v>C-010210</x:v>
      </x:c>
      <x:c r="C14" s="56" t="str">
        <x:v>010210  PAINTERS WORKS</x:v>
      </x:c>
      <x:c r="D14" s="59" t="n">
        <x:f>COUNTIF('BOQ 수량·단가'!$U$5:$U$565,A14&amp;"|"&amp;B14)</x:f>
        <x:v>4</x:v>
      </x:c>
      <x:c r="E14" s="59" t="n">
        <x:f>SUMIF('BOQ 수량·단가'!$U$5:$U$565,A14&amp;"|"&amp;B14,'BOQ 수량·단가'!$V$5:$V$565)</x:f>
        <x:v>4</x:v>
      </x:c>
      <x:c r="F14" s="65" t="n">
        <x:f>SUMIF('BOQ 수량·단가'!$U$5:$U$565,A14&amp;"|"&amp;B14,'BOQ 수량·단가'!$N$5:$N$565)</x:f>
        <x:v>95939.42086943644</x:v>
      </x:c>
      <x:c r="G14" s="65" t="n">
        <x:f>SUMIF('BOQ 수량·단가'!$U$5:$U$565,A14&amp;"|"&amp;B14,'BOQ 수량·단가'!$O$5:$O$565)</x:f>
        <x:v>18172.883063023037</x:v>
      </x:c>
      <x:c r="H14" s="65" t="n">
        <x:f>SUMIF('BOQ 수량·단가'!$U$5:$U$565,A14&amp;"|"&amp;B14,'BOQ 수량·단가'!$P$5:$P$565)</x:f>
        <x:v>7252.7660519884475</x:v>
      </x:c>
      <x:c r="I14" s="65" t="n">
        <x:f>SUM(F14:H14)</x:f>
        <x:v>121365.06998444792</x:v>
      </x:c>
      <x:c r="J14" s="68" t="n">
        <x:f>IFERROR(I14/SUM($I$5:$I$50),0)</x:f>
        <x:v>0.014495310940608842</x:v>
      </x:c>
    </x:row>
    <x:row r="15">
      <x:c r="A15" s="53" t="str">
        <x:v>기계·전기동</x:v>
      </x:c>
      <x:c r="B15" s="62" t="str">
        <x:f>"C-01021101"</x:f>
        <x:v>C-01021101</x:v>
      </x:c>
      <x:c r="C15" s="56" t="str">
        <x:v>01021101  STRUCTURE WORKS</x:v>
      </x:c>
      <x:c r="D15" s="59" t="n">
        <x:f>COUNTIF('BOQ 수량·단가'!$U$5:$U$565,A15&amp;"|"&amp;B15)</x:f>
        <x:v>10</x:v>
      </x:c>
      <x:c r="E15" s="59" t="n">
        <x:f>SUMIF('BOQ 수량·단가'!$U$5:$U$565,A15&amp;"|"&amp;B15,'BOQ 수량·단가'!$V$5:$V$565)</x:f>
        <x:v>10</x:v>
      </x:c>
      <x:c r="F15" s="65" t="n">
        <x:f>SUMIF('BOQ 수량·단가'!$U$5:$U$565,A15&amp;"|"&amp;B15,'BOQ 수량·단가'!$N$5:$N$565)</x:f>
        <x:v>5719.94681</x:v>
      </x:c>
      <x:c r="G15" s="65" t="n">
        <x:f>SUMIF('BOQ 수량·단가'!$U$5:$U$565,A15&amp;"|"&amp;B15,'BOQ 수량·단가'!$O$5:$O$565)</x:f>
        <x:v>222.57218</x:v>
      </x:c>
      <x:c r="H15" s="65" t="n">
        <x:f>SUMIF('BOQ 수량·단가'!$U$5:$U$565,A15&amp;"|"&amp;B15,'BOQ 수량·단가'!$P$5:$P$565)</x:f>
        <x:v>0</x:v>
      </x:c>
      <x:c r="I15" s="65" t="n">
        <x:f>SUM(F15:H15)</x:f>
        <x:v>5942.5189900000005</x:v>
      </x:c>
      <x:c r="J15" s="68" t="n">
        <x:f>IFERROR(I15/SUM($I$5:$I$50),0)</x:f>
        <x:v>0.0007097483694572159</x:v>
      </x:c>
    </x:row>
    <x:row r="16">
      <x:c r="A16" s="53" t="str">
        <x:v>기계·전기동</x:v>
      </x:c>
      <x:c r="B16" s="62" t="str">
        <x:f>"C-01021102"</x:f>
        <x:v>C-01021102</x:v>
      </x:c>
      <x:c r="C16" s="56" t="str">
        <x:v>01021102  MASONRY WORKS</x:v>
      </x:c>
      <x:c r="D16" s="59" t="n">
        <x:f>COUNTIF('BOQ 수량·단가'!$U$5:$U$565,A16&amp;"|"&amp;B16)</x:f>
        <x:v>2</x:v>
      </x:c>
      <x:c r="E16" s="59" t="n">
        <x:f>SUMIF('BOQ 수량·단가'!$U$5:$U$565,A16&amp;"|"&amp;B16,'BOQ 수량·단가'!$V$5:$V$565)</x:f>
        <x:v>2</x:v>
      </x:c>
      <x:c r="F16" s="65" t="n">
        <x:f>SUMIF('BOQ 수량·단가'!$U$5:$U$565,A16&amp;"|"&amp;B16,'BOQ 수량·단가'!$N$5:$N$565)</x:f>
        <x:v>192152.43</x:v>
      </x:c>
      <x:c r="G16" s="65" t="n">
        <x:f>SUMIF('BOQ 수량·단가'!$U$5:$U$565,A16&amp;"|"&amp;B16,'BOQ 수량·단가'!$O$5:$O$565)</x:f>
        <x:v>25147.92</x:v>
      </x:c>
      <x:c r="H16" s="65" t="n">
        <x:f>SUMIF('BOQ 수량·단가'!$U$5:$U$565,A16&amp;"|"&amp;B16,'BOQ 수량·단가'!$P$5:$P$565)</x:f>
        <x:v>3.12</x:v>
      </x:c>
      <x:c r="I16" s="65" t="n">
        <x:f>SUM(F16:H16)</x:f>
        <x:v>217303.46999999997</x:v>
      </x:c>
      <x:c r="J16" s="68" t="n">
        <x:f>IFERROR(I16/SUM($I$5:$I$50),0)</x:f>
        <x:v>0.025953772090494404</x:v>
      </x:c>
    </x:row>
    <x:row r="17">
      <x:c r="A17" s="53" t="str">
        <x:v>기계·전기동</x:v>
      </x:c>
      <x:c r="B17" s="62" t="str">
        <x:f>"C-01021103"</x:f>
        <x:v>C-01021103</x:v>
      </x:c>
      <x:c r="C17" s="56" t="str">
        <x:v>01021103  FINISH WORKS</x:v>
      </x:c>
      <x:c r="D17" s="59" t="n">
        <x:f>COUNTIF('BOQ 수량·단가'!$U$5:$U$565,A17&amp;"|"&amp;B17)</x:f>
        <x:v>1</x:v>
      </x:c>
      <x:c r="E17" s="59" t="n">
        <x:f>SUMIF('BOQ 수량·단가'!$U$5:$U$565,A17&amp;"|"&amp;B17,'BOQ 수량·단가'!$V$5:$V$565)</x:f>
        <x:v>1</x:v>
      </x:c>
      <x:c r="F17" s="65" t="n">
        <x:f>SUMIF('BOQ 수량·단가'!$U$5:$U$565,A17&amp;"|"&amp;B17,'BOQ 수량·단가'!$N$5:$N$565)</x:f>
        <x:v>60</x:v>
      </x:c>
      <x:c r="G17" s="65" t="n">
        <x:f>SUMIF('BOQ 수량·단가'!$U$5:$U$565,A17&amp;"|"&amp;B17,'BOQ 수량·단가'!$O$5:$O$565)</x:f>
        <x:v>0</x:v>
      </x:c>
      <x:c r="H17" s="65" t="n">
        <x:f>SUMIF('BOQ 수량·단가'!$U$5:$U$565,A17&amp;"|"&amp;B17,'BOQ 수량·단가'!$P$5:$P$565)</x:f>
        <x:v>0</x:v>
      </x:c>
      <x:c r="I17" s="65" t="n">
        <x:f>SUM(F17:H17)</x:f>
        <x:v>60</x:v>
      </x:c>
      <x:c r="J17" s="68" t="n">
        <x:f>IFERROR(I17/SUM($I$5:$I$50),0)</x:f>
        <x:v>0.000007166136488430969</x:v>
      </x:c>
    </x:row>
    <x:row r="18">
      <x:c r="A18" s="53" t="str">
        <x:v>기계·전기동</x:v>
      </x:c>
      <x:c r="B18" s="62" t="str">
        <x:f>"C-01021104"</x:f>
        <x:v>C-01021104</x:v>
      </x:c>
      <x:c r="C18" s="56" t="str">
        <x:v>01021104  METAL WORKS</x:v>
      </x:c>
      <x:c r="D18" s="59" t="n">
        <x:f>COUNTIF('BOQ 수량·단가'!$U$5:$U$565,A18&amp;"|"&amp;B18)</x:f>
        <x:v>3</x:v>
      </x:c>
      <x:c r="E18" s="59" t="n">
        <x:f>SUMIF('BOQ 수량·단가'!$U$5:$U$565,A18&amp;"|"&amp;B18,'BOQ 수량·단가'!$V$5:$V$565)</x:f>
        <x:v>3</x:v>
      </x:c>
      <x:c r="F18" s="65" t="n">
        <x:f>SUMIF('BOQ 수량·단가'!$U$5:$U$565,A18&amp;"|"&amp;B18,'BOQ 수량·단가'!$N$5:$N$565)</x:f>
        <x:v>12157.64</x:v>
      </x:c>
      <x:c r="G18" s="65" t="n">
        <x:f>SUMIF('BOQ 수량·단가'!$U$5:$U$565,A18&amp;"|"&amp;B18,'BOQ 수량·단가'!$O$5:$O$565)</x:f>
        <x:v>0</x:v>
      </x:c>
      <x:c r="H18" s="65" t="n">
        <x:f>SUMIF('BOQ 수량·단가'!$U$5:$U$565,A18&amp;"|"&amp;B18,'BOQ 수량·단가'!$P$5:$P$565)</x:f>
        <x:v>0</x:v>
      </x:c>
      <x:c r="I18" s="65" t="n">
        <x:f>SUM(F18:H18)</x:f>
        <x:v>12157.64</x:v>
      </x:c>
      <x:c r="J18" s="68" t="n">
        <x:f>IFERROR(I18/SUM($I$5:$I$50),0)</x:f>
        <x:v>0.0014520551269534647</x:v>
      </x:c>
    </x:row>
    <x:row r="19">
      <x:c r="A19" s="53" t="str">
        <x:v>기계·전기동</x:v>
      </x:c>
      <x:c r="B19" s="62" t="str">
        <x:f>"C-01021105"</x:f>
        <x:v>C-01021105</x:v>
      </x:c>
      <x:c r="C19" s="56" t="str">
        <x:v>01021105  PLASTER WORKS</x:v>
      </x:c>
      <x:c r="D19" s="59" t="n">
        <x:f>COUNTIF('BOQ 수량·단가'!$U$5:$U$565,A19&amp;"|"&amp;B19)</x:f>
        <x:v>2</x:v>
      </x:c>
      <x:c r="E19" s="59" t="n">
        <x:f>SUMIF('BOQ 수량·단가'!$U$5:$U$565,A19&amp;"|"&amp;B19,'BOQ 수량·단가'!$V$5:$V$565)</x:f>
        <x:v>2</x:v>
      </x:c>
      <x:c r="F19" s="65" t="n">
        <x:f>SUMIF('BOQ 수량·단가'!$U$5:$U$565,A19&amp;"|"&amp;B19,'BOQ 수량·단가'!$N$5:$N$565)</x:f>
        <x:v>223.02</x:v>
      </x:c>
      <x:c r="G19" s="65" t="n">
        <x:f>SUMIF('BOQ 수량·단가'!$U$5:$U$565,A19&amp;"|"&amp;B19,'BOQ 수량·단가'!$O$5:$O$565)</x:f>
        <x:v>0</x:v>
      </x:c>
      <x:c r="H19" s="65" t="n">
        <x:f>SUMIF('BOQ 수량·단가'!$U$5:$U$565,A19&amp;"|"&amp;B19,'BOQ 수량·단가'!$P$5:$P$565)</x:f>
        <x:v>0</x:v>
      </x:c>
      <x:c r="I19" s="65" t="n">
        <x:f>SUM(F19:H19)</x:f>
        <x:v>223.02</x:v>
      </x:c>
      <x:c r="J19" s="68" t="n">
        <x:f>IFERROR(I19/SUM($I$5:$I$50),0)</x:f>
        <x:v>0.000026636529327497914</x:v>
      </x:c>
    </x:row>
    <x:row r="20">
      <x:c r="A20" s="53" t="str">
        <x:v>기계·전기동</x:v>
      </x:c>
      <x:c r="B20" s="62" t="str">
        <x:f>"C-01021106"</x:f>
        <x:v>C-01021106</x:v>
      </x:c>
      <x:c r="C20" s="56" t="str">
        <x:v>01021106  PAINTERS WORKS</x:v>
      </x:c>
      <x:c r="D20" s="59" t="n">
        <x:f>COUNTIF('BOQ 수량·단가'!$U$5:$U$565,A20&amp;"|"&amp;B20)</x:f>
        <x:v>1</x:v>
      </x:c>
      <x:c r="E20" s="59" t="n">
        <x:f>SUMIF('BOQ 수량·단가'!$U$5:$U$565,A20&amp;"|"&amp;B20,'BOQ 수량·단가'!$V$5:$V$565)</x:f>
        <x:v>1</x:v>
      </x:c>
      <x:c r="F20" s="65" t="n">
        <x:f>SUMIF('BOQ 수량·단가'!$U$5:$U$565,A20&amp;"|"&amp;B20,'BOQ 수량·단가'!$N$5:$N$565)</x:f>
        <x:v>145953.9</x:v>
      </x:c>
      <x:c r="G20" s="65" t="n">
        <x:f>SUMIF('BOQ 수량·단가'!$U$5:$U$565,A20&amp;"|"&amp;B20,'BOQ 수량·단가'!$O$5:$O$565)</x:f>
        <x:v>0</x:v>
      </x:c>
      <x:c r="H20" s="65" t="n">
        <x:f>SUMIF('BOQ 수량·단가'!$U$5:$U$565,A20&amp;"|"&amp;B20,'BOQ 수량·단가'!$P$5:$P$565)</x:f>
        <x:v>0</x:v>
      </x:c>
      <x:c r="I20" s="65" t="n">
        <x:f>SUM(F20:H20)</x:f>
        <x:v>145953.9</x:v>
      </x:c>
      <x:c r="J20" s="68" t="n">
        <x:f>IFERROR(I20/SUM($I$5:$I$50),0)</x:f>
        <x:v>0.01743209280698008</x:v>
      </x:c>
    </x:row>
    <x:row r="21">
      <x:c r="A21" s="53" t="str">
        <x:v>기계·전기동</x:v>
      </x:c>
      <x:c r="B21" s="62" t="str">
        <x:f>"C-01021201"</x:f>
        <x:v>C-01021201</x:v>
      </x:c>
      <x:c r="C21" s="56" t="str">
        <x:v>01021201  STRUCTURE WORKS</x:v>
      </x:c>
      <x:c r="D21" s="59" t="n">
        <x:f>COUNTIF('BOQ 수량·단가'!$U$5:$U$565,A21&amp;"|"&amp;B21)</x:f>
        <x:v>8</x:v>
      </x:c>
      <x:c r="E21" s="59" t="n">
        <x:f>SUMIF('BOQ 수량·단가'!$U$5:$U$565,A21&amp;"|"&amp;B21,'BOQ 수량·단가'!$V$5:$V$565)</x:f>
        <x:v>8</x:v>
      </x:c>
      <x:c r="F21" s="65" t="n">
        <x:f>SUMIF('BOQ 수량·단가'!$U$5:$U$565,A21&amp;"|"&amp;B21,'BOQ 수량·단가'!$N$5:$N$565)</x:f>
        <x:v>71679.40886</x:v>
      </x:c>
      <x:c r="G21" s="65" t="n">
        <x:f>SUMIF('BOQ 수량·단가'!$U$5:$U$565,A21&amp;"|"&amp;B21,'BOQ 수량·단가'!$O$5:$O$565)</x:f>
        <x:v>0</x:v>
      </x:c>
      <x:c r="H21" s="65" t="n">
        <x:f>SUMIF('BOQ 수량·단가'!$U$5:$U$565,A21&amp;"|"&amp;B21,'BOQ 수량·단가'!$P$5:$P$565)</x:f>
        <x:v>0</x:v>
      </x:c>
      <x:c r="I21" s="65" t="n">
        <x:f>SUM(F21:H21)</x:f>
        <x:v>71679.40886</x:v>
      </x:c>
      <x:c r="J21" s="68" t="n">
        <x:f>IFERROR(I21/SUM($I$5:$I$50),0)</x:f>
        <x:v>0.008561073788346802</x:v>
      </x:c>
    </x:row>
    <x:row r="22">
      <x:c r="A22" s="53" t="str">
        <x:v>기계·전기동</x:v>
      </x:c>
      <x:c r="B22" s="62" t="str">
        <x:f>"C-01021202"</x:f>
        <x:v>C-01021202</x:v>
      </x:c>
      <x:c r="C22" s="56" t="str">
        <x:v>01021202  STEEL STRUCTURE WORKS</x:v>
      </x:c>
      <x:c r="D22" s="59" t="n">
        <x:f>COUNTIF('BOQ 수량·단가'!$U$5:$U$565,A22&amp;"|"&amp;B22)</x:f>
        <x:v>22</x:v>
      </x:c>
      <x:c r="E22" s="59" t="n">
        <x:f>SUMIF('BOQ 수량·단가'!$U$5:$U$565,A22&amp;"|"&amp;B22,'BOQ 수량·단가'!$V$5:$V$565)</x:f>
        <x:v>22</x:v>
      </x:c>
      <x:c r="F22" s="65" t="n">
        <x:f>SUMIF('BOQ 수량·단가'!$U$5:$U$565,A22&amp;"|"&amp;B22,'BOQ 수량·단가'!$N$5:$N$565)</x:f>
        <x:v>1081890.8431599997</x:v>
      </x:c>
      <x:c r="G22" s="65" t="n">
        <x:f>SUMIF('BOQ 수량·단가'!$U$5:$U$565,A22&amp;"|"&amp;B22,'BOQ 수량·단가'!$O$5:$O$565)</x:f>
        <x:v>83797.47957000001</x:v>
      </x:c>
      <x:c r="H22" s="65" t="n">
        <x:f>SUMIF('BOQ 수량·단가'!$U$5:$U$565,A22&amp;"|"&amp;B22,'BOQ 수량·단가'!$P$5:$P$565)</x:f>
        <x:v>21165.42087</x:v>
      </x:c>
      <x:c r="I22" s="65" t="n">
        <x:f>SUM(F22:H22)</x:f>
        <x:v>1186853.7435999997</x:v>
      </x:c>
      <x:c r="J22" s="68" t="n">
        <x:f>IFERROR(I22/SUM($I$5:$I$50),0)</x:f>
        <x:v>0.14175259864071418</x:v>
      </x:c>
    </x:row>
    <x:row r="23">
      <x:c r="A23" s="53" t="str">
        <x:v>기계·전기동</x:v>
      </x:c>
      <x:c r="B23" s="62" t="str">
        <x:f>"C-01021203"</x:f>
        <x:v>C-01021203</x:v>
      </x:c>
      <x:c r="C23" s="56" t="str">
        <x:v>01021203  FINISH WORKS</x:v>
      </x:c>
      <x:c r="D23" s="59" t="n">
        <x:f>COUNTIF('BOQ 수량·단가'!$U$5:$U$565,A23&amp;"|"&amp;B23)</x:f>
        <x:v>1</x:v>
      </x:c>
      <x:c r="E23" s="59" t="n">
        <x:f>SUMIF('BOQ 수량·단가'!$U$5:$U$565,A23&amp;"|"&amp;B23,'BOQ 수량·단가'!$V$5:$V$565)</x:f>
        <x:v>1</x:v>
      </x:c>
      <x:c r="F23" s="65" t="n">
        <x:f>SUMIF('BOQ 수량·단가'!$U$5:$U$565,A23&amp;"|"&amp;B23,'BOQ 수량·단가'!$N$5:$N$565)</x:f>
        <x:v>92230.20000000001</x:v>
      </x:c>
      <x:c r="G23" s="65" t="n">
        <x:f>SUMIF('BOQ 수량·단가'!$U$5:$U$565,A23&amp;"|"&amp;B23,'BOQ 수량·단가'!$O$5:$O$565)</x:f>
        <x:v>14395.5</x:v>
      </x:c>
      <x:c r="H23" s="65" t="n">
        <x:f>SUMIF('BOQ 수량·단가'!$U$5:$U$565,A23&amp;"|"&amp;B23,'BOQ 수량·단가'!$P$5:$P$565)</x:f>
        <x:v>0</x:v>
      </x:c>
      <x:c r="I23" s="65" t="n">
        <x:f>SUM(F23:H23)</x:f>
        <x:v>106625.70000000001</x:v>
      </x:c>
      <x:c r="J23" s="68" t="n">
        <x:f>IFERROR(I23/SUM($I$5:$I$50),0)</x:f>
        <x:v>0.012734905322908234</x:v>
      </x:c>
    </x:row>
    <x:row r="24">
      <x:c r="A24" s="53" t="str">
        <x:v>기계·전기동</x:v>
      </x:c>
      <x:c r="B24" s="62" t="str">
        <x:f>"C-01021204"</x:f>
        <x:v>C-01021204</x:v>
      </x:c>
      <x:c r="C24" s="56" t="str">
        <x:v>01021204  METAL WORKS</x:v>
      </x:c>
      <x:c r="D24" s="59" t="n">
        <x:f>COUNTIF('BOQ 수량·단가'!$U$5:$U$565,A24&amp;"|"&amp;B24)</x:f>
        <x:v>2</x:v>
      </x:c>
      <x:c r="E24" s="59" t="n">
        <x:f>SUMIF('BOQ 수량·단가'!$U$5:$U$565,A24&amp;"|"&amp;B24,'BOQ 수량·단가'!$V$5:$V$565)</x:f>
        <x:v>2</x:v>
      </x:c>
      <x:c r="F24" s="65" t="n">
        <x:f>SUMIF('BOQ 수량·단가'!$U$5:$U$565,A24&amp;"|"&amp;B24,'BOQ 수량·단가'!$N$5:$N$565)</x:f>
        <x:v>1400</x:v>
      </x:c>
      <x:c r="G24" s="65" t="n">
        <x:f>SUMIF('BOQ 수량·단가'!$U$5:$U$565,A24&amp;"|"&amp;B24,'BOQ 수량·단가'!$O$5:$O$565)</x:f>
        <x:v>0</x:v>
      </x:c>
      <x:c r="H24" s="65" t="n">
        <x:f>SUMIF('BOQ 수량·단가'!$U$5:$U$565,A24&amp;"|"&amp;B24,'BOQ 수량·단가'!$P$5:$P$565)</x:f>
        <x:v>0</x:v>
      </x:c>
      <x:c r="I24" s="65" t="n">
        <x:f>SUM(F24:H24)</x:f>
        <x:v>1400</x:v>
      </x:c>
      <x:c r="J24" s="68" t="n">
        <x:f>IFERROR(I24/SUM($I$5:$I$50),0)</x:f>
        <x:v>0.0001672098513967226</x:v>
      </x:c>
    </x:row>
    <x:row r="25">
      <x:c r="A25" s="53" t="str">
        <x:v>기계·전기동</x:v>
      </x:c>
      <x:c r="B25" s="62" t="str">
        <x:f>"C-01021302"</x:f>
        <x:v>C-01021302</x:v>
      </x:c>
      <x:c r="C25" s="56" t="str">
        <x:v>01021302  STEEL STRUCTURE WORKS</x:v>
      </x:c>
      <x:c r="D25" s="59" t="n">
        <x:f>COUNTIF('BOQ 수량·단가'!$U$5:$U$565,A25&amp;"|"&amp;B25)</x:f>
        <x:v>14</x:v>
      </x:c>
      <x:c r="E25" s="59" t="n">
        <x:f>SUMIF('BOQ 수량·단가'!$U$5:$U$565,A25&amp;"|"&amp;B25,'BOQ 수량·단가'!$V$5:$V$565)</x:f>
        <x:v>14</x:v>
      </x:c>
      <x:c r="F25" s="65" t="n">
        <x:f>SUMIF('BOQ 수량·단가'!$U$5:$U$565,A25&amp;"|"&amp;B25,'BOQ 수량·단가'!$N$5:$N$565)</x:f>
        <x:v>2491.4254862341704</x:v>
      </x:c>
      <x:c r="G25" s="65" t="n">
        <x:f>SUMIF('BOQ 수량·단가'!$U$5:$U$565,A25&amp;"|"&amp;B25,'BOQ 수량·단가'!$O$5:$O$565)</x:f>
        <x:v>2855.580610975339</x:v>
      </x:c>
      <x:c r="H25" s="65" t="n">
        <x:f>SUMIF('BOQ 수량·단가'!$U$5:$U$565,A25&amp;"|"&amp;B25,'BOQ 수량·단가'!$P$5:$P$565)</x:f>
        <x:v>5.39</x:v>
      </x:c>
      <x:c r="I25" s="65" t="n">
        <x:f>SUM(F25:H25)</x:f>
        <x:v>5352.396097209509</x:v>
      </x:c>
      <x:c r="J25" s="68" t="n">
        <x:f>IFERROR(I25/SUM($I$5:$I$50),0)</x:f>
        <x:v>0.000639266682879143</x:v>
      </x:c>
    </x:row>
    <x:row r="26">
      <x:c r="A26" s="53" t="str">
        <x:v>기계·전기동</x:v>
      </x:c>
      <x:c r="B26" s="62" t="str">
        <x:f>"C-01021303"</x:f>
        <x:v>C-01021303</x:v>
      </x:c>
      <x:c r="C26" s="56" t="str">
        <x:v>01021303  FINISH WORKS</x:v>
      </x:c>
      <x:c r="D26" s="59" t="n">
        <x:f>COUNTIF('BOQ 수량·단가'!$U$5:$U$565,A26&amp;"|"&amp;B26)</x:f>
        <x:v>1</x:v>
      </x:c>
      <x:c r="E26" s="59" t="n">
        <x:f>SUMIF('BOQ 수량·단가'!$U$5:$U$565,A26&amp;"|"&amp;B26,'BOQ 수량·단가'!$V$5:$V$565)</x:f>
        <x:v>1</x:v>
      </x:c>
      <x:c r="F26" s="65" t="n">
        <x:f>SUMIF('BOQ 수량·단가'!$U$5:$U$565,A26&amp;"|"&amp;B26,'BOQ 수량·단가'!$N$5:$N$565)</x:f>
        <x:v>3.5999999999999996</x:v>
      </x:c>
      <x:c r="G26" s="65" t="n">
        <x:f>SUMIF('BOQ 수량·단가'!$U$5:$U$565,A26&amp;"|"&amp;B26,'BOQ 수량·단가'!$O$5:$O$565)</x:f>
        <x:v>45</x:v>
      </x:c>
      <x:c r="H26" s="65" t="n">
        <x:f>SUMIF('BOQ 수량·단가'!$U$5:$U$565,A26&amp;"|"&amp;B26,'BOQ 수량·단가'!$P$5:$P$565)</x:f>
        <x:v>0</x:v>
      </x:c>
      <x:c r="I26" s="65" t="n">
        <x:f>SUM(F26:H26)</x:f>
        <x:v>48.6</x:v>
      </x:c>
      <x:c r="J26" s="68" t="n">
        <x:f>IFERROR(I26/SUM($I$5:$I$50),0)</x:f>
        <x:v>0.000005804570555629085</x:v>
      </x:c>
    </x:row>
    <x:row r="27">
      <x:c r="A27" s="53" t="str">
        <x:v>기계·전기동</x:v>
      </x:c>
      <x:c r="B27" s="62" t="str">
        <x:f>"C-01021304"</x:f>
        <x:v>C-01021304</x:v>
      </x:c>
      <x:c r="C27" s="56" t="str">
        <x:v>01021304  METAL WORKS</x:v>
      </x:c>
      <x:c r="D27" s="59" t="n">
        <x:f>COUNTIF('BOQ 수량·단가'!$U$5:$U$565,A27&amp;"|"&amp;B27)</x:f>
        <x:v>1</x:v>
      </x:c>
      <x:c r="E27" s="59" t="n">
        <x:f>SUMIF('BOQ 수량·단가'!$U$5:$U$565,A27&amp;"|"&amp;B27,'BOQ 수량·단가'!$V$5:$V$565)</x:f>
        <x:v>1</x:v>
      </x:c>
      <x:c r="F27" s="65" t="n">
        <x:f>SUMIF('BOQ 수량·단가'!$U$5:$U$565,A27&amp;"|"&amp;B27,'BOQ 수량·단가'!$N$5:$N$565)</x:f>
        <x:v>1322.9652669777088</x:v>
      </x:c>
      <x:c r="G27" s="65" t="n">
        <x:f>SUMIF('BOQ 수량·단가'!$U$5:$U$565,A27&amp;"|"&amp;B27,'BOQ 수량·단가'!$O$5:$O$565)</x:f>
        <x:v>0</x:v>
      </x:c>
      <x:c r="H27" s="65" t="n">
        <x:f>SUMIF('BOQ 수량·단가'!$U$5:$U$565,A27&amp;"|"&amp;B27,'BOQ 수량·단가'!$P$5:$P$565)</x:f>
        <x:v>0</x:v>
      </x:c>
      <x:c r="I27" s="65" t="n">
        <x:f>SUM(F27:H27)</x:f>
        <x:v>1322.9652669777088</x:v>
      </x:c>
      <x:c r="J27" s="68" t="n">
        <x:f>IFERROR(I27/SUM($I$5:$I$50),0)</x:f>
        <x:v>0.00015800916121026296</x:v>
      </x:c>
    </x:row>
    <x:row r="28">
      <x:c r="A28" s="53" t="str">
        <x:v>병원</x:v>
      </x:c>
      <x:c r="B28" s="62" t="str">
        <x:f>"C-010101"</x:f>
        <x:v>C-010101</x:v>
      </x:c>
      <x:c r="C28" s="56" t="str">
        <x:v>010101  STRUCTURE WORKS</x:v>
      </x:c>
      <x:c r="D28" s="59" t="n">
        <x:f>COUNTIF('BOQ 수량·단가'!$U$5:$U$565,A28&amp;"|"&amp;B28)</x:f>
        <x:v>11</x:v>
      </x:c>
      <x:c r="E28" s="59" t="n">
        <x:f>SUMIF('BOQ 수량·단가'!$U$5:$U$565,A28&amp;"|"&amp;B28,'BOQ 수량·단가'!$V$5:$V$565)</x:f>
        <x:v>11</x:v>
      </x:c>
      <x:c r="F28" s="65" t="n">
        <x:f>SUMIF('BOQ 수량·단가'!$U$5:$U$565,A28&amp;"|"&amp;B28,'BOQ 수량·단가'!$N$5:$N$565)</x:f>
        <x:v>957942.15</x:v>
      </x:c>
      <x:c r="G28" s="65" t="n">
        <x:f>SUMIF('BOQ 수량·단가'!$U$5:$U$565,A28&amp;"|"&amp;B28,'BOQ 수량·단가'!$O$5:$O$565)</x:f>
        <x:v>384047.8</x:v>
      </x:c>
      <x:c r="H28" s="65" t="n">
        <x:f>SUMIF('BOQ 수량·단가'!$U$5:$U$565,A28&amp;"|"&amp;B28,'BOQ 수량·단가'!$P$5:$P$565)</x:f>
        <x:v>30307.505</x:v>
      </x:c>
      <x:c r="I28" s="65" t="n">
        <x:f>SUM(F28:H28)</x:f>
        <x:v>1372297.4549999998</x:v>
      </x:c>
      <x:c r="J28" s="68" t="n">
        <x:f>IFERROR(I28/SUM($I$5:$I$50),0)</x:f>
        <x:v>0.16390118108760757</x:v>
      </x:c>
    </x:row>
    <x:row r="29">
      <x:c r="A29" s="53" t="str">
        <x:v>병원</x:v>
      </x:c>
      <x:c r="B29" s="62" t="str">
        <x:f>"C-010102"</x:f>
        <x:v>C-010102</x:v>
      </x:c>
      <x:c r="C29" s="56" t="str">
        <x:v>010102  STEEL STRUCTURE WORKS</x:v>
      </x:c>
      <x:c r="D29" s="59" t="n">
        <x:f>COUNTIF('BOQ 수량·단가'!$U$5:$U$565,A29&amp;"|"&amp;B29)</x:f>
        <x:v>32</x:v>
      </x:c>
      <x:c r="E29" s="59" t="n">
        <x:f>SUMIF('BOQ 수량·단가'!$U$5:$U$565,A29&amp;"|"&amp;B29,'BOQ 수량·단가'!$V$5:$V$565)</x:f>
        <x:v>32</x:v>
      </x:c>
      <x:c r="F29" s="65" t="n">
        <x:f>SUMIF('BOQ 수량·단가'!$U$5:$U$565,A29&amp;"|"&amp;B29,'BOQ 수량·단가'!$N$5:$N$565)</x:f>
        <x:v>14290.550131081978</x:v>
      </x:c>
      <x:c r="G29" s="65" t="n">
        <x:f>SUMIF('BOQ 수량·단가'!$U$5:$U$565,A29&amp;"|"&amp;B29,'BOQ 수량·단가'!$O$5:$O$565)</x:f>
        <x:v>522.08</x:v>
      </x:c>
      <x:c r="H29" s="65" t="n">
        <x:f>SUMIF('BOQ 수량·단가'!$U$5:$U$565,A29&amp;"|"&amp;B29,'BOQ 수량·단가'!$P$5:$P$565)</x:f>
        <x:v>23.38</x:v>
      </x:c>
      <x:c r="I29" s="65" t="n">
        <x:f>SUM(F29:H29)</x:f>
        <x:v>14836.010131081977</x:v>
      </x:c>
      <x:c r="J29" s="68" t="n">
        <x:f>IFERROR(I29/SUM($I$5:$I$50),0)</x:f>
        <x:v>0.0017719478923846348</x:v>
      </x:c>
    </x:row>
    <x:row r="30">
      <x:c r="A30" s="53" t="str">
        <x:v>병원</x:v>
      </x:c>
      <x:c r="B30" s="62" t="str">
        <x:f>"C-010103"</x:f>
        <x:v>C-010103</x:v>
      </x:c>
      <x:c r="C30" s="56" t="str">
        <x:v>010103  MASONRY WORKS</x:v>
      </x:c>
      <x:c r="D30" s="59" t="n">
        <x:f>COUNTIF('BOQ 수량·단가'!$U$5:$U$565,A30&amp;"|"&amp;B30)</x:f>
        <x:v>6</x:v>
      </x:c>
      <x:c r="E30" s="59" t="n">
        <x:f>SUMIF('BOQ 수량·단가'!$U$5:$U$565,A30&amp;"|"&amp;B30,'BOQ 수량·단가'!$V$5:$V$565)</x:f>
        <x:v>6</x:v>
      </x:c>
      <x:c r="F30" s="65" t="n">
        <x:f>SUMIF('BOQ 수량·단가'!$U$5:$U$565,A30&amp;"|"&amp;B30,'BOQ 수량·단가'!$N$5:$N$565)</x:f>
        <x:v>125586.7</x:v>
      </x:c>
      <x:c r="G30" s="65" t="n">
        <x:f>SUMIF('BOQ 수량·단가'!$U$5:$U$565,A30&amp;"|"&amp;B30,'BOQ 수량·단가'!$O$5:$O$565)</x:f>
        <x:v>25738.27</x:v>
      </x:c>
      <x:c r="H30" s="65" t="n">
        <x:f>SUMIF('BOQ 수량·단가'!$U$5:$U$565,A30&amp;"|"&amp;B30,'BOQ 수량·단가'!$P$5:$P$565)</x:f>
        <x:v>685.8599999999999</x:v>
      </x:c>
      <x:c r="I30" s="65" t="n">
        <x:f>SUM(F30:H30)</x:f>
        <x:v>152010.83</x:v>
      </x:c>
      <x:c r="J30" s="68" t="n">
        <x:f>IFERROR(I30/SUM($I$5:$I$50),0)</x:f>
        <x:v>0.018155505924994614</x:v>
      </x:c>
    </x:row>
    <x:row r="31">
      <x:c r="A31" s="53" t="str">
        <x:v>병원</x:v>
      </x:c>
      <x:c r="B31" s="62" t="str">
        <x:f>"C-010104"</x:f>
        <x:v>C-010104</x:v>
      </x:c>
      <x:c r="C31" s="56" t="str">
        <x:v>010104  STONE WORKS</x:v>
      </x:c>
      <x:c r="D31" s="59" t="n">
        <x:f>COUNTIF('BOQ 수량·단가'!$U$5:$U$565,A31&amp;"|"&amp;B31)</x:f>
        <x:v>10</x:v>
      </x:c>
      <x:c r="E31" s="59" t="n">
        <x:f>SUMIF('BOQ 수량·단가'!$U$5:$U$565,A31&amp;"|"&amp;B31,'BOQ 수량·단가'!$V$5:$V$565)</x:f>
        <x:v>10</x:v>
      </x:c>
      <x:c r="F31" s="65" t="n">
        <x:f>SUMIF('BOQ 수량·단가'!$U$5:$U$565,A31&amp;"|"&amp;B31,'BOQ 수량·단가'!$N$5:$N$565)</x:f>
        <x:v>58930.84</x:v>
      </x:c>
      <x:c r="G31" s="65" t="n">
        <x:f>SUMIF('BOQ 수량·단가'!$U$5:$U$565,A31&amp;"|"&amp;B31,'BOQ 수량·단가'!$O$5:$O$565)</x:f>
        <x:v>15912.699999999999</x:v>
      </x:c>
      <x:c r="H31" s="65" t="n">
        <x:f>SUMIF('BOQ 수량·단가'!$U$5:$U$565,A31&amp;"|"&amp;B31,'BOQ 수량·단가'!$P$5:$P$565)</x:f>
        <x:v>4961.33</x:v>
      </x:c>
      <x:c r="I31" s="65" t="n">
        <x:f>SUM(F31:H31)</x:f>
        <x:v>79804.87</x:v>
      </x:c>
      <x:c r="J31" s="68" t="n">
        <x:f>IFERROR(I31/SUM($I$5:$I$50),0)</x:f>
        <x:v>0.009531543181024832</x:v>
      </x:c>
    </x:row>
    <x:row r="32">
      <x:c r="A32" s="53" t="str">
        <x:v>병원</x:v>
      </x:c>
      <x:c r="B32" s="62" t="str">
        <x:f>"C-010105"</x:f>
        <x:v>C-010105</x:v>
      </x:c>
      <x:c r="C32" s="56" t="str">
        <x:v>010105  TILE WORKS</x:v>
      </x:c>
      <x:c r="D32" s="59" t="n">
        <x:f>COUNTIF('BOQ 수량·단가'!$U$5:$U$565,A32&amp;"|"&amp;B32)</x:f>
        <x:v>9</x:v>
      </x:c>
      <x:c r="E32" s="59" t="n">
        <x:f>SUMIF('BOQ 수량·단가'!$U$5:$U$565,A32&amp;"|"&amp;B32,'BOQ 수량·단가'!$V$5:$V$565)</x:f>
        <x:v>9</x:v>
      </x:c>
      <x:c r="F32" s="65" t="n">
        <x:f>SUMIF('BOQ 수량·단가'!$U$5:$U$565,A32&amp;"|"&amp;B32,'BOQ 수량·단가'!$N$5:$N$565)</x:f>
        <x:v>45021.47</x:v>
      </x:c>
      <x:c r="G32" s="65" t="n">
        <x:f>SUMIF('BOQ 수량·단가'!$U$5:$U$565,A32&amp;"|"&amp;B32,'BOQ 수량·단가'!$O$5:$O$565)</x:f>
        <x:v>12369</x:v>
      </x:c>
      <x:c r="H32" s="65" t="n">
        <x:f>SUMIF('BOQ 수량·단가'!$U$5:$U$565,A32&amp;"|"&amp;B32,'BOQ 수량·단가'!$P$5:$P$565)</x:f>
        <x:v>0</x:v>
      </x:c>
      <x:c r="I32" s="65" t="n">
        <x:f>SUM(F32:H32)</x:f>
        <x:v>57390.47</x:v>
      </x:c>
      <x:c r="J32" s="68" t="n">
        <x:f>IFERROR(I32/SUM($I$5:$I$50),0)</x:f>
        <x:v>0.006854465685920048</x:v>
      </x:c>
    </x:row>
    <x:row r="33">
      <x:c r="A33" s="53" t="str">
        <x:v>병원</x:v>
      </x:c>
      <x:c r="B33" s="62" t="str">
        <x:f>"C-010106"</x:f>
        <x:v>C-010106</x:v>
      </x:c>
      <x:c r="C33" s="56" t="str">
        <x:v>010106  FINISH WORKS</x:v>
      </x:c>
      <x:c r="D33" s="59" t="n">
        <x:f>COUNTIF('BOQ 수량·단가'!$U$5:$U$565,A33&amp;"|"&amp;B33)</x:f>
        <x:v>77</x:v>
      </x:c>
      <x:c r="E33" s="59" t="n">
        <x:f>SUMIF('BOQ 수량·단가'!$U$5:$U$565,A33&amp;"|"&amp;B33,'BOQ 수량·단가'!$V$5:$V$565)</x:f>
        <x:v>77</x:v>
      </x:c>
      <x:c r="F33" s="65" t="n">
        <x:f>SUMIF('BOQ 수량·단가'!$U$5:$U$565,A33&amp;"|"&amp;B33,'BOQ 수량·단가'!$N$5:$N$565)</x:f>
        <x:v>551376.561179738</x:v>
      </x:c>
      <x:c r="G33" s="65" t="n">
        <x:f>SUMIF('BOQ 수량·단가'!$U$5:$U$565,A33&amp;"|"&amp;B33,'BOQ 수량·단가'!$O$5:$O$565)</x:f>
        <x:v>75222.19116418572</x:v>
      </x:c>
      <x:c r="H33" s="65" t="n">
        <x:f>SUMIF('BOQ 수량·단가'!$U$5:$U$565,A33&amp;"|"&amp;B33,'BOQ 수량·단가'!$P$5:$P$565)</x:f>
        <x:v>23440.723654743386</x:v>
      </x:c>
      <x:c r="I33" s="65" t="n">
        <x:f>SUM(F33:H33)</x:f>
        <x:v>650039.4759986672</x:v>
      </x:c>
      <x:c r="J33" s="68" t="n">
        <x:f>IFERROR(I33/SUM($I$5:$I$50),0)</x:f>
        <x:v>0.07763786013124327</x:v>
      </x:c>
    </x:row>
    <x:row r="34">
      <x:c r="A34" s="53" t="str">
        <x:v>병원</x:v>
      </x:c>
      <x:c r="B34" s="62" t="str">
        <x:f>"C-010107"</x:f>
        <x:v>C-010107</x:v>
      </x:c>
      <x:c r="C34" s="56" t="str">
        <x:v>010107  WATERPROOFING WORKS</x:v>
      </x:c>
      <x:c r="D34" s="59" t="n">
        <x:f>COUNTIF('BOQ 수량·단가'!$U$5:$U$565,A34&amp;"|"&amp;B34)</x:f>
        <x:v>12</x:v>
      </x:c>
      <x:c r="E34" s="59" t="n">
        <x:f>SUMIF('BOQ 수량·단가'!$U$5:$U$565,A34&amp;"|"&amp;B34,'BOQ 수량·단가'!$V$5:$V$565)</x:f>
        <x:v>12</x:v>
      </x:c>
      <x:c r="F34" s="65" t="n">
        <x:f>SUMIF('BOQ 수량·단가'!$U$5:$U$565,A34&amp;"|"&amp;B34,'BOQ 수량·단가'!$N$5:$N$565)</x:f>
        <x:v>12481.96</x:v>
      </x:c>
      <x:c r="G34" s="65" t="n">
        <x:f>SUMIF('BOQ 수량·단가'!$U$5:$U$565,A34&amp;"|"&amp;B34,'BOQ 수량·단가'!$O$5:$O$565)</x:f>
        <x:v>6918.4800000000005</x:v>
      </x:c>
      <x:c r="H34" s="65" t="n">
        <x:f>SUMIF('BOQ 수량·단가'!$U$5:$U$565,A34&amp;"|"&amp;B34,'BOQ 수량·단가'!$P$5:$P$565)</x:f>
        <x:v>0</x:v>
      </x:c>
      <x:c r="I34" s="65" t="n">
        <x:f>SUM(F34:H34)</x:f>
        <x:v>19400.44</x:v>
      </x:c>
      <x:c r="J34" s="68" t="n">
        <x:f>IFERROR(I34/SUM($I$5:$I$50),0)</x:f>
        <x:v>0.002317103349593595</x:v>
      </x:c>
    </x:row>
    <x:row r="35">
      <x:c r="A35" s="53" t="str">
        <x:v>병원</x:v>
      </x:c>
      <x:c r="B35" s="62" t="str">
        <x:f>"C-010108"</x:f>
        <x:v>C-010108</x:v>
      </x:c>
      <x:c r="C35" s="56" t="str">
        <x:v>010108  ROOF &amp; DRAINGPIPE WORKS</x:v>
      </x:c>
      <x:c r="D35" s="59" t="n">
        <x:f>COUNTIF('BOQ 수량·단가'!$U$5:$U$565,A35&amp;"|"&amp;B35)</x:f>
        <x:v>3</x:v>
      </x:c>
      <x:c r="E35" s="59" t="n">
        <x:f>SUMIF('BOQ 수량·단가'!$U$5:$U$565,A35&amp;"|"&amp;B35,'BOQ 수량·단가'!$V$5:$V$565)</x:f>
        <x:v>3</x:v>
      </x:c>
      <x:c r="F35" s="65" t="n">
        <x:f>SUMIF('BOQ 수량·단가'!$U$5:$U$565,A35&amp;"|"&amp;B35,'BOQ 수량·단가'!$N$5:$N$565)</x:f>
        <x:v>7486.76</x:v>
      </x:c>
      <x:c r="G35" s="65" t="n">
        <x:f>SUMIF('BOQ 수량·단가'!$U$5:$U$565,A35&amp;"|"&amp;B35,'BOQ 수량·단가'!$O$5:$O$565)</x:f>
        <x:v>1489.8400000000001</x:v>
      </x:c>
      <x:c r="H35" s="65" t="n">
        <x:f>SUMIF('BOQ 수량·단가'!$U$5:$U$565,A35&amp;"|"&amp;B35,'BOQ 수량·단가'!$P$5:$P$565)</x:f>
        <x:v>21.84</x:v>
      </x:c>
      <x:c r="I35" s="65" t="n">
        <x:f>SUM(F35:H35)</x:f>
        <x:v>8998.44</x:v>
      </x:c>
      <x:c r="J35" s="68" t="n">
        <x:f>IFERROR(I35/SUM($I$5:$I$50),0)</x:f>
        <x:v>0.0010747341537159462</x:v>
      </x:c>
    </x:row>
    <x:row r="36">
      <x:c r="A36" s="53" t="str">
        <x:v>병원</x:v>
      </x:c>
      <x:c r="B36" s="62" t="str">
        <x:f>"C-010109"</x:f>
        <x:v>C-010109</x:v>
      </x:c>
      <x:c r="C36" s="56" t="str">
        <x:v>010109  METAL WORKS</x:v>
      </x:c>
      <x:c r="D36" s="59" t="n">
        <x:f>COUNTIF('BOQ 수량·단가'!$U$5:$U$565,A36&amp;"|"&amp;B36)</x:f>
        <x:v>33</x:v>
      </x:c>
      <x:c r="E36" s="59" t="n">
        <x:f>SUMIF('BOQ 수량·단가'!$U$5:$U$565,A36&amp;"|"&amp;B36,'BOQ 수량·단가'!$V$5:$V$565)</x:f>
        <x:v>33</x:v>
      </x:c>
      <x:c r="F36" s="65" t="n">
        <x:f>SUMIF('BOQ 수량·단가'!$U$5:$U$565,A36&amp;"|"&amp;B36,'BOQ 수량·단가'!$N$5:$N$565)</x:f>
        <x:v>154820.18</x:v>
      </x:c>
      <x:c r="G36" s="65" t="n">
        <x:f>SUMIF('BOQ 수량·단가'!$U$5:$U$565,A36&amp;"|"&amp;B36,'BOQ 수량·단가'!$O$5:$O$565)</x:f>
        <x:v>24271.619999999995</x:v>
      </x:c>
      <x:c r="H36" s="65" t="n">
        <x:f>SUMIF('BOQ 수량·단가'!$U$5:$U$565,A36&amp;"|"&amp;B36,'BOQ 수량·단가'!$P$5:$P$565)</x:f>
        <x:v>540.1</x:v>
      </x:c>
      <x:c r="I36" s="65" t="n">
        <x:f>SUM(F36:H36)</x:f>
        <x:v>179631.9</x:v>
      </x:c>
      <x:c r="J36" s="68" t="n">
        <x:f>IFERROR(I36/SUM($I$5:$I$50),0)</x:f>
        <x:v>0.021454445217936383</x:v>
      </x:c>
    </x:row>
    <x:row r="37">
      <x:c r="A37" s="53" t="str">
        <x:v>병원</x:v>
      </x:c>
      <x:c r="B37" s="62" t="str">
        <x:f>"C-010110"</x:f>
        <x:v>C-010110</x:v>
      </x:c>
      <x:c r="C37" s="56" t="str">
        <x:v>010110  PLASTER WORKS</x:v>
      </x:c>
      <x:c r="D37" s="59" t="n">
        <x:f>COUNTIF('BOQ 수량·단가'!$U$5:$U$565,A37&amp;"|"&amp;B37)</x:f>
        <x:v>14</x:v>
      </x:c>
      <x:c r="E37" s="59" t="n">
        <x:f>SUMIF('BOQ 수량·단가'!$U$5:$U$565,A37&amp;"|"&amp;B37,'BOQ 수량·단가'!$V$5:$V$565)</x:f>
        <x:v>14</x:v>
      </x:c>
      <x:c r="F37" s="65" t="n">
        <x:f>SUMIF('BOQ 수량·단가'!$U$5:$U$565,A37&amp;"|"&amp;B37,'BOQ 수량·단가'!$N$5:$N$565)</x:f>
        <x:v>82437.45999999999</x:v>
      </x:c>
      <x:c r="G37" s="65" t="n">
        <x:f>SUMIF('BOQ 수량·단가'!$U$5:$U$565,A37&amp;"|"&amp;B37,'BOQ 수량·단가'!$O$5:$O$565)</x:f>
        <x:v>2552.3100000000004</x:v>
      </x:c>
      <x:c r="H37" s="65" t="n">
        <x:f>SUMIF('BOQ 수량·단가'!$U$5:$U$565,A37&amp;"|"&amp;B37,'BOQ 수량·단가'!$P$5:$P$565)</x:f>
        <x:v>11.61</x:v>
      </x:c>
      <x:c r="I37" s="65" t="n">
        <x:f>SUM(F37:H37)</x:f>
        <x:v>85001.37999999999</x:v>
      </x:c>
      <x:c r="J37" s="68" t="n">
        <x:f>IFERROR(I37/SUM($I$5:$I$50),0)</x:f>
        <x:v>0.010152191513083105</x:v>
      </x:c>
    </x:row>
    <x:row r="38">
      <x:c r="A38" s="53" t="str">
        <x:v>병원</x:v>
      </x:c>
      <x:c r="B38" s="62" t="str">
        <x:f>"C-010111"</x:f>
        <x:v>C-010111</x:v>
      </x:c>
      <x:c r="C38" s="56" t="str">
        <x:v>010111  DOORS &amp; WINDOWS WORKS-1</x:v>
      </x:c>
      <x:c r="D38" s="59" t="n">
        <x:f>COUNTIF('BOQ 수량·단가'!$U$5:$U$565,A38&amp;"|"&amp;B38)</x:f>
        <x:v>119</x:v>
      </x:c>
      <x:c r="E38" s="59" t="n">
        <x:f>SUMIF('BOQ 수량·단가'!$U$5:$U$565,A38&amp;"|"&amp;B38,'BOQ 수량·단가'!$V$5:$V$565)</x:f>
        <x:v>119</x:v>
      </x:c>
      <x:c r="F38" s="65" t="n">
        <x:f>SUMIF('BOQ 수량·단가'!$U$5:$U$565,A38&amp;"|"&amp;B38,'BOQ 수량·단가'!$N$5:$N$565)</x:f>
        <x:v>356007.21711175295</x:v>
      </x:c>
      <x:c r="G38" s="65" t="n">
        <x:f>SUMIF('BOQ 수량·단가'!$U$5:$U$565,A38&amp;"|"&amp;B38,'BOQ 수량·단가'!$O$5:$O$565)</x:f>
        <x:v>18904.409999999996</x:v>
      </x:c>
      <x:c r="H38" s="65" t="n">
        <x:f>SUMIF('BOQ 수량·단가'!$U$5:$U$565,A38&amp;"|"&amp;B38,'BOQ 수량·단가'!$P$5:$P$565)</x:f>
        <x:v>6319.1</x:v>
      </x:c>
      <x:c r="I38" s="65" t="n">
        <x:f>SUM(F38:H38)</x:f>
        <x:v>381230.7271117529</x:v>
      </x:c>
      <x:c r="J38" s="68" t="n">
        <x:f>IFERROR(I38/SUM($I$5:$I$50),0)</x:f>
        <x:v>0.045532523734443366</x:v>
      </x:c>
    </x:row>
    <x:row r="39">
      <x:c r="A39" s="53" t="str">
        <x:v>병원</x:v>
      </x:c>
      <x:c r="B39" s="62" t="str">
        <x:f>"C-010112"</x:f>
        <x:v>C-010112</x:v>
      </x:c>
      <x:c r="C39" s="56" t="str">
        <x:v>010112  GLASS WORKS</x:v>
      </x:c>
      <x:c r="D39" s="59" t="n">
        <x:f>COUNTIF('BOQ 수량·단가'!$U$5:$U$565,A39&amp;"|"&amp;B39)</x:f>
        <x:v>14</x:v>
      </x:c>
      <x:c r="E39" s="59" t="n">
        <x:f>SUMIF('BOQ 수량·단가'!$U$5:$U$565,A39&amp;"|"&amp;B39,'BOQ 수량·단가'!$V$5:$V$565)</x:f>
        <x:v>14</x:v>
      </x:c>
      <x:c r="F39" s="65" t="n">
        <x:f>SUMIF('BOQ 수량·단가'!$U$5:$U$565,A39&amp;"|"&amp;B39,'BOQ 수량·단가'!$N$5:$N$565)</x:f>
        <x:v>44780.25828408503</x:v>
      </x:c>
      <x:c r="G39" s="65" t="n">
        <x:f>SUMIF('BOQ 수량·단가'!$U$5:$U$565,A39&amp;"|"&amp;B39,'BOQ 수량·단가'!$O$5:$O$565)</x:f>
        <x:v>8607.256580019255</x:v>
      </x:c>
      <x:c r="H39" s="65" t="n">
        <x:f>SUMIF('BOQ 수량·단가'!$U$5:$U$565,A39&amp;"|"&amp;B39,'BOQ 수량·단가'!$P$5:$P$565)</x:f>
        <x:v>5.61</x:v>
      </x:c>
      <x:c r="I39" s="65" t="n">
        <x:f>SUM(F39:H39)</x:f>
        <x:v>53393.124864104284</x:v>
      </x:c>
      <x:c r="J39" s="68" t="n">
        <x:f>IFERROR(I39/SUM($I$5:$I$50),0)</x:f>
        <x:v>0.006377040338666809</x:v>
      </x:c>
    </x:row>
    <x:row r="40">
      <x:c r="A40" s="53" t="str">
        <x:v>병원</x:v>
      </x:c>
      <x:c r="B40" s="62" t="str">
        <x:f>"C-010113"</x:f>
        <x:v>C-010113</x:v>
      </x:c>
      <x:c r="C40" s="56" t="str">
        <x:v>010113  PAINTERS WORKS</x:v>
      </x:c>
      <x:c r="D40" s="59" t="n">
        <x:f>COUNTIF('BOQ 수량·단가'!$U$5:$U$565,A40&amp;"|"&amp;B40)</x:f>
        <x:v>18</x:v>
      </x:c>
      <x:c r="E40" s="59" t="n">
        <x:f>SUMIF('BOQ 수량·단가'!$U$5:$U$565,A40&amp;"|"&amp;B40,'BOQ 수량·단가'!$V$5:$V$565)</x:f>
        <x:v>18</x:v>
      </x:c>
      <x:c r="F40" s="65" t="n">
        <x:f>SUMIF('BOQ 수량·단가'!$U$5:$U$565,A40&amp;"|"&amp;B40,'BOQ 수량·단가'!$N$5:$N$565)</x:f>
        <x:v>29039.88</x:v>
      </x:c>
      <x:c r="G40" s="65" t="n">
        <x:f>SUMIF('BOQ 수량·단가'!$U$5:$U$565,A40&amp;"|"&amp;B40,'BOQ 수량·단가'!$O$5:$O$565)</x:f>
        <x:v>358.74</x:v>
      </x:c>
      <x:c r="H40" s="65" t="n">
        <x:f>SUMIF('BOQ 수량·단가'!$U$5:$U$565,A40&amp;"|"&amp;B40,'BOQ 수량·단가'!$P$5:$P$565)</x:f>
        <x:v>0.06</x:v>
      </x:c>
      <x:c r="I40" s="65" t="n">
        <x:f>SUM(F40:H40)</x:f>
        <x:v>29398.680000000004</x:v>
      </x:c>
      <x:c r="J40" s="68" t="n">
        <x:f>IFERROR(I40/SUM($I$5:$I$50),0)</x:f>
        <x:v>0.0035112492243284297</x:v>
      </x:c>
    </x:row>
    <x:row r="41">
      <x:c r="A41" s="53" t="str">
        <x:v>병원</x:v>
      </x:c>
      <x:c r="B41" s="62" t="str">
        <x:f>"C-010114"</x:f>
        <x:v>C-010114</x:v>
      </x:c>
      <x:c r="C41" s="56" t="str">
        <x:v>010114  ETC WORKS</x:v>
      </x:c>
      <x:c r="D41" s="59" t="n">
        <x:f>COUNTIF('BOQ 수량·단가'!$U$5:$U$565,A41&amp;"|"&amp;B41)</x:f>
        <x:v>19</x:v>
      </x:c>
      <x:c r="E41" s="59" t="n">
        <x:f>SUMIF('BOQ 수량·단가'!$U$5:$U$565,A41&amp;"|"&amp;B41,'BOQ 수량·단가'!$V$5:$V$565)</x:f>
        <x:v>19</x:v>
      </x:c>
      <x:c r="F41" s="65" t="n">
        <x:f>SUMIF('BOQ 수량·단가'!$U$5:$U$565,A41&amp;"|"&amp;B41,'BOQ 수량·단가'!$N$5:$N$565)</x:f>
        <x:v>145168.16256461528</x:v>
      </x:c>
      <x:c r="G41" s="65" t="n">
        <x:f>SUMIF('BOQ 수량·단가'!$U$5:$U$565,A41&amp;"|"&amp;B41,'BOQ 수량·단가'!$O$5:$O$565)</x:f>
        <x:v>7012.7699999999995</x:v>
      </x:c>
      <x:c r="H41" s="65" t="n">
        <x:f>SUMIF('BOQ 수량·단가'!$U$5:$U$565,A41&amp;"|"&amp;B41,'BOQ 수량·단가'!$P$5:$P$565)</x:f>
        <x:v>2015.94</x:v>
      </x:c>
      <x:c r="I41" s="65" t="n">
        <x:f>SUM(F41:H41)</x:f>
        <x:v>154196.87256461527</x:v>
      </x:c>
      <x:c r="J41" s="68" t="n">
        <x:f>IFERROR(I41/SUM($I$5:$I$50),0)</x:f>
        <x:v>0.018416597248120496</x:v>
      </x:c>
    </x:row>
    <x:row r="42">
      <x:c r="A42" s="53" t="str">
        <x:v>연결교량</x:v>
      </x:c>
      <x:c r="B42" s="62" t="str">
        <x:f>"C-010301"</x:f>
        <x:v>C-010301</x:v>
      </x:c>
      <x:c r="C42" s="56" t="str">
        <x:v>010301  STRUCTURE WORKS</x:v>
      </x:c>
      <x:c r="D42" s="59" t="n">
        <x:f>COUNTIF('BOQ 수량·단가'!$U$5:$U$565,A42&amp;"|"&amp;B42)</x:f>
        <x:v>10</x:v>
      </x:c>
      <x:c r="E42" s="59" t="n">
        <x:f>SUMIF('BOQ 수량·단가'!$U$5:$U$565,A42&amp;"|"&amp;B42,'BOQ 수량·단가'!$V$5:$V$565)</x:f>
        <x:v>10</x:v>
      </x:c>
      <x:c r="F42" s="65" t="n">
        <x:f>SUMIF('BOQ 수량·단가'!$U$5:$U$565,A42&amp;"|"&amp;B42,'BOQ 수량·단가'!$N$5:$N$565)</x:f>
        <x:v>35916.1</x:v>
      </x:c>
      <x:c r="G42" s="65" t="n">
        <x:f>SUMIF('BOQ 수량·단가'!$U$5:$U$565,A42&amp;"|"&amp;B42,'BOQ 수량·단가'!$O$5:$O$565)</x:f>
        <x:v>14789.7</x:v>
      </x:c>
      <x:c r="H42" s="65" t="n">
        <x:f>SUMIF('BOQ 수량·단가'!$U$5:$U$565,A42&amp;"|"&amp;B42,'BOQ 수량·단가'!$P$5:$P$565)</x:f>
        <x:v>1017.97</x:v>
      </x:c>
      <x:c r="I42" s="65" t="n">
        <x:f>SUM(F42:H42)</x:f>
        <x:v>51723.770000000004</x:v>
      </x:c>
      <x:c r="J42" s="68" t="n">
        <x:f>IFERROR(I42/SUM($I$5:$I$50),0)</x:f>
        <x:v>0.006177659925270185</x:v>
      </x:c>
    </x:row>
    <x:row r="43">
      <x:c r="A43" s="53" t="str">
        <x:v>연결교량</x:v>
      </x:c>
      <x:c r="B43" s="62" t="str">
        <x:f>"C-010302"</x:f>
        <x:v>C-010302</x:v>
      </x:c>
      <x:c r="C43" s="56" t="str">
        <x:v>010302  MASONRY WORKS</x:v>
      </x:c>
      <x:c r="D43" s="59" t="n">
        <x:f>COUNTIF('BOQ 수량·단가'!$U$5:$U$565,A43&amp;"|"&amp;B43)</x:f>
        <x:v>4</x:v>
      </x:c>
      <x:c r="E43" s="59" t="n">
        <x:f>SUMIF('BOQ 수량·단가'!$U$5:$U$565,A43&amp;"|"&amp;B43,'BOQ 수량·단가'!$V$5:$V$565)</x:f>
        <x:v>4</x:v>
      </x:c>
      <x:c r="F43" s="65" t="n">
        <x:f>SUMIF('BOQ 수량·단가'!$U$5:$U$565,A43&amp;"|"&amp;B43,'BOQ 수량·단가'!$N$5:$N$565)</x:f>
        <x:v>31716.38895060357</x:v>
      </x:c>
      <x:c r="G43" s="65" t="n">
        <x:f>SUMIF('BOQ 수량·단가'!$U$5:$U$565,A43&amp;"|"&amp;B43,'BOQ 수량·단가'!$O$5:$O$565)</x:f>
        <x:v>0</x:v>
      </x:c>
      <x:c r="H43" s="65" t="n">
        <x:f>SUMIF('BOQ 수량·단가'!$U$5:$U$565,A43&amp;"|"&amp;B43,'BOQ 수량·단가'!$P$5:$P$565)</x:f>
        <x:v>0</x:v>
      </x:c>
      <x:c r="I43" s="65" t="n">
        <x:f>SUM(F43:H43)</x:f>
        <x:v>31716.38895060357</x:v>
      </x:c>
      <x:c r="J43" s="68" t="n">
        <x:f>IFERROR(I43/SUM($I$5:$I$50),0)</x:f>
        <x:v>0.0037880662023364845</x:v>
      </x:c>
    </x:row>
    <x:row r="44">
      <x:c r="A44" s="53" t="str">
        <x:v>연결교량</x:v>
      </x:c>
      <x:c r="B44" s="62" t="str">
        <x:f>"C-010303"</x:f>
        <x:v>C-010303</x:v>
      </x:c>
      <x:c r="C44" s="56" t="str">
        <x:v>010303  FINISH WORKS</x:v>
      </x:c>
      <x:c r="D44" s="59" t="n">
        <x:f>COUNTIF('BOQ 수량·단가'!$U$5:$U$565,A44&amp;"|"&amp;B44)</x:f>
        <x:v>8</x:v>
      </x:c>
      <x:c r="E44" s="59" t="n">
        <x:f>SUMIF('BOQ 수량·단가'!$U$5:$U$565,A44&amp;"|"&amp;B44,'BOQ 수량·단가'!$V$5:$V$565)</x:f>
        <x:v>8</x:v>
      </x:c>
      <x:c r="F44" s="65" t="n">
        <x:f>SUMIF('BOQ 수량·단가'!$U$5:$U$565,A44&amp;"|"&amp;B44,'BOQ 수량·단가'!$N$5:$N$565)</x:f>
        <x:v>4813.1</x:v>
      </x:c>
      <x:c r="G44" s="65" t="n">
        <x:f>SUMIF('BOQ 수량·단가'!$U$5:$U$565,A44&amp;"|"&amp;B44,'BOQ 수량·단가'!$O$5:$O$565)</x:f>
        <x:v>5744.900000000001</x:v>
      </x:c>
      <x:c r="H44" s="65" t="n">
        <x:f>SUMIF('BOQ 수량·단가'!$U$5:$U$565,A44&amp;"|"&amp;B44,'BOQ 수량·단가'!$P$5:$P$565)</x:f>
        <x:v>80.17</x:v>
      </x:c>
      <x:c r="I44" s="65" t="n">
        <x:f>SUM(F44:H44)</x:f>
        <x:v>10638.17</x:v>
      </x:c>
      <x:c r="J44" s="68" t="n">
        <x:f>IFERROR(I44/SUM($I$5:$I$50),0)</x:f>
        <x:v>0.0012705763034521946</x:v>
      </x:c>
    </x:row>
    <x:row r="45">
      <x:c r="A45" s="53" t="str">
        <x:v>연결교량</x:v>
      </x:c>
      <x:c r="B45" s="62" t="str">
        <x:f>"C-010304"</x:f>
        <x:v>C-010304</x:v>
      </x:c>
      <x:c r="C45" s="56" t="str">
        <x:v>010304  WATERPROOFING WORKS</x:v>
      </x:c>
      <x:c r="D45" s="59" t="n">
        <x:f>COUNTIF('BOQ 수량·단가'!$U$5:$U$565,A45&amp;"|"&amp;B45)</x:f>
        <x:v>4</x:v>
      </x:c>
      <x:c r="E45" s="59" t="n">
        <x:f>SUMIF('BOQ 수량·단가'!$U$5:$U$565,A45&amp;"|"&amp;B45,'BOQ 수량·단가'!$V$5:$V$565)</x:f>
        <x:v>4</x:v>
      </x:c>
      <x:c r="F45" s="65" t="n">
        <x:f>SUMIF('BOQ 수량·단가'!$U$5:$U$565,A45&amp;"|"&amp;B45,'BOQ 수량·단가'!$N$5:$N$565)</x:f>
        <x:v>1709.3</x:v>
      </x:c>
      <x:c r="G45" s="65" t="n">
        <x:f>SUMIF('BOQ 수량·단가'!$U$5:$U$565,A45&amp;"|"&amp;B45,'BOQ 수량·단가'!$O$5:$O$565)</x:f>
        <x:v>1098.03</x:v>
      </x:c>
      <x:c r="H45" s="65" t="n">
        <x:f>SUMIF('BOQ 수량·단가'!$U$5:$U$565,A45&amp;"|"&amp;B45,'BOQ 수량·단가'!$P$5:$P$565)</x:f>
        <x:v>47.459999999999994</x:v>
      </x:c>
      <x:c r="I45" s="65" t="n">
        <x:f>SUM(F45:H45)</x:f>
        <x:v>2854.79</x:v>
      </x:c>
      <x:c r="J45" s="68" t="n">
        <x:f>IFERROR(I45/SUM($I$5:$I$50),0)</x:f>
        <x:v>0.0003409635797634641</x:v>
      </x:c>
    </x:row>
    <x:row r="46">
      <x:c r="A46" s="53" t="str">
        <x:v>연결교량</x:v>
      </x:c>
      <x:c r="B46" s="62" t="str">
        <x:f>"C-010305"</x:f>
        <x:v>C-010305</x:v>
      </x:c>
      <x:c r="C46" s="56" t="str">
        <x:v>010305  METAL WORKS</x:v>
      </x:c>
      <x:c r="D46" s="59" t="n">
        <x:f>COUNTIF('BOQ 수량·단가'!$U$5:$U$565,A46&amp;"|"&amp;B46)</x:f>
        <x:v>7</x:v>
      </x:c>
      <x:c r="E46" s="59" t="n">
        <x:f>SUMIF('BOQ 수량·단가'!$U$5:$U$565,A46&amp;"|"&amp;B46,'BOQ 수량·단가'!$V$5:$V$565)</x:f>
        <x:v>7</x:v>
      </x:c>
      <x:c r="F46" s="65" t="n">
        <x:f>SUMIF('BOQ 수량·단가'!$U$5:$U$565,A46&amp;"|"&amp;B46,'BOQ 수량·단가'!$N$5:$N$565)</x:f>
        <x:v>16338.800000000001</x:v>
      </x:c>
      <x:c r="G46" s="65" t="n">
        <x:f>SUMIF('BOQ 수량·단가'!$U$5:$U$565,A46&amp;"|"&amp;B46,'BOQ 수량·단가'!$O$5:$O$565)</x:f>
        <x:v>1582.8799999999999</x:v>
      </x:c>
      <x:c r="H46" s="65" t="n">
        <x:f>SUMIF('BOQ 수량·단가'!$U$5:$U$565,A46&amp;"|"&amp;B46,'BOQ 수량·단가'!$P$5:$P$565)</x:f>
        <x:v>604.84</x:v>
      </x:c>
      <x:c r="I46" s="65" t="n">
        <x:f>SUM(F46:H46)</x:f>
        <x:v>18526.52</x:v>
      </x:c>
      <x:c r="J46" s="68" t="n">
        <x:f>IFERROR(I46/SUM($I$5:$I$50),0)</x:f>
        <x:v>0.0022127261829274353</x:v>
      </x:c>
    </x:row>
    <x:row r="47">
      <x:c r="A47" s="53" t="str">
        <x:v>연결교량</x:v>
      </x:c>
      <x:c r="B47" s="62" t="str">
        <x:f>"C-010306"</x:f>
        <x:v>C-010306</x:v>
      </x:c>
      <x:c r="C47" s="56" t="str">
        <x:v>010306  PLASTER WORKS</x:v>
      </x:c>
      <x:c r="D47" s="59" t="n">
        <x:f>COUNTIF('BOQ 수량·단가'!$U$5:$U$565,A47&amp;"|"&amp;B47)</x:f>
        <x:v>5</x:v>
      </x:c>
      <x:c r="E47" s="59" t="n">
        <x:f>SUMIF('BOQ 수량·단가'!$U$5:$U$565,A47&amp;"|"&amp;B47,'BOQ 수량·단가'!$V$5:$V$565)</x:f>
        <x:v>5</x:v>
      </x:c>
      <x:c r="F47" s="65" t="n">
        <x:f>SUMIF('BOQ 수량·단가'!$U$5:$U$565,A47&amp;"|"&amp;B47,'BOQ 수량·단가'!$N$5:$N$565)</x:f>
        <x:v>1239.57</x:v>
      </x:c>
      <x:c r="G47" s="65" t="n">
        <x:f>SUMIF('BOQ 수량·단가'!$U$5:$U$565,A47&amp;"|"&amp;B47,'BOQ 수량·단가'!$O$5:$O$565)</x:f>
        <x:v>1626</x:v>
      </x:c>
      <x:c r="H47" s="65" t="n">
        <x:f>SUMIF('BOQ 수량·단가'!$U$5:$U$565,A47&amp;"|"&amp;B47,'BOQ 수량·단가'!$P$5:$P$565)</x:f>
        <x:v>0</x:v>
      </x:c>
      <x:c r="I47" s="65" t="n">
        <x:f>SUM(F47:H47)</x:f>
        <x:v>2865.5699999999997</x:v>
      </x:c>
      <x:c r="J47" s="68" t="n">
        <x:f>IFERROR(I47/SUM($I$5:$I$50),0)</x:f>
        <x:v>0.00034225109561921883</x:v>
      </x:c>
    </x:row>
    <x:row r="48">
      <x:c r="A48" s="53" t="str">
        <x:v>연결교량</x:v>
      </x:c>
      <x:c r="B48" s="62" t="str">
        <x:f>"C-010307"</x:f>
        <x:v>C-010307</x:v>
      </x:c>
      <x:c r="C48" s="56" t="str">
        <x:v>010307  DOORS &amp; WINDOWS WORKS-1</x:v>
      </x:c>
      <x:c r="D48" s="59" t="n">
        <x:f>COUNTIF('BOQ 수량·단가'!$U$5:$U$565,A48&amp;"|"&amp;B48)</x:f>
        <x:v>4</x:v>
      </x:c>
      <x:c r="E48" s="59" t="n">
        <x:f>SUMIF('BOQ 수량·단가'!$U$5:$U$565,A48&amp;"|"&amp;B48,'BOQ 수량·단가'!$V$5:$V$565)</x:f>
        <x:v>4</x:v>
      </x:c>
      <x:c r="F48" s="65" t="n">
        <x:f>SUMIF('BOQ 수량·단가'!$U$5:$U$565,A48&amp;"|"&amp;B48,'BOQ 수량·단가'!$N$5:$N$565)</x:f>
        <x:v>1050</x:v>
      </x:c>
      <x:c r="G48" s="65" t="n">
        <x:f>SUMIF('BOQ 수량·단가'!$U$5:$U$565,A48&amp;"|"&amp;B48,'BOQ 수량·단가'!$O$5:$O$565)</x:f>
        <x:v>44.08</x:v>
      </x:c>
      <x:c r="H48" s="65" t="n">
        <x:f>SUMIF('BOQ 수량·단가'!$U$5:$U$565,A48&amp;"|"&amp;B48,'BOQ 수량·단가'!$P$5:$P$565)</x:f>
        <x:v>0</x:v>
      </x:c>
      <x:c r="I48" s="65" t="n">
        <x:f>SUM(F48:H48)</x:f>
        <x:v>1094.08</x:v>
      </x:c>
      <x:c r="J48" s="68" t="n">
        <x:f>IFERROR(I48/SUM($I$5:$I$50),0)</x:f>
        <x:v>0.0001306721101543759</x:v>
      </x:c>
    </x:row>
    <x:row r="49">
      <x:c r="A49" s="53" t="str">
        <x:v>연결교량</x:v>
      </x:c>
      <x:c r="B49" s="62" t="str">
        <x:f>"C-010308"</x:f>
        <x:v>C-010308</x:v>
      </x:c>
      <x:c r="C49" s="56" t="str">
        <x:v>010308  GLASS WORKS</x:v>
      </x:c>
      <x:c r="D49" s="59" t="n">
        <x:f>COUNTIF('BOQ 수량·단가'!$U$5:$U$565,A49&amp;"|"&amp;B49)</x:f>
        <x:v>3</x:v>
      </x:c>
      <x:c r="E49" s="59" t="n">
        <x:f>SUMIF('BOQ 수량·단가'!$U$5:$U$565,A49&amp;"|"&amp;B49,'BOQ 수량·단가'!$V$5:$V$565)</x:f>
        <x:v>3</x:v>
      </x:c>
      <x:c r="F49" s="65" t="n">
        <x:f>SUMIF('BOQ 수량·단가'!$U$5:$U$565,A49&amp;"|"&amp;B49,'BOQ 수량·단가'!$N$5:$N$565)</x:f>
        <x:v>28776.36</x:v>
      </x:c>
      <x:c r="G49" s="65" t="n">
        <x:f>SUMIF('BOQ 수량·단가'!$U$5:$U$565,A49&amp;"|"&amp;B49,'BOQ 수량·단가'!$O$5:$O$565)</x:f>
        <x:v>930</x:v>
      </x:c>
      <x:c r="H49" s="65" t="n">
        <x:f>SUMIF('BOQ 수량·단가'!$U$5:$U$565,A49&amp;"|"&amp;B49,'BOQ 수량·단가'!$P$5:$P$565)</x:f>
        <x:v>17.67</x:v>
      </x:c>
      <x:c r="I49" s="65" t="n">
        <x:f>SUM(F49:H49)</x:f>
        <x:v>29724.03</x:v>
      </x:c>
      <x:c r="J49" s="68" t="n">
        <x:f>IFERROR(I49/SUM($I$5:$I$50),0)</x:f>
        <x:v>0.003550107599436946</x:v>
      </x:c>
    </x:row>
    <x:row r="50">
      <x:c r="A50" s="54" t="str">
        <x:v>연결교량</x:v>
      </x:c>
      <x:c r="B50" s="63" t="str">
        <x:f>"C-010309"</x:f>
        <x:v>C-010309</x:v>
      </x:c>
      <x:c r="C50" s="57" t="str">
        <x:v>010309  PAINTERS WORKS</x:v>
      </x:c>
      <x:c r="D50" s="60" t="n">
        <x:f>COUNTIF('BOQ 수량·단가'!$U$5:$U$565,A50&amp;"|"&amp;B50)</x:f>
        <x:v>3</x:v>
      </x:c>
      <x:c r="E50" s="60" t="n">
        <x:f>SUMIF('BOQ 수량·단가'!$U$5:$U$565,A50&amp;"|"&amp;B50,'BOQ 수량·단가'!$V$5:$V$565)</x:f>
        <x:v>3</x:v>
      </x:c>
      <x:c r="F50" s="66" t="n">
        <x:f>SUMIF('BOQ 수량·단가'!$U$5:$U$565,A50&amp;"|"&amp;B50,'BOQ 수량·단가'!$N$5:$N$565)</x:f>
        <x:v>42360.9568244094</x:v>
      </x:c>
      <x:c r="G50" s="66" t="n">
        <x:f>SUMIF('BOQ 수량·단가'!$U$5:$U$565,A50&amp;"|"&amp;B50,'BOQ 수량·단가'!$O$5:$O$565)</x:f>
        <x:v>4641.783307413169</x:v>
      </x:c>
      <x:c r="H50" s="66" t="n">
        <x:f>SUMIF('BOQ 수량·단가'!$U$5:$U$565,A50&amp;"|"&amp;B50,'BOQ 수량·단가'!$P$5:$P$565)</x:f>
        <x:v>2745.315855735763</x:v>
      </x:c>
      <x:c r="I50" s="66" t="n">
        <x:f>SUM(F50:H50)</x:f>
        <x:v>49748.05598755833</x:v>
      </x:c>
      <x:c r="J50" s="69" t="n">
        <x:f>IFERROR(I50/SUM($I$5:$I$50),0)</x:f>
        <x:v>0.0059416893206824745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db306c3b4a84f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5" hidden="0" customWidth="1"/>
    <x:col min="4" max="4" width="34" hidden="0" customWidth="1"/>
    <x:col min="5" max="5" width="28" hidden="0" customWidth="1"/>
    <x:col min="6" max="6" width="8" hidden="0" customWidth="1"/>
    <x:col min="7" max="7" width="11" hidden="0" customWidth="1"/>
    <x:col min="8" max="8" width="31" hidden="0" customWidth="1"/>
    <x:col min="9" max="9" width="12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10" hidden="0" customWidth="1"/>
    <x:col min="19" max="19" width="9" hidden="0" customWidth="1"/>
    <x:col min="20" max="20" width="48" hidden="0" customWidth="1"/>
    <x:col min="21" max="21" width="18" hidden="0" customWidth="1"/>
    <x:col min="22" max="22" width="10" hidden="0" customWidth="1"/>
  </x:cols>
  <x:sheetData>
    <x:row r="1" ht="34" customHeight="1">
      <x:c r="A1" s="3" t="str">
        <x:v>IKHCC 건축 BOQ 수량·숨김 설계단가 결합</x:v>
      </x:c>
    </x:row>
    <x:row r="2" ht="38" customHeight="1">
      <x:c r="A2" s="7" t="str">
        <x:v>보이는 단가열은 모두 공란이지만 품목코드로 숨김 시트의 캐시 설계단가를 결합했습니다. Q열 합계는 수식이며 계약가가 아닙니다.</x:v>
      </x:c>
    </x:row>
    <x:row r="4" ht="30" customHeight="1">
      <x:c r="A4" s="13" t="str">
        <x:v>시설</x:v>
      </x:c>
      <x:c r="B4" s="13" t="str">
        <x:v>공종키</x:v>
      </x:c>
      <x:c r="C4" s="13" t="str">
        <x:v>공종명</x:v>
      </x:c>
      <x:c r="D4" s="13" t="str">
        <x:v>품목</x:v>
      </x:c>
      <x:c r="E4" s="13" t="str">
        <x:v>규격</x:v>
      </x:c>
      <x:c r="F4" s="13" t="str">
        <x:v>단위</x:v>
      </x:c>
      <x:c r="G4" s="13" t="str">
        <x:v>수량</x:v>
      </x:c>
      <x:c r="H4" s="13" t="str">
        <x:v>품목코드</x:v>
      </x:c>
      <x:c r="I4" s="13" t="str">
        <x:v>단가출처</x:v>
      </x:c>
      <x:c r="J4" s="13" t="str">
        <x:v>재료단가 USD</x:v>
      </x:c>
      <x:c r="K4" s="13" t="str">
        <x:v>노무단가 USD</x:v>
      </x:c>
      <x:c r="L4" s="13" t="str">
        <x:v>경비단가 USD</x:v>
      </x:c>
      <x:c r="M4" s="13" t="str">
        <x:v>합계단가 USD</x:v>
      </x:c>
      <x:c r="N4" s="13" t="str">
        <x:v>재료금액 USD</x:v>
      </x:c>
      <x:c r="O4" s="13" t="str">
        <x:v>노무금액 USD</x:v>
      </x:c>
      <x:c r="P4" s="13" t="str">
        <x:v>경비금액 USD</x:v>
      </x:c>
      <x:c r="Q4" s="13" t="str">
        <x:v>합계금액 USD</x:v>
      </x:c>
      <x:c r="R4" s="13" t="str">
        <x:v>복원상태</x:v>
      </x:c>
      <x:c r="S4" s="13" t="str">
        <x:v>원본행</x:v>
      </x:c>
      <x:c r="T4" s="13" t="str">
        <x:v>원본파일</x:v>
      </x:c>
      <x:c r="U4" s="13" t="str">
        <x:v>집계키</x:v>
      </x:c>
      <x:c r="V4" s="13" t="str">
        <x:v>복원플래그</x:v>
      </x:c>
    </x:row>
    <x:row r="5" ht="28" customHeight="1">
      <x:c r="A5" s="21" t="str">
        <x:v>병원</x:v>
      </x:c>
      <x:c r="B5" s="30" t="str">
        <x:f>"C-010101"</x:f>
        <x:v>C-010101</x:v>
      </x:c>
      <x:c r="C5" s="24" t="str">
        <x:v>010101  STRUCTURE WORKS</x:v>
      </x:c>
      <x:c r="D5" s="24" t="str">
        <x:v>HD400 t10</x:v>
      </x:c>
      <x:c r="E5" s="24" t="str"/>
      <x:c r="F5" s="21" t="str">
        <x:v>TON</x:v>
      </x:c>
      <x:c r="G5" s="27" t="n">
        <x:v>106.504</x:v>
      </x:c>
      <x:c r="H5" s="24" t="str">
        <x:v>43AE2142BE7340A6C27E35B211B31B0401B47</x:v>
      </x:c>
      <x:c r="I5" s="21" t="str">
        <x:v>직접자원단가</x:v>
      </x:c>
      <x:c r="J5" s="33" t="n">
        <x:v>650</x:v>
      </x:c>
      <x:c r="K5" s="33" t="n">
        <x:v>50</x:v>
      </x:c>
      <x:c r="L5" s="33" t="n">
        <x:v>5</x:v>
      </x:c>
      <x:c r="M5" s="33" t="n">
        <x:f>SUM(J5:L5)</x:f>
        <x:v>705</x:v>
      </x:c>
      <x:c r="N5" s="33" t="n">
        <x:f>G5*J5</x:f>
        <x:v>69227.6</x:v>
      </x:c>
      <x:c r="O5" s="33" t="n">
        <x:f>G5*K5</x:f>
        <x:v>5325.2</x:v>
      </x:c>
      <x:c r="P5" s="33" t="n">
        <x:f>G5*L5</x:f>
        <x:v>532.52</x:v>
      </x:c>
      <x:c r="Q5" s="33" t="n">
        <x:f>SUM(N5:P5)</x:f>
        <x:v>75085.32</x:v>
      </x:c>
      <x:c r="R5" s="21" t="str">
        <x:f>IF(M5&gt;0,"복원","미복원")</x:f>
        <x:v>복원</x:v>
      </x:c>
      <x:c r="S5" s="36" t="n">
        <x:v>5</x:v>
      </x:c>
      <x:c r="T5" s="21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" s="21" t="str">
        <x:f>A5&amp;"|"&amp;B5</x:f>
        <x:v>병원|C-010101</x:v>
      </x:c>
      <x:c r="V5" s="21" t="n">
        <x:f>IF(M5&gt;0,1,0)</x:f>
        <x:v>1</x:v>
      </x:c>
    </x:row>
    <x:row r="6" ht="28" customHeight="1">
      <x:c r="A6" s="22" t="str">
        <x:v>병원</x:v>
      </x:c>
      <x:c r="B6" s="31" t="str">
        <x:f>"C-010101"</x:f>
        <x:v>C-010101</x:v>
      </x:c>
      <x:c r="C6" s="25" t="str">
        <x:v>010101  STRUCTURE WORKS</x:v>
      </x:c>
      <x:c r="D6" s="25" t="str">
        <x:v>HD400 t12</x:v>
      </x:c>
      <x:c r="E6" s="25" t="str"/>
      <x:c r="F6" s="22" t="str">
        <x:v>TON</x:v>
      </x:c>
      <x:c r="G6" s="28" t="n">
        <x:v>54.494</x:v>
      </x:c>
      <x:c r="H6" s="25" t="str">
        <x:v>43AE2142BE7340A6C27E35B211B31B0401B46</x:v>
      </x:c>
      <x:c r="I6" s="22" t="str">
        <x:v>직접자원단가</x:v>
      </x:c>
      <x:c r="J6" s="34" t="n">
        <x:v>650</x:v>
      </x:c>
      <x:c r="K6" s="34" t="n">
        <x:v>50</x:v>
      </x:c>
      <x:c r="L6" s="34" t="n">
        <x:v>5</x:v>
      </x:c>
      <x:c r="M6" s="34" t="n">
        <x:f>SUM(J6:L6)</x:f>
        <x:v>705</x:v>
      </x:c>
      <x:c r="N6" s="34" t="n">
        <x:f>G6*J6</x:f>
        <x:v>35421.1</x:v>
      </x:c>
      <x:c r="O6" s="34" t="n">
        <x:f>G6*K6</x:f>
        <x:v>2724.7</x:v>
      </x:c>
      <x:c r="P6" s="34" t="n">
        <x:f>G6*L6</x:f>
        <x:v>272.47</x:v>
      </x:c>
      <x:c r="Q6" s="34" t="n">
        <x:f>SUM(N6:P6)</x:f>
        <x:v>38418.27</x:v>
      </x:c>
      <x:c r="R6" s="22" t="str">
        <x:f>IF(M6&gt;0,"복원","미복원")</x:f>
        <x:v>복원</x:v>
      </x:c>
      <x:c r="S6" s="37" t="n">
        <x:v>6</x:v>
      </x:c>
      <x:c r="T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" s="22" t="str">
        <x:f>A6&amp;"|"&amp;B6</x:f>
        <x:v>병원|C-010101</x:v>
      </x:c>
      <x:c r="V6" s="22" t="n">
        <x:f>IF(M6&gt;0,1,0)</x:f>
        <x:v>1</x:v>
      </x:c>
    </x:row>
    <x:row r="7" ht="28" customHeight="1">
      <x:c r="A7" s="22" t="str">
        <x:v>병원</x:v>
      </x:c>
      <x:c r="B7" s="31" t="str">
        <x:f>"C-010101"</x:f>
        <x:v>C-010101</x:v>
      </x:c>
      <x:c r="C7" s="25" t="str">
        <x:v>010101  STRUCTURE WORKS</x:v>
      </x:c>
      <x:c r="D7" s="25" t="str">
        <x:v>HD400 t16</x:v>
      </x:c>
      <x:c r="E7" s="25" t="str"/>
      <x:c r="F7" s="22" t="str">
        <x:v>TON</x:v>
      </x:c>
      <x:c r="G7" s="28" t="n">
        <x:v>55.778</x:v>
      </x:c>
      <x:c r="H7" s="25" t="str">
        <x:v>43AE2142BE7340A6C27E35B211B31B0401B44</x:v>
      </x:c>
      <x:c r="I7" s="22" t="str">
        <x:v>직접자원단가</x:v>
      </x:c>
      <x:c r="J7" s="34" t="n">
        <x:v>650</x:v>
      </x:c>
      <x:c r="K7" s="34" t="n">
        <x:v>50</x:v>
      </x:c>
      <x:c r="L7" s="34" t="n">
        <x:v>5</x:v>
      </x:c>
      <x:c r="M7" s="34" t="n">
        <x:f>SUM(J7:L7)</x:f>
        <x:v>705</x:v>
      </x:c>
      <x:c r="N7" s="34" t="n">
        <x:f>G7*J7</x:f>
        <x:v>36255.7</x:v>
      </x:c>
      <x:c r="O7" s="34" t="n">
        <x:f>G7*K7</x:f>
        <x:v>2788.9</x:v>
      </x:c>
      <x:c r="P7" s="34" t="n">
        <x:f>G7*L7</x:f>
        <x:v>278.89</x:v>
      </x:c>
      <x:c r="Q7" s="34" t="n">
        <x:f>SUM(N7:P7)</x:f>
        <x:v>39323.49</x:v>
      </x:c>
      <x:c r="R7" s="22" t="str">
        <x:f>IF(M7&gt;0,"복원","미복원")</x:f>
        <x:v>복원</x:v>
      </x:c>
      <x:c r="S7" s="37" t="n">
        <x:v>7</x:v>
      </x:c>
      <x:c r="T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" s="22" t="str">
        <x:f>A7&amp;"|"&amp;B7</x:f>
        <x:v>병원|C-010101</x:v>
      </x:c>
      <x:c r="V7" s="22" t="n">
        <x:f>IF(M7&gt;0,1,0)</x:f>
        <x:v>1</x:v>
      </x:c>
    </x:row>
    <x:row r="8" ht="28" customHeight="1">
      <x:c r="A8" s="22" t="str">
        <x:v>병원</x:v>
      </x:c>
      <x:c r="B8" s="31" t="str">
        <x:f>"C-010101"</x:f>
        <x:v>C-010101</x:v>
      </x:c>
      <x:c r="C8" s="25" t="str">
        <x:v>010101  STRUCTURE WORKS</x:v>
      </x:c>
      <x:c r="D8" s="25" t="str">
        <x:v>HD400 t20</x:v>
      </x:c>
      <x:c r="E8" s="25" t="str"/>
      <x:c r="F8" s="22" t="str">
        <x:v>TON</x:v>
      </x:c>
      <x:c r="G8" s="28" t="n">
        <x:v>254.815</x:v>
      </x:c>
      <x:c r="H8" s="25" t="str">
        <x:v>43AE2142BE7340A6C27E35B211B31B0401B43</x:v>
      </x:c>
      <x:c r="I8" s="22" t="str">
        <x:v>직접자원단가</x:v>
      </x:c>
      <x:c r="J8" s="34" t="n">
        <x:v>650</x:v>
      </x:c>
      <x:c r="K8" s="34" t="n">
        <x:v>50</x:v>
      </x:c>
      <x:c r="L8" s="34" t="n">
        <x:v>5</x:v>
      </x:c>
      <x:c r="M8" s="34" t="n">
        <x:f>SUM(J8:L8)</x:f>
        <x:v>705</x:v>
      </x:c>
      <x:c r="N8" s="34" t="n">
        <x:f>G8*J8</x:f>
        <x:v>165629.75</x:v>
      </x:c>
      <x:c r="O8" s="34" t="n">
        <x:f>G8*K8</x:f>
        <x:v>12740.75</x:v>
      </x:c>
      <x:c r="P8" s="34" t="n">
        <x:f>G8*L8</x:f>
        <x:v>1274.075</x:v>
      </x:c>
      <x:c r="Q8" s="34" t="n">
        <x:f>SUM(N8:P8)</x:f>
        <x:v>179644.575</x:v>
      </x:c>
      <x:c r="R8" s="22" t="str">
        <x:f>IF(M8&gt;0,"복원","미복원")</x:f>
        <x:v>복원</x:v>
      </x:c>
      <x:c r="S8" s="37" t="n">
        <x:v>8</x:v>
      </x:c>
      <x:c r="T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" s="22" t="str">
        <x:f>A8&amp;"|"&amp;B8</x:f>
        <x:v>병원|C-010101</x:v>
      </x:c>
      <x:c r="V8" s="22" t="n">
        <x:f>IF(M8&gt;0,1,0)</x:f>
        <x:v>1</x:v>
      </x:c>
    </x:row>
    <x:row r="9" ht="28" customHeight="1">
      <x:c r="A9" s="22" t="str">
        <x:v>병원</x:v>
      </x:c>
      <x:c r="B9" s="31" t="str">
        <x:f>"C-010101"</x:f>
        <x:v>C-010101</x:v>
      </x:c>
      <x:c r="C9" s="25" t="str">
        <x:v>010101  STRUCTURE WORKS</x:v>
      </x:c>
      <x:c r="D9" s="25" t="str">
        <x:v>HD400 t25</x:v>
      </x:c>
      <x:c r="E9" s="25" t="str"/>
      <x:c r="F9" s="22" t="str">
        <x:v>TON</x:v>
      </x:c>
      <x:c r="G9" s="28" t="n">
        <x:v>56.31</x:v>
      </x:c>
      <x:c r="H9" s="25" t="str">
        <x:v>43AE2142BE7340A6C27E35B211B31B0401B42</x:v>
      </x:c>
      <x:c r="I9" s="22" t="str">
        <x:v>직접자원단가</x:v>
      </x:c>
      <x:c r="J9" s="34" t="n">
        <x:v>650</x:v>
      </x:c>
      <x:c r="K9" s="34" t="n">
        <x:v>50</x:v>
      </x:c>
      <x:c r="L9" s="34" t="n">
        <x:v>5</x:v>
      </x:c>
      <x:c r="M9" s="34" t="n">
        <x:f>SUM(J9:L9)</x:f>
        <x:v>705</x:v>
      </x:c>
      <x:c r="N9" s="34" t="n">
        <x:f>G9*J9</x:f>
        <x:v>36601.5</x:v>
      </x:c>
      <x:c r="O9" s="34" t="n">
        <x:f>G9*K9</x:f>
        <x:v>2815.5</x:v>
      </x:c>
      <x:c r="P9" s="34" t="n">
        <x:f>G9*L9</x:f>
        <x:v>281.55</x:v>
      </x:c>
      <x:c r="Q9" s="34" t="n">
        <x:f>SUM(N9:P9)</x:f>
        <x:v>39698.55</x:v>
      </x:c>
      <x:c r="R9" s="22" t="str">
        <x:f>IF(M9&gt;0,"복원","미복원")</x:f>
        <x:v>복원</x:v>
      </x:c>
      <x:c r="S9" s="37" t="n">
        <x:v>9</x:v>
      </x:c>
      <x:c r="T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" s="22" t="str">
        <x:f>A9&amp;"|"&amp;B9</x:f>
        <x:v>병원|C-010101</x:v>
      </x:c>
      <x:c r="V9" s="22" t="n">
        <x:f>IF(M9&gt;0,1,0)</x:f>
        <x:v>1</x:v>
      </x:c>
    </x:row>
    <x:row r="10" ht="28" customHeight="1">
      <x:c r="A10" s="22" t="str">
        <x:v>병원</x:v>
      </x:c>
      <x:c r="B10" s="31" t="str">
        <x:f>"C-010101"</x:f>
        <x:v>C-010101</x:v>
      </x:c>
      <x:c r="C10" s="25" t="str">
        <x:v>010101  STRUCTURE WORKS</x:v>
      </x:c>
      <x:c r="D10" s="25" t="str">
        <x:v>concrete(reinforced concrete)</x:v>
      </x:c>
      <x:c r="E10" s="25" t="str">
        <x:v>'f'c 350mpa, foucdation</x:v>
      </x:c>
      <x:c r="F10" s="22" t="str">
        <x:v>M3</x:v>
      </x:c>
      <x:c r="G10" s="28" t="n">
        <x:v>2279</x:v>
      </x:c>
      <x:c r="H10" s="25" t="str">
        <x:v>43AE2142BE72BAF102D45DD52A0CA81817C51</x:v>
      </x:c>
      <x:c r="I10" s="22" t="str">
        <x:v>직접자원단가</x:v>
      </x:c>
      <x:c r="J10" s="34" t="n">
        <x:v>90</x:v>
      </x:c>
      <x:c r="K10" s="34" t="n">
        <x:v>10</x:v>
      </x:c>
      <x:c r="L10" s="34" t="n">
        <x:v>5</x:v>
      </x:c>
      <x:c r="M10" s="34" t="n">
        <x:f>SUM(J10:L10)</x:f>
        <x:v>105</x:v>
      </x:c>
      <x:c r="N10" s="34" t="n">
        <x:f>G10*J10</x:f>
        <x:v>205110</x:v>
      </x:c>
      <x:c r="O10" s="34" t="n">
        <x:f>G10*K10</x:f>
        <x:v>22790</x:v>
      </x:c>
      <x:c r="P10" s="34" t="n">
        <x:f>G10*L10</x:f>
        <x:v>11395</x:v>
      </x:c>
      <x:c r="Q10" s="34" t="n">
        <x:f>SUM(N10:P10)</x:f>
        <x:v>239295</x:v>
      </x:c>
      <x:c r="R10" s="22" t="str">
        <x:f>IF(M10&gt;0,"복원","미복원")</x:f>
        <x:v>복원</x:v>
      </x:c>
      <x:c r="S10" s="37" t="n">
        <x:v>10</x:v>
      </x:c>
      <x:c r="T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" s="22" t="str">
        <x:f>A10&amp;"|"&amp;B10</x:f>
        <x:v>병원|C-010101</x:v>
      </x:c>
      <x:c r="V10" s="22" t="n">
        <x:f>IF(M10&gt;0,1,0)</x:f>
        <x:v>1</x:v>
      </x:c>
    </x:row>
    <x:row r="11" ht="28" customHeight="1">
      <x:c r="A11" s="22" t="str">
        <x:v>병원</x:v>
      </x:c>
      <x:c r="B11" s="31" t="str">
        <x:f>"C-010101"</x:f>
        <x:v>C-010101</x:v>
      </x:c>
      <x:c r="C11" s="25" t="str">
        <x:v>010101  STRUCTURE WORKS</x:v>
      </x:c>
      <x:c r="D11" s="25" t="str">
        <x:v>concrete(reinforced concrete)</x:v>
      </x:c>
      <x:c r="E11" s="25" t="str">
        <x:v>'f'c 300mpa, all members except foundation</x:v>
      </x:c>
      <x:c r="F11" s="22" t="str">
        <x:v>M3</x:v>
      </x:c>
      <x:c r="G11" s="28" t="n">
        <x:v>3013</x:v>
      </x:c>
      <x:c r="H11" s="25" t="str">
        <x:v>43AE2142BE72BAF102D45DD52A0CA81817F25</x:v>
      </x:c>
      <x:c r="I11" s="22" t="str">
        <x:v>직접자원단가</x:v>
      </x:c>
      <x:c r="J11" s="34" t="n">
        <x:v>90</x:v>
      </x:c>
      <x:c r="K11" s="34" t="n">
        <x:v>10</x:v>
      </x:c>
      <x:c r="L11" s="34" t="n">
        <x:v>5</x:v>
      </x:c>
      <x:c r="M11" s="34" t="n">
        <x:f>SUM(J11:L11)</x:f>
        <x:v>105</x:v>
      </x:c>
      <x:c r="N11" s="34" t="n">
        <x:f>G11*J11</x:f>
        <x:v>271170</x:v>
      </x:c>
      <x:c r="O11" s="34" t="n">
        <x:f>G11*K11</x:f>
        <x:v>30130</x:v>
      </x:c>
      <x:c r="P11" s="34" t="n">
        <x:f>G11*L11</x:f>
        <x:v>15065</x:v>
      </x:c>
      <x:c r="Q11" s="34" t="n">
        <x:f>SUM(N11:P11)</x:f>
        <x:v>316365</x:v>
      </x:c>
      <x:c r="R11" s="22" t="str">
        <x:f>IF(M11&gt;0,"복원","미복원")</x:f>
        <x:v>복원</x:v>
      </x:c>
      <x:c r="S11" s="37" t="n">
        <x:v>11</x:v>
      </x:c>
      <x:c r="T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" s="22" t="str">
        <x:f>A11&amp;"|"&amp;B11</x:f>
        <x:v>병원|C-010101</x:v>
      </x:c>
      <x:c r="V11" s="22" t="n">
        <x:f>IF(M11&gt;0,1,0)</x:f>
        <x:v>1</x:v>
      </x:c>
    </x:row>
    <x:row r="12" ht="28" customHeight="1">
      <x:c r="A12" s="22" t="str">
        <x:v>병원</x:v>
      </x:c>
      <x:c r="B12" s="31" t="str">
        <x:f>"C-010101"</x:f>
        <x:v>C-010101</x:v>
      </x:c>
      <x:c r="C12" s="25" t="str">
        <x:v>010101  STRUCTURE WORKS</x:v>
      </x:c>
      <x:c r="D12" s="25" t="str">
        <x:v>concrete(finish)</x:v>
      </x:c>
      <x:c r="E12" s="25" t="str">
        <x:v>'f'c 120mpa, finish work</x:v>
      </x:c>
      <x:c r="F12" s="22" t="str">
        <x:v>M3</x:v>
      </x:c>
      <x:c r="G12" s="28" t="n">
        <x:v>462</x:v>
      </x:c>
      <x:c r="H12" s="25" t="str">
        <x:v>43AE2142BE72BAF102D45DD52A0CA81817E1F</x:v>
      </x:c>
      <x:c r="I12" s="22" t="str">
        <x:v>직접자원단가</x:v>
      </x:c>
      <x:c r="J12" s="34" t="n">
        <x:v>65</x:v>
      </x:c>
      <x:c r="K12" s="34" t="n">
        <x:v>10</x:v>
      </x:c>
      <x:c r="L12" s="34" t="n">
        <x:v>2</x:v>
      </x:c>
      <x:c r="M12" s="34" t="n">
        <x:f>SUM(J12:L12)</x:f>
        <x:v>77</x:v>
      </x:c>
      <x:c r="N12" s="34" t="n">
        <x:f>G12*J12</x:f>
        <x:v>30030</x:v>
      </x:c>
      <x:c r="O12" s="34" t="n">
        <x:f>G12*K12</x:f>
        <x:v>4620</x:v>
      </x:c>
      <x:c r="P12" s="34" t="n">
        <x:f>G12*L12</x:f>
        <x:v>924</x:v>
      </x:c>
      <x:c r="Q12" s="34" t="n">
        <x:f>SUM(N12:P12)</x:f>
        <x:v>35574</x:v>
      </x:c>
      <x:c r="R12" s="22" t="str">
        <x:f>IF(M12&gt;0,"복원","미복원")</x:f>
        <x:v>복원</x:v>
      </x:c>
      <x:c r="S12" s="37" t="n">
        <x:v>12</x:v>
      </x:c>
      <x:c r="T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" s="22" t="str">
        <x:f>A12&amp;"|"&amp;B12</x:f>
        <x:v>병원|C-010101</x:v>
      </x:c>
      <x:c r="V12" s="22" t="n">
        <x:f>IF(M12&gt;0,1,0)</x:f>
        <x:v>1</x:v>
      </x:c>
    </x:row>
    <x:row r="13" ht="28" customHeight="1">
      <x:c r="A13" s="22" t="str">
        <x:v>병원</x:v>
      </x:c>
      <x:c r="B13" s="31" t="str">
        <x:f>"C-010101"</x:f>
        <x:v>C-010101</x:v>
      </x:c>
      <x:c r="C13" s="25" t="str">
        <x:v>010101  STRUCTURE WORKS</x:v>
      </x:c>
      <x:c r="D13" s="25" t="str">
        <x:v>concrete(of leveling layer)</x:v>
      </x:c>
      <x:c r="E13" s="25" t="str">
        <x:v>'f'c 80mpa, for leveling layer</x:v>
      </x:c>
      <x:c r="F13" s="22" t="str">
        <x:v>M3</x:v>
      </x:c>
      <x:c r="G13" s="28" t="n">
        <x:v>142</x:v>
      </x:c>
      <x:c r="H13" s="25" t="str">
        <x:v>43AE2142BE72BAF102D45DD52A0CA8181799D</x:v>
      </x:c>
      <x:c r="I13" s="22" t="str">
        <x:v>직접자원단가</x:v>
      </x:c>
      <x:c r="J13" s="34" t="n">
        <x:v>60</x:v>
      </x:c>
      <x:c r="K13" s="34" t="n">
        <x:v>10</x:v>
      </x:c>
      <x:c r="L13" s="34" t="n">
        <x:v>2</x:v>
      </x:c>
      <x:c r="M13" s="34" t="n">
        <x:f>SUM(J13:L13)</x:f>
        <x:v>72</x:v>
      </x:c>
      <x:c r="N13" s="34" t="n">
        <x:f>G13*J13</x:f>
        <x:v>8520</x:v>
      </x:c>
      <x:c r="O13" s="34" t="n">
        <x:f>G13*K13</x:f>
        <x:v>1420</x:v>
      </x:c>
      <x:c r="P13" s="34" t="n">
        <x:f>G13*L13</x:f>
        <x:v>284</x:v>
      </x:c>
      <x:c r="Q13" s="34" t="n">
        <x:f>SUM(N13:P13)</x:f>
        <x:v>10224</x:v>
      </x:c>
      <x:c r="R13" s="22" t="str">
        <x:f>IF(M13&gt;0,"복원","미복원")</x:f>
        <x:v>복원</x:v>
      </x:c>
      <x:c r="S13" s="37" t="n">
        <x:v>13</x:v>
      </x:c>
      <x:c r="T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" s="22" t="str">
        <x:f>A13&amp;"|"&amp;B13</x:f>
        <x:v>병원|C-010101</x:v>
      </x:c>
      <x:c r="V13" s="22" t="n">
        <x:f>IF(M13&gt;0,1,0)</x:f>
        <x:v>1</x:v>
      </x:c>
    </x:row>
    <x:row r="14" ht="28" customHeight="1">
      <x:c r="A14" s="22" t="str">
        <x:v>병원</x:v>
      </x:c>
      <x:c r="B14" s="31" t="str">
        <x:f>"C-010101"</x:f>
        <x:v>C-010101</x:v>
      </x:c>
      <x:c r="C14" s="25" t="str">
        <x:v>010101  STRUCTURE WORKS</x:v>
      </x:c>
      <x:c r="D14" s="25" t="str">
        <x:v>a mold for concrete</x:v>
      </x:c>
      <x:c r="E14" s="25" t="str"/>
      <x:c r="F14" s="22" t="str">
        <x:v>M2</x:v>
      </x:c>
      <x:c r="G14" s="28" t="n">
        <x:v>19908</x:v>
      </x:c>
      <x:c r="H14" s="25" t="str">
        <x:v>44822B4F067B863B02B72E9E748F6</x:v>
      </x:c>
      <x:c r="I14" s="22" t="str">
        <x:v>복합일위대가</x:v>
      </x:c>
      <x:c r="J14" s="34" t="n">
        <x:v>5</x:v>
      </x:c>
      <x:c r="K14" s="34" t="n">
        <x:v>15</x:v>
      </x:c>
      <x:c r="L14" s="34" t="n">
        <x:v>0</x:v>
      </x:c>
      <x:c r="M14" s="34" t="n">
        <x:f>SUM(J14:L14)</x:f>
        <x:v>20</x:v>
      </x:c>
      <x:c r="N14" s="34" t="n">
        <x:f>G14*J14</x:f>
        <x:v>99540</x:v>
      </x:c>
      <x:c r="O14" s="34" t="n">
        <x:f>G14*K14</x:f>
        <x:v>298620</x:v>
      </x:c>
      <x:c r="P14" s="34" t="n">
        <x:f>G14*L14</x:f>
        <x:v>0</x:v>
      </x:c>
      <x:c r="Q14" s="34" t="n">
        <x:f>SUM(N14:P14)</x:f>
        <x:v>398160</x:v>
      </x:c>
      <x:c r="R14" s="22" t="str">
        <x:f>IF(M14&gt;0,"복원","미복원")</x:f>
        <x:v>복원</x:v>
      </x:c>
      <x:c r="S14" s="37" t="n">
        <x:v>14</x:v>
      </x:c>
      <x:c r="T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" s="22" t="str">
        <x:f>A14&amp;"|"&amp;B14</x:f>
        <x:v>병원|C-010101</x:v>
      </x:c>
      <x:c r="V14" s="22" t="n">
        <x:f>IF(M14&gt;0,1,0)</x:f>
        <x:v>1</x:v>
      </x:c>
    </x:row>
    <x:row r="15" ht="28" customHeight="1">
      <x:c r="A15" s="22" t="str">
        <x:v>병원</x:v>
      </x:c>
      <x:c r="B15" s="31" t="str">
        <x:f>"C-010101"</x:f>
        <x:v>C-010101</x:v>
      </x:c>
      <x:c r="C15" s="25" t="str">
        <x:v>010101  STRUCTURE WORKS</x:v>
      </x:c>
      <x:c r="D15" s="25" t="str">
        <x:v>PVC water stop, 300 mm wid</x:v>
      </x:c>
      <x:c r="E15" s="25" t="str"/>
      <x:c r="F15" s="22" t="str">
        <x:v>M</x:v>
      </x:c>
      <x:c r="G15" s="28" t="n">
        <x:v>291</x:v>
      </x:c>
      <x:c r="H15" s="25" t="str">
        <x:v>44822B4F947183A3D2A5CC3AF9726</x:v>
      </x:c>
      <x:c r="I15" s="22" t="str">
        <x:v>복합일위대가</x:v>
      </x:c>
      <x:c r="J15" s="34" t="n">
        <x:v>1.5</x:v>
      </x:c>
      <x:c r="K15" s="34" t="n">
        <x:v>0.25</x:v>
      </x:c>
      <x:c r="L15" s="34" t="n">
        <x:v>0</x:v>
      </x:c>
      <x:c r="M15" s="34" t="n">
        <x:f>SUM(J15:L15)</x:f>
        <x:v>1.75</x:v>
      </x:c>
      <x:c r="N15" s="34" t="n">
        <x:f>G15*J15</x:f>
        <x:v>436.5</x:v>
      </x:c>
      <x:c r="O15" s="34" t="n">
        <x:f>G15*K15</x:f>
        <x:v>72.75</x:v>
      </x:c>
      <x:c r="P15" s="34" t="n">
        <x:f>G15*L15</x:f>
        <x:v>0</x:v>
      </x:c>
      <x:c r="Q15" s="34" t="n">
        <x:f>SUM(N15:P15)</x:f>
        <x:v>509.25</x:v>
      </x:c>
      <x:c r="R15" s="22" t="str">
        <x:f>IF(M15&gt;0,"복원","미복원")</x:f>
        <x:v>복원</x:v>
      </x:c>
      <x:c r="S15" s="37" t="n">
        <x:v>15</x:v>
      </x:c>
      <x:c r="T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" s="22" t="str">
        <x:f>A15&amp;"|"&amp;B15</x:f>
        <x:v>병원|C-010101</x:v>
      </x:c>
      <x:c r="V15" s="22" t="n">
        <x:f>IF(M15&gt;0,1,0)</x:f>
        <x:v>1</x:v>
      </x:c>
    </x:row>
    <x:row r="16" ht="28" customHeight="1">
      <x:c r="A16" s="22" t="str">
        <x:v>병원</x:v>
      </x:c>
      <x:c r="B16" s="31" t="str">
        <x:f>"C-010102"</x:f>
        <x:v>C-010102</x:v>
      </x:c>
      <x:c r="C16" s="25" t="str">
        <x:v>010102  STEEL STRUCTURE WORKS</x:v>
      </x:c>
      <x:c r="D16" s="25" t="str">
        <x:v>ㄱ Shape Steel</x:v>
      </x:c>
      <x:c r="E16" s="25" t="str">
        <x:v>ㄱ, 50*50*4mm</x:v>
      </x:c>
      <x:c r="F16" s="22" t="str">
        <x:v>kg</x:v>
      </x:c>
      <x:c r="G16" s="28" t="n">
        <x:v>16.868</x:v>
      </x:c>
      <x:c r="H16" s="25" t="str">
        <x:v>43AE2142BE7340A532FB6B275834A7AC3881A</x:v>
      </x:c>
      <x:c r="I16" s="22" t="str">
        <x:v>직접자원단가</x:v>
      </x:c>
      <x:c r="J16" s="34" t="n">
        <x:v>0.8146337850847961</x:v>
      </x:c>
      <x:c r="K16" s="34" t="n">
        <x:v>0</x:v>
      </x:c>
      <x:c r="L16" s="34" t="n">
        <x:v>0</x:v>
      </x:c>
      <x:c r="M16" s="34" t="n">
        <x:f>SUM(J16:L16)</x:f>
        <x:v>0.8146337850847961</x:v>
      </x:c>
      <x:c r="N16" s="34" t="n">
        <x:f>G16*J16</x:f>
        <x:v>13.74124268681034</x:v>
      </x:c>
      <x:c r="O16" s="34" t="n">
        <x:f>G16*K16</x:f>
        <x:v>0</x:v>
      </x:c>
      <x:c r="P16" s="34" t="n">
        <x:f>G16*L16</x:f>
        <x:v>0</x:v>
      </x:c>
      <x:c r="Q16" s="34" t="n">
        <x:f>SUM(N16:P16)</x:f>
        <x:v>13.74124268681034</x:v>
      </x:c>
      <x:c r="R16" s="22" t="str">
        <x:f>IF(M16&gt;0,"복원","미복원")</x:f>
        <x:v>복원</x:v>
      </x:c>
      <x:c r="S16" s="37" t="n">
        <x:v>29</x:v>
      </x:c>
      <x:c r="T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" s="22" t="str">
        <x:f>A16&amp;"|"&amp;B16</x:f>
        <x:v>병원|C-010102</x:v>
      </x:c>
      <x:c r="V16" s="22" t="n">
        <x:f>IF(M16&gt;0,1,0)</x:f>
        <x:v>1</x:v>
      </x:c>
    </x:row>
    <x:row r="17" ht="28" customHeight="1">
      <x:c r="A17" s="22" t="str">
        <x:v>병원</x:v>
      </x:c>
      <x:c r="B17" s="31" t="str">
        <x:f>"C-010102"</x:f>
        <x:v>C-010102</x:v>
      </x:c>
      <x:c r="C17" s="25" t="str">
        <x:v>010102  STEEL STRUCTURE WORKS</x:v>
      </x:c>
      <x:c r="D17" s="25" t="str">
        <x:v>ㄱ Shape Steel</x:v>
      </x:c>
      <x:c r="E17" s="25" t="str">
        <x:v>ㄱ, 90*90*10mm</x:v>
      </x:c>
      <x:c r="F17" s="22" t="str">
        <x:v>kg</x:v>
      </x:c>
      <x:c r="G17" s="28" t="n">
        <x:v>660.013</x:v>
      </x:c>
      <x:c r="H17" s="25" t="str">
        <x:v>43AE2142BE7340A532FB6B275834A7AC3881B</x:v>
      </x:c>
      <x:c r="I17" s="22" t="str">
        <x:v>직접자원단가</x:v>
      </x:c>
      <x:c r="J17" s="34" t="n">
        <x:v>0.8146337850847961</x:v>
      </x:c>
      <x:c r="K17" s="34" t="n">
        <x:v>0</x:v>
      </x:c>
      <x:c r="L17" s="34" t="n">
        <x:v>0</x:v>
      </x:c>
      <x:c r="M17" s="34" t="n">
        <x:f>SUM(J17:L17)</x:f>
        <x:v>0.8146337850847961</x:v>
      </x:c>
      <x:c r="N17" s="34" t="n">
        <x:f>G17*J17</x:f>
        <x:v>537.6688883951716</x:v>
      </x:c>
      <x:c r="O17" s="34" t="n">
        <x:f>G17*K17</x:f>
        <x:v>0</x:v>
      </x:c>
      <x:c r="P17" s="34" t="n">
        <x:f>G17*L17</x:f>
        <x:v>0</x:v>
      </x:c>
      <x:c r="Q17" s="34" t="n">
        <x:f>SUM(N17:P17)</x:f>
        <x:v>537.6688883951716</x:v>
      </x:c>
      <x:c r="R17" s="22" t="str">
        <x:f>IF(M17&gt;0,"복원","미복원")</x:f>
        <x:v>복원</x:v>
      </x:c>
      <x:c r="S17" s="37" t="n">
        <x:v>30</x:v>
      </x:c>
      <x:c r="T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" s="22" t="str">
        <x:f>A17&amp;"|"&amp;B17</x:f>
        <x:v>병원|C-010102</x:v>
      </x:c>
      <x:c r="V17" s="22" t="n">
        <x:f>IF(M17&gt;0,1,0)</x:f>
        <x:v>1</x:v>
      </x:c>
    </x:row>
    <x:row r="18" ht="28" customHeight="1">
      <x:c r="A18" s="22" t="str">
        <x:v>병원</x:v>
      </x:c>
      <x:c r="B18" s="31" t="str">
        <x:f>"C-010102"</x:f>
        <x:v>C-010102</x:v>
      </x:c>
      <x:c r="C18" s="25" t="str">
        <x:v>010102  STEEL STRUCTURE WORKS</x:v>
      </x:c>
      <x:c r="D18" s="25" t="str">
        <x:v>H Shape Steel</x:v>
      </x:c>
      <x:c r="E18" s="25" t="str">
        <x:v>SS275, 200*100*5.5*8mm</x:v>
      </x:c>
      <x:c r="F18" s="22" t="str">
        <x:v>TON</x:v>
      </x:c>
      <x:c r="G18" s="28" t="n">
        <x:v>0.294</x:v>
      </x:c>
      <x:c r="H18" s="25" t="str">
        <x:v>43AE204010766031C22ED812F512356699399</x:v>
      </x:c>
      <x:c r="I18" s="22" t="str">
        <x:v>직접자원단가</x:v>
      </x:c>
      <x:c r="J18" s="34" t="n">
        <x:v>1800</x:v>
      </x:c>
      <x:c r="K18" s="34" t="n">
        <x:v>0</x:v>
      </x:c>
      <x:c r="L18" s="34" t="n">
        <x:v>0</x:v>
      </x:c>
      <x:c r="M18" s="34" t="n">
        <x:f>SUM(J18:L18)</x:f>
        <x:v>1800</x:v>
      </x:c>
      <x:c r="N18" s="34" t="n">
        <x:f>G18*J18</x:f>
        <x:v>529.1999999999999</x:v>
      </x:c>
      <x:c r="O18" s="34" t="n">
        <x:f>G18*K18</x:f>
        <x:v>0</x:v>
      </x:c>
      <x:c r="P18" s="34" t="n">
        <x:f>G18*L18</x:f>
        <x:v>0</x:v>
      </x:c>
      <x:c r="Q18" s="34" t="n">
        <x:f>SUM(N18:P18)</x:f>
        <x:v>529.1999999999999</x:v>
      </x:c>
      <x:c r="R18" s="22" t="str">
        <x:f>IF(M18&gt;0,"복원","미복원")</x:f>
        <x:v>복원</x:v>
      </x:c>
      <x:c r="S18" s="37" t="n">
        <x:v>31</x:v>
      </x:c>
      <x:c r="T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" s="22" t="str">
        <x:f>A18&amp;"|"&amp;B18</x:f>
        <x:v>병원|C-010102</x:v>
      </x:c>
      <x:c r="V18" s="22" t="n">
        <x:f>IF(M18&gt;0,1,0)</x:f>
        <x:v>1</x:v>
      </x:c>
    </x:row>
    <x:row r="19" ht="28" customHeight="1">
      <x:c r="A19" s="22" t="str">
        <x:v>병원</x:v>
      </x:c>
      <x:c r="B19" s="31" t="str">
        <x:f>"C-010102"</x:f>
        <x:v>C-010102</x:v>
      </x:c>
      <x:c r="C19" s="25" t="str">
        <x:v>010102  STEEL STRUCTURE WORKS</x:v>
      </x:c>
      <x:c r="D19" s="25" t="str">
        <x:v>H Shape Steel</x:v>
      </x:c>
      <x:c r="E19" s="25" t="str">
        <x:v>SS275, 300*150*6.5*9mm</x:v>
      </x:c>
      <x:c r="F19" s="22" t="str">
        <x:v>TON</x:v>
      </x:c>
      <x:c r="G19" s="28" t="n">
        <x:v>0.776</x:v>
      </x:c>
      <x:c r="H19" s="25" t="str">
        <x:v>43AE204010766031C22ED812F51235669939A</x:v>
      </x:c>
      <x:c r="I19" s="22" t="str">
        <x:v>직접자원단가</x:v>
      </x:c>
      <x:c r="J19" s="34" t="n">
        <x:v>1800</x:v>
      </x:c>
      <x:c r="K19" s="34" t="n">
        <x:v>0</x:v>
      </x:c>
      <x:c r="L19" s="34" t="n">
        <x:v>0</x:v>
      </x:c>
      <x:c r="M19" s="34" t="n">
        <x:f>SUM(J19:L19)</x:f>
        <x:v>1800</x:v>
      </x:c>
      <x:c r="N19" s="34" t="n">
        <x:f>G19*J19</x:f>
        <x:v>1396.8</x:v>
      </x:c>
      <x:c r="O19" s="34" t="n">
        <x:f>G19*K19</x:f>
        <x:v>0</x:v>
      </x:c>
      <x:c r="P19" s="34" t="n">
        <x:f>G19*L19</x:f>
        <x:v>0</x:v>
      </x:c>
      <x:c r="Q19" s="34" t="n">
        <x:f>SUM(N19:P19)</x:f>
        <x:v>1396.8</x:v>
      </x:c>
      <x:c r="R19" s="22" t="str">
        <x:f>IF(M19&gt;0,"복원","미복원")</x:f>
        <x:v>복원</x:v>
      </x:c>
      <x:c r="S19" s="37" t="n">
        <x:v>32</x:v>
      </x:c>
      <x:c r="T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" s="22" t="str">
        <x:f>A19&amp;"|"&amp;B19</x:f>
        <x:v>병원|C-010102</x:v>
      </x:c>
      <x:c r="V19" s="22" t="n">
        <x:f>IF(M19&gt;0,1,0)</x:f>
        <x:v>1</x:v>
      </x:c>
    </x:row>
    <x:row r="20" ht="28" customHeight="1">
      <x:c r="A20" s="22" t="str">
        <x:v>병원</x:v>
      </x:c>
      <x:c r="B20" s="31" t="str">
        <x:f>"C-010102"</x:f>
        <x:v>C-010102</x:v>
      </x:c>
      <x:c r="C20" s="25" t="str">
        <x:v>010102  STEEL STRUCTURE WORKS</x:v>
      </x:c>
      <x:c r="D20" s="25" t="str">
        <x:v>H Shape Steel</x:v>
      </x:c>
      <x:c r="E20" s="25" t="str">
        <x:v>SS275, 300*300*10*15mm</x:v>
      </x:c>
      <x:c r="F20" s="22" t="str">
        <x:v>TON</x:v>
      </x:c>
      <x:c r="G20" s="28" t="n">
        <x:v>0.944</x:v>
      </x:c>
      <x:c r="H20" s="25" t="str">
        <x:v>43AE204010766031C22ED812F51235669939B</x:v>
      </x:c>
      <x:c r="I20" s="22" t="str">
        <x:v>직접자원단가</x:v>
      </x:c>
      <x:c r="J20" s="34" t="n">
        <x:v>1800</x:v>
      </x:c>
      <x:c r="K20" s="34" t="n">
        <x:v>0</x:v>
      </x:c>
      <x:c r="L20" s="34" t="n">
        <x:v>0</x:v>
      </x:c>
      <x:c r="M20" s="34" t="n">
        <x:f>SUM(J20:L20)</x:f>
        <x:v>1800</x:v>
      </x:c>
      <x:c r="N20" s="34" t="n">
        <x:f>G20*J20</x:f>
        <x:v>1699.1999999999998</x:v>
      </x:c>
      <x:c r="O20" s="34" t="n">
        <x:f>G20*K20</x:f>
        <x:v>0</x:v>
      </x:c>
      <x:c r="P20" s="34" t="n">
        <x:f>G20*L20</x:f>
        <x:v>0</x:v>
      </x:c>
      <x:c r="Q20" s="34" t="n">
        <x:f>SUM(N20:P20)</x:f>
        <x:v>1699.1999999999998</x:v>
      </x:c>
      <x:c r="R20" s="22" t="str">
        <x:f>IF(M20&gt;0,"복원","미복원")</x:f>
        <x:v>복원</x:v>
      </x:c>
      <x:c r="S20" s="37" t="n">
        <x:v>33</x:v>
      </x:c>
      <x:c r="T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" s="22" t="str">
        <x:f>A20&amp;"|"&amp;B20</x:f>
        <x:v>병원|C-010102</x:v>
      </x:c>
      <x:c r="V20" s="22" t="n">
        <x:f>IF(M20&gt;0,1,0)</x:f>
        <x:v>1</x:v>
      </x:c>
    </x:row>
    <x:row r="21" ht="28" customHeight="1">
      <x:c r="A21" s="22" t="str">
        <x:v>병원</x:v>
      </x:c>
      <x:c r="B21" s="31" t="str">
        <x:f>"C-010102"</x:f>
        <x:v>C-010102</x:v>
      </x:c>
      <x:c r="C21" s="25" t="str">
        <x:v>010102  STEEL STRUCTURE WORKS</x:v>
      </x:c>
      <x:c r="D21" s="25" t="str">
        <x:v>H Shape Steel</x:v>
      </x:c>
      <x:c r="E21" s="25" t="str">
        <x:v>SM275A, 300*150*6.5*9mm</x:v>
      </x:c>
      <x:c r="F21" s="22" t="str">
        <x:v>TON</x:v>
      </x:c>
      <x:c r="G21" s="28" t="n">
        <x:v>0.258</x:v>
      </x:c>
      <x:c r="H21" s="25" t="str">
        <x:v>43AE204010766031C22ED812F51235669939C</x:v>
      </x:c>
      <x:c r="I21" s="22" t="str">
        <x:v>직접자원단가</x:v>
      </x:c>
      <x:c r="J21" s="34" t="n">
        <x:v>1800</x:v>
      </x:c>
      <x:c r="K21" s="34" t="n">
        <x:v>0</x:v>
      </x:c>
      <x:c r="L21" s="34" t="n">
        <x:v>0</x:v>
      </x:c>
      <x:c r="M21" s="34" t="n">
        <x:f>SUM(J21:L21)</x:f>
        <x:v>1800</x:v>
      </x:c>
      <x:c r="N21" s="34" t="n">
        <x:f>G21*J21</x:f>
        <x:v>464.40000000000003</x:v>
      </x:c>
      <x:c r="O21" s="34" t="n">
        <x:f>G21*K21</x:f>
        <x:v>0</x:v>
      </x:c>
      <x:c r="P21" s="34" t="n">
        <x:f>G21*L21</x:f>
        <x:v>0</x:v>
      </x:c>
      <x:c r="Q21" s="34" t="n">
        <x:f>SUM(N21:P21)</x:f>
        <x:v>464.40000000000003</x:v>
      </x:c>
      <x:c r="R21" s="22" t="str">
        <x:f>IF(M21&gt;0,"복원","미복원")</x:f>
        <x:v>복원</x:v>
      </x:c>
      <x:c r="S21" s="37" t="n">
        <x:v>34</x:v>
      </x:c>
      <x:c r="T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" s="22" t="str">
        <x:f>A21&amp;"|"&amp;B21</x:f>
        <x:v>병원|C-010102</x:v>
      </x:c>
      <x:c r="V21" s="22" t="n">
        <x:f>IF(M21&gt;0,1,0)</x:f>
        <x:v>1</x:v>
      </x:c>
    </x:row>
    <x:row r="22" ht="28" customHeight="1">
      <x:c r="A22" s="22" t="str">
        <x:v>병원</x:v>
      </x:c>
      <x:c r="B22" s="31" t="str">
        <x:f>"C-010102"</x:f>
        <x:v>C-010102</x:v>
      </x:c>
      <x:c r="C22" s="25" t="str">
        <x:v>010102  STEEL STRUCTURE WORKS</x:v>
      </x:c>
      <x:c r="D22" s="25" t="str">
        <x:v>H Shape Steel</x:v>
      </x:c>
      <x:c r="E22" s="25" t="str">
        <x:v>SM275A, 390*300*10*16mm</x:v>
      </x:c>
      <x:c r="F22" s="22" t="str">
        <x:v>TON</x:v>
      </x:c>
      <x:c r="G22" s="28" t="n">
        <x:v>3.147</x:v>
      </x:c>
      <x:c r="H22" s="25" t="str">
        <x:v>43AE204010766031C22ED812F5123566993E9</x:v>
      </x:c>
      <x:c r="I22" s="22" t="str">
        <x:v>직접자원단가</x:v>
      </x:c>
      <x:c r="J22" s="34" t="n">
        <x:v>1800</x:v>
      </x:c>
      <x:c r="K22" s="34" t="n">
        <x:v>0</x:v>
      </x:c>
      <x:c r="L22" s="34" t="n">
        <x:v>0</x:v>
      </x:c>
      <x:c r="M22" s="34" t="n">
        <x:f>SUM(J22:L22)</x:f>
        <x:v>1800</x:v>
      </x:c>
      <x:c r="N22" s="34" t="n">
        <x:f>G22*J22</x:f>
        <x:v>5664.599999999999</x:v>
      </x:c>
      <x:c r="O22" s="34" t="n">
        <x:f>G22*K22</x:f>
        <x:v>0</x:v>
      </x:c>
      <x:c r="P22" s="34" t="n">
        <x:f>G22*L22</x:f>
        <x:v>0</x:v>
      </x:c>
      <x:c r="Q22" s="34" t="n">
        <x:f>SUM(N22:P22)</x:f>
        <x:v>5664.599999999999</x:v>
      </x:c>
      <x:c r="R22" s="22" t="str">
        <x:f>IF(M22&gt;0,"복원","미복원")</x:f>
        <x:v>복원</x:v>
      </x:c>
      <x:c r="S22" s="37" t="n">
        <x:v>35</x:v>
      </x:c>
      <x:c r="T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" s="22" t="str">
        <x:f>A22&amp;"|"&amp;B22</x:f>
        <x:v>병원|C-010102</x:v>
      </x:c>
      <x:c r="V22" s="22" t="n">
        <x:f>IF(M22&gt;0,1,0)</x:f>
        <x:v>1</x:v>
      </x:c>
    </x:row>
    <x:row r="23" ht="28" customHeight="1">
      <x:c r="A23" s="22" t="str">
        <x:v>병원</x:v>
      </x:c>
      <x:c r="B23" s="31" t="str">
        <x:f>"C-010102"</x:f>
        <x:v>C-010102</x:v>
      </x:c>
      <x:c r="C23" s="25" t="str">
        <x:v>010102  STEEL STRUCTURE WORKS</x:v>
      </x:c>
      <x:c r="D23" s="25" t="str">
        <x:v>Light Gage Steel</x:v>
      </x:c>
      <x:c r="E23" s="25" t="str">
        <x:v>C, 150*50*20, t3.2</x:v>
      </x:c>
      <x:c r="F23" s="22" t="str">
        <x:v>TON</x:v>
      </x:c>
      <x:c r="G23" s="28" t="n">
        <x:v>0.685</x:v>
      </x:c>
      <x:c r="H23" s="25" t="str">
        <x:v>43AE204010766031C22ED812F51235669939E</x:v>
      </x:c>
      <x:c r="I23" s="22" t="str">
        <x:v>직접자원단가</x:v>
      </x:c>
      <x:c r="J23" s="34" t="n">
        <x:v>2000</x:v>
      </x:c>
      <x:c r="K23" s="34" t="n">
        <x:v>0</x:v>
      </x:c>
      <x:c r="L23" s="34" t="n">
        <x:v>0</x:v>
      </x:c>
      <x:c r="M23" s="34" t="n">
        <x:f>SUM(J23:L23)</x:f>
        <x:v>2000</x:v>
      </x:c>
      <x:c r="N23" s="34" t="n">
        <x:f>G23*J23</x:f>
        <x:v>1370</x:v>
      </x:c>
      <x:c r="O23" s="34" t="n">
        <x:f>G23*K23</x:f>
        <x:v>0</x:v>
      </x:c>
      <x:c r="P23" s="34" t="n">
        <x:f>G23*L23</x:f>
        <x:v>0</x:v>
      </x:c>
      <x:c r="Q23" s="34" t="n">
        <x:f>SUM(N23:P23)</x:f>
        <x:v>1370</x:v>
      </x:c>
      <x:c r="R23" s="22" t="str">
        <x:f>IF(M23&gt;0,"복원","미복원")</x:f>
        <x:v>복원</x:v>
      </x:c>
      <x:c r="S23" s="37" t="n">
        <x:v>36</x:v>
      </x:c>
      <x:c r="T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" s="22" t="str">
        <x:f>A23&amp;"|"&amp;B23</x:f>
        <x:v>병원|C-010102</x:v>
      </x:c>
      <x:c r="V23" s="22" t="n">
        <x:f>IF(M23&gt;0,1,0)</x:f>
        <x:v>1</x:v>
      </x:c>
    </x:row>
    <x:row r="24" ht="28" customHeight="1">
      <x:c r="A24" s="22" t="str">
        <x:v>병원</x:v>
      </x:c>
      <x:c r="B24" s="31" t="str">
        <x:f>"C-010102"</x:f>
        <x:v>C-010102</x:v>
      </x:c>
      <x:c r="C24" s="25" t="str">
        <x:v>010102  STEEL STRUCTURE WORKS</x:v>
      </x:c>
      <x:c r="D24" s="25" t="str">
        <x:v>Steel Plate</x:v>
      </x:c>
      <x:c r="E24" s="25" t="str">
        <x:v>SS275, 6.0mm</x:v>
      </x:c>
      <x:c r="F24" s="22" t="str">
        <x:v>TON</x:v>
      </x:c>
      <x:c r="G24" s="28" t="n">
        <x:v>0.014</x:v>
      </x:c>
      <x:c r="H24" s="25" t="str">
        <x:v>43AE204010766031C22ED812F51235669939F</x:v>
      </x:c>
      <x:c r="I24" s="22" t="str">
        <x:v>직접자원단가</x:v>
      </x:c>
      <x:c r="J24" s="34" t="n">
        <x:v>1300</x:v>
      </x:c>
      <x:c r="K24" s="34" t="n">
        <x:v>0</x:v>
      </x:c>
      <x:c r="L24" s="34" t="n">
        <x:v>0</x:v>
      </x:c>
      <x:c r="M24" s="34" t="n">
        <x:f>SUM(J24:L24)</x:f>
        <x:v>1300</x:v>
      </x:c>
      <x:c r="N24" s="34" t="n">
        <x:f>G24*J24</x:f>
        <x:v>18.2</x:v>
      </x:c>
      <x:c r="O24" s="34" t="n">
        <x:f>G24*K24</x:f>
        <x:v>0</x:v>
      </x:c>
      <x:c r="P24" s="34" t="n">
        <x:f>G24*L24</x:f>
        <x:v>0</x:v>
      </x:c>
      <x:c r="Q24" s="34" t="n">
        <x:f>SUM(N24:P24)</x:f>
        <x:v>18.2</x:v>
      </x:c>
      <x:c r="R24" s="22" t="str">
        <x:f>IF(M24&gt;0,"복원","미복원")</x:f>
        <x:v>복원</x:v>
      </x:c>
      <x:c r="S24" s="37" t="n">
        <x:v>37</x:v>
      </x:c>
      <x:c r="T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" s="22" t="str">
        <x:f>A24&amp;"|"&amp;B24</x:f>
        <x:v>병원|C-010102</x:v>
      </x:c>
      <x:c r="V24" s="22" t="n">
        <x:f>IF(M24&gt;0,1,0)</x:f>
        <x:v>1</x:v>
      </x:c>
    </x:row>
    <x:row r="25" ht="28" customHeight="1">
      <x:c r="A25" s="22" t="str">
        <x:v>병원</x:v>
      </x:c>
      <x:c r="B25" s="31" t="str">
        <x:f>"C-010102"</x:f>
        <x:v>C-010102</x:v>
      </x:c>
      <x:c r="C25" s="25" t="str">
        <x:v>010102  STEEL STRUCTURE WORKS</x:v>
      </x:c>
      <x:c r="D25" s="25" t="str">
        <x:v>Steel Plate</x:v>
      </x:c>
      <x:c r="E25" s="25" t="str">
        <x:v>SS275, 8.0mm</x:v>
      </x:c>
      <x:c r="F25" s="22" t="str">
        <x:v>TON</x:v>
      </x:c>
      <x:c r="G25" s="28" t="n">
        <x:v>0.088</x:v>
      </x:c>
      <x:c r="H25" s="25" t="str">
        <x:v>43AE204010766031C22ED812F512356699390</x:v>
      </x:c>
      <x:c r="I25" s="22" t="str">
        <x:v>직접자원단가</x:v>
      </x:c>
      <x:c r="J25" s="34" t="n">
        <x:v>1300</x:v>
      </x:c>
      <x:c r="K25" s="34" t="n">
        <x:v>0</x:v>
      </x:c>
      <x:c r="L25" s="34" t="n">
        <x:v>0</x:v>
      </x:c>
      <x:c r="M25" s="34" t="n">
        <x:f>SUM(J25:L25)</x:f>
        <x:v>1300</x:v>
      </x:c>
      <x:c r="N25" s="34" t="n">
        <x:f>G25*J25</x:f>
        <x:v>114.39999999999999</x:v>
      </x:c>
      <x:c r="O25" s="34" t="n">
        <x:f>G25*K25</x:f>
        <x:v>0</x:v>
      </x:c>
      <x:c r="P25" s="34" t="n">
        <x:f>G25*L25</x:f>
        <x:v>0</x:v>
      </x:c>
      <x:c r="Q25" s="34" t="n">
        <x:f>SUM(N25:P25)</x:f>
        <x:v>114.39999999999999</x:v>
      </x:c>
      <x:c r="R25" s="22" t="str">
        <x:f>IF(M25&gt;0,"복원","미복원")</x:f>
        <x:v>복원</x:v>
      </x:c>
      <x:c r="S25" s="37" t="n">
        <x:v>38</x:v>
      </x:c>
      <x:c r="T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" s="22" t="str">
        <x:f>A25&amp;"|"&amp;B25</x:f>
        <x:v>병원|C-010102</x:v>
      </x:c>
      <x:c r="V25" s="22" t="n">
        <x:f>IF(M25&gt;0,1,0)</x:f>
        <x:v>1</x:v>
      </x:c>
    </x:row>
    <x:row r="26" ht="28" customHeight="1">
      <x:c r="A26" s="22" t="str">
        <x:v>병원</x:v>
      </x:c>
      <x:c r="B26" s="31" t="str">
        <x:f>"C-010102"</x:f>
        <x:v>C-010102</x:v>
      </x:c>
      <x:c r="C26" s="25" t="str">
        <x:v>010102  STEEL STRUCTURE WORKS</x:v>
      </x:c>
      <x:c r="D26" s="25" t="str">
        <x:v>Steel Plate</x:v>
      </x:c>
      <x:c r="E26" s="25" t="str">
        <x:v>SS275, 15mm</x:v>
      </x:c>
      <x:c r="F26" s="22" t="str">
        <x:v>TON</x:v>
      </x:c>
      <x:c r="G26" s="28" t="n">
        <x:v>0.073</x:v>
      </x:c>
      <x:c r="H26" s="25" t="str">
        <x:v>43AE204010766031C22ED812F512356699391</x:v>
      </x:c>
      <x:c r="I26" s="22" t="str">
        <x:v>직접자원단가</x:v>
      </x:c>
      <x:c r="J26" s="34" t="n">
        <x:v>1300</x:v>
      </x:c>
      <x:c r="K26" s="34" t="n">
        <x:v>0</x:v>
      </x:c>
      <x:c r="L26" s="34" t="n">
        <x:v>0</x:v>
      </x:c>
      <x:c r="M26" s="34" t="n">
        <x:f>SUM(J26:L26)</x:f>
        <x:v>1300</x:v>
      </x:c>
      <x:c r="N26" s="34" t="n">
        <x:f>G26*J26</x:f>
        <x:v>94.89999999999999</x:v>
      </x:c>
      <x:c r="O26" s="34" t="n">
        <x:f>G26*K26</x:f>
        <x:v>0</x:v>
      </x:c>
      <x:c r="P26" s="34" t="n">
        <x:f>G26*L26</x:f>
        <x:v>0</x:v>
      </x:c>
      <x:c r="Q26" s="34" t="n">
        <x:f>SUM(N26:P26)</x:f>
        <x:v>94.89999999999999</x:v>
      </x:c>
      <x:c r="R26" s="22" t="str">
        <x:f>IF(M26&gt;0,"복원","미복원")</x:f>
        <x:v>복원</x:v>
      </x:c>
      <x:c r="S26" s="37" t="n">
        <x:v>39</x:v>
      </x:c>
      <x:c r="T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" s="22" t="str">
        <x:f>A26&amp;"|"&amp;B26</x:f>
        <x:v>병원|C-010102</x:v>
      </x:c>
      <x:c r="V26" s="22" t="n">
        <x:f>IF(M26&gt;0,1,0)</x:f>
        <x:v>1</x:v>
      </x:c>
    </x:row>
    <x:row r="27" ht="28" customHeight="1">
      <x:c r="A27" s="22" t="str">
        <x:v>병원</x:v>
      </x:c>
      <x:c r="B27" s="31" t="str">
        <x:f>"C-010102"</x:f>
        <x:v>C-010102</x:v>
      </x:c>
      <x:c r="C27" s="25" t="str">
        <x:v>010102  STEEL STRUCTURE WORKS</x:v>
      </x:c>
      <x:c r="D27" s="25" t="str">
        <x:v>Steel Plate</x:v>
      </x:c>
      <x:c r="E27" s="25" t="str">
        <x:v>SS275, 18mm</x:v>
      </x:c>
      <x:c r="F27" s="22" t="str">
        <x:v>TON</x:v>
      </x:c>
      <x:c r="G27" s="28" t="n">
        <x:v>0.055</x:v>
      </x:c>
      <x:c r="H27" s="25" t="str">
        <x:v>43AE204010766031C22ED812F5123566992F1</x:v>
      </x:c>
      <x:c r="I27" s="22" t="str">
        <x:v>직접자원단가</x:v>
      </x:c>
      <x:c r="J27" s="34" t="n">
        <x:v>1300</x:v>
      </x:c>
      <x:c r="K27" s="34" t="n">
        <x:v>0</x:v>
      </x:c>
      <x:c r="L27" s="34" t="n">
        <x:v>0</x:v>
      </x:c>
      <x:c r="M27" s="34" t="n">
        <x:f>SUM(J27:L27)</x:f>
        <x:v>1300</x:v>
      </x:c>
      <x:c r="N27" s="34" t="n">
        <x:f>G27*J27</x:f>
        <x:v>71.5</x:v>
      </x:c>
      <x:c r="O27" s="34" t="n">
        <x:f>G27*K27</x:f>
        <x:v>0</x:v>
      </x:c>
      <x:c r="P27" s="34" t="n">
        <x:f>G27*L27</x:f>
        <x:v>0</x:v>
      </x:c>
      <x:c r="Q27" s="34" t="n">
        <x:f>SUM(N27:P27)</x:f>
        <x:v>71.5</x:v>
      </x:c>
      <x:c r="R27" s="22" t="str">
        <x:f>IF(M27&gt;0,"복원","미복원")</x:f>
        <x:v>복원</x:v>
      </x:c>
      <x:c r="S27" s="37" t="n">
        <x:v>40</x:v>
      </x:c>
      <x:c r="T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" s="22" t="str">
        <x:f>A27&amp;"|"&amp;B27</x:f>
        <x:v>병원|C-010102</x:v>
      </x:c>
      <x:c r="V27" s="22" t="n">
        <x:f>IF(M27&gt;0,1,0)</x:f>
        <x:v>1</x:v>
      </x:c>
    </x:row>
    <x:row r="28" ht="28" customHeight="1">
      <x:c r="A28" s="22" t="str">
        <x:v>병원</x:v>
      </x:c>
      <x:c r="B28" s="31" t="str">
        <x:f>"C-010102"</x:f>
        <x:v>C-010102</x:v>
      </x:c>
      <x:c r="C28" s="25" t="str">
        <x:v>010102  STEEL STRUCTURE WORKS</x:v>
      </x:c>
      <x:c r="D28" s="25" t="str">
        <x:v>Steel Plate</x:v>
      </x:c>
      <x:c r="E28" s="25" t="str">
        <x:v>SS275, 25mm</x:v>
      </x:c>
      <x:c r="F28" s="22" t="str">
        <x:v>TON</x:v>
      </x:c>
      <x:c r="G28" s="28" t="n">
        <x:v>0.135</x:v>
      </x:c>
      <x:c r="H28" s="25" t="str">
        <x:v>43AE204010766031C22ED812F5123566992F0</x:v>
      </x:c>
      <x:c r="I28" s="22" t="str">
        <x:v>직접자원단가</x:v>
      </x:c>
      <x:c r="J28" s="34" t="n">
        <x:v>1300</x:v>
      </x:c>
      <x:c r="K28" s="34" t="n">
        <x:v>0</x:v>
      </x:c>
      <x:c r="L28" s="34" t="n">
        <x:v>0</x:v>
      </x:c>
      <x:c r="M28" s="34" t="n">
        <x:f>SUM(J28:L28)</x:f>
        <x:v>1300</x:v>
      </x:c>
      <x:c r="N28" s="34" t="n">
        <x:f>G28*J28</x:f>
        <x:v>175.5</x:v>
      </x:c>
      <x:c r="O28" s="34" t="n">
        <x:f>G28*K28</x:f>
        <x:v>0</x:v>
      </x:c>
      <x:c r="P28" s="34" t="n">
        <x:f>G28*L28</x:f>
        <x:v>0</x:v>
      </x:c>
      <x:c r="Q28" s="34" t="n">
        <x:f>SUM(N28:P28)</x:f>
        <x:v>175.5</x:v>
      </x:c>
      <x:c r="R28" s="22" t="str">
        <x:f>IF(M28&gt;0,"복원","미복원")</x:f>
        <x:v>복원</x:v>
      </x:c>
      <x:c r="S28" s="37" t="n">
        <x:v>41</x:v>
      </x:c>
      <x:c r="T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" s="22" t="str">
        <x:f>A28&amp;"|"&amp;B28</x:f>
        <x:v>병원|C-010102</x:v>
      </x:c>
      <x:c r="V28" s="22" t="n">
        <x:f>IF(M28&gt;0,1,0)</x:f>
        <x:v>1</x:v>
      </x:c>
    </x:row>
    <x:row r="29" ht="28" customHeight="1">
      <x:c r="A29" s="22" t="str">
        <x:v>병원</x:v>
      </x:c>
      <x:c r="B29" s="31" t="str">
        <x:f>"C-010102"</x:f>
        <x:v>C-010102</x:v>
      </x:c>
      <x:c r="C29" s="25" t="str">
        <x:v>010102  STEEL STRUCTURE WORKS</x:v>
      </x:c>
      <x:c r="D29" s="25" t="str">
        <x:v>Steel Plate</x:v>
      </x:c>
      <x:c r="E29" s="25" t="str">
        <x:v>SM275, 6.0mm</x:v>
      </x:c>
      <x:c r="F29" s="22" t="str">
        <x:v>TON</x:v>
      </x:c>
      <x:c r="G29" s="28" t="n">
        <x:v>0.006</x:v>
      </x:c>
      <x:c r="H29" s="25" t="str">
        <x:v>43AE204010766031C22ED812F5123566992F3</x:v>
      </x:c>
      <x:c r="I29" s="22" t="str">
        <x:v>직접자원단가</x:v>
      </x:c>
      <x:c r="J29" s="34" t="n">
        <x:v>1400</x:v>
      </x:c>
      <x:c r="K29" s="34" t="n">
        <x:v>0</x:v>
      </x:c>
      <x:c r="L29" s="34" t="n">
        <x:v>0</x:v>
      </x:c>
      <x:c r="M29" s="34" t="n">
        <x:f>SUM(J29:L29)</x:f>
        <x:v>1400</x:v>
      </x:c>
      <x:c r="N29" s="34" t="n">
        <x:f>G29*J29</x:f>
        <x:v>8.4</x:v>
      </x:c>
      <x:c r="O29" s="34" t="n">
        <x:f>G29*K29</x:f>
        <x:v>0</x:v>
      </x:c>
      <x:c r="P29" s="34" t="n">
        <x:f>G29*L29</x:f>
        <x:v>0</x:v>
      </x:c>
      <x:c r="Q29" s="34" t="n">
        <x:f>SUM(N29:P29)</x:f>
        <x:v>8.4</x:v>
      </x:c>
      <x:c r="R29" s="22" t="str">
        <x:f>IF(M29&gt;0,"복원","미복원")</x:f>
        <x:v>복원</x:v>
      </x:c>
      <x:c r="S29" s="37" t="n">
        <x:v>42</x:v>
      </x:c>
      <x:c r="T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" s="22" t="str">
        <x:f>A29&amp;"|"&amp;B29</x:f>
        <x:v>병원|C-010102</x:v>
      </x:c>
      <x:c r="V29" s="22" t="n">
        <x:f>IF(M29&gt;0,1,0)</x:f>
        <x:v>1</x:v>
      </x:c>
    </x:row>
    <x:row r="30" ht="28" customHeight="1">
      <x:c r="A30" s="22" t="str">
        <x:v>병원</x:v>
      </x:c>
      <x:c r="B30" s="31" t="str">
        <x:f>"C-010102"</x:f>
        <x:v>C-010102</x:v>
      </x:c>
      <x:c r="C30" s="25" t="str">
        <x:v>010102  STEEL STRUCTURE WORKS</x:v>
      </x:c>
      <x:c r="D30" s="25" t="str">
        <x:v>Steel Plate</x:v>
      </x:c>
      <x:c r="E30" s="25" t="str">
        <x:v>SM275, 8.0mm</x:v>
      </x:c>
      <x:c r="F30" s="22" t="str">
        <x:v>TON</x:v>
      </x:c>
      <x:c r="G30" s="28" t="n">
        <x:v>0.011</x:v>
      </x:c>
      <x:c r="H30" s="25" t="str">
        <x:v>43AE204010766031C22ED812F5123566992F2</x:v>
      </x:c>
      <x:c r="I30" s="22" t="str">
        <x:v>직접자원단가</x:v>
      </x:c>
      <x:c r="J30" s="34" t="n">
        <x:v>1400</x:v>
      </x:c>
      <x:c r="K30" s="34" t="n">
        <x:v>0</x:v>
      </x:c>
      <x:c r="L30" s="34" t="n">
        <x:v>0</x:v>
      </x:c>
      <x:c r="M30" s="34" t="n">
        <x:f>SUM(J30:L30)</x:f>
        <x:v>1400</x:v>
      </x:c>
      <x:c r="N30" s="34" t="n">
        <x:f>G30*J30</x:f>
        <x:v>15.399999999999999</x:v>
      </x:c>
      <x:c r="O30" s="34" t="n">
        <x:f>G30*K30</x:f>
        <x:v>0</x:v>
      </x:c>
      <x:c r="P30" s="34" t="n">
        <x:f>G30*L30</x:f>
        <x:v>0</x:v>
      </x:c>
      <x:c r="Q30" s="34" t="n">
        <x:f>SUM(N30:P30)</x:f>
        <x:v>15.399999999999999</x:v>
      </x:c>
      <x:c r="R30" s="22" t="str">
        <x:f>IF(M30&gt;0,"복원","미복원")</x:f>
        <x:v>복원</x:v>
      </x:c>
      <x:c r="S30" s="37" t="n">
        <x:v>43</x:v>
      </x:c>
      <x:c r="T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" s="22" t="str">
        <x:f>A30&amp;"|"&amp;B30</x:f>
        <x:v>병원|C-010102</x:v>
      </x:c>
      <x:c r="V30" s="22" t="n">
        <x:f>IF(M30&gt;0,1,0)</x:f>
        <x:v>1</x:v>
      </x:c>
    </x:row>
    <x:row r="31" ht="28" customHeight="1">
      <x:c r="A31" s="22" t="str">
        <x:v>병원</x:v>
      </x:c>
      <x:c r="B31" s="31" t="str">
        <x:f>"C-010102"</x:f>
        <x:v>C-010102</x:v>
      </x:c>
      <x:c r="C31" s="25" t="str">
        <x:v>010102  STEEL STRUCTURE WORKS</x:v>
      </x:c>
      <x:c r="D31" s="25" t="str">
        <x:v>Steel Plate</x:v>
      </x:c>
      <x:c r="E31" s="25" t="str">
        <x:v>SM275, 9.0mm</x:v>
      </x:c>
      <x:c r="F31" s="22" t="str">
        <x:v>TON</x:v>
      </x:c>
      <x:c r="G31" s="28" t="n">
        <x:v>0.008</x:v>
      </x:c>
      <x:c r="H31" s="25" t="str">
        <x:v>43AE204010766031C22ED812F5123566992F5</x:v>
      </x:c>
      <x:c r="I31" s="22" t="str">
        <x:v>직접자원단가</x:v>
      </x:c>
      <x:c r="J31" s="34" t="n">
        <x:v>1400</x:v>
      </x:c>
      <x:c r="K31" s="34" t="n">
        <x:v>0</x:v>
      </x:c>
      <x:c r="L31" s="34" t="n">
        <x:v>0</x:v>
      </x:c>
      <x:c r="M31" s="34" t="n">
        <x:f>SUM(J31:L31)</x:f>
        <x:v>1400</x:v>
      </x:c>
      <x:c r="N31" s="34" t="n">
        <x:f>G31*J31</x:f>
        <x:v>11.200000000000001</x:v>
      </x:c>
      <x:c r="O31" s="34" t="n">
        <x:f>G31*K31</x:f>
        <x:v>0</x:v>
      </x:c>
      <x:c r="P31" s="34" t="n">
        <x:f>G31*L31</x:f>
        <x:v>0</x:v>
      </x:c>
      <x:c r="Q31" s="34" t="n">
        <x:f>SUM(N31:P31)</x:f>
        <x:v>11.200000000000001</x:v>
      </x:c>
      <x:c r="R31" s="22" t="str">
        <x:f>IF(M31&gt;0,"복원","미복원")</x:f>
        <x:v>복원</x:v>
      </x:c>
      <x:c r="S31" s="37" t="n">
        <x:v>44</x:v>
      </x:c>
      <x:c r="T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" s="22" t="str">
        <x:f>A31&amp;"|"&amp;B31</x:f>
        <x:v>병원|C-010102</x:v>
      </x:c>
      <x:c r="V31" s="22" t="n">
        <x:f>IF(M31&gt;0,1,0)</x:f>
        <x:v>1</x:v>
      </x:c>
    </x:row>
    <x:row r="32" ht="28" customHeight="1">
      <x:c r="A32" s="22" t="str">
        <x:v>병원</x:v>
      </x:c>
      <x:c r="B32" s="31" t="str">
        <x:f>"C-010102"</x:f>
        <x:v>C-010102</x:v>
      </x:c>
      <x:c r="C32" s="25" t="str">
        <x:v>010102  STEEL STRUCTURE WORKS</x:v>
      </x:c>
      <x:c r="D32" s="25" t="str">
        <x:v>Steel Plate</x:v>
      </x:c>
      <x:c r="E32" s="25" t="str">
        <x:v>SM275, 12mm</x:v>
      </x:c>
      <x:c r="F32" s="22" t="str">
        <x:v>TON</x:v>
      </x:c>
      <x:c r="G32" s="28" t="n">
        <x:v>0.077</x:v>
      </x:c>
      <x:c r="H32" s="25" t="str">
        <x:v>43AE204010766031C22ED812F5123566992F4</x:v>
      </x:c>
      <x:c r="I32" s="22" t="str">
        <x:v>직접자원단가</x:v>
      </x:c>
      <x:c r="J32" s="34" t="n">
        <x:v>1400</x:v>
      </x:c>
      <x:c r="K32" s="34" t="n">
        <x:v>0</x:v>
      </x:c>
      <x:c r="L32" s="34" t="n">
        <x:v>0</x:v>
      </x:c>
      <x:c r="M32" s="34" t="n">
        <x:f>SUM(J32:L32)</x:f>
        <x:v>1400</x:v>
      </x:c>
      <x:c r="N32" s="34" t="n">
        <x:f>G32*J32</x:f>
        <x:v>107.8</x:v>
      </x:c>
      <x:c r="O32" s="34" t="n">
        <x:f>G32*K32</x:f>
        <x:v>0</x:v>
      </x:c>
      <x:c r="P32" s="34" t="n">
        <x:f>G32*L32</x:f>
        <x:v>0</x:v>
      </x:c>
      <x:c r="Q32" s="34" t="n">
        <x:f>SUM(N32:P32)</x:f>
        <x:v>107.8</x:v>
      </x:c>
      <x:c r="R32" s="22" t="str">
        <x:f>IF(M32&gt;0,"복원","미복원")</x:f>
        <x:v>복원</x:v>
      </x:c>
      <x:c r="S32" s="37" t="n">
        <x:v>45</x:v>
      </x:c>
      <x:c r="T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" s="22" t="str">
        <x:f>A32&amp;"|"&amp;B32</x:f>
        <x:v>병원|C-010102</x:v>
      </x:c>
      <x:c r="V32" s="22" t="n">
        <x:f>IF(M32&gt;0,1,0)</x:f>
        <x:v>1</x:v>
      </x:c>
    </x:row>
    <x:row r="33" ht="28" customHeight="1">
      <x:c r="A33" s="22" t="str">
        <x:v>병원</x:v>
      </x:c>
      <x:c r="B33" s="31" t="str">
        <x:f>"C-010102"</x:f>
        <x:v>C-010102</x:v>
      </x:c>
      <x:c r="C33" s="25" t="str">
        <x:v>010102  STEEL STRUCTURE WORKS</x:v>
      </x:c>
      <x:c r="D33" s="25" t="str">
        <x:v>Steel Plate</x:v>
      </x:c>
      <x:c r="E33" s="25" t="str">
        <x:v>SM275, 16mm</x:v>
      </x:c>
      <x:c r="F33" s="22" t="str">
        <x:v>TON</x:v>
      </x:c>
      <x:c r="G33" s="28" t="n">
        <x:v>0.052</x:v>
      </x:c>
      <x:c r="H33" s="25" t="str">
        <x:v>43AE204010766031C22ED812F5123566992F7</x:v>
      </x:c>
      <x:c r="I33" s="22" t="str">
        <x:v>직접자원단가</x:v>
      </x:c>
      <x:c r="J33" s="34" t="n">
        <x:v>1400</x:v>
      </x:c>
      <x:c r="K33" s="34" t="n">
        <x:v>0</x:v>
      </x:c>
      <x:c r="L33" s="34" t="n">
        <x:v>0</x:v>
      </x:c>
      <x:c r="M33" s="34" t="n">
        <x:f>SUM(J33:L33)</x:f>
        <x:v>1400</x:v>
      </x:c>
      <x:c r="N33" s="34" t="n">
        <x:f>G33*J33</x:f>
        <x:v>72.8</x:v>
      </x:c>
      <x:c r="O33" s="34" t="n">
        <x:f>G33*K33</x:f>
        <x:v>0</x:v>
      </x:c>
      <x:c r="P33" s="34" t="n">
        <x:f>G33*L33</x:f>
        <x:v>0</x:v>
      </x:c>
      <x:c r="Q33" s="34" t="n">
        <x:f>SUM(N33:P33)</x:f>
        <x:v>72.8</x:v>
      </x:c>
      <x:c r="R33" s="22" t="str">
        <x:f>IF(M33&gt;0,"복원","미복원")</x:f>
        <x:v>복원</x:v>
      </x:c>
      <x:c r="S33" s="37" t="n">
        <x:v>46</x:v>
      </x:c>
      <x:c r="T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" s="22" t="str">
        <x:f>A33&amp;"|"&amp;B33</x:f>
        <x:v>병원|C-010102</x:v>
      </x:c>
      <x:c r="V33" s="22" t="n">
        <x:f>IF(M33&gt;0,1,0)</x:f>
        <x:v>1</x:v>
      </x:c>
    </x:row>
    <x:row r="34" ht="28" customHeight="1">
      <x:c r="A34" s="22" t="str">
        <x:v>병원</x:v>
      </x:c>
      <x:c r="B34" s="31" t="str">
        <x:f>"C-010102"</x:f>
        <x:v>C-010102</x:v>
      </x:c>
      <x:c r="C34" s="25" t="str">
        <x:v>010102  STEEL STRUCTURE WORKS</x:v>
      </x:c>
      <x:c r="D34" s="25" t="str">
        <x:v>Steel Plate</x:v>
      </x:c>
      <x:c r="E34" s="25" t="str">
        <x:v>SM275, 22mm</x:v>
      </x:c>
      <x:c r="F34" s="22" t="str">
        <x:v>TON</x:v>
      </x:c>
      <x:c r="G34" s="28" t="n">
        <x:v>0.079</x:v>
      </x:c>
      <x:c r="H34" s="25" t="str">
        <x:v>43AE204010766031C22ED812F5123566992F6</x:v>
      </x:c>
      <x:c r="I34" s="22" t="str">
        <x:v>직접자원단가</x:v>
      </x:c>
      <x:c r="J34" s="34" t="n">
        <x:v>1400</x:v>
      </x:c>
      <x:c r="K34" s="34" t="n">
        <x:v>0</x:v>
      </x:c>
      <x:c r="L34" s="34" t="n">
        <x:v>0</x:v>
      </x:c>
      <x:c r="M34" s="34" t="n">
        <x:f>SUM(J34:L34)</x:f>
        <x:v>1400</x:v>
      </x:c>
      <x:c r="N34" s="34" t="n">
        <x:f>G34*J34</x:f>
        <x:v>110.6</x:v>
      </x:c>
      <x:c r="O34" s="34" t="n">
        <x:f>G34*K34</x:f>
        <x:v>0</x:v>
      </x:c>
      <x:c r="P34" s="34" t="n">
        <x:f>G34*L34</x:f>
        <x:v>0</x:v>
      </x:c>
      <x:c r="Q34" s="34" t="n">
        <x:f>SUM(N34:P34)</x:f>
        <x:v>110.6</x:v>
      </x:c>
      <x:c r="R34" s="22" t="str">
        <x:f>IF(M34&gt;0,"복원","미복원")</x:f>
        <x:v>복원</x:v>
      </x:c>
      <x:c r="S34" s="37" t="n">
        <x:v>47</x:v>
      </x:c>
      <x:c r="T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" s="22" t="str">
        <x:f>A34&amp;"|"&amp;B34</x:f>
        <x:v>병원|C-010102</x:v>
      </x:c>
      <x:c r="V34" s="22" t="n">
        <x:f>IF(M34&gt;0,1,0)</x:f>
        <x:v>1</x:v>
      </x:c>
    </x:row>
    <x:row r="35" ht="28" customHeight="1">
      <x:c r="A35" s="22" t="str">
        <x:v>병원</x:v>
      </x:c>
      <x:c r="B35" s="31" t="str">
        <x:f>"C-010102"</x:f>
        <x:v>C-010102</x:v>
      </x:c>
      <x:c r="C35" s="25" t="str">
        <x:v>010102  STEEL STRUCTURE WORKS</x:v>
      </x:c>
      <x:c r="D35" s="25" t="str">
        <x:v>Anchor Bolt</x:v>
      </x:c>
      <x:c r="E35" s="25" t="str">
        <x:v>M30*750mm</x:v>
      </x:c>
      <x:c r="F35" s="22" t="str">
        <x:v>EA</x:v>
      </x:c>
      <x:c r="G35" s="28" t="n">
        <x:v>17</x:v>
      </x:c>
      <x:c r="H35" s="25" t="str">
        <x:v>43AE204010766031C22ED812F5123566992F9</x:v>
      </x:c>
      <x:c r="I35" s="22" t="str">
        <x:v>직접자원단가</x:v>
      </x:c>
      <x:c r="J35" s="34" t="n">
        <x:v>20</x:v>
      </x:c>
      <x:c r="K35" s="34" t="n">
        <x:v>0</x:v>
      </x:c>
      <x:c r="L35" s="34" t="n">
        <x:v>0</x:v>
      </x:c>
      <x:c r="M35" s="34" t="n">
        <x:f>SUM(J35:L35)</x:f>
        <x:v>20</x:v>
      </x:c>
      <x:c r="N35" s="34" t="n">
        <x:f>G35*J35</x:f>
        <x:v>340</x:v>
      </x:c>
      <x:c r="O35" s="34" t="n">
        <x:f>G35*K35</x:f>
        <x:v>0</x:v>
      </x:c>
      <x:c r="P35" s="34" t="n">
        <x:f>G35*L35</x:f>
        <x:v>0</x:v>
      </x:c>
      <x:c r="Q35" s="34" t="n">
        <x:f>SUM(N35:P35)</x:f>
        <x:v>340</x:v>
      </x:c>
      <x:c r="R35" s="22" t="str">
        <x:f>IF(M35&gt;0,"복원","미복원")</x:f>
        <x:v>복원</x:v>
      </x:c>
      <x:c r="S35" s="37" t="n">
        <x:v>48</x:v>
      </x:c>
      <x:c r="T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" s="22" t="str">
        <x:f>A35&amp;"|"&amp;B35</x:f>
        <x:v>병원|C-010102</x:v>
      </x:c>
      <x:c r="V35" s="22" t="n">
        <x:f>IF(M35&gt;0,1,0)</x:f>
        <x:v>1</x:v>
      </x:c>
    </x:row>
    <x:row r="36" ht="28" customHeight="1">
      <x:c r="A36" s="22" t="str">
        <x:v>병원</x:v>
      </x:c>
      <x:c r="B36" s="31" t="str">
        <x:f>"C-010102"</x:f>
        <x:v>C-010102</x:v>
      </x:c>
      <x:c r="C36" s="25" t="str">
        <x:v>010102  STEEL STRUCTURE WORKS</x:v>
      </x:c>
      <x:c r="D36" s="25" t="str">
        <x:v>High Strength Bolt</x:v>
      </x:c>
      <x:c r="E36" s="25" t="str">
        <x:v>F10T, M20*50mm</x:v>
      </x:c>
      <x:c r="F36" s="22" t="str">
        <x:v>SET</x:v>
      </x:c>
      <x:c r="G36" s="28" t="n">
        <x:v>31</x:v>
      </x:c>
      <x:c r="H36" s="25" t="str">
        <x:v>43AE204010766031C22ED812F5123566992F8</x:v>
      </x:c>
      <x:c r="I36" s="22" t="str">
        <x:v>직접자원단가</x:v>
      </x:c>
      <x:c r="J36" s="34" t="n">
        <x:v>3</x:v>
      </x:c>
      <x:c r="K36" s="34" t="n">
        <x:v>0</x:v>
      </x:c>
      <x:c r="L36" s="34" t="n">
        <x:v>0</x:v>
      </x:c>
      <x:c r="M36" s="34" t="n">
        <x:f>SUM(J36:L36)</x:f>
        <x:v>3</x:v>
      </x:c>
      <x:c r="N36" s="34" t="n">
        <x:f>G36*J36</x:f>
        <x:v>93</x:v>
      </x:c>
      <x:c r="O36" s="34" t="n">
        <x:f>G36*K36</x:f>
        <x:v>0</x:v>
      </x:c>
      <x:c r="P36" s="34" t="n">
        <x:f>G36*L36</x:f>
        <x:v>0</x:v>
      </x:c>
      <x:c r="Q36" s="34" t="n">
        <x:f>SUM(N36:P36)</x:f>
        <x:v>93</x:v>
      </x:c>
      <x:c r="R36" s="22" t="str">
        <x:f>IF(M36&gt;0,"복원","미복원")</x:f>
        <x:v>복원</x:v>
      </x:c>
      <x:c r="S36" s="37" t="n">
        <x:v>49</x:v>
      </x:c>
      <x:c r="T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" s="22" t="str">
        <x:f>A36&amp;"|"&amp;B36</x:f>
        <x:v>병원|C-010102</x:v>
      </x:c>
      <x:c r="V36" s="22" t="n">
        <x:f>IF(M36&gt;0,1,0)</x:f>
        <x:v>1</x:v>
      </x:c>
    </x:row>
    <x:row r="37" ht="28" customHeight="1">
      <x:c r="A37" s="22" t="str">
        <x:v>병원</x:v>
      </x:c>
      <x:c r="B37" s="31" t="str">
        <x:f>"C-010102"</x:f>
        <x:v>C-010102</x:v>
      </x:c>
      <x:c r="C37" s="25" t="str">
        <x:v>010102  STEEL STRUCTURE WORKS</x:v>
      </x:c>
      <x:c r="D37" s="25" t="str">
        <x:v>High Strength Bolt</x:v>
      </x:c>
      <x:c r="E37" s="25" t="str">
        <x:v>F10T, M20*55mm</x:v>
      </x:c>
      <x:c r="F37" s="22" t="str">
        <x:v>SET</x:v>
      </x:c>
      <x:c r="G37" s="28" t="n">
        <x:v>50</x:v>
      </x:c>
      <x:c r="H37" s="25" t="str">
        <x:v>43AE204010766031C22ED812F5123566991EA</x:v>
      </x:c>
      <x:c r="I37" s="22" t="str">
        <x:v>직접자원단가</x:v>
      </x:c>
      <x:c r="J37" s="34" t="n">
        <x:v>3</x:v>
      </x:c>
      <x:c r="K37" s="34" t="n">
        <x:v>0</x:v>
      </x:c>
      <x:c r="L37" s="34" t="n">
        <x:v>0</x:v>
      </x:c>
      <x:c r="M37" s="34" t="n">
        <x:f>SUM(J37:L37)</x:f>
        <x:v>3</x:v>
      </x:c>
      <x:c r="N37" s="34" t="n">
        <x:f>G37*J37</x:f>
        <x:v>150</x:v>
      </x:c>
      <x:c r="O37" s="34" t="n">
        <x:f>G37*K37</x:f>
        <x:v>0</x:v>
      </x:c>
      <x:c r="P37" s="34" t="n">
        <x:f>G37*L37</x:f>
        <x:v>0</x:v>
      </x:c>
      <x:c r="Q37" s="34" t="n">
        <x:f>SUM(N37:P37)</x:f>
        <x:v>150</x:v>
      </x:c>
      <x:c r="R37" s="22" t="str">
        <x:f>IF(M37&gt;0,"복원","미복원")</x:f>
        <x:v>복원</x:v>
      </x:c>
      <x:c r="S37" s="37" t="n">
        <x:v>50</x:v>
      </x:c>
      <x:c r="T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" s="22" t="str">
        <x:f>A37&amp;"|"&amp;B37</x:f>
        <x:v>병원|C-010102</x:v>
      </x:c>
      <x:c r="V37" s="22" t="n">
        <x:f>IF(M37&gt;0,1,0)</x:f>
        <x:v>1</x:v>
      </x:c>
    </x:row>
    <x:row r="38" ht="28" customHeight="1">
      <x:c r="A38" s="22" t="str">
        <x:v>병원</x:v>
      </x:c>
      <x:c r="B38" s="31" t="str">
        <x:f>"C-010102"</x:f>
        <x:v>C-010102</x:v>
      </x:c>
      <x:c r="C38" s="25" t="str">
        <x:v>010102  STEEL STRUCTURE WORKS</x:v>
      </x:c>
      <x:c r="D38" s="25" t="str">
        <x:v>High Strength Bolt</x:v>
      </x:c>
      <x:c r="E38" s="25" t="str">
        <x:v>F10T, M20*60mm</x:v>
      </x:c>
      <x:c r="F38" s="22" t="str">
        <x:v>SET</x:v>
      </x:c>
      <x:c r="G38" s="28" t="n">
        <x:v>9</x:v>
      </x:c>
      <x:c r="H38" s="25" t="str">
        <x:v>43AE204010766031C22ED812F5123566991EB</x:v>
      </x:c>
      <x:c r="I38" s="22" t="str">
        <x:v>직접자원단가</x:v>
      </x:c>
      <x:c r="J38" s="34" t="n">
        <x:v>3</x:v>
      </x:c>
      <x:c r="K38" s="34" t="n">
        <x:v>0</x:v>
      </x:c>
      <x:c r="L38" s="34" t="n">
        <x:v>0</x:v>
      </x:c>
      <x:c r="M38" s="34" t="n">
        <x:f>SUM(J38:L38)</x:f>
        <x:v>3</x:v>
      </x:c>
      <x:c r="N38" s="34" t="n">
        <x:f>G38*J38</x:f>
        <x:v>27</x:v>
      </x:c>
      <x:c r="O38" s="34" t="n">
        <x:f>G38*K38</x:f>
        <x:v>0</x:v>
      </x:c>
      <x:c r="P38" s="34" t="n">
        <x:f>G38*L38</x:f>
        <x:v>0</x:v>
      </x:c>
      <x:c r="Q38" s="34" t="n">
        <x:f>SUM(N38:P38)</x:f>
        <x:v>27</x:v>
      </x:c>
      <x:c r="R38" s="22" t="str">
        <x:f>IF(M38&gt;0,"복원","미복원")</x:f>
        <x:v>복원</x:v>
      </x:c>
      <x:c r="S38" s="37" t="n">
        <x:v>51</x:v>
      </x:c>
      <x:c r="T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8" s="22" t="str">
        <x:f>A38&amp;"|"&amp;B38</x:f>
        <x:v>병원|C-010102</x:v>
      </x:c>
      <x:c r="V38" s="22" t="n">
        <x:f>IF(M38&gt;0,1,0)</x:f>
        <x:v>1</x:v>
      </x:c>
    </x:row>
    <x:row r="39" ht="28" customHeight="1">
      <x:c r="A39" s="22" t="str">
        <x:v>병원</x:v>
      </x:c>
      <x:c r="B39" s="31" t="str">
        <x:f>"C-010102"</x:f>
        <x:v>C-010102</x:v>
      </x:c>
      <x:c r="C39" s="25" t="str">
        <x:v>010102  STEEL STRUCTURE WORKS</x:v>
      </x:c>
      <x:c r="D39" s="25" t="str">
        <x:v>High Strength Bolt</x:v>
      </x:c>
      <x:c r="E39" s="25" t="str">
        <x:v>F10T, M20*65mm</x:v>
      </x:c>
      <x:c r="F39" s="22" t="str">
        <x:v>SET</x:v>
      </x:c>
      <x:c r="G39" s="28" t="n">
        <x:v>38</x:v>
      </x:c>
      <x:c r="H39" s="25" t="str">
        <x:v>43AE204010766031C22ED812F5123566991E8</x:v>
      </x:c>
      <x:c r="I39" s="22" t="str">
        <x:v>직접자원단가</x:v>
      </x:c>
      <x:c r="J39" s="34" t="n">
        <x:v>3</x:v>
      </x:c>
      <x:c r="K39" s="34" t="n">
        <x:v>0</x:v>
      </x:c>
      <x:c r="L39" s="34" t="n">
        <x:v>0</x:v>
      </x:c>
      <x:c r="M39" s="34" t="n">
        <x:f>SUM(J39:L39)</x:f>
        <x:v>3</x:v>
      </x:c>
      <x:c r="N39" s="34" t="n">
        <x:f>G39*J39</x:f>
        <x:v>114</x:v>
      </x:c>
      <x:c r="O39" s="34" t="n">
        <x:f>G39*K39</x:f>
        <x:v>0</x:v>
      </x:c>
      <x:c r="P39" s="34" t="n">
        <x:f>G39*L39</x:f>
        <x:v>0</x:v>
      </x:c>
      <x:c r="Q39" s="34" t="n">
        <x:f>SUM(N39:P39)</x:f>
        <x:v>114</x:v>
      </x:c>
      <x:c r="R39" s="22" t="str">
        <x:f>IF(M39&gt;0,"복원","미복원")</x:f>
        <x:v>복원</x:v>
      </x:c>
      <x:c r="S39" s="37" t="n">
        <x:v>52</x:v>
      </x:c>
      <x:c r="T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9" s="22" t="str">
        <x:f>A39&amp;"|"&amp;B39</x:f>
        <x:v>병원|C-010102</x:v>
      </x:c>
      <x:c r="V39" s="22" t="n">
        <x:f>IF(M39&gt;0,1,0)</x:f>
        <x:v>1</x:v>
      </x:c>
    </x:row>
    <x:row r="40" ht="28" customHeight="1">
      <x:c r="A40" s="22" t="str">
        <x:v>병원</x:v>
      </x:c>
      <x:c r="B40" s="31" t="str">
        <x:f>"C-010102"</x:f>
        <x:v>C-010102</x:v>
      </x:c>
      <x:c r="C40" s="25" t="str">
        <x:v>010102  STEEL STRUCTURE WORKS</x:v>
      </x:c>
      <x:c r="D40" s="25" t="str">
        <x:v>High Strength Bolt</x:v>
      </x:c>
      <x:c r="E40" s="25" t="str">
        <x:v>F10T, M20*70mm</x:v>
      </x:c>
      <x:c r="F40" s="22" t="str">
        <x:v>SET</x:v>
      </x:c>
      <x:c r="G40" s="28" t="n">
        <x:v>17</x:v>
      </x:c>
      <x:c r="H40" s="25" t="str">
        <x:v>43AE204010766031C22ED812F5123566991E9</x:v>
      </x:c>
      <x:c r="I40" s="22" t="str">
        <x:v>직접자원단가</x:v>
      </x:c>
      <x:c r="J40" s="34" t="n">
        <x:v>3</x:v>
      </x:c>
      <x:c r="K40" s="34" t="n">
        <x:v>0</x:v>
      </x:c>
      <x:c r="L40" s="34" t="n">
        <x:v>0</x:v>
      </x:c>
      <x:c r="M40" s="34" t="n">
        <x:f>SUM(J40:L40)</x:f>
        <x:v>3</x:v>
      </x:c>
      <x:c r="N40" s="34" t="n">
        <x:f>G40*J40</x:f>
        <x:v>51</x:v>
      </x:c>
      <x:c r="O40" s="34" t="n">
        <x:f>G40*K40</x:f>
        <x:v>0</x:v>
      </x:c>
      <x:c r="P40" s="34" t="n">
        <x:f>G40*L40</x:f>
        <x:v>0</x:v>
      </x:c>
      <x:c r="Q40" s="34" t="n">
        <x:f>SUM(N40:P40)</x:f>
        <x:v>51</x:v>
      </x:c>
      <x:c r="R40" s="22" t="str">
        <x:f>IF(M40&gt;0,"복원","미복원")</x:f>
        <x:v>복원</x:v>
      </x:c>
      <x:c r="S40" s="37" t="n">
        <x:v>53</x:v>
      </x:c>
      <x:c r="T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0" s="22" t="str">
        <x:f>A40&amp;"|"&amp;B40</x:f>
        <x:v>병원|C-010102</x:v>
      </x:c>
      <x:c r="V40" s="22" t="n">
        <x:f>IF(M40&gt;0,1,0)</x:f>
        <x:v>1</x:v>
      </x:c>
    </x:row>
    <x:row r="41" ht="28" customHeight="1">
      <x:c r="A41" s="22" t="str">
        <x:v>병원</x:v>
      </x:c>
      <x:c r="B41" s="31" t="str">
        <x:f>"C-010102"</x:f>
        <x:v>C-010102</x:v>
      </x:c>
      <x:c r="C41" s="25" t="str">
        <x:v>010102  STEEL STRUCTURE WORKS</x:v>
      </x:c>
      <x:c r="D41" s="25" t="str">
        <x:v>High Strength Bolt</x:v>
      </x:c>
      <x:c r="E41" s="25" t="str">
        <x:v>F10T, M20*80mm</x:v>
      </x:c>
      <x:c r="F41" s="22" t="str">
        <x:v>SET</x:v>
      </x:c>
      <x:c r="G41" s="28" t="n">
        <x:v>66</x:v>
      </x:c>
      <x:c r="H41" s="25" t="str">
        <x:v>43AE204010766031C22ED812F5123566991EE</x:v>
      </x:c>
      <x:c r="I41" s="22" t="str">
        <x:v>직접자원단가</x:v>
      </x:c>
      <x:c r="J41" s="34" t="n">
        <x:v>3</x:v>
      </x:c>
      <x:c r="K41" s="34" t="n">
        <x:v>0</x:v>
      </x:c>
      <x:c r="L41" s="34" t="n">
        <x:v>0</x:v>
      </x:c>
      <x:c r="M41" s="34" t="n">
        <x:f>SUM(J41:L41)</x:f>
        <x:v>3</x:v>
      </x:c>
      <x:c r="N41" s="34" t="n">
        <x:f>G41*J41</x:f>
        <x:v>198</x:v>
      </x:c>
      <x:c r="O41" s="34" t="n">
        <x:f>G41*K41</x:f>
        <x:v>0</x:v>
      </x:c>
      <x:c r="P41" s="34" t="n">
        <x:f>G41*L41</x:f>
        <x:v>0</x:v>
      </x:c>
      <x:c r="Q41" s="34" t="n">
        <x:f>SUM(N41:P41)</x:f>
        <x:v>198</x:v>
      </x:c>
      <x:c r="R41" s="22" t="str">
        <x:f>IF(M41&gt;0,"복원","미복원")</x:f>
        <x:v>복원</x:v>
      </x:c>
      <x:c r="S41" s="37" t="n">
        <x:v>54</x:v>
      </x:c>
      <x:c r="T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1" s="22" t="str">
        <x:f>A41&amp;"|"&amp;B41</x:f>
        <x:v>병원|C-010102</x:v>
      </x:c>
      <x:c r="V41" s="22" t="n">
        <x:f>IF(M41&gt;0,1,0)</x:f>
        <x:v>1</x:v>
      </x:c>
    </x:row>
    <x:row r="42" ht="28" customHeight="1">
      <x:c r="A42" s="22" t="str">
        <x:v>병원</x:v>
      </x:c>
      <x:c r="B42" s="31" t="str">
        <x:f>"C-010102"</x:f>
        <x:v>C-010102</x:v>
      </x:c>
      <x:c r="C42" s="25" t="str">
        <x:v>010102  STEEL STRUCTURE WORKS</x:v>
      </x:c>
      <x:c r="D42" s="25" t="str">
        <x:v>High Strength Bolt</x:v>
      </x:c>
      <x:c r="E42" s="25" t="str">
        <x:v>F10T, M16*40mm</x:v>
      </x:c>
      <x:c r="F42" s="22" t="str">
        <x:v>SET</x:v>
      </x:c>
      <x:c r="G42" s="28" t="n">
        <x:v>44</x:v>
      </x:c>
      <x:c r="H42" s="25" t="str">
        <x:v>43AE204010766031C22ED812F5123566991EF</x:v>
      </x:c>
      <x:c r="I42" s="22" t="str">
        <x:v>직접자원단가</x:v>
      </x:c>
      <x:c r="J42" s="34" t="n">
        <x:v>3</x:v>
      </x:c>
      <x:c r="K42" s="34" t="n">
        <x:v>0</x:v>
      </x:c>
      <x:c r="L42" s="34" t="n">
        <x:v>0</x:v>
      </x:c>
      <x:c r="M42" s="34" t="n">
        <x:f>SUM(J42:L42)</x:f>
        <x:v>3</x:v>
      </x:c>
      <x:c r="N42" s="34" t="n">
        <x:f>G42*J42</x:f>
        <x:v>132</x:v>
      </x:c>
      <x:c r="O42" s="34" t="n">
        <x:f>G42*K42</x:f>
        <x:v>0</x:v>
      </x:c>
      <x:c r="P42" s="34" t="n">
        <x:f>G42*L42</x:f>
        <x:v>0</x:v>
      </x:c>
      <x:c r="Q42" s="34" t="n">
        <x:f>SUM(N42:P42)</x:f>
        <x:v>132</x:v>
      </x:c>
      <x:c r="R42" s="22" t="str">
        <x:f>IF(M42&gt;0,"복원","미복원")</x:f>
        <x:v>복원</x:v>
      </x:c>
      <x:c r="S42" s="37" t="n">
        <x:v>55</x:v>
      </x:c>
      <x:c r="T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2" s="22" t="str">
        <x:f>A42&amp;"|"&amp;B42</x:f>
        <x:v>병원|C-010102</x:v>
      </x:c>
      <x:c r="V42" s="22" t="n">
        <x:f>IF(M42&gt;0,1,0)</x:f>
        <x:v>1</x:v>
      </x:c>
    </x:row>
    <x:row r="43" ht="28" customHeight="1">
      <x:c r="A43" s="22" t="str">
        <x:v>병원</x:v>
      </x:c>
      <x:c r="B43" s="31" t="str">
        <x:f>"C-010102"</x:f>
        <x:v>C-010102</x:v>
      </x:c>
      <x:c r="C43" s="25" t="str">
        <x:v>010102  STEEL STRUCTURE WORKS</x:v>
      </x:c>
      <x:c r="D43" s="25" t="str">
        <x:v>Anchor Bolt Install</x:v>
      </x:c>
      <x:c r="E43" s="25" t="str">
        <x:v>∮32</x:v>
      </x:c>
      <x:c r="F43" s="22" t="str">
        <x:v>EA</x:v>
      </x:c>
      <x:c r="G43" s="28" t="n">
        <x:v>16</x:v>
      </x:c>
      <x:c r="H43" s="25" t="str">
        <x:v>43AE204010766031C22ED812F5123566991EC</x:v>
      </x:c>
      <x:c r="I43" s="22" t="str">
        <x:v>직접자원단가</x:v>
      </x:c>
      <x:c r="J43" s="34" t="n">
        <x:v>20</x:v>
      </x:c>
      <x:c r="K43" s="34" t="n">
        <x:v>19.76</x:v>
      </x:c>
      <x:c r="L43" s="34" t="n">
        <x:v>0.4</x:v>
      </x:c>
      <x:c r="M43" s="34" t="n">
        <x:f>SUM(J43:L43)</x:f>
        <x:v>40.160000000000004</x:v>
      </x:c>
      <x:c r="N43" s="34" t="n">
        <x:f>G43*J43</x:f>
        <x:v>320</x:v>
      </x:c>
      <x:c r="O43" s="34" t="n">
        <x:f>G43*K43</x:f>
        <x:v>316.16</x:v>
      </x:c>
      <x:c r="P43" s="34" t="n">
        <x:f>G43*L43</x:f>
        <x:v>6.4</x:v>
      </x:c>
      <x:c r="Q43" s="34" t="n">
        <x:f>SUM(N43:P43)</x:f>
        <x:v>642.5600000000001</x:v>
      </x:c>
      <x:c r="R43" s="22" t="str">
        <x:f>IF(M43&gt;0,"복원","미복원")</x:f>
        <x:v>복원</x:v>
      </x:c>
      <x:c r="S43" s="37" t="n">
        <x:v>56</x:v>
      </x:c>
      <x:c r="T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3" s="22" t="str">
        <x:f>A43&amp;"|"&amp;B43</x:f>
        <x:v>병원|C-010102</x:v>
      </x:c>
      <x:c r="V43" s="22" t="n">
        <x:f>IF(M43&gt;0,1,0)</x:f>
        <x:v>1</x:v>
      </x:c>
    </x:row>
    <x:row r="44" ht="28" customHeight="1">
      <x:c r="A44" s="22" t="str">
        <x:v>병원</x:v>
      </x:c>
      <x:c r="B44" s="31" t="str">
        <x:f>"C-010102"</x:f>
        <x:v>C-010102</x:v>
      </x:c>
      <x:c r="C44" s="25" t="str">
        <x:v>010102  STEEL STRUCTURE WORKS</x:v>
      </x:c>
      <x:c r="D44" s="25" t="str">
        <x:v>Stud Bolt Installer</x:v>
      </x:c>
      <x:c r="E44" s="25" t="str">
        <x:v>M22*180</x:v>
      </x:c>
      <x:c r="F44" s="22" t="str">
        <x:v>EA</x:v>
      </x:c>
      <x:c r="G44" s="28" t="n">
        <x:v>12</x:v>
      </x:c>
      <x:c r="H44" s="25" t="str">
        <x:v>43AE204010766031C22ED812F5123566991ED</x:v>
      </x:c>
      <x:c r="I44" s="22" t="str">
        <x:v>직접자원단가</x:v>
      </x:c>
      <x:c r="J44" s="34" t="n">
        <x:v>0.79</x:v>
      </x:c>
      <x:c r="K44" s="34" t="n">
        <x:v>0.19</x:v>
      </x:c>
      <x:c r="L44" s="34" t="n">
        <x:v>0.05</x:v>
      </x:c>
      <x:c r="M44" s="34" t="n">
        <x:f>SUM(J44:L44)</x:f>
        <x:v>1.03</x:v>
      </x:c>
      <x:c r="N44" s="34" t="n">
        <x:f>G44*J44</x:f>
        <x:v>9.48</x:v>
      </x:c>
      <x:c r="O44" s="34" t="n">
        <x:f>G44*K44</x:f>
        <x:v>2.2800000000000002</x:v>
      </x:c>
      <x:c r="P44" s="34" t="n">
        <x:f>G44*L44</x:f>
        <x:v>0.6000000000000001</x:v>
      </x:c>
      <x:c r="Q44" s="34" t="n">
        <x:f>SUM(N44:P44)</x:f>
        <x:v>12.360000000000001</x:v>
      </x:c>
      <x:c r="R44" s="22" t="str">
        <x:f>IF(M44&gt;0,"복원","미복원")</x:f>
        <x:v>복원</x:v>
      </x:c>
      <x:c r="S44" s="37" t="n">
        <x:v>57</x:v>
      </x:c>
      <x:c r="T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4" s="22" t="str">
        <x:f>A44&amp;"|"&amp;B44</x:f>
        <x:v>병원|C-010102</x:v>
      </x:c>
      <x:c r="V44" s="22" t="n">
        <x:f>IF(M44&gt;0,1,0)</x:f>
        <x:v>1</x:v>
      </x:c>
    </x:row>
    <x:row r="45" ht="28" customHeight="1">
      <x:c r="A45" s="22" t="str">
        <x:v>병원</x:v>
      </x:c>
      <x:c r="B45" s="31" t="str">
        <x:f>"C-010102"</x:f>
        <x:v>C-010102</x:v>
      </x:c>
      <x:c r="C45" s="25" t="str">
        <x:v>010102  STEEL STRUCTURE WORKS</x:v>
      </x:c>
      <x:c r="D45" s="25" t="str">
        <x:v>Non Shrink Mortar</x:v>
      </x:c>
      <x:c r="E45" s="25" t="str">
        <x:v>590*590*30mm</x:v>
      </x:c>
      <x:c r="F45" s="22" t="str">
        <x:v>EA</x:v>
      </x:c>
      <x:c r="G45" s="28" t="n">
        <x:v>2</x:v>
      </x:c>
      <x:c r="H45" s="25" t="str">
        <x:v>43AE204010766031C22ED812F5123566991E2</x:v>
      </x:c>
      <x:c r="I45" s="22" t="str">
        <x:v>직접자원단가</x:v>
      </x:c>
      <x:c r="J45" s="34" t="n">
        <x:v>6.88</x:v>
      </x:c>
      <x:c r="K45" s="34" t="n">
        <x:v>22.65</x:v>
      </x:c>
      <x:c r="L45" s="34" t="n">
        <x:v>0</x:v>
      </x:c>
      <x:c r="M45" s="34" t="n">
        <x:f>SUM(J45:L45)</x:f>
        <x:v>29.529999999999998</x:v>
      </x:c>
      <x:c r="N45" s="34" t="n">
        <x:f>G45*J45</x:f>
        <x:v>13.76</x:v>
      </x:c>
      <x:c r="O45" s="34" t="n">
        <x:f>G45*K45</x:f>
        <x:v>45.3</x:v>
      </x:c>
      <x:c r="P45" s="34" t="n">
        <x:f>G45*L45</x:f>
        <x:v>0</x:v>
      </x:c>
      <x:c r="Q45" s="34" t="n">
        <x:f>SUM(N45:P45)</x:f>
        <x:v>59.059999999999995</x:v>
      </x:c>
      <x:c r="R45" s="22" t="str">
        <x:f>IF(M45&gt;0,"복원","미복원")</x:f>
        <x:v>복원</x:v>
      </x:c>
      <x:c r="S45" s="37" t="n">
        <x:v>58</x:v>
      </x:c>
      <x:c r="T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5" s="22" t="str">
        <x:f>A45&amp;"|"&amp;B45</x:f>
        <x:v>병원|C-010102</x:v>
      </x:c>
      <x:c r="V45" s="22" t="n">
        <x:f>IF(M45&gt;0,1,0)</x:f>
        <x:v>1</x:v>
      </x:c>
    </x:row>
    <x:row r="46" ht="28" customHeight="1">
      <x:c r="A46" s="22" t="str">
        <x:v>병원</x:v>
      </x:c>
      <x:c r="B46" s="31" t="str">
        <x:f>"C-010102"</x:f>
        <x:v>C-010102</x:v>
      </x:c>
      <x:c r="C46" s="25" t="str">
        <x:v>010102  STEEL STRUCTURE WORKS</x:v>
      </x:c>
      <x:c r="D46" s="25" t="str">
        <x:v>Rust Resisting Paint</x:v>
      </x:c>
      <x:c r="E46" s="25" t="str">
        <x:v>Steel Structure Face</x:v>
      </x:c>
      <x:c r="F46" s="22" t="str">
        <x:v>M2</x:v>
      </x:c>
      <x:c r="G46" s="28" t="n">
        <x:v>186</x:v>
      </x:c>
      <x:c r="H46" s="25" t="str">
        <x:v>43AE204010766031C22ED812F5123566991E3</x:v>
      </x:c>
      <x:c r="I46" s="22" t="str">
        <x:v>직접자원단가</x:v>
      </x:c>
      <x:c r="J46" s="34" t="n">
        <x:v>1</x:v>
      </x:c>
      <x:c r="K46" s="34" t="n">
        <x:v>0.29</x:v>
      </x:c>
      <x:c r="L46" s="34" t="n">
        <x:v>0.03</x:v>
      </x:c>
      <x:c r="M46" s="34" t="n">
        <x:f>SUM(J46:L46)</x:f>
        <x:v>1.32</x:v>
      </x:c>
      <x:c r="N46" s="34" t="n">
        <x:f>G46*J46</x:f>
        <x:v>186</x:v>
      </x:c>
      <x:c r="O46" s="34" t="n">
        <x:f>G46*K46</x:f>
        <x:v>53.94</x:v>
      </x:c>
      <x:c r="P46" s="34" t="n">
        <x:f>G46*L46</x:f>
        <x:v>5.58</x:v>
      </x:c>
      <x:c r="Q46" s="34" t="n">
        <x:f>SUM(N46:P46)</x:f>
        <x:v>245.52</x:v>
      </x:c>
      <x:c r="R46" s="22" t="str">
        <x:f>IF(M46&gt;0,"복원","미복원")</x:f>
        <x:v>복원</x:v>
      </x:c>
      <x:c r="S46" s="37" t="n">
        <x:v>59</x:v>
      </x:c>
      <x:c r="T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6" s="22" t="str">
        <x:f>A46&amp;"|"&amp;B46</x:f>
        <x:v>병원|C-010102</x:v>
      </x:c>
      <x:c r="V46" s="22" t="n">
        <x:f>IF(M46&gt;0,1,0)</x:f>
        <x:v>1</x:v>
      </x:c>
    </x:row>
    <x:row r="47" ht="28" customHeight="1">
      <x:c r="A47" s="22" t="str">
        <x:v>병원</x:v>
      </x:c>
      <x:c r="B47" s="31" t="str">
        <x:f>"C-010102"</x:f>
        <x:v>C-010102</x:v>
      </x:c>
      <x:c r="C47" s="25" t="str">
        <x:v>010102  STEEL STRUCTURE WORKS</x:v>
      </x:c>
      <x:c r="D47" s="25" t="str">
        <x:v>Ready Mixed Paint</x:v>
      </x:c>
      <x:c r="E47" s="25" t="str">
        <x:v>Steel Structure Face</x:v>
      </x:c>
      <x:c r="F47" s="22" t="str">
        <x:v>M2</x:v>
      </x:c>
      <x:c r="G47" s="28" t="n">
        <x:v>180</x:v>
      </x:c>
      <x:c r="H47" s="25" t="str">
        <x:v>43AE204010766031C22ED812F5123566990C4</x:v>
      </x:c>
      <x:c r="I47" s="22" t="str">
        <x:v>직접자원단가</x:v>
      </x:c>
      <x:c r="J47" s="34" t="n">
        <x:v>1</x:v>
      </x:c>
      <x:c r="K47" s="34" t="n">
        <x:v>0.58</x:v>
      </x:c>
      <x:c r="L47" s="34" t="n">
        <x:v>0.06</x:v>
      </x:c>
      <x:c r="M47" s="34" t="n">
        <x:f>SUM(J47:L47)</x:f>
        <x:v>1.6400000000000001</x:v>
      </x:c>
      <x:c r="N47" s="34" t="n">
        <x:f>G47*J47</x:f>
        <x:v>180</x:v>
      </x:c>
      <x:c r="O47" s="34" t="n">
        <x:f>G47*K47</x:f>
        <x:v>104.39999999999999</x:v>
      </x:c>
      <x:c r="P47" s="34" t="n">
        <x:f>G47*L47</x:f>
        <x:v>10.799999999999999</x:v>
      </x:c>
      <x:c r="Q47" s="34" t="n">
        <x:f>SUM(N47:P47)</x:f>
        <x:v>295.2</x:v>
      </x:c>
      <x:c r="R47" s="22" t="str">
        <x:f>IF(M47&gt;0,"복원","미복원")</x:f>
        <x:v>복원</x:v>
      </x:c>
      <x:c r="S47" s="37" t="n">
        <x:v>60</x:v>
      </x:c>
      <x:c r="T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7" s="22" t="str">
        <x:f>A47&amp;"|"&amp;B47</x:f>
        <x:v>병원|C-010102</x:v>
      </x:c>
      <x:c r="V47" s="22" t="n">
        <x:f>IF(M47&gt;0,1,0)</x:f>
        <x:v>1</x:v>
      </x:c>
    </x:row>
    <x:row r="48" ht="28" customHeight="1">
      <x:c r="A48" s="22" t="str">
        <x:v>병원</x:v>
      </x:c>
      <x:c r="B48" s="31" t="str">
        <x:f>"C-010103"</x:f>
        <x:v>C-010103</x:v>
      </x:c>
      <x:c r="C48" s="25" t="str">
        <x:v>010103  MASONRY WORKS</x:v>
      </x:c>
      <x:c r="D48" s="25" t="str">
        <x:v>Brick</x:v>
      </x:c>
      <x:c r="E48" s="25" t="str">
        <x:v>190*90*57, FOR Interior wall</x:v>
      </x:c>
      <x:c r="F48" s="22" t="str">
        <x:v>EA</x:v>
      </x:c>
      <x:c r="G48" s="28" t="n">
        <x:v>344384</x:v>
      </x:c>
      <x:c r="H48" s="25" t="str">
        <x:v>43AE2142BE708CFFD20BAA9FB5BFCB1E3CD03</x:v>
      </x:c>
      <x:c r="I48" s="22" t="str">
        <x:v>직접자원단가</x:v>
      </x:c>
      <x:c r="J48" s="34" t="n">
        <x:v>0.3</x:v>
      </x:c>
      <x:c r="K48" s="34" t="n">
        <x:v>0.03</x:v>
      </x:c>
      <x:c r="L48" s="34" t="n">
        <x:v>0</x:v>
      </x:c>
      <x:c r="M48" s="34" t="n">
        <x:f>SUM(J48:L48)</x:f>
        <x:v>0.32999999999999996</x:v>
      </x:c>
      <x:c r="N48" s="34" t="n">
        <x:f>G48*J48</x:f>
        <x:v>103315.2</x:v>
      </x:c>
      <x:c r="O48" s="34" t="n">
        <x:f>G48*K48</x:f>
        <x:v>10331.52</x:v>
      </x:c>
      <x:c r="P48" s="34" t="n">
        <x:f>G48*L48</x:f>
        <x:v>0</x:v>
      </x:c>
      <x:c r="Q48" s="34" t="n">
        <x:f>SUM(N48:P48)</x:f>
        <x:v>113646.72</x:v>
      </x:c>
      <x:c r="R48" s="22" t="str">
        <x:f>IF(M48&gt;0,"복원","미복원")</x:f>
        <x:v>복원</x:v>
      </x:c>
      <x:c r="S48" s="37" t="n">
        <x:v>77</x:v>
      </x:c>
      <x:c r="T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8" s="22" t="str">
        <x:f>A48&amp;"|"&amp;B48</x:f>
        <x:v>병원|C-010103</x:v>
      </x:c>
      <x:c r="V48" s="22" t="n">
        <x:f>IF(M48&gt;0,1,0)</x:f>
        <x:v>1</x:v>
      </x:c>
    </x:row>
    <x:row r="49" ht="28" customHeight="1">
      <x:c r="A49" s="22" t="str">
        <x:v>병원</x:v>
      </x:c>
      <x:c r="B49" s="31" t="str">
        <x:f>"C-010103"</x:f>
        <x:v>C-010103</x:v>
      </x:c>
      <x:c r="C49" s="25" t="str">
        <x:v>010103  MASONRY WORKS</x:v>
      </x:c>
      <x:c r="D49" s="25" t="str">
        <x:v>100mm thick brick, Interior wall</x:v>
      </x:c>
      <x:c r="E49" s="25" t="str"/>
      <x:c r="F49" s="22" t="str">
        <x:v>M2</x:v>
      </x:c>
      <x:c r="G49" s="28" t="n">
        <x:v>1039</x:v>
      </x:c>
      <x:c r="H49" s="25" t="str">
        <x:v>4531284DDC776A4702EA22A0C0638FB35052E</x:v>
      </x:c>
      <x:c r="I49" s="22" t="str">
        <x:v>직접자원단가</x:v>
      </x:c>
      <x:c r="J49" s="34" t="n">
        <x:v>6</x:v>
      </x:c>
      <x:c r="K49" s="34" t="n">
        <x:v>4</x:v>
      </x:c>
      <x:c r="L49" s="34" t="n">
        <x:v>0.21</x:v>
      </x:c>
      <x:c r="M49" s="34" t="n">
        <x:f>SUM(J49:L49)</x:f>
        <x:v>10.21</x:v>
      </x:c>
      <x:c r="N49" s="34" t="n">
        <x:f>G49*J49</x:f>
        <x:v>6234</x:v>
      </x:c>
      <x:c r="O49" s="34" t="n">
        <x:f>G49*K49</x:f>
        <x:v>4156</x:v>
      </x:c>
      <x:c r="P49" s="34" t="n">
        <x:f>G49*L49</x:f>
        <x:v>218.19</x:v>
      </x:c>
      <x:c r="Q49" s="34" t="n">
        <x:f>SUM(N49:P49)</x:f>
        <x:v>10608.19</x:v>
      </x:c>
      <x:c r="R49" s="22" t="str">
        <x:f>IF(M49&gt;0,"복원","미복원")</x:f>
        <x:v>복원</x:v>
      </x:c>
      <x:c r="S49" s="37" t="n">
        <x:v>78</x:v>
      </x:c>
      <x:c r="T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49" s="22" t="str">
        <x:f>A49&amp;"|"&amp;B49</x:f>
        <x:v>병원|C-010103</x:v>
      </x:c>
      <x:c r="V49" s="22" t="n">
        <x:f>IF(M49&gt;0,1,0)</x:f>
        <x:v>1</x:v>
      </x:c>
    </x:row>
    <x:row r="50" ht="28" customHeight="1">
      <x:c r="A50" s="22" t="str">
        <x:v>병원</x:v>
      </x:c>
      <x:c r="B50" s="31" t="str">
        <x:f>"C-010103"</x:f>
        <x:v>C-010103</x:v>
      </x:c>
      <x:c r="C50" s="25" t="str">
        <x:v>010103  MASONRY WORKS</x:v>
      </x:c>
      <x:c r="D50" s="25" t="str">
        <x:v>200mm thick brick, Interior wall</x:v>
      </x:c>
      <x:c r="E50" s="25" t="str"/>
      <x:c r="F50" s="22" t="str">
        <x:v>M2</x:v>
      </x:c>
      <x:c r="G50" s="28" t="n">
        <x:v>1677</x:v>
      </x:c>
      <x:c r="H50" s="25" t="str">
        <x:v>4531284DDC776A4702EA22A0C0638FB350521</x:v>
      </x:c>
      <x:c r="I50" s="22" t="str">
        <x:v>직접자원단가</x:v>
      </x:c>
      <x:c r="J50" s="34" t="n">
        <x:v>7</x:v>
      </x:c>
      <x:c r="K50" s="34" t="n">
        <x:v>4</x:v>
      </x:c>
      <x:c r="L50" s="34" t="n">
        <x:v>0.21</x:v>
      </x:c>
      <x:c r="M50" s="34" t="n">
        <x:f>SUM(J50:L50)</x:f>
        <x:v>11.21</x:v>
      </x:c>
      <x:c r="N50" s="34" t="n">
        <x:f>G50*J50</x:f>
        <x:v>11739</x:v>
      </x:c>
      <x:c r="O50" s="34" t="n">
        <x:f>G50*K50</x:f>
        <x:v>6708</x:v>
      </x:c>
      <x:c r="P50" s="34" t="n">
        <x:f>G50*L50</x:f>
        <x:v>352.16999999999996</x:v>
      </x:c>
      <x:c r="Q50" s="34" t="n">
        <x:f>SUM(N50:P50)</x:f>
        <x:v>18799.17</x:v>
      </x:c>
      <x:c r="R50" s="22" t="str">
        <x:f>IF(M50&gt;0,"복원","미복원")</x:f>
        <x:v>복원</x:v>
      </x:c>
      <x:c r="S50" s="37" t="n">
        <x:v>79</x:v>
      </x:c>
      <x:c r="T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0" s="22" t="str">
        <x:f>A50&amp;"|"&amp;B50</x:f>
        <x:v>병원|C-010103</x:v>
      </x:c>
      <x:c r="V50" s="22" t="n">
        <x:f>IF(M50&gt;0,1,0)</x:f>
        <x:v>1</x:v>
      </x:c>
    </x:row>
    <x:row r="51" ht="28" customHeight="1">
      <x:c r="A51" s="22" t="str">
        <x:v>병원</x:v>
      </x:c>
      <x:c r="B51" s="31" t="str">
        <x:f>"C-010103"</x:f>
        <x:v>C-010103</x:v>
      </x:c>
      <x:c r="C51" s="25" t="str">
        <x:v>010103  MASONRY WORKS</x:v>
      </x:c>
      <x:c r="D51" s="25" t="str">
        <x:v>Concrete Lintel, 200mm thick</x:v>
      </x:c>
      <x:c r="E51" s="25" t="str"/>
      <x:c r="F51" s="22" t="str">
        <x:v>M</x:v>
      </x:c>
      <x:c r="G51" s="28" t="n">
        <x:v>120</x:v>
      </x:c>
      <x:c r="H51" s="25" t="str">
        <x:v>4531284DDC776A4702EA22A0C0638FB350520</x:v>
      </x:c>
      <x:c r="I51" s="22" t="str">
        <x:v>직접자원단가</x:v>
      </x:c>
      <x:c r="J51" s="34" t="n">
        <x:v>4</x:v>
      </x:c>
      <x:c r="K51" s="34" t="n">
        <x:v>5</x:v>
      </x:c>
      <x:c r="L51" s="34" t="n">
        <x:v>0</x:v>
      </x:c>
      <x:c r="M51" s="34" t="n">
        <x:f>SUM(J51:L51)</x:f>
        <x:v>9</x:v>
      </x:c>
      <x:c r="N51" s="34" t="n">
        <x:f>G51*J51</x:f>
        <x:v>480</x:v>
      </x:c>
      <x:c r="O51" s="34" t="n">
        <x:f>G51*K51</x:f>
        <x:v>600</x:v>
      </x:c>
      <x:c r="P51" s="34" t="n">
        <x:f>G51*L51</x:f>
        <x:v>0</x:v>
      </x:c>
      <x:c r="Q51" s="34" t="n">
        <x:f>SUM(N51:P51)</x:f>
        <x:v>1080</x:v>
      </x:c>
      <x:c r="R51" s="22" t="str">
        <x:f>IF(M51&gt;0,"복원","미복원")</x:f>
        <x:v>복원</x:v>
      </x:c>
      <x:c r="S51" s="37" t="n">
        <x:v>80</x:v>
      </x:c>
      <x:c r="T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1" s="22" t="str">
        <x:f>A51&amp;"|"&amp;B51</x:f>
        <x:v>병원|C-010103</x:v>
      </x:c>
      <x:c r="V51" s="22" t="n">
        <x:f>IF(M51&gt;0,1,0)</x:f>
        <x:v>1</x:v>
      </x:c>
    </x:row>
    <x:row r="52" ht="28" customHeight="1">
      <x:c r="A52" s="22" t="str">
        <x:v>병원</x:v>
      </x:c>
      <x:c r="B52" s="31" t="str">
        <x:f>"C-010103"</x:f>
        <x:v>C-010103</x:v>
      </x:c>
      <x:c r="C52" s="25" t="str">
        <x:v>010103  MASONRY WORKS</x:v>
      </x:c>
      <x:c r="D52" s="25" t="str">
        <x:v>Concrete Curbs, 200mm thick</x:v>
      </x:c>
      <x:c r="E52" s="25" t="str"/>
      <x:c r="F52" s="22" t="str">
        <x:v>M</x:v>
      </x:c>
      <x:c r="G52" s="28" t="n">
        <x:v>175</x:v>
      </x:c>
      <x:c r="H52" s="25" t="str">
        <x:v>4482294B6B783411C23D19F244E22</x:v>
      </x:c>
      <x:c r="I52" s="22" t="str">
        <x:v>복합일위대가</x:v>
      </x:c>
      <x:c r="J52" s="34" t="n">
        <x:v>7.94</x:v>
      </x:c>
      <x:c r="K52" s="34" t="n">
        <x:v>9.51</x:v>
      </x:c>
      <x:c r="L52" s="34" t="n">
        <x:v>0.22</x:v>
      </x:c>
      <x:c r="M52" s="34" t="n">
        <x:f>SUM(J52:L52)</x:f>
        <x:v>17.669999999999998</x:v>
      </x:c>
      <x:c r="N52" s="34" t="n">
        <x:f>G52*J52</x:f>
        <x:v>1389.5</x:v>
      </x:c>
      <x:c r="O52" s="34" t="n">
        <x:f>G52*K52</x:f>
        <x:v>1664.25</x:v>
      </x:c>
      <x:c r="P52" s="34" t="n">
        <x:f>G52*L52</x:f>
        <x:v>38.5</x:v>
      </x:c>
      <x:c r="Q52" s="34" t="n">
        <x:f>SUM(N52:P52)</x:f>
        <x:v>3092.25</x:v>
      </x:c>
      <x:c r="R52" s="22" t="str">
        <x:f>IF(M52&gt;0,"복원","미복원")</x:f>
        <x:v>복원</x:v>
      </x:c>
      <x:c r="S52" s="37" t="n">
        <x:v>81</x:v>
      </x:c>
      <x:c r="T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2" s="22" t="str">
        <x:f>A52&amp;"|"&amp;B52</x:f>
        <x:v>병원|C-010103</x:v>
      </x:c>
      <x:c r="V52" s="22" t="n">
        <x:f>IF(M52&gt;0,1,0)</x:f>
        <x:v>1</x:v>
      </x:c>
    </x:row>
    <x:row r="53" ht="28" customHeight="1">
      <x:c r="A53" s="22" t="str">
        <x:v>병원</x:v>
      </x:c>
      <x:c r="B53" s="31" t="str">
        <x:f>"C-010103"</x:f>
        <x:v>C-010103</x:v>
      </x:c>
      <x:c r="C53" s="25" t="str">
        <x:v>010103  MASONRY WORKS</x:v>
      </x:c>
      <x:c r="D53" s="25" t="str">
        <x:v>Concrete Curbs, 100mm thick</x:v>
      </x:c>
      <x:c r="E53" s="25" t="str"/>
      <x:c r="F53" s="22" t="str">
        <x:v>M</x:v>
      </x:c>
      <x:c r="G53" s="28" t="n">
        <x:v>350</x:v>
      </x:c>
      <x:c r="H53" s="25" t="str">
        <x:v>4482294B6B783411C23D2A6157EE3</x:v>
      </x:c>
      <x:c r="I53" s="22" t="str">
        <x:v>복합일위대가</x:v>
      </x:c>
      <x:c r="J53" s="34" t="n">
        <x:v>6.94</x:v>
      </x:c>
      <x:c r="K53" s="34" t="n">
        <x:v>6.51</x:v>
      </x:c>
      <x:c r="L53" s="34" t="n">
        <x:v>0.22</x:v>
      </x:c>
      <x:c r="M53" s="34" t="n">
        <x:f>SUM(J53:L53)</x:f>
        <x:v>13.67</x:v>
      </x:c>
      <x:c r="N53" s="34" t="n">
        <x:f>G53*J53</x:f>
        <x:v>2429</x:v>
      </x:c>
      <x:c r="O53" s="34" t="n">
        <x:f>G53*K53</x:f>
        <x:v>2278.5</x:v>
      </x:c>
      <x:c r="P53" s="34" t="n">
        <x:f>G53*L53</x:f>
        <x:v>77</x:v>
      </x:c>
      <x:c r="Q53" s="34" t="n">
        <x:f>SUM(N53:P53)</x:f>
        <x:v>4784.5</x:v>
      </x:c>
      <x:c r="R53" s="22" t="str">
        <x:f>IF(M53&gt;0,"복원","미복원")</x:f>
        <x:v>복원</x:v>
      </x:c>
      <x:c r="S53" s="37" t="n">
        <x:v>82</x:v>
      </x:c>
      <x:c r="T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3" s="22" t="str">
        <x:f>A53&amp;"|"&amp;B53</x:f>
        <x:v>병원|C-010103</x:v>
      </x:c>
      <x:c r="V53" s="22" t="n">
        <x:f>IF(M53&gt;0,1,0)</x:f>
        <x:v>1</x:v>
      </x:c>
    </x:row>
    <x:row r="54" ht="28" customHeight="1">
      <x:c r="A54" s="22" t="str">
        <x:v>병원</x:v>
      </x:c>
      <x:c r="B54" s="31" t="str">
        <x:f>"C-010104"</x:f>
        <x:v>C-010104</x:v>
      </x:c>
      <x:c r="C54" s="25" t="str">
        <x:v>010104  STONE WORKS</x:v>
      </x:c>
      <x:c r="D54" s="25" t="str">
        <x:v>Basin counter/toilet W:600</x:v>
      </x:c>
      <x:c r="E54" s="25" t="str"/>
      <x:c r="F54" s="22" t="str">
        <x:v>M</x:v>
      </x:c>
      <x:c r="G54" s="28" t="n">
        <x:v>11</x:v>
      </x:c>
      <x:c r="H54" s="25" t="str">
        <x:v>4531284DDC776A4702EA22A0C0638FB350402</x:v>
      </x:c>
      <x:c r="I54" s="22" t="str">
        <x:v>직접자원단가</x:v>
      </x:c>
      <x:c r="J54" s="34" t="n">
        <x:v>69</x:v>
      </x:c>
      <x:c r="K54" s="34" t="n">
        <x:v>0</x:v>
      </x:c>
      <x:c r="L54" s="34" t="n">
        <x:v>0</x:v>
      </x:c>
      <x:c r="M54" s="34" t="n">
        <x:f>SUM(J54:L54)</x:f>
        <x:v>69</x:v>
      </x:c>
      <x:c r="N54" s="34" t="n">
        <x:f>G54*J54</x:f>
        <x:v>759</x:v>
      </x:c>
      <x:c r="O54" s="34" t="n">
        <x:f>G54*K54</x:f>
        <x:v>0</x:v>
      </x:c>
      <x:c r="P54" s="34" t="n">
        <x:f>G54*L54</x:f>
        <x:v>0</x:v>
      </x:c>
      <x:c r="Q54" s="34" t="n">
        <x:f>SUM(N54:P54)</x:f>
        <x:v>759</x:v>
      </x:c>
      <x:c r="R54" s="22" t="str">
        <x:f>IF(M54&gt;0,"복원","미복원")</x:f>
        <x:v>복원</x:v>
      </x:c>
      <x:c r="S54" s="37" t="n">
        <x:v>101</x:v>
      </x:c>
      <x:c r="T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4" s="22" t="str">
        <x:f>A54&amp;"|"&amp;B54</x:f>
        <x:v>병원|C-010104</x:v>
      </x:c>
      <x:c r="V54" s="22" t="n">
        <x:f>IF(M54&gt;0,1,0)</x:f>
        <x:v>1</x:v>
      </x:c>
    </x:row>
    <x:row r="55" ht="28" customHeight="1">
      <x:c r="A55" s="22" t="str">
        <x:v>병원</x:v>
      </x:c>
      <x:c r="B55" s="31" t="str">
        <x:f>"C-010104"</x:f>
        <x:v>C-010104</x:v>
      </x:c>
      <x:c r="C55" s="25" t="str">
        <x:v>010104  STONE WORKS</x:v>
      </x:c>
      <x:c r="D55" s="25" t="str">
        <x:v>Supply &amp; Fixing of Limestone(thickness: 50mm) cladding with pattern including fixing accessories</x:v>
      </x:c>
      <x:c r="E55" s="25" t="str"/>
      <x:c r="F55" s="22" t="str">
        <x:v>M2</x:v>
      </x:c>
      <x:c r="G55" s="28" t="n">
        <x:v>758</x:v>
      </x:c>
      <x:c r="H55" s="25" t="str">
        <x:v>4482224D7C7851A6F27977E396BAC</x:v>
      </x:c>
      <x:c r="I55" s="22" t="str">
        <x:v>복합일위대가</x:v>
      </x:c>
      <x:c r="J55" s="34" t="n">
        <x:v>20</x:v>
      </x:c>
      <x:c r="K55" s="34" t="n">
        <x:v>10</x:v>
      </x:c>
      <x:c r="L55" s="34" t="n">
        <x:v>5</x:v>
      </x:c>
      <x:c r="M55" s="34" t="n">
        <x:f>SUM(J55:L55)</x:f>
        <x:v>35</x:v>
      </x:c>
      <x:c r="N55" s="34" t="n">
        <x:f>G55*J55</x:f>
        <x:v>15160</x:v>
      </x:c>
      <x:c r="O55" s="34" t="n">
        <x:f>G55*K55</x:f>
        <x:v>7580</x:v>
      </x:c>
      <x:c r="P55" s="34" t="n">
        <x:f>G55*L55</x:f>
        <x:v>3790</x:v>
      </x:c>
      <x:c r="Q55" s="34" t="n">
        <x:f>SUM(N55:P55)</x:f>
        <x:v>26530</x:v>
      </x:c>
      <x:c r="R55" s="22" t="str">
        <x:f>IF(M55&gt;0,"복원","미복원")</x:f>
        <x:v>복원</x:v>
      </x:c>
      <x:c r="S55" s="37" t="n">
        <x:v>102</x:v>
      </x:c>
      <x:c r="T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5" s="22" t="str">
        <x:f>A55&amp;"|"&amp;B55</x:f>
        <x:v>병원|C-010104</x:v>
      </x:c>
      <x:c r="V55" s="22" t="n">
        <x:f>IF(M55&gt;0,1,0)</x:f>
        <x:v>1</x:v>
      </x:c>
    </x:row>
    <x:row r="56" ht="28" customHeight="1">
      <x:c r="A56" s="22" t="str">
        <x:v>병원</x:v>
      </x:c>
      <x:c r="B56" s="31" t="str">
        <x:f>"C-010104"</x:f>
        <x:v>C-010104</x:v>
      </x:c>
      <x:c r="C56" s="25" t="str">
        <x:v>010104  STONE WORKS</x:v>
      </x:c>
      <x:c r="D56" s="25" t="str">
        <x:v>Supply &amp; Fixing of GRANITE(thickness: 30mm) cladding with pattern including fixing accessories</x:v>
      </x:c>
      <x:c r="E56" s="25" t="str"/>
      <x:c r="F56" s="22" t="str">
        <x:v>M2</x:v>
      </x:c>
      <x:c r="G56" s="28" t="n">
        <x:v>128</x:v>
      </x:c>
      <x:c r="H56" s="25" t="str">
        <x:v>4482224D7C7851A6F27977E3968D8</x:v>
      </x:c>
      <x:c r="I56" s="22" t="str">
        <x:v>복합일위대가</x:v>
      </x:c>
      <x:c r="J56" s="34" t="n">
        <x:v>60</x:v>
      </x:c>
      <x:c r="K56" s="34" t="n">
        <x:v>5</x:v>
      </x:c>
      <x:c r="L56" s="34" t="n">
        <x:v>2</x:v>
      </x:c>
      <x:c r="M56" s="34" t="n">
        <x:f>SUM(J56:L56)</x:f>
        <x:v>67</x:v>
      </x:c>
      <x:c r="N56" s="34" t="n">
        <x:f>G56*J56</x:f>
        <x:v>7680</x:v>
      </x:c>
      <x:c r="O56" s="34" t="n">
        <x:f>G56*K56</x:f>
        <x:v>640</x:v>
      </x:c>
      <x:c r="P56" s="34" t="n">
        <x:f>G56*L56</x:f>
        <x:v>256</x:v>
      </x:c>
      <x:c r="Q56" s="34" t="n">
        <x:f>SUM(N56:P56)</x:f>
        <x:v>8576</x:v>
      </x:c>
      <x:c r="R56" s="22" t="str">
        <x:f>IF(M56&gt;0,"복원","미복원")</x:f>
        <x:v>복원</x:v>
      </x:c>
      <x:c r="S56" s="37" t="n">
        <x:v>103</x:v>
      </x:c>
      <x:c r="T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6" s="22" t="str">
        <x:f>A56&amp;"|"&amp;B56</x:f>
        <x:v>병원|C-010104</x:v>
      </x:c>
      <x:c r="V56" s="22" t="n">
        <x:f>IF(M56&gt;0,1,0)</x:f>
        <x:v>1</x:v>
      </x:c>
    </x:row>
    <x:row r="57" ht="28" customHeight="1">
      <x:c r="A57" s="22" t="str">
        <x:v>병원</x:v>
      </x:c>
      <x:c r="B57" s="31" t="str">
        <x:f>"C-010104"</x:f>
        <x:v>C-010104</x:v>
      </x:c>
      <x:c r="C57" s="25" t="str">
        <x:v>010104  STONE WORKS</x:v>
      </x:c>
      <x:c r="D57" s="25" t="str">
        <x:v>Supply &amp; Fixing of Marble(thickness: 30mm) cladding with pattern including fixing accessories;</x:v>
      </x:c>
      <x:c r="E57" s="25" t="str"/>
      <x:c r="F57" s="22" t="str">
        <x:v>M2</x:v>
      </x:c>
      <x:c r="G57" s="28" t="n">
        <x:v>128</x:v>
      </x:c>
      <x:c r="H57" s="25" t="str">
        <x:v>4482224D7C7851A6F27977E3969FE</x:v>
      </x:c>
      <x:c r="I57" s="22" t="str">
        <x:v>복합일위대가</x:v>
      </x:c>
      <x:c r="J57" s="34" t="n">
        <x:v>65.26</x:v>
      </x:c>
      <x:c r="K57" s="34" t="n">
        <x:v>27.74</x:v>
      </x:c>
      <x:c r="L57" s="34" t="n">
        <x:v>0</x:v>
      </x:c>
      <x:c r="M57" s="34" t="n">
        <x:f>SUM(J57:L57)</x:f>
        <x:v>93</x:v>
      </x:c>
      <x:c r="N57" s="34" t="n">
        <x:f>G57*J57</x:f>
        <x:v>8353.28</x:v>
      </x:c>
      <x:c r="O57" s="34" t="n">
        <x:f>G57*K57</x:f>
        <x:v>3550.72</x:v>
      </x:c>
      <x:c r="P57" s="34" t="n">
        <x:f>G57*L57</x:f>
        <x:v>0</x:v>
      </x:c>
      <x:c r="Q57" s="34" t="n">
        <x:f>SUM(N57:P57)</x:f>
        <x:v>11904</x:v>
      </x:c>
      <x:c r="R57" s="22" t="str">
        <x:f>IF(M57&gt;0,"복원","미복원")</x:f>
        <x:v>복원</x:v>
      </x:c>
      <x:c r="S57" s="37" t="n">
        <x:v>104</x:v>
      </x:c>
      <x:c r="T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7" s="22" t="str">
        <x:f>A57&amp;"|"&amp;B57</x:f>
        <x:v>병원|C-010104</x:v>
      </x:c>
      <x:c r="V57" s="22" t="n">
        <x:f>IF(M57&gt;0,1,0)</x:f>
        <x:v>1</x:v>
      </x:c>
    </x:row>
    <x:row r="58" ht="28" customHeight="1">
      <x:c r="A58" s="22" t="str">
        <x:v>병원</x:v>
      </x:c>
      <x:c r="B58" s="31" t="str">
        <x:f>"C-010104"</x:f>
        <x:v>C-010104</x:v>
      </x:c>
      <x:c r="C58" s="25" t="str">
        <x:v>010104  STONE WORKS</x:v>
      </x:c>
      <x:c r="D58" s="25" t="str">
        <x:v>GRANITE</x:v>
      </x:c>
      <x:c r="E58" s="25" t="str">
        <x:v>Floor, 30mm</x:v>
      </x:c>
      <x:c r="F58" s="22" t="str">
        <x:v>M2</x:v>
      </x:c>
      <x:c r="G58" s="28" t="n">
        <x:v>377</x:v>
      </x:c>
      <x:c r="H58" s="25" t="str">
        <x:v>4482224D7C7A0028821FB2B683454</x:v>
      </x:c>
      <x:c r="I58" s="22" t="str">
        <x:v>복합일위대가</x:v>
      </x:c>
      <x:c r="J58" s="34" t="n">
        <x:v>60</x:v>
      </x:c>
      <x:c r="K58" s="34" t="n">
        <x:v>5</x:v>
      </x:c>
      <x:c r="L58" s="34" t="n">
        <x:v>2</x:v>
      </x:c>
      <x:c r="M58" s="34" t="n">
        <x:f>SUM(J58:L58)</x:f>
        <x:v>67</x:v>
      </x:c>
      <x:c r="N58" s="34" t="n">
        <x:f>G58*J58</x:f>
        <x:v>22620</x:v>
      </x:c>
      <x:c r="O58" s="34" t="n">
        <x:f>G58*K58</x:f>
        <x:v>1885</x:v>
      </x:c>
      <x:c r="P58" s="34" t="n">
        <x:f>G58*L58</x:f>
        <x:v>754</x:v>
      </x:c>
      <x:c r="Q58" s="34" t="n">
        <x:f>SUM(N58:P58)</x:f>
        <x:v>25259</x:v>
      </x:c>
      <x:c r="R58" s="22" t="str">
        <x:f>IF(M58&gt;0,"복원","미복원")</x:f>
        <x:v>복원</x:v>
      </x:c>
      <x:c r="S58" s="37" t="n">
        <x:v>105</x:v>
      </x:c>
      <x:c r="T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8" s="22" t="str">
        <x:f>A58&amp;"|"&amp;B58</x:f>
        <x:v>병원|C-010104</x:v>
      </x:c>
      <x:c r="V58" s="22" t="n">
        <x:f>IF(M58&gt;0,1,0)</x:f>
        <x:v>1</x:v>
      </x:c>
    </x:row>
    <x:row r="59" ht="28" customHeight="1">
      <x:c r="A59" s="22" t="str">
        <x:v>병원</x:v>
      </x:c>
      <x:c r="B59" s="31" t="str">
        <x:f>"C-010104"</x:f>
        <x:v>C-010104</x:v>
      </x:c>
      <x:c r="C59" s="25" t="str">
        <x:v>010104  STONE WORKS</x:v>
      </x:c>
      <x:c r="D59" s="25" t="str">
        <x:v>Supply &amp; Fixing of Limestone Capping 65*30mm, Mortar 15mm</x:v>
      </x:c>
      <x:c r="E59" s="25" t="str"/>
      <x:c r="F59" s="22" t="str">
        <x:v>M</x:v>
      </x:c>
      <x:c r="G59" s="28" t="n">
        <x:v>183</x:v>
      </x:c>
      <x:c r="H59" s="25" t="str">
        <x:v>4531284DDC776A4702EA22A0C0638FB350401</x:v>
      </x:c>
      <x:c r="I59" s="22" t="str">
        <x:v>직접자원단가</x:v>
      </x:c>
      <x:c r="J59" s="34" t="n">
        <x:v>3</x:v>
      </x:c>
      <x:c r="K59" s="34" t="n">
        <x:v>2.09</x:v>
      </x:c>
      <x:c r="L59" s="34" t="n">
        <x:v>0.03</x:v>
      </x:c>
      <x:c r="M59" s="34" t="n">
        <x:f>SUM(J59:L59)</x:f>
        <x:v>5.12</x:v>
      </x:c>
      <x:c r="N59" s="34" t="n">
        <x:f>G59*J59</x:f>
        <x:v>549</x:v>
      </x:c>
      <x:c r="O59" s="34" t="n">
        <x:f>G59*K59</x:f>
        <x:v>382.46999999999997</x:v>
      </x:c>
      <x:c r="P59" s="34" t="n">
        <x:f>G59*L59</x:f>
        <x:v>5.49</x:v>
      </x:c>
      <x:c r="Q59" s="34" t="n">
        <x:f>SUM(N59:P59)</x:f>
        <x:v>936.96</x:v>
      </x:c>
      <x:c r="R59" s="22" t="str">
        <x:f>IF(M59&gt;0,"복원","미복원")</x:f>
        <x:v>복원</x:v>
      </x:c>
      <x:c r="S59" s="37" t="n">
        <x:v>106</x:v>
      </x:c>
      <x:c r="T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59" s="22" t="str">
        <x:f>A59&amp;"|"&amp;B59</x:f>
        <x:v>병원|C-010104</x:v>
      </x:c>
      <x:c r="V59" s="22" t="n">
        <x:f>IF(M59&gt;0,1,0)</x:f>
        <x:v>1</x:v>
      </x:c>
    </x:row>
    <x:row r="60" ht="28" customHeight="1">
      <x:c r="A60" s="22" t="str">
        <x:v>병원</x:v>
      </x:c>
      <x:c r="B60" s="31" t="str">
        <x:f>"C-010104"</x:f>
        <x:v>C-010104</x:v>
      </x:c>
      <x:c r="C60" s="25" t="str">
        <x:v>010104  STONE WORKS</x:v>
      </x:c>
      <x:c r="D60" s="25" t="str">
        <x:v>Supply &amp; Fixing of LLimestone Capping 675*30mm, PLYWOOD 1PLY</x:v>
      </x:c>
      <x:c r="E60" s="25" t="str"/>
      <x:c r="F60" s="22" t="str">
        <x:v>M</x:v>
      </x:c>
      <x:c r="G60" s="28" t="n">
        <x:v>35</x:v>
      </x:c>
      <x:c r="H60" s="25" t="str">
        <x:v>4482204849760A9E127F495A4C95F</x:v>
      </x:c>
      <x:c r="I60" s="22" t="str">
        <x:v>복합일위대가</x:v>
      </x:c>
      <x:c r="J60" s="34" t="n">
        <x:v>47.44</x:v>
      </x:c>
      <x:c r="K60" s="34" t="n">
        <x:v>34.64</x:v>
      </x:c>
      <x:c r="L60" s="34" t="n">
        <x:v>0.68</x:v>
      </x:c>
      <x:c r="M60" s="34" t="n">
        <x:f>SUM(J60:L60)</x:f>
        <x:v>82.76</x:v>
      </x:c>
      <x:c r="N60" s="34" t="n">
        <x:f>G60*J60</x:f>
        <x:v>1660.3999999999999</x:v>
      </x:c>
      <x:c r="O60" s="34" t="n">
        <x:f>G60*K60</x:f>
        <x:v>1212.4</x:v>
      </x:c>
      <x:c r="P60" s="34" t="n">
        <x:f>G60*L60</x:f>
        <x:v>23.8</x:v>
      </x:c>
      <x:c r="Q60" s="34" t="n">
        <x:f>SUM(N60:P60)</x:f>
        <x:v>2896.6000000000004</x:v>
      </x:c>
      <x:c r="R60" s="22" t="str">
        <x:f>IF(M60&gt;0,"복원","미복원")</x:f>
        <x:v>복원</x:v>
      </x:c>
      <x:c r="S60" s="37" t="n">
        <x:v>107</x:v>
      </x:c>
      <x:c r="T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0" s="22" t="str">
        <x:f>A60&amp;"|"&amp;B60</x:f>
        <x:v>병원|C-010104</x:v>
      </x:c>
      <x:c r="V60" s="22" t="n">
        <x:f>IF(M60&gt;0,1,0)</x:f>
        <x:v>1</x:v>
      </x:c>
    </x:row>
    <x:row r="61" ht="28" customHeight="1">
      <x:c r="A61" s="22" t="str">
        <x:v>병원</x:v>
      </x:c>
      <x:c r="B61" s="31" t="str">
        <x:f>"C-010104"</x:f>
        <x:v>C-010104</x:v>
      </x:c>
      <x:c r="C61" s="25" t="str">
        <x:v>010104  STONE WORKS</x:v>
      </x:c>
      <x:c r="D61" s="25" t="str">
        <x:v>Supply &amp; Fixing of Mable Capping 340*60mm, Mortar 30mm</x:v>
      </x:c>
      <x:c r="E61" s="25" t="str"/>
      <x:c r="F61" s="22" t="str">
        <x:v>M</x:v>
      </x:c>
      <x:c r="G61" s="28" t="n">
        <x:v>13</x:v>
      </x:c>
      <x:c r="H61" s="25" t="str">
        <x:v>4482204849760A9E127F495A4C950</x:v>
      </x:c>
      <x:c r="I61" s="22" t="str">
        <x:v>복합일위대가</x:v>
      </x:c>
      <x:c r="J61" s="34" t="n">
        <x:v>31.69</x:v>
      </x:c>
      <x:c r="K61" s="34" t="n">
        <x:v>10.61</x:v>
      </x:c>
      <x:c r="L61" s="34" t="n">
        <x:v>0.09</x:v>
      </x:c>
      <x:c r="M61" s="34" t="n">
        <x:f>SUM(J61:L61)</x:f>
        <x:v>42.39</x:v>
      </x:c>
      <x:c r="N61" s="34" t="n">
        <x:f>G61*J61</x:f>
        <x:v>411.97</x:v>
      </x:c>
      <x:c r="O61" s="34" t="n">
        <x:f>G61*K61</x:f>
        <x:v>137.93</x:v>
      </x:c>
      <x:c r="P61" s="34" t="n">
        <x:f>G61*L61</x:f>
        <x:v>1.17</x:v>
      </x:c>
      <x:c r="Q61" s="34" t="n">
        <x:f>SUM(N61:P61)</x:f>
        <x:v>551.07</x:v>
      </x:c>
      <x:c r="R61" s="22" t="str">
        <x:f>IF(M61&gt;0,"복원","미복원")</x:f>
        <x:v>복원</x:v>
      </x:c>
      <x:c r="S61" s="37" t="n">
        <x:v>108</x:v>
      </x:c>
      <x:c r="T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1" s="22" t="str">
        <x:f>A61&amp;"|"&amp;B61</x:f>
        <x:v>병원|C-010104</x:v>
      </x:c>
      <x:c r="V61" s="22" t="n">
        <x:f>IF(M61&gt;0,1,0)</x:f>
        <x:v>1</x:v>
      </x:c>
    </x:row>
    <x:row r="62" ht="28" customHeight="1">
      <x:c r="A62" s="22" t="str">
        <x:v>병원</x:v>
      </x:c>
      <x:c r="B62" s="31" t="str">
        <x:f>"C-010104"</x:f>
        <x:v>C-010104</x:v>
      </x:c>
      <x:c r="C62" s="25" t="str">
        <x:v>010104  STONE WORKS</x:v>
      </x:c>
      <x:c r="D62" s="25" t="str">
        <x:v>Material separator</x:v>
      </x:c>
      <x:c r="E62" s="25" t="str">
        <x:v>GRANITE, 100*30mm, Mortar 30mm</x:v>
      </x:c>
      <x:c r="F62" s="22" t="str">
        <x:v>M</x:v>
      </x:c>
      <x:c r="G62" s="28" t="n">
        <x:v>19</x:v>
      </x:c>
      <x:c r="H62" s="25" t="str">
        <x:v>44822048037FF7135292CF3DC6268</x:v>
      </x:c>
      <x:c r="I62" s="22" t="str">
        <x:v>복합일위대가</x:v>
      </x:c>
      <x:c r="J62" s="34" t="n">
        <x:v>6.21</x:v>
      </x:c>
      <x:c r="K62" s="34" t="n">
        <x:v>3.62</x:v>
      </x:c>
      <x:c r="L62" s="34" t="n">
        <x:v>0.23</x:v>
      </x:c>
      <x:c r="M62" s="34" t="n">
        <x:f>SUM(J62:L62)</x:f>
        <x:v>10.06</x:v>
      </x:c>
      <x:c r="N62" s="34" t="n">
        <x:f>G62*J62</x:f>
        <x:v>117.99</x:v>
      </x:c>
      <x:c r="O62" s="34" t="n">
        <x:f>G62*K62</x:f>
        <x:v>68.78</x:v>
      </x:c>
      <x:c r="P62" s="34" t="n">
        <x:f>G62*L62</x:f>
        <x:v>4.37</x:v>
      </x:c>
      <x:c r="Q62" s="34" t="n">
        <x:f>SUM(N62:P62)</x:f>
        <x:v>191.14</x:v>
      </x:c>
      <x:c r="R62" s="22" t="str">
        <x:f>IF(M62&gt;0,"복원","미복원")</x:f>
        <x:v>복원</x:v>
      </x:c>
      <x:c r="S62" s="37" t="n">
        <x:v>109</x:v>
      </x:c>
      <x:c r="T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2" s="22" t="str">
        <x:f>A62&amp;"|"&amp;B62</x:f>
        <x:v>병원|C-010104</x:v>
      </x:c>
      <x:c r="V62" s="22" t="n">
        <x:f>IF(M62&gt;0,1,0)</x:f>
        <x:v>1</x:v>
      </x:c>
    </x:row>
    <x:row r="63" ht="28" customHeight="1">
      <x:c r="A63" s="22" t="str">
        <x:v>병원</x:v>
      </x:c>
      <x:c r="B63" s="31" t="str">
        <x:f>"C-010104"</x:f>
        <x:v>C-010104</x:v>
      </x:c>
      <x:c r="C63" s="25" t="str">
        <x:v>010104  STONE WORKS</x:v>
      </x:c>
      <x:c r="D63" s="25" t="str">
        <x:v>PRECAST UNIT PAVER(T:80+20)</x:v>
      </x:c>
      <x:c r="E63" s="25" t="str"/>
      <x:c r="F63" s="22" t="str">
        <x:v>M2</x:v>
      </x:c>
      <x:c r="G63" s="28" t="n">
        <x:v>253</x:v>
      </x:c>
      <x:c r="H63" s="25" t="str">
        <x:v>448224420B78C77B626AE4A7825D9</x:v>
      </x:c>
      <x:c r="I63" s="22" t="str">
        <x:v>복합일위대가</x:v>
      </x:c>
      <x:c r="J63" s="34" t="n">
        <x:v>6.4</x:v>
      </x:c>
      <x:c r="K63" s="34" t="n">
        <x:v>1.8</x:v>
      </x:c>
      <x:c r="L63" s="34" t="n">
        <x:v>0.5</x:v>
      </x:c>
      <x:c r="M63" s="34" t="n">
        <x:f>SUM(J63:L63)</x:f>
        <x:v>8.700000000000001</x:v>
      </x:c>
      <x:c r="N63" s="34" t="n">
        <x:f>G63*J63</x:f>
        <x:v>1619.2</x:v>
      </x:c>
      <x:c r="O63" s="34" t="n">
        <x:f>G63*K63</x:f>
        <x:v>455.40000000000003</x:v>
      </x:c>
      <x:c r="P63" s="34" t="n">
        <x:f>G63*L63</x:f>
        <x:v>126.5</x:v>
      </x:c>
      <x:c r="Q63" s="34" t="n">
        <x:f>SUM(N63:P63)</x:f>
        <x:v>2201.1</x:v>
      </x:c>
      <x:c r="R63" s="22" t="str">
        <x:f>IF(M63&gt;0,"복원","미복원")</x:f>
        <x:v>복원</x:v>
      </x:c>
      <x:c r="S63" s="37" t="n">
        <x:v>110</x:v>
      </x:c>
      <x:c r="T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3" s="22" t="str">
        <x:f>A63&amp;"|"&amp;B63</x:f>
        <x:v>병원|C-010104</x:v>
      </x:c>
      <x:c r="V63" s="22" t="n">
        <x:f>IF(M63&gt;0,1,0)</x:f>
        <x:v>1</x:v>
      </x:c>
    </x:row>
    <x:row r="64" ht="28" customHeight="1">
      <x:c r="A64" s="22" t="str">
        <x:v>병원</x:v>
      </x:c>
      <x:c r="B64" s="31" t="str">
        <x:f>"C-010105"</x:f>
        <x:v>C-010105</x:v>
      </x:c>
      <x:c r="C64" s="25" t="str">
        <x:v>010105  TILE WORKS</x:v>
      </x:c>
      <x:c r="D64" s="25" t="str">
        <x:v>THK3 TILE ADHESIVE</x:v>
      </x:c>
      <x:c r="E64" s="25" t="str"/>
      <x:c r="F64" s="22" t="str">
        <x:v>M2</x:v>
      </x:c>
      <x:c r="G64" s="28" t="n">
        <x:v>41</x:v>
      </x:c>
      <x:c r="H64" s="25" t="str">
        <x:v>4482224D47745562E22E70D7BC09A</x:v>
      </x:c>
      <x:c r="I64" s="22" t="str">
        <x:v>복합일위대가</x:v>
      </x:c>
      <x:c r="J64" s="34" t="n">
        <x:v>2</x:v>
      </x:c>
      <x:c r="K64" s="34" t="n">
        <x:v>3</x:v>
      </x:c>
      <x:c r="L64" s="34" t="n">
        <x:v>0</x:v>
      </x:c>
      <x:c r="M64" s="34" t="n">
        <x:f>SUM(J64:L64)</x:f>
        <x:v>5</x:v>
      </x:c>
      <x:c r="N64" s="34" t="n">
        <x:f>G64*J64</x:f>
        <x:v>82</x:v>
      </x:c>
      <x:c r="O64" s="34" t="n">
        <x:f>G64*K64</x:f>
        <x:v>123</x:v>
      </x:c>
      <x:c r="P64" s="34" t="n">
        <x:f>G64*L64</x:f>
        <x:v>0</x:v>
      </x:c>
      <x:c r="Q64" s="34" t="n">
        <x:f>SUM(N64:P64)</x:f>
        <x:v>205</x:v>
      </x:c>
      <x:c r="R64" s="22" t="str">
        <x:f>IF(M64&gt;0,"복원","미복원")</x:f>
        <x:v>복원</x:v>
      </x:c>
      <x:c r="S64" s="37" t="n">
        <x:v>125</x:v>
      </x:c>
      <x:c r="T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4" s="22" t="str">
        <x:f>A64&amp;"|"&amp;B64</x:f>
        <x:v>병원|C-010105</x:v>
      </x:c>
      <x:c r="V64" s="22" t="n">
        <x:f>IF(M64&gt;0,1,0)</x:f>
        <x:v>1</x:v>
      </x:c>
    </x:row>
    <x:row r="65" ht="28" customHeight="1">
      <x:c r="A65" s="22" t="str">
        <x:v>병원</x:v>
      </x:c>
      <x:c r="B65" s="31" t="str">
        <x:f>"C-010105"</x:f>
        <x:v>C-010105</x:v>
      </x:c>
      <x:c r="C65" s="25" t="str">
        <x:v>010105  TILE WORKS</x:v>
      </x:c>
      <x:c r="D65" s="25" t="str">
        <x:v>Tile Bottom Mortar /Floor, Mortar 25mm</x:v>
      </x:c>
      <x:c r="E65" s="25" t="str">
        <x:v>FLOOR</x:v>
      </x:c>
      <x:c r="F65" s="22" t="str">
        <x:v>M2</x:v>
      </x:c>
      <x:c r="G65" s="28" t="n">
        <x:v>177</x:v>
      </x:c>
      <x:c r="H65" s="25" t="str">
        <x:v>4531284DDC776A4702EA22A0C0638FB350406</x:v>
      </x:c>
      <x:c r="I65" s="22" t="str">
        <x:v>직접자원단가</x:v>
      </x:c>
      <x:c r="J65" s="34" t="n">
        <x:v>1.65</x:v>
      </x:c>
      <x:c r="K65" s="34" t="n">
        <x:v>3</x:v>
      </x:c>
      <x:c r="L65" s="34" t="n">
        <x:v>0</x:v>
      </x:c>
      <x:c r="M65" s="34" t="n">
        <x:f>SUM(J65:L65)</x:f>
        <x:v>4.65</x:v>
      </x:c>
      <x:c r="N65" s="34" t="n">
        <x:f>G65*J65</x:f>
        <x:v>292.05</x:v>
      </x:c>
      <x:c r="O65" s="34" t="n">
        <x:f>G65*K65</x:f>
        <x:v>531</x:v>
      </x:c>
      <x:c r="P65" s="34" t="n">
        <x:f>G65*L65</x:f>
        <x:v>0</x:v>
      </x:c>
      <x:c r="Q65" s="34" t="n">
        <x:f>SUM(N65:P65)</x:f>
        <x:v>823.05</x:v>
      </x:c>
      <x:c r="R65" s="22" t="str">
        <x:f>IF(M65&gt;0,"복원","미복원")</x:f>
        <x:v>복원</x:v>
      </x:c>
      <x:c r="S65" s="37" t="n">
        <x:v>126</x:v>
      </x:c>
      <x:c r="T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5" s="22" t="str">
        <x:f>A65&amp;"|"&amp;B65</x:f>
        <x:v>병원|C-010105</x:v>
      </x:c>
      <x:c r="V65" s="22" t="n">
        <x:f>IF(M65&gt;0,1,0)</x:f>
        <x:v>1</x:v>
      </x:c>
    </x:row>
    <x:row r="66" ht="28" customHeight="1">
      <x:c r="A66" s="22" t="str">
        <x:v>병원</x:v>
      </x:c>
      <x:c r="B66" s="31" t="str">
        <x:f>"C-010105"</x:f>
        <x:v>C-010105</x:v>
      </x:c>
      <x:c r="C66" s="25" t="str">
        <x:v>010105  TILE WORKS</x:v>
      </x:c>
      <x:c r="D66" s="25" t="str">
        <x:v>Tile Bottom Mortar /Floor, Mortar 41mm</x:v>
      </x:c>
      <x:c r="E66" s="25" t="str">
        <x:v>FLOOR</x:v>
      </x:c>
      <x:c r="F66" s="22" t="str">
        <x:v>M2</x:v>
      </x:c>
      <x:c r="G66" s="28" t="n">
        <x:v>411</x:v>
      </x:c>
      <x:c r="H66" s="25" t="str">
        <x:v>4531284DDC776A4702EA22A0C0638FB350407</x:v>
      </x:c>
      <x:c r="I66" s="22" t="str">
        <x:v>직접자원단가</x:v>
      </x:c>
      <x:c r="J66" s="34" t="n">
        <x:v>2.71</x:v>
      </x:c>
      <x:c r="K66" s="34" t="n">
        <x:v>3</x:v>
      </x:c>
      <x:c r="L66" s="34" t="n">
        <x:v>0</x:v>
      </x:c>
      <x:c r="M66" s="34" t="n">
        <x:f>SUM(J66:L66)</x:f>
        <x:v>5.71</x:v>
      </x:c>
      <x:c r="N66" s="34" t="n">
        <x:f>G66*J66</x:f>
        <x:v>1113.81</x:v>
      </x:c>
      <x:c r="O66" s="34" t="n">
        <x:f>G66*K66</x:f>
        <x:v>1233</x:v>
      </x:c>
      <x:c r="P66" s="34" t="n">
        <x:f>G66*L66</x:f>
        <x:v>0</x:v>
      </x:c>
      <x:c r="Q66" s="34" t="n">
        <x:f>SUM(N66:P66)</x:f>
        <x:v>2346.81</x:v>
      </x:c>
      <x:c r="R66" s="22" t="str">
        <x:f>IF(M66&gt;0,"복원","미복원")</x:f>
        <x:v>복원</x:v>
      </x:c>
      <x:c r="S66" s="37" t="n">
        <x:v>127</x:v>
      </x:c>
      <x:c r="T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6" s="22" t="str">
        <x:f>A66&amp;"|"&amp;B66</x:f>
        <x:v>병원|C-010105</x:v>
      </x:c>
      <x:c r="V66" s="22" t="n">
        <x:f>IF(M66&gt;0,1,0)</x:f>
        <x:v>1</x:v>
      </x:c>
    </x:row>
    <x:row r="67" ht="28" customHeight="1">
      <x:c r="A67" s="22" t="str">
        <x:v>병원</x:v>
      </x:c>
      <x:c r="B67" s="31" t="str">
        <x:f>"C-010105"</x:f>
        <x:v>C-010105</x:v>
      </x:c>
      <x:c r="C67" s="25" t="str">
        <x:v>010105  TILE WORKS</x:v>
      </x:c>
      <x:c r="D67" s="25" t="str">
        <x:v>Tile Bottom Mortar /Floor, Mortar 51mm</x:v>
      </x:c>
      <x:c r="E67" s="25" t="str">
        <x:v>FLOOR</x:v>
      </x:c>
      <x:c r="F67" s="22" t="str">
        <x:v>M2</x:v>
      </x:c>
      <x:c r="G67" s="28" t="n">
        <x:v>277</x:v>
      </x:c>
      <x:c r="H67" s="25" t="str">
        <x:v>4531284DDC776A4702EA22A0C0638FB350404</x:v>
      </x:c>
      <x:c r="I67" s="22" t="str">
        <x:v>직접자원단가</x:v>
      </x:c>
      <x:c r="J67" s="34" t="n">
        <x:v>3.37</x:v>
      </x:c>
      <x:c r="K67" s="34" t="n">
        <x:v>3</x:v>
      </x:c>
      <x:c r="L67" s="34" t="n">
        <x:v>0</x:v>
      </x:c>
      <x:c r="M67" s="34" t="n">
        <x:f>SUM(J67:L67)</x:f>
        <x:v>6.37</x:v>
      </x:c>
      <x:c r="N67" s="34" t="n">
        <x:f>G67*J67</x:f>
        <x:v>933.49</x:v>
      </x:c>
      <x:c r="O67" s="34" t="n">
        <x:f>G67*K67</x:f>
        <x:v>831</x:v>
      </x:c>
      <x:c r="P67" s="34" t="n">
        <x:f>G67*L67</x:f>
        <x:v>0</x:v>
      </x:c>
      <x:c r="Q67" s="34" t="n">
        <x:f>SUM(N67:P67)</x:f>
        <x:v>1764.49</x:v>
      </x:c>
      <x:c r="R67" s="22" t="str">
        <x:f>IF(M67&gt;0,"복원","미복원")</x:f>
        <x:v>복원</x:v>
      </x:c>
      <x:c r="S67" s="37" t="n">
        <x:v>128</x:v>
      </x:c>
      <x:c r="T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7" s="22" t="str">
        <x:f>A67&amp;"|"&amp;B67</x:f>
        <x:v>병원|C-010105</x:v>
      </x:c>
      <x:c r="V67" s="22" t="n">
        <x:f>IF(M67&gt;0,1,0)</x:f>
        <x:v>1</x:v>
      </x:c>
    </x:row>
    <x:row r="68" ht="28" customHeight="1">
      <x:c r="A68" s="22" t="str">
        <x:v>병원</x:v>
      </x:c>
      <x:c r="B68" s="31" t="str">
        <x:f>"C-010105"</x:f>
        <x:v>C-010105</x:v>
      </x:c>
      <x:c r="C68" s="25" t="str">
        <x:v>010105  TILE WORKS</x:v>
      </x:c>
      <x:c r="D68" s="25" t="str">
        <x:v>Tile Bottom Mortar /WALL, Mortar 23mm</x:v>
      </x:c>
      <x:c r="E68" s="25" t="str">
        <x:v>WALL</x:v>
      </x:c>
      <x:c r="F68" s="22" t="str">
        <x:v>M2</x:v>
      </x:c>
      <x:c r="G68" s="28" t="n">
        <x:v>1156</x:v>
      </x:c>
      <x:c r="H68" s="25" t="str">
        <x:v>4531284DDC776A4702EA22A0C0638FB350405</x:v>
      </x:c>
      <x:c r="I68" s="22" t="str">
        <x:v>직접자원단가</x:v>
      </x:c>
      <x:c r="J68" s="34" t="n">
        <x:v>1.52</x:v>
      </x:c>
      <x:c r="K68" s="34" t="n">
        <x:v>3</x:v>
      </x:c>
      <x:c r="L68" s="34" t="n">
        <x:v>0</x:v>
      </x:c>
      <x:c r="M68" s="34" t="n">
        <x:f>SUM(J68:L68)</x:f>
        <x:v>4.52</x:v>
      </x:c>
      <x:c r="N68" s="34" t="n">
        <x:f>G68*J68</x:f>
        <x:v>1757.1200000000001</x:v>
      </x:c>
      <x:c r="O68" s="34" t="n">
        <x:f>G68*K68</x:f>
        <x:v>3468</x:v>
      </x:c>
      <x:c r="P68" s="34" t="n">
        <x:f>G68*L68</x:f>
        <x:v>0</x:v>
      </x:c>
      <x:c r="Q68" s="34" t="n">
        <x:f>SUM(N68:P68)</x:f>
        <x:v>5225.12</x:v>
      </x:c>
      <x:c r="R68" s="22" t="str">
        <x:f>IF(M68&gt;0,"복원","미복원")</x:f>
        <x:v>복원</x:v>
      </x:c>
      <x:c r="S68" s="37" t="n">
        <x:v>129</x:v>
      </x:c>
      <x:c r="T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8" s="22" t="str">
        <x:f>A68&amp;"|"&amp;B68</x:f>
        <x:v>병원|C-010105</x:v>
      </x:c>
      <x:c r="V68" s="22" t="n">
        <x:f>IF(M68&gt;0,1,0)</x:f>
        <x:v>1</x:v>
      </x:c>
    </x:row>
    <x:row r="69" ht="28" customHeight="1">
      <x:c r="A69" s="22" t="str">
        <x:v>병원</x:v>
      </x:c>
      <x:c r="B69" s="31" t="str">
        <x:f>"C-010105"</x:f>
        <x:v>C-010105</x:v>
      </x:c>
      <x:c r="C69" s="25" t="str">
        <x:v>010105  TILE WORKS</x:v>
      </x:c>
      <x:c r="D69" s="25" t="str">
        <x:v>Size, Thk 9mm Porcelain tiles</x:v>
      </x:c>
      <x:c r="E69" s="25" t="str"/>
      <x:c r="F69" s="22" t="str">
        <x:v>M2</x:v>
      </x:c>
      <x:c r="G69" s="28" t="n">
        <x:v>374</x:v>
      </x:c>
      <x:c r="H69" s="25" t="str">
        <x:v>4482204864700D277296005B1854F</x:v>
      </x:c>
      <x:c r="I69" s="22" t="str">
        <x:v>복합일위대가</x:v>
      </x:c>
      <x:c r="J69" s="34" t="n">
        <x:v>20</x:v>
      </x:c>
      <x:c r="K69" s="34" t="n">
        <x:v>3</x:v>
      </x:c>
      <x:c r="L69" s="34" t="n">
        <x:v>0</x:v>
      </x:c>
      <x:c r="M69" s="34" t="n">
        <x:f>SUM(J69:L69)</x:f>
        <x:v>23</x:v>
      </x:c>
      <x:c r="N69" s="34" t="n">
        <x:f>G69*J69</x:f>
        <x:v>7480</x:v>
      </x:c>
      <x:c r="O69" s="34" t="n">
        <x:f>G69*K69</x:f>
        <x:v>1122</x:v>
      </x:c>
      <x:c r="P69" s="34" t="n">
        <x:f>G69*L69</x:f>
        <x:v>0</x:v>
      </x:c>
      <x:c r="Q69" s="34" t="n">
        <x:f>SUM(N69:P69)</x:f>
        <x:v>8602</x:v>
      </x:c>
      <x:c r="R69" s="22" t="str">
        <x:f>IF(M69&gt;0,"복원","미복원")</x:f>
        <x:v>복원</x:v>
      </x:c>
      <x:c r="S69" s="37" t="n">
        <x:v>130</x:v>
      </x:c>
      <x:c r="T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69" s="22" t="str">
        <x:f>A69&amp;"|"&amp;B69</x:f>
        <x:v>병원|C-010105</x:v>
      </x:c>
      <x:c r="V69" s="22" t="n">
        <x:f>IF(M69&gt;0,1,0)</x:f>
        <x:v>1</x:v>
      </x:c>
    </x:row>
    <x:row r="70" ht="28" customHeight="1">
      <x:c r="A70" s="22" t="str">
        <x:v>병원</x:v>
      </x:c>
      <x:c r="B70" s="31" t="str">
        <x:f>"C-010105"</x:f>
        <x:v>C-010105</x:v>
      </x:c>
      <x:c r="C70" s="25" t="str">
        <x:v>010105  TILE WORKS</x:v>
      </x:c>
      <x:c r="D70" s="25" t="str">
        <x:v>Size, Thk 9mm Porcelain tiles (Non-Slip)</x:v>
      </x:c>
      <x:c r="E70" s="25" t="str"/>
      <x:c r="F70" s="22" t="str">
        <x:v>M2</x:v>
      </x:c>
      <x:c r="G70" s="28" t="n">
        <x:v>314</x:v>
      </x:c>
      <x:c r="H70" s="25" t="str">
        <x:v>4482204864700D277296005B0E574</x:v>
      </x:c>
      <x:c r="I70" s="22" t="str">
        <x:v>복합일위대가</x:v>
      </x:c>
      <x:c r="J70" s="34" t="n">
        <x:v>25</x:v>
      </x:c>
      <x:c r="K70" s="34" t="n">
        <x:v>3</x:v>
      </x:c>
      <x:c r="L70" s="34" t="n">
        <x:v>0</x:v>
      </x:c>
      <x:c r="M70" s="34" t="n">
        <x:f>SUM(J70:L70)</x:f>
        <x:v>28</x:v>
      </x:c>
      <x:c r="N70" s="34" t="n">
        <x:f>G70*J70</x:f>
        <x:v>7850</x:v>
      </x:c>
      <x:c r="O70" s="34" t="n">
        <x:f>G70*K70</x:f>
        <x:v>942</x:v>
      </x:c>
      <x:c r="P70" s="34" t="n">
        <x:f>G70*L70</x:f>
        <x:v>0</x:v>
      </x:c>
      <x:c r="Q70" s="34" t="n">
        <x:f>SUM(N70:P70)</x:f>
        <x:v>8792</x:v>
      </x:c>
      <x:c r="R70" s="22" t="str">
        <x:f>IF(M70&gt;0,"복원","미복원")</x:f>
        <x:v>복원</x:v>
      </x:c>
      <x:c r="S70" s="37" t="n">
        <x:v>131</x:v>
      </x:c>
      <x:c r="T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0" s="22" t="str">
        <x:f>A70&amp;"|"&amp;B70</x:f>
        <x:v>병원|C-010105</x:v>
      </x:c>
      <x:c r="V70" s="22" t="n">
        <x:f>IF(M70&gt;0,1,0)</x:f>
        <x:v>1</x:v>
      </x:c>
    </x:row>
    <x:row r="71" ht="28" customHeight="1">
      <x:c r="A71" s="22" t="str">
        <x:v>병원</x:v>
      </x:c>
      <x:c r="B71" s="31" t="str">
        <x:f>"C-010105"</x:f>
        <x:v>C-010105</x:v>
      </x:c>
      <x:c r="C71" s="25" t="str">
        <x:v>010105  TILE WORKS</x:v>
      </x:c>
      <x:c r="D71" s="25" t="str">
        <x:v>Size, Thk 25mm Terrazzo tiles</x:v>
      </x:c>
      <x:c r="E71" s="25" t="str"/>
      <x:c r="F71" s="22" t="str">
        <x:v>M2</x:v>
      </x:c>
      <x:c r="G71" s="28" t="n">
        <x:v>177</x:v>
      </x:c>
      <x:c r="H71" s="25" t="str">
        <x:v>4482204864700D277296005B0ED4A</x:v>
      </x:c>
      <x:c r="I71" s="22" t="str">
        <x:v>복합일위대가</x:v>
      </x:c>
      <x:c r="J71" s="34" t="n">
        <x:v>9</x:v>
      </x:c>
      <x:c r="K71" s="34" t="n">
        <x:v>3</x:v>
      </x:c>
      <x:c r="L71" s="34" t="n">
        <x:v>0</x:v>
      </x:c>
      <x:c r="M71" s="34" t="n">
        <x:f>SUM(J71:L71)</x:f>
        <x:v>12</x:v>
      </x:c>
      <x:c r="N71" s="34" t="n">
        <x:f>G71*J71</x:f>
        <x:v>1593</x:v>
      </x:c>
      <x:c r="O71" s="34" t="n">
        <x:f>G71*K71</x:f>
        <x:v>531</x:v>
      </x:c>
      <x:c r="P71" s="34" t="n">
        <x:f>G71*L71</x:f>
        <x:v>0</x:v>
      </x:c>
      <x:c r="Q71" s="34" t="n">
        <x:f>SUM(N71:P71)</x:f>
        <x:v>2124</x:v>
      </x:c>
      <x:c r="R71" s="22" t="str">
        <x:f>IF(M71&gt;0,"복원","미복원")</x:f>
        <x:v>복원</x:v>
      </x:c>
      <x:c r="S71" s="37" t="n">
        <x:v>132</x:v>
      </x:c>
      <x:c r="T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1" s="22" t="str">
        <x:f>A71&amp;"|"&amp;B71</x:f>
        <x:v>병원|C-010105</x:v>
      </x:c>
      <x:c r="V71" s="22" t="n">
        <x:f>IF(M71&gt;0,1,0)</x:f>
        <x:v>1</x:v>
      </x:c>
    </x:row>
    <x:row r="72" ht="28" customHeight="1">
      <x:c r="A72" s="22" t="str">
        <x:v>병원</x:v>
      </x:c>
      <x:c r="B72" s="31" t="str">
        <x:f>"C-010105"</x:f>
        <x:v>C-010105</x:v>
      </x:c>
      <x:c r="C72" s="25" t="str">
        <x:v>010105  TILE WORKS</x:v>
      </x:c>
      <x:c r="D72" s="25" t="str">
        <x:v>Size, ThK 7mm Ceramic tiles(Toilet &amp; Shower, Staff)</x:v>
      </x:c>
      <x:c r="E72" s="25" t="str"/>
      <x:c r="F72" s="22" t="str">
        <x:v>M2</x:v>
      </x:c>
      <x:c r="G72" s="28" t="n">
        <x:v>1196</x:v>
      </x:c>
      <x:c r="H72" s="25" t="str">
        <x:v>4482204864700D277296005B0ECA3</x:v>
      </x:c>
      <x:c r="I72" s="22" t="str">
        <x:v>복합일위대가</x:v>
      </x:c>
      <x:c r="J72" s="34" t="n">
        <x:v>20</x:v>
      </x:c>
      <x:c r="K72" s="34" t="n">
        <x:v>3</x:v>
      </x:c>
      <x:c r="L72" s="34" t="n">
        <x:v>0</x:v>
      </x:c>
      <x:c r="M72" s="34" t="n">
        <x:f>SUM(J72:L72)</x:f>
        <x:v>23</x:v>
      </x:c>
      <x:c r="N72" s="34" t="n">
        <x:f>G72*J72</x:f>
        <x:v>23920</x:v>
      </x:c>
      <x:c r="O72" s="34" t="n">
        <x:f>G72*K72</x:f>
        <x:v>3588</x:v>
      </x:c>
      <x:c r="P72" s="34" t="n">
        <x:f>G72*L72</x:f>
        <x:v>0</x:v>
      </x:c>
      <x:c r="Q72" s="34" t="n">
        <x:f>SUM(N72:P72)</x:f>
        <x:v>27508</x:v>
      </x:c>
      <x:c r="R72" s="22" t="str">
        <x:f>IF(M72&gt;0,"복원","미복원")</x:f>
        <x:v>복원</x:v>
      </x:c>
      <x:c r="S72" s="37" t="n">
        <x:v>133</x:v>
      </x:c>
      <x:c r="T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2" s="22" t="str">
        <x:f>A72&amp;"|"&amp;B72</x:f>
        <x:v>병원|C-010105</x:v>
      </x:c>
      <x:c r="V72" s="22" t="n">
        <x:f>IF(M72&gt;0,1,0)</x:f>
        <x:v>1</x:v>
      </x:c>
    </x:row>
    <x:row r="73" ht="28" customHeight="1">
      <x:c r="A73" s="22" t="str">
        <x:v>병원</x:v>
      </x:c>
      <x:c r="B73" s="31" t="str">
        <x:f>"C-010106"</x:f>
        <x:v>C-010106</x:v>
      </x:c>
      <x:c r="C73" s="25" t="str">
        <x:v>010106  FINISH WORKS</x:v>
      </x:c>
      <x:c r="D73" s="25" t="str">
        <x:v>Suspended METAL CEILING Panel on Frame</x:v>
      </x:c>
      <x:c r="E73" s="25" t="str"/>
      <x:c r="F73" s="22" t="str">
        <x:v>M2</x:v>
      </x:c>
      <x:c r="G73" s="28" t="n">
        <x:v>380</x:v>
      </x:c>
      <x:c r="H73" s="25" t="str">
        <x:v>43AE2142BE750E32422BE6D9DD3406C76FA01</x:v>
      </x:c>
      <x:c r="I73" s="22" t="str">
        <x:v>직접자원단가</x:v>
      </x:c>
      <x:c r="J73" s="34" t="n">
        <x:v>5</x:v>
      </x:c>
      <x:c r="K73" s="34" t="n">
        <x:v>0</x:v>
      </x:c>
      <x:c r="L73" s="34" t="n">
        <x:v>0</x:v>
      </x:c>
      <x:c r="M73" s="34" t="n">
        <x:f>SUM(J73:L73)</x:f>
        <x:v>5</x:v>
      </x:c>
      <x:c r="N73" s="34" t="n">
        <x:f>G73*J73</x:f>
        <x:v>1900</x:v>
      </x:c>
      <x:c r="O73" s="34" t="n">
        <x:f>G73*K73</x:f>
        <x:v>0</x:v>
      </x:c>
      <x:c r="P73" s="34" t="n">
        <x:f>G73*L73</x:f>
        <x:v>0</x:v>
      </x:c>
      <x:c r="Q73" s="34" t="n">
        <x:f>SUM(N73:P73)</x:f>
        <x:v>1900</x:v>
      </x:c>
      <x:c r="R73" s="22" t="str">
        <x:f>IF(M73&gt;0,"복원","미복원")</x:f>
        <x:v>복원</x:v>
      </x:c>
      <x:c r="S73" s="37" t="n">
        <x:v>149</x:v>
      </x:c>
      <x:c r="T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3" s="22" t="str">
        <x:f>A73&amp;"|"&amp;B73</x:f>
        <x:v>병원|C-010106</x:v>
      </x:c>
      <x:c r="V73" s="22" t="n">
        <x:f>IF(M73&gt;0,1,0)</x:f>
        <x:v>1</x:v>
      </x:c>
    </x:row>
    <x:row r="74" ht="28" customHeight="1">
      <x:c r="A74" s="22" t="str">
        <x:v>병원</x:v>
      </x:c>
      <x:c r="B74" s="31" t="str">
        <x:f>"C-010106"</x:f>
        <x:v>C-010106</x:v>
      </x:c>
      <x:c r="C74" s="25" t="str">
        <x:v>010106  FINISH WORKS</x:v>
      </x:c>
      <x:c r="D74" s="25" t="str">
        <x:v>THK197 ACCESS FLOOR, THK3 CONDUCTIVE TILE</x:v>
      </x:c>
      <x:c r="E74" s="25" t="str"/>
      <x:c r="F74" s="22" t="str">
        <x:v>M2</x:v>
      </x:c>
      <x:c r="G74" s="28" t="n">
        <x:v>50</x:v>
      </x:c>
      <x:c r="H74" s="25" t="str">
        <x:v>4531284DDC776A4702EA22A0C0638FB35040A</x:v>
      </x:c>
      <x:c r="I74" s="22" t="str">
        <x:v>직접자원단가</x:v>
      </x:c>
      <x:c r="J74" s="34" t="n">
        <x:v>110</x:v>
      </x:c>
      <x:c r="K74" s="34" t="n">
        <x:v>20</x:v>
      </x:c>
      <x:c r="L74" s="34" t="n">
        <x:v>0</x:v>
      </x:c>
      <x:c r="M74" s="34" t="n">
        <x:f>SUM(J74:L74)</x:f>
        <x:v>130</x:v>
      </x:c>
      <x:c r="N74" s="34" t="n">
        <x:f>G74*J74</x:f>
        <x:v>5500</x:v>
      </x:c>
      <x:c r="O74" s="34" t="n">
        <x:f>G74*K74</x:f>
        <x:v>1000</x:v>
      </x:c>
      <x:c r="P74" s="34" t="n">
        <x:f>G74*L74</x:f>
        <x:v>0</x:v>
      </x:c>
      <x:c r="Q74" s="34" t="n">
        <x:f>SUM(N74:P74)</x:f>
        <x:v>6500</x:v>
      </x:c>
      <x:c r="R74" s="22" t="str">
        <x:f>IF(M74&gt;0,"복원","미복원")</x:f>
        <x:v>복원</x:v>
      </x:c>
      <x:c r="S74" s="37" t="n">
        <x:v>150</x:v>
      </x:c>
      <x:c r="T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4" s="22" t="str">
        <x:f>A74&amp;"|"&amp;B74</x:f>
        <x:v>병원|C-010106</x:v>
      </x:c>
      <x:c r="V74" s="22" t="n">
        <x:f>IF(M74&gt;0,1,0)</x:f>
        <x:v>1</x:v>
      </x:c>
    </x:row>
    <x:row r="75" ht="28" customHeight="1">
      <x:c r="A75" s="22" t="str">
        <x:v>병원</x:v>
      </x:c>
      <x:c r="B75" s="31" t="str">
        <x:f>"C-010106"</x:f>
        <x:v>C-010106</x:v>
      </x:c>
      <x:c r="C75" s="25" t="str">
        <x:v>010106  FINISH WORKS</x:v>
      </x:c>
      <x:c r="D75" s="25" t="str">
        <x:v>Bathroom Partition</x:v>
      </x:c>
      <x:c r="E75" s="25" t="str"/>
      <x:c r="F75" s="22" t="str">
        <x:v>M2</x:v>
      </x:c>
      <x:c r="G75" s="28" t="n">
        <x:v>54</x:v>
      </x:c>
      <x:c r="H75" s="25" t="str">
        <x:v>4531284DDC776A4702EA22A0C0638FB35040B</x:v>
      </x:c>
      <x:c r="I75" s="22" t="str">
        <x:v>직접자원단가</x:v>
      </x:c>
      <x:c r="J75" s="34" t="n">
        <x:v>130</x:v>
      </x:c>
      <x:c r="K75" s="34" t="n">
        <x:v>0</x:v>
      </x:c>
      <x:c r="L75" s="34" t="n">
        <x:v>0</x:v>
      </x:c>
      <x:c r="M75" s="34" t="n">
        <x:f>SUM(J75:L75)</x:f>
        <x:v>130</x:v>
      </x:c>
      <x:c r="N75" s="34" t="n">
        <x:f>G75*J75</x:f>
        <x:v>7020</x:v>
      </x:c>
      <x:c r="O75" s="34" t="n">
        <x:f>G75*K75</x:f>
        <x:v>0</x:v>
      </x:c>
      <x:c r="P75" s="34" t="n">
        <x:f>G75*L75</x:f>
        <x:v>0</x:v>
      </x:c>
      <x:c r="Q75" s="34" t="n">
        <x:f>SUM(N75:P75)</x:f>
        <x:v>7020</x:v>
      </x:c>
      <x:c r="R75" s="22" t="str">
        <x:f>IF(M75&gt;0,"복원","미복원")</x:f>
        <x:v>복원</x:v>
      </x:c>
      <x:c r="S75" s="37" t="n">
        <x:v>151</x:v>
      </x:c>
      <x:c r="T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5" s="22" t="str">
        <x:f>A75&amp;"|"&amp;B75</x:f>
        <x:v>병원|C-010106</x:v>
      </x:c>
      <x:c r="V75" s="22" t="n">
        <x:f>IF(M75&gt;0,1,0)</x:f>
        <x:v>1</x:v>
      </x:c>
    </x:row>
    <x:row r="76" ht="28" customHeight="1">
      <x:c r="A76" s="22" t="str">
        <x:v>병원</x:v>
      </x:c>
      <x:c r="B76" s="31" t="str">
        <x:f>"C-010106"</x:f>
        <x:v>C-010106</x:v>
      </x:c>
      <x:c r="C76" s="25" t="str">
        <x:v>010106  FINISH WORKS</x:v>
      </x:c>
      <x:c r="D76" s="25" t="str">
        <x:v>Thk 2mm,Vinyl Sheet (A / GENERAL), W/Plastering 58mm thick on concrete floors</x:v>
      </x:c>
      <x:c r="E76" s="25" t="str"/>
      <x:c r="F76" s="22" t="str">
        <x:v>M2</x:v>
      </x:c>
      <x:c r="G76" s="28" t="n">
        <x:v>553</x:v>
      </x:c>
      <x:c r="H76" s="25" t="str">
        <x:v>4531284DDC776A4702EA22A0C0638FB3507D6</x:v>
      </x:c>
      <x:c r="I76" s="22" t="str">
        <x:v>직접자원단가</x:v>
      </x:c>
      <x:c r="J76" s="34" t="n">
        <x:v>15</x:v>
      </x:c>
      <x:c r="K76" s="34" t="n">
        <x:v>2.04</x:v>
      </x:c>
      <x:c r="L76" s="34" t="n">
        <x:v>0</x:v>
      </x:c>
      <x:c r="M76" s="34" t="n">
        <x:f>SUM(J76:L76)</x:f>
        <x:v>17.04</x:v>
      </x:c>
      <x:c r="N76" s="34" t="n">
        <x:f>G76*J76</x:f>
        <x:v>8295</x:v>
      </x:c>
      <x:c r="O76" s="34" t="n">
        <x:f>G76*K76</x:f>
        <x:v>1128.1200000000001</x:v>
      </x:c>
      <x:c r="P76" s="34" t="n">
        <x:f>G76*L76</x:f>
        <x:v>0</x:v>
      </x:c>
      <x:c r="Q76" s="34" t="n">
        <x:f>SUM(N76:P76)</x:f>
        <x:v>9423.12</x:v>
      </x:c>
      <x:c r="R76" s="22" t="str">
        <x:f>IF(M76&gt;0,"복원","미복원")</x:f>
        <x:v>복원</x:v>
      </x:c>
      <x:c r="S76" s="37" t="n">
        <x:v>152</x:v>
      </x:c>
      <x:c r="T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6" s="22" t="str">
        <x:f>A76&amp;"|"&amp;B76</x:f>
        <x:v>병원|C-010106</x:v>
      </x:c>
      <x:c r="V76" s="22" t="n">
        <x:f>IF(M76&gt;0,1,0)</x:f>
        <x:v>1</x:v>
      </x:c>
    </x:row>
    <x:row r="77" ht="28" customHeight="1">
      <x:c r="A77" s="22" t="str">
        <x:v>병원</x:v>
      </x:c>
      <x:c r="B77" s="31" t="str">
        <x:f>"C-010106"</x:f>
        <x:v>C-010106</x:v>
      </x:c>
      <x:c r="C77" s="25" t="str">
        <x:v>010106  FINISH WORKS</x:v>
      </x:c>
      <x:c r="D77" s="25" t="str">
        <x:v>Thk 2mm,Vinyl Sheet (B / HEAVY DUTY), W/Plastering 58mm thick on concrete floors</x:v>
      </x:c>
      <x:c r="E77" s="25" t="str"/>
      <x:c r="F77" s="22" t="str">
        <x:v>M2</x:v>
      </x:c>
      <x:c r="G77" s="28" t="n">
        <x:v>150</x:v>
      </x:c>
      <x:c r="H77" s="25" t="str">
        <x:v>4531284DDC776A4702EA22A0C0638FB3507D7</x:v>
      </x:c>
      <x:c r="I77" s="22" t="str">
        <x:v>직접자원단가</x:v>
      </x:c>
      <x:c r="J77" s="34" t="n">
        <x:v>16</x:v>
      </x:c>
      <x:c r="K77" s="34" t="n">
        <x:v>2.04</x:v>
      </x:c>
      <x:c r="L77" s="34" t="n">
        <x:v>0</x:v>
      </x:c>
      <x:c r="M77" s="34" t="n">
        <x:f>SUM(J77:L77)</x:f>
        <x:v>18.04</x:v>
      </x:c>
      <x:c r="N77" s="34" t="n">
        <x:f>G77*J77</x:f>
        <x:v>2400</x:v>
      </x:c>
      <x:c r="O77" s="34" t="n">
        <x:f>G77*K77</x:f>
        <x:v>306</x:v>
      </x:c>
      <x:c r="P77" s="34" t="n">
        <x:f>G77*L77</x:f>
        <x:v>0</x:v>
      </x:c>
      <x:c r="Q77" s="34" t="n">
        <x:f>SUM(N77:P77)</x:f>
        <x:v>2706</x:v>
      </x:c>
      <x:c r="R77" s="22" t="str">
        <x:f>IF(M77&gt;0,"복원","미복원")</x:f>
        <x:v>복원</x:v>
      </x:c>
      <x:c r="S77" s="37" t="n">
        <x:v>153</x:v>
      </x:c>
      <x:c r="T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7" s="22" t="str">
        <x:f>A77&amp;"|"&amp;B77</x:f>
        <x:v>병원|C-010106</x:v>
      </x:c>
      <x:c r="V77" s="22" t="n">
        <x:f>IF(M77&gt;0,1,0)</x:f>
        <x:v>1</x:v>
      </x:c>
    </x:row>
    <x:row r="78" ht="28" customHeight="1">
      <x:c r="A78" s="22" t="str">
        <x:v>병원</x:v>
      </x:c>
      <x:c r="B78" s="31" t="str">
        <x:f>"C-010106"</x:f>
        <x:v>C-010106</x:v>
      </x:c>
      <x:c r="C78" s="25" t="str">
        <x:v>010106  FINISH WORKS</x:v>
      </x:c>
      <x:c r="D78" s="25" t="str">
        <x:v>Thk 2mm,Vinyl Sheet (C / ANTI-BACTERIAL), W/Plastering 58mm thick on concrete floors</x:v>
      </x:c>
      <x:c r="E78" s="25" t="str"/>
      <x:c r="F78" s="22" t="str">
        <x:v>M2</x:v>
      </x:c>
      <x:c r="G78" s="28" t="n">
        <x:v>1561</x:v>
      </x:c>
      <x:c r="H78" s="25" t="str">
        <x:v>4531284DDC776A4702EA22A0C0638FB3507D4</x:v>
      </x:c>
      <x:c r="I78" s="22" t="str">
        <x:v>직접자원단가</x:v>
      </x:c>
      <x:c r="J78" s="34" t="n">
        <x:v>20</x:v>
      </x:c>
      <x:c r="K78" s="34" t="n">
        <x:v>2.04</x:v>
      </x:c>
      <x:c r="L78" s="34" t="n">
        <x:v>0</x:v>
      </x:c>
      <x:c r="M78" s="34" t="n">
        <x:f>SUM(J78:L78)</x:f>
        <x:v>22.04</x:v>
      </x:c>
      <x:c r="N78" s="34" t="n">
        <x:f>G78*J78</x:f>
        <x:v>31220</x:v>
      </x:c>
      <x:c r="O78" s="34" t="n">
        <x:f>G78*K78</x:f>
        <x:v>3184.44</x:v>
      </x:c>
      <x:c r="P78" s="34" t="n">
        <x:f>G78*L78</x:f>
        <x:v>0</x:v>
      </x:c>
      <x:c r="Q78" s="34" t="n">
        <x:f>SUM(N78:P78)</x:f>
        <x:v>34404.44</x:v>
      </x:c>
      <x:c r="R78" s="22" t="str">
        <x:f>IF(M78&gt;0,"복원","미복원")</x:f>
        <x:v>복원</x:v>
      </x:c>
      <x:c r="S78" s="37" t="n">
        <x:v>154</x:v>
      </x:c>
      <x:c r="T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8" s="22" t="str">
        <x:f>A78&amp;"|"&amp;B78</x:f>
        <x:v>병원|C-010106</x:v>
      </x:c>
      <x:c r="V78" s="22" t="n">
        <x:f>IF(M78&gt;0,1,0)</x:f>
        <x:v>1</x:v>
      </x:c>
    </x:row>
    <x:row r="79" ht="28" customHeight="1">
      <x:c r="A79" s="22" t="str">
        <x:v>병원</x:v>
      </x:c>
      <x:c r="B79" s="31" t="str">
        <x:f>"C-010106"</x:f>
        <x:v>C-010106</x:v>
      </x:c>
      <x:c r="C79" s="25" t="str">
        <x:v>010106  FINISH WORKS</x:v>
      </x:c>
      <x:c r="D79" s="25" t="str">
        <x:v>Thk 2mm,Vinyl Sheet (B / HEAVY DUTY), W/Plastering 48mm thick on concrete floors</x:v>
      </x:c>
      <x:c r="E79" s="25" t="str"/>
      <x:c r="F79" s="22" t="str">
        <x:v>M2</x:v>
      </x:c>
      <x:c r="G79" s="28" t="n">
        <x:v>252</x:v>
      </x:c>
      <x:c r="H79" s="25" t="str">
        <x:v>4531284DDC776A4702EA22A0C0638FB3507D5</x:v>
      </x:c>
      <x:c r="I79" s="22" t="str">
        <x:v>직접자원단가</x:v>
      </x:c>
      <x:c r="J79" s="34" t="n">
        <x:v>15.5</x:v>
      </x:c>
      <x:c r="K79" s="34" t="n">
        <x:v>2.04</x:v>
      </x:c>
      <x:c r="L79" s="34" t="n">
        <x:v>0</x:v>
      </x:c>
      <x:c r="M79" s="34" t="n">
        <x:f>SUM(J79:L79)</x:f>
        <x:v>17.54</x:v>
      </x:c>
      <x:c r="N79" s="34" t="n">
        <x:f>G79*J79</x:f>
        <x:v>3906</x:v>
      </x:c>
      <x:c r="O79" s="34" t="n">
        <x:f>G79*K79</x:f>
        <x:v>514.08</x:v>
      </x:c>
      <x:c r="P79" s="34" t="n">
        <x:f>G79*L79</x:f>
        <x:v>0</x:v>
      </x:c>
      <x:c r="Q79" s="34" t="n">
        <x:f>SUM(N79:P79)</x:f>
        <x:v>4420.08</x:v>
      </x:c>
      <x:c r="R79" s="22" t="str">
        <x:f>IF(M79&gt;0,"복원","미복원")</x:f>
        <x:v>복원</x:v>
      </x:c>
      <x:c r="S79" s="37" t="n">
        <x:v>155</x:v>
      </x:c>
      <x:c r="T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79" s="22" t="str">
        <x:f>A79&amp;"|"&amp;B79</x:f>
        <x:v>병원|C-010106</x:v>
      </x:c>
      <x:c r="V79" s="22" t="n">
        <x:f>IF(M79&gt;0,1,0)</x:f>
        <x:v>1</x:v>
      </x:c>
    </x:row>
    <x:row r="80" ht="28" customHeight="1">
      <x:c r="A80" s="22" t="str">
        <x:v>병원</x:v>
      </x:c>
      <x:c r="B80" s="31" t="str">
        <x:f>"C-010106"</x:f>
        <x:v>C-010106</x:v>
      </x:c>
      <x:c r="C80" s="25" t="str">
        <x:v>010106  FINISH WORKS</x:v>
      </x:c>
      <x:c r="D80" s="25" t="str">
        <x:v>Thk 2mm,Vinyl Sheet (C / ANTI-BACTERIAL), W/Plastering 48mm thick on concrete floors</x:v>
      </x:c>
      <x:c r="E80" s="25" t="str"/>
      <x:c r="F80" s="22" t="str">
        <x:v>M2</x:v>
      </x:c>
      <x:c r="G80" s="28" t="n">
        <x:v>293</x:v>
      </x:c>
      <x:c r="H80" s="25" t="str">
        <x:v>4531284DDC776A4702EA22A0C0638FB3507D2</x:v>
      </x:c>
      <x:c r="I80" s="22" t="str">
        <x:v>직접자원단가</x:v>
      </x:c>
      <x:c r="J80" s="34" t="n">
        <x:v>20</x:v>
      </x:c>
      <x:c r="K80" s="34" t="n">
        <x:v>2.04</x:v>
      </x:c>
      <x:c r="L80" s="34" t="n">
        <x:v>0</x:v>
      </x:c>
      <x:c r="M80" s="34" t="n">
        <x:f>SUM(J80:L80)</x:f>
        <x:v>22.04</x:v>
      </x:c>
      <x:c r="N80" s="34" t="n">
        <x:f>G80*J80</x:f>
        <x:v>5860</x:v>
      </x:c>
      <x:c r="O80" s="34" t="n">
        <x:f>G80*K80</x:f>
        <x:v>597.72</x:v>
      </x:c>
      <x:c r="P80" s="34" t="n">
        <x:f>G80*L80</x:f>
        <x:v>0</x:v>
      </x:c>
      <x:c r="Q80" s="34" t="n">
        <x:f>SUM(N80:P80)</x:f>
        <x:v>6457.72</x:v>
      </x:c>
      <x:c r="R80" s="22" t="str">
        <x:f>IF(M80&gt;0,"복원","미복원")</x:f>
        <x:v>복원</x:v>
      </x:c>
      <x:c r="S80" s="37" t="n">
        <x:v>156</x:v>
      </x:c>
      <x:c r="T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0" s="22" t="str">
        <x:f>A80&amp;"|"&amp;B80</x:f>
        <x:v>병원|C-010106</x:v>
      </x:c>
      <x:c r="V80" s="22" t="n">
        <x:f>IF(M80&gt;0,1,0)</x:f>
        <x:v>1</x:v>
      </x:c>
    </x:row>
    <x:row r="81" ht="28" customHeight="1">
      <x:c r="A81" s="22" t="str">
        <x:v>병원</x:v>
      </x:c>
      <x:c r="B81" s="31" t="str">
        <x:f>"C-010106"</x:f>
        <x:v>C-010106</x:v>
      </x:c>
      <x:c r="C81" s="25" t="str">
        <x:v>010106  FINISH WORKS</x:v>
      </x:c>
      <x:c r="D81" s="25" t="str">
        <x:v>Thk 2mm,Vinyl Sheet (D / CONDUCTIVE), W/Plastering 48mm thick on concrete floors</x:v>
      </x:c>
      <x:c r="E81" s="25" t="str"/>
      <x:c r="F81" s="22" t="str">
        <x:v>M2</x:v>
      </x:c>
      <x:c r="G81" s="28" t="n">
        <x:v>42</x:v>
      </x:c>
      <x:c r="H81" s="25" t="str">
        <x:v>4531284DDC776A4702EA22A0C0638FB3507D3</x:v>
      </x:c>
      <x:c r="I81" s="22" t="str">
        <x:v>직접자원단가</x:v>
      </x:c>
      <x:c r="J81" s="34" t="n">
        <x:v>20</x:v>
      </x:c>
      <x:c r="K81" s="34" t="n">
        <x:v>2.04</x:v>
      </x:c>
      <x:c r="L81" s="34" t="n">
        <x:v>0</x:v>
      </x:c>
      <x:c r="M81" s="34" t="n">
        <x:f>SUM(J81:L81)</x:f>
        <x:v>22.04</x:v>
      </x:c>
      <x:c r="N81" s="34" t="n">
        <x:f>G81*J81</x:f>
        <x:v>840</x:v>
      </x:c>
      <x:c r="O81" s="34" t="n">
        <x:f>G81*K81</x:f>
        <x:v>85.68</x:v>
      </x:c>
      <x:c r="P81" s="34" t="n">
        <x:f>G81*L81</x:f>
        <x:v>0</x:v>
      </x:c>
      <x:c r="Q81" s="34" t="n">
        <x:f>SUM(N81:P81)</x:f>
        <x:v>925.6800000000001</x:v>
      </x:c>
      <x:c r="R81" s="22" t="str">
        <x:f>IF(M81&gt;0,"복원","미복원")</x:f>
        <x:v>복원</x:v>
      </x:c>
      <x:c r="S81" s="37" t="n">
        <x:v>157</x:v>
      </x:c>
      <x:c r="T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1" s="22" t="str">
        <x:f>A81&amp;"|"&amp;B81</x:f>
        <x:v>병원|C-010106</x:v>
      </x:c>
      <x:c r="V81" s="22" t="n">
        <x:f>IF(M81&gt;0,1,0)</x:f>
        <x:v>1</x:v>
      </x:c>
    </x:row>
    <x:row r="82" ht="28" customHeight="1">
      <x:c r="A82" s="22" t="str">
        <x:v>병원</x:v>
      </x:c>
      <x:c r="B82" s="31" t="str">
        <x:f>"C-010106"</x:f>
        <x:v>C-010106</x:v>
      </x:c>
      <x:c r="C82" s="25" t="str">
        <x:v>010106  FINISH WORKS</x:v>
      </x:c>
      <x:c r="D82" s="25" t="str">
        <x:v>Thk 2mm,Vinyl Sheet (A / GENERAL), W/Plastering 48mm thick on concrete floors</x:v>
      </x:c>
      <x:c r="E82" s="25" t="str"/>
      <x:c r="F82" s="22" t="str">
        <x:v>M2</x:v>
      </x:c>
      <x:c r="G82" s="28" t="n">
        <x:v>95</x:v>
      </x:c>
      <x:c r="H82" s="25" t="str">
        <x:v>4531284DDC776A4702EA22A0C0638FB3507D0</x:v>
      </x:c>
      <x:c r="I82" s="22" t="str">
        <x:v>직접자원단가</x:v>
      </x:c>
      <x:c r="J82" s="34" t="n">
        <x:v>14.5</x:v>
      </x:c>
      <x:c r="K82" s="34" t="n">
        <x:v>2.04</x:v>
      </x:c>
      <x:c r="L82" s="34" t="n">
        <x:v>0</x:v>
      </x:c>
      <x:c r="M82" s="34" t="n">
        <x:f>SUM(J82:L82)</x:f>
        <x:v>16.54</x:v>
      </x:c>
      <x:c r="N82" s="34" t="n">
        <x:f>G82*J82</x:f>
        <x:v>1377.5</x:v>
      </x:c>
      <x:c r="O82" s="34" t="n">
        <x:f>G82*K82</x:f>
        <x:v>193.8</x:v>
      </x:c>
      <x:c r="P82" s="34" t="n">
        <x:f>G82*L82</x:f>
        <x:v>0</x:v>
      </x:c>
      <x:c r="Q82" s="34" t="n">
        <x:f>SUM(N82:P82)</x:f>
        <x:v>1571.3</x:v>
      </x:c>
      <x:c r="R82" s="22" t="str">
        <x:f>IF(M82&gt;0,"복원","미복원")</x:f>
        <x:v>복원</x:v>
      </x:c>
      <x:c r="S82" s="37" t="n">
        <x:v>158</x:v>
      </x:c>
      <x:c r="T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2" s="22" t="str">
        <x:f>A82&amp;"|"&amp;B82</x:f>
        <x:v>병원|C-010106</x:v>
      </x:c>
      <x:c r="V82" s="22" t="n">
        <x:f>IF(M82&gt;0,1,0)</x:f>
        <x:v>1</x:v>
      </x:c>
    </x:row>
    <x:row r="83" ht="28" customHeight="1">
      <x:c r="A83" s="22" t="str">
        <x:v>병원</x:v>
      </x:c>
      <x:c r="B83" s="31" t="str">
        <x:f>"C-010106"</x:f>
        <x:v>C-010106</x:v>
      </x:c>
      <x:c r="C83" s="25" t="str">
        <x:v>010106  FINISH WORKS</x:v>
      </x:c>
      <x:c r="D83" s="25" t="str">
        <x:v>Supplying and laying of 100mm (h), 2T Vinyl Sheet skirting.</x:v>
      </x:c>
      <x:c r="E83" s="25" t="str"/>
      <x:c r="F83" s="22" t="str">
        <x:v>M2</x:v>
      </x:c>
      <x:c r="G83" s="28" t="n">
        <x:v>227</x:v>
      </x:c>
      <x:c r="H83" s="25" t="str">
        <x:v>4531284DDC776A4702EA22A0C0638FB3507D1</x:v>
      </x:c>
      <x:c r="I83" s="22" t="str">
        <x:v>직접자원단가</x:v>
      </x:c>
      <x:c r="J83" s="34" t="n">
        <x:v>5</x:v>
      </x:c>
      <x:c r="K83" s="34" t="n">
        <x:v>0</x:v>
      </x:c>
      <x:c r="L83" s="34" t="n">
        <x:v>0</x:v>
      </x:c>
      <x:c r="M83" s="34" t="n">
        <x:f>SUM(J83:L83)</x:f>
        <x:v>5</x:v>
      </x:c>
      <x:c r="N83" s="34" t="n">
        <x:f>G83*J83</x:f>
        <x:v>1135</x:v>
      </x:c>
      <x:c r="O83" s="34" t="n">
        <x:f>G83*K83</x:f>
        <x:v>0</x:v>
      </x:c>
      <x:c r="P83" s="34" t="n">
        <x:f>G83*L83</x:f>
        <x:v>0</x:v>
      </x:c>
      <x:c r="Q83" s="34" t="n">
        <x:f>SUM(N83:P83)</x:f>
        <x:v>1135</x:v>
      </x:c>
      <x:c r="R83" s="22" t="str">
        <x:f>IF(M83&gt;0,"복원","미복원")</x:f>
        <x:v>복원</x:v>
      </x:c>
      <x:c r="S83" s="37" t="n">
        <x:v>159</x:v>
      </x:c>
      <x:c r="T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3" s="22" t="str">
        <x:f>A83&amp;"|"&amp;B83</x:f>
        <x:v>병원|C-010106</x:v>
      </x:c>
      <x:c r="V83" s="22" t="n">
        <x:f>IF(M83&gt;0,1,0)</x:f>
        <x:v>1</x:v>
      </x:c>
    </x:row>
    <x:row r="84" ht="28" customHeight="1">
      <x:c r="A84" s="22" t="str">
        <x:v>병원</x:v>
      </x:c>
      <x:c r="B84" s="31" t="str">
        <x:f>"C-010106"</x:f>
        <x:v>C-010106</x:v>
      </x:c>
      <x:c r="C84" s="25" t="str">
        <x:v>010106  FINISH WORKS</x:v>
      </x:c>
      <x:c r="D84" s="25" t="str">
        <x:v>Supplying and laying of 100mm (h) PVC skirting.</x:v>
      </x:c>
      <x:c r="E84" s="25" t="str"/>
      <x:c r="F84" s="22" t="str">
        <x:v>M2</x:v>
      </x:c>
      <x:c r="G84" s="28" t="n">
        <x:v>7</x:v>
      </x:c>
      <x:c r="H84" s="25" t="str">
        <x:v>4531284DDC776A4702EA22A0C0638FB3507DE</x:v>
      </x:c>
      <x:c r="I84" s="22" t="str">
        <x:v>직접자원단가</x:v>
      </x:c>
      <x:c r="J84" s="34" t="n">
        <x:v>15</x:v>
      </x:c>
      <x:c r="K84" s="34" t="n">
        <x:v>0</x:v>
      </x:c>
      <x:c r="L84" s="34" t="n">
        <x:v>0</x:v>
      </x:c>
      <x:c r="M84" s="34" t="n">
        <x:f>SUM(J84:L84)</x:f>
        <x:v>15</x:v>
      </x:c>
      <x:c r="N84" s="34" t="n">
        <x:f>G84*J84</x:f>
        <x:v>105</x:v>
      </x:c>
      <x:c r="O84" s="34" t="n">
        <x:f>G84*K84</x:f>
        <x:v>0</x:v>
      </x:c>
      <x:c r="P84" s="34" t="n">
        <x:f>G84*L84</x:f>
        <x:v>0</x:v>
      </x:c>
      <x:c r="Q84" s="34" t="n">
        <x:f>SUM(N84:P84)</x:f>
        <x:v>105</x:v>
      </x:c>
      <x:c r="R84" s="22" t="str">
        <x:f>IF(M84&gt;0,"복원","미복원")</x:f>
        <x:v>복원</x:v>
      </x:c>
      <x:c r="S84" s="37" t="n">
        <x:v>160</x:v>
      </x:c>
      <x:c r="T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4" s="22" t="str">
        <x:f>A84&amp;"|"&amp;B84</x:f>
        <x:v>병원|C-010106</x:v>
      </x:c>
      <x:c r="V84" s="22" t="n">
        <x:f>IF(M84&gt;0,1,0)</x:f>
        <x:v>1</x:v>
      </x:c>
    </x:row>
    <x:row r="85" ht="28" customHeight="1">
      <x:c r="A85" s="22" t="str">
        <x:v>병원</x:v>
      </x:c>
      <x:c r="B85" s="31" t="str">
        <x:f>"C-010106"</x:f>
        <x:v>C-010106</x:v>
      </x:c>
      <x:c r="C85" s="25" t="str">
        <x:v>010106  FINISH WORKS</x:v>
      </x:c>
      <x:c r="D85" s="25" t="str">
        <x:v>Supplying and laying of 100mm (h) 15T Granite skirting.</x:v>
      </x:c>
      <x:c r="E85" s="25" t="str"/>
      <x:c r="F85" s="22" t="str">
        <x:v>M2</x:v>
      </x:c>
      <x:c r="G85" s="28" t="n">
        <x:v>12</x:v>
      </x:c>
      <x:c r="H85" s="25" t="str">
        <x:v>4531284DDC776A4702EA22A0C0638FB3507DF</x:v>
      </x:c>
      <x:c r="I85" s="22" t="str">
        <x:v>직접자원단가</x:v>
      </x:c>
      <x:c r="J85" s="34" t="n">
        <x:v>15</x:v>
      </x:c>
      <x:c r="K85" s="34" t="n">
        <x:v>0</x:v>
      </x:c>
      <x:c r="L85" s="34" t="n">
        <x:v>0</x:v>
      </x:c>
      <x:c r="M85" s="34" t="n">
        <x:f>SUM(J85:L85)</x:f>
        <x:v>15</x:v>
      </x:c>
      <x:c r="N85" s="34" t="n">
        <x:f>G85*J85</x:f>
        <x:v>180</x:v>
      </x:c>
      <x:c r="O85" s="34" t="n">
        <x:f>G85*K85</x:f>
        <x:v>0</x:v>
      </x:c>
      <x:c r="P85" s="34" t="n">
        <x:f>G85*L85</x:f>
        <x:v>0</x:v>
      </x:c>
      <x:c r="Q85" s="34" t="n">
        <x:f>SUM(N85:P85)</x:f>
        <x:v>180</x:v>
      </x:c>
      <x:c r="R85" s="22" t="str">
        <x:f>IF(M85&gt;0,"복원","미복원")</x:f>
        <x:v>복원</x:v>
      </x:c>
      <x:c r="S85" s="37" t="n">
        <x:v>161</x:v>
      </x:c>
      <x:c r="T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5" s="22" t="str">
        <x:f>A85&amp;"|"&amp;B85</x:f>
        <x:v>병원|C-010106</x:v>
      </x:c>
      <x:c r="V85" s="22" t="n">
        <x:f>IF(M85&gt;0,1,0)</x:f>
        <x:v>1</x:v>
      </x:c>
    </x:row>
    <x:row r="86" ht="28" customHeight="1">
      <x:c r="A86" s="22" t="str">
        <x:v>병원</x:v>
      </x:c>
      <x:c r="B86" s="31" t="str">
        <x:f>"C-010106"</x:f>
        <x:v>C-010106</x:v>
      </x:c>
      <x:c r="C86" s="25" t="str">
        <x:v>010106  FINISH WORKS</x:v>
      </x:c>
      <x:c r="D86" s="25" t="str">
        <x:v>Supplying and laying of 100mm (h) porcelain tile skirting, T3 Tile Adhesive</x:v>
      </x:c>
      <x:c r="E86" s="25" t="str"/>
      <x:c r="F86" s="22" t="str">
        <x:v>M2</x:v>
      </x:c>
      <x:c r="G86" s="28" t="n">
        <x:v>11</x:v>
      </x:c>
      <x:c r="H86" s="25" t="str">
        <x:v>4531284DDC776A4702EA22A0C0638FB3506CF</x:v>
      </x:c>
      <x:c r="I86" s="22" t="str">
        <x:v>직접자원단가</x:v>
      </x:c>
      <x:c r="J86" s="34" t="n">
        <x:v>5</x:v>
      </x:c>
      <x:c r="K86" s="34" t="n">
        <x:v>0</x:v>
      </x:c>
      <x:c r="L86" s="34" t="n">
        <x:v>0</x:v>
      </x:c>
      <x:c r="M86" s="34" t="n">
        <x:f>SUM(J86:L86)</x:f>
        <x:v>5</x:v>
      </x:c>
      <x:c r="N86" s="34" t="n">
        <x:f>G86*J86</x:f>
        <x:v>55</x:v>
      </x:c>
      <x:c r="O86" s="34" t="n">
        <x:f>G86*K86</x:f>
        <x:v>0</x:v>
      </x:c>
      <x:c r="P86" s="34" t="n">
        <x:f>G86*L86</x:f>
        <x:v>0</x:v>
      </x:c>
      <x:c r="Q86" s="34" t="n">
        <x:f>SUM(N86:P86)</x:f>
        <x:v>55</x:v>
      </x:c>
      <x:c r="R86" s="22" t="str">
        <x:f>IF(M86&gt;0,"복원","미복원")</x:f>
        <x:v>복원</x:v>
      </x:c>
      <x:c r="S86" s="37" t="n">
        <x:v>162</x:v>
      </x:c>
      <x:c r="T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6" s="22" t="str">
        <x:f>A86&amp;"|"&amp;B86</x:f>
        <x:v>병원|C-010106</x:v>
      </x:c>
      <x:c r="V86" s="22" t="n">
        <x:f>IF(M86&gt;0,1,0)</x:f>
        <x:v>1</x:v>
      </x:c>
    </x:row>
    <x:row r="87" ht="28" customHeight="1">
      <x:c r="A87" s="22" t="str">
        <x:v>병원</x:v>
      </x:c>
      <x:c r="B87" s="31" t="str">
        <x:f>"C-010106"</x:f>
        <x:v>C-010106</x:v>
      </x:c>
      <x:c r="C87" s="25" t="str">
        <x:v>010106  FINISH WORKS</x:v>
      </x:c>
      <x:c r="D87" s="25" t="str">
        <x:v>DRY WALL D1(W125), General Drywall System,(ON 100*45*0.8 C-STUD @450+102*40*0.8 RUNNER)</x:v>
      </x:c>
      <x:c r="E87" s="25" t="str">
        <x:v>(T12.5 General Gypsum Board) 2LAYER+(T12.5 General Gypsum Board) 2LAYER</x:v>
      </x:c>
      <x:c r="F87" s="22" t="str">
        <x:v>M2</x:v>
      </x:c>
      <x:c r="G87" s="28" t="n">
        <x:v>1675</x:v>
      </x:c>
      <x:c r="H87" s="25" t="str">
        <x:v>4531284DDC776A4702EA22A0C0638FB3506CE</x:v>
      </x:c>
      <x:c r="I87" s="22" t="str">
        <x:v>직접자원단가</x:v>
      </x:c>
      <x:c r="J87" s="34" t="n">
        <x:v>25</x:v>
      </x:c>
      <x:c r="K87" s="34" t="n">
        <x:v>9.88</x:v>
      </x:c>
      <x:c r="L87" s="34" t="n">
        <x:v>0.19</x:v>
      </x:c>
      <x:c r="M87" s="34" t="n">
        <x:f>SUM(J87:L87)</x:f>
        <x:v>35.07</x:v>
      </x:c>
      <x:c r="N87" s="34" t="n">
        <x:f>G87*J87</x:f>
        <x:v>41875</x:v>
      </x:c>
      <x:c r="O87" s="34" t="n">
        <x:f>G87*K87</x:f>
        <x:v>16549</x:v>
      </x:c>
      <x:c r="P87" s="34" t="n">
        <x:f>G87*L87</x:f>
        <x:v>318.25</x:v>
      </x:c>
      <x:c r="Q87" s="34" t="n">
        <x:f>SUM(N87:P87)</x:f>
        <x:v>58742.25</x:v>
      </x:c>
      <x:c r="R87" s="22" t="str">
        <x:f>IF(M87&gt;0,"복원","미복원")</x:f>
        <x:v>복원</x:v>
      </x:c>
      <x:c r="S87" s="37" t="n">
        <x:v>163</x:v>
      </x:c>
      <x:c r="T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7" s="22" t="str">
        <x:f>A87&amp;"|"&amp;B87</x:f>
        <x:v>병원|C-010106</x:v>
      </x:c>
      <x:c r="V87" s="22" t="n">
        <x:f>IF(M87&gt;0,1,0)</x:f>
        <x:v>1</x:v>
      </x:c>
    </x:row>
    <x:row r="88" ht="28" customHeight="1">
      <x:c r="A88" s="22" t="str">
        <x:v>병원</x:v>
      </x:c>
      <x:c r="B88" s="31" t="str">
        <x:f>"C-010106"</x:f>
        <x:v>C-010106</x:v>
      </x:c>
      <x:c r="C88" s="25" t="str">
        <x:v>010106  FINISH WORKS</x:v>
      </x:c>
      <x:c r="D88" s="25" t="str">
        <x:v>DRY WALL D2(W125), General Drywall System,(ON 100*45*0.8 C-STUD @450+102*40*0.8 RUNNER)</x:v>
      </x:c>
      <x:c r="E88" s="25" t="str">
        <x:v>(T12.5 General Gypsum Board) 2LAYER+General Wool Nature 24K 50mm+(T12.5 General Gypsum Board) 2LAYER</x:v>
      </x:c>
      <x:c r="F88" s="22" t="str">
        <x:v>M2</x:v>
      </x:c>
      <x:c r="G88" s="28" t="n">
        <x:v>359</x:v>
      </x:c>
      <x:c r="H88" s="25" t="str">
        <x:v>4531284DDC776A4702EA22A0C0638FB3506CD</x:v>
      </x:c>
      <x:c r="I88" s="22" t="str">
        <x:v>직접자원단가</x:v>
      </x:c>
      <x:c r="J88" s="34" t="n">
        <x:v>29</x:v>
      </x:c>
      <x:c r="K88" s="34" t="n">
        <x:v>12.45</x:v>
      </x:c>
      <x:c r="L88" s="34" t="n">
        <x:v>0.19</x:v>
      </x:c>
      <x:c r="M88" s="34" t="n">
        <x:f>SUM(J88:L88)</x:f>
        <x:v>41.64</x:v>
      </x:c>
      <x:c r="N88" s="34" t="n">
        <x:f>G88*J88</x:f>
        <x:v>10411</x:v>
      </x:c>
      <x:c r="O88" s="34" t="n">
        <x:f>G88*K88</x:f>
        <x:v>4469.55</x:v>
      </x:c>
      <x:c r="P88" s="34" t="n">
        <x:f>G88*L88</x:f>
        <x:v>68.21</x:v>
      </x:c>
      <x:c r="Q88" s="34" t="n">
        <x:f>SUM(N88:P88)</x:f>
        <x:v>14948.759999999998</x:v>
      </x:c>
      <x:c r="R88" s="22" t="str">
        <x:f>IF(M88&gt;0,"복원","미복원")</x:f>
        <x:v>복원</x:v>
      </x:c>
      <x:c r="S88" s="37" t="n">
        <x:v>164</x:v>
      </x:c>
      <x:c r="T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8" s="22" t="str">
        <x:f>A88&amp;"|"&amp;B88</x:f>
        <x:v>병원|C-010106</x:v>
      </x:c>
      <x:c r="V88" s="22" t="n">
        <x:f>IF(M88&gt;0,1,0)</x:f>
        <x:v>1</x:v>
      </x:c>
    </x:row>
    <x:row r="89" ht="28" customHeight="1">
      <x:c r="A89" s="22" t="str">
        <x:v>병원</x:v>
      </x:c>
      <x:c r="B89" s="31" t="str">
        <x:f>"C-010106"</x:f>
        <x:v>C-010106</x:v>
      </x:c>
      <x:c r="C89" s="25" t="str">
        <x:v>010106  FINISH WORKS</x:v>
      </x:c>
      <x:c r="D89" s="25" t="str">
        <x:v>DRY WALL D3(W75), 1-Sided Drywall System,(ON 50*45*0.8 C-STUD @450+52*40*0.8 RUNNER)</x:v>
      </x:c>
      <x:c r="E89" s="25" t="str">
        <x:v>(T12.5 General Gypsum Board) 2LAYER</x:v>
      </x:c>
      <x:c r="F89" s="22" t="str">
        <x:v>M2</x:v>
      </x:c>
      <x:c r="G89" s="28" t="n">
        <x:v>424</x:v>
      </x:c>
      <x:c r="H89" s="25" t="str">
        <x:v>4531284DDC776A4702EA22A0C0638FB3506CC</x:v>
      </x:c>
      <x:c r="I89" s="22" t="str">
        <x:v>직접자원단가</x:v>
      </x:c>
      <x:c r="J89" s="34" t="n">
        <x:v>14</x:v>
      </x:c>
      <x:c r="K89" s="34" t="n">
        <x:v>6.51</x:v>
      </x:c>
      <x:c r="L89" s="34" t="n">
        <x:v>0.19</x:v>
      </x:c>
      <x:c r="M89" s="34" t="n">
        <x:f>SUM(J89:L89)</x:f>
        <x:v>20.7</x:v>
      </x:c>
      <x:c r="N89" s="34" t="n">
        <x:f>G89*J89</x:f>
        <x:v>5936</x:v>
      </x:c>
      <x:c r="O89" s="34" t="n">
        <x:f>G89*K89</x:f>
        <x:v>2760.24</x:v>
      </x:c>
      <x:c r="P89" s="34" t="n">
        <x:f>G89*L89</x:f>
        <x:v>80.56</x:v>
      </x:c>
      <x:c r="Q89" s="34" t="n">
        <x:f>SUM(N89:P89)</x:f>
        <x:v>8776.8</x:v>
      </x:c>
      <x:c r="R89" s="22" t="str">
        <x:f>IF(M89&gt;0,"복원","미복원")</x:f>
        <x:v>복원</x:v>
      </x:c>
      <x:c r="S89" s="37" t="n">
        <x:v>165</x:v>
      </x:c>
      <x:c r="T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89" s="22" t="str">
        <x:f>A89&amp;"|"&amp;B89</x:f>
        <x:v>병원|C-010106</x:v>
      </x:c>
      <x:c r="V89" s="22" t="n">
        <x:f>IF(M89&gt;0,1,0)</x:f>
        <x:v>1</x:v>
      </x:c>
    </x:row>
    <x:row r="90" ht="28" customHeight="1">
      <x:c r="A90" s="22" t="str">
        <x:v>병원</x:v>
      </x:c>
      <x:c r="B90" s="31" t="str">
        <x:f>"C-010106"</x:f>
        <x:v>C-010106</x:v>
      </x:c>
      <x:c r="C90" s="25" t="str">
        <x:v>010106  FINISH WORKS</x:v>
      </x:c>
      <x:c r="D90" s="25" t="str">
        <x:v>DRY WALL D4(W125), 1-Sided Drywall System,(ON 50*45*0.8 C-STUD @450+52*40*0.8 RUNNER)</x:v>
      </x:c>
      <x:c r="E90" s="25" t="str">
        <x:v>(T12.5 General Gypsum Board) 2LAYER</x:v>
      </x:c>
      <x:c r="F90" s="22" t="str">
        <x:v>EA</x:v>
      </x:c>
      <x:c r="G90" s="28" t="n">
        <x:v>261</x:v>
      </x:c>
      <x:c r="H90" s="25" t="str">
        <x:v>4531284DDC776A4702EA22A0C0638FB347F7E</x:v>
      </x:c>
      <x:c r="I90" s="22" t="str">
        <x:v>직접자원단가</x:v>
      </x:c>
      <x:c r="J90" s="34" t="n">
        <x:v>40</x:v>
      </x:c>
      <x:c r="K90" s="34" t="n">
        <x:v>10</x:v>
      </x:c>
      <x:c r="L90" s="34" t="n">
        <x:v>0.19</x:v>
      </x:c>
      <x:c r="M90" s="34" t="n">
        <x:f>SUM(J90:L90)</x:f>
        <x:v>50.19</x:v>
      </x:c>
      <x:c r="N90" s="34" t="n">
        <x:f>G90*J90</x:f>
        <x:v>10440</x:v>
      </x:c>
      <x:c r="O90" s="34" t="n">
        <x:f>G90*K90</x:f>
        <x:v>2610</x:v>
      </x:c>
      <x:c r="P90" s="34" t="n">
        <x:f>G90*L90</x:f>
        <x:v>49.59</x:v>
      </x:c>
      <x:c r="Q90" s="34" t="n">
        <x:f>SUM(N90:P90)</x:f>
        <x:v>13099.59</x:v>
      </x:c>
      <x:c r="R90" s="22" t="str">
        <x:f>IF(M90&gt;0,"복원","미복원")</x:f>
        <x:v>복원</x:v>
      </x:c>
      <x:c r="S90" s="37" t="n">
        <x:v>166</x:v>
      </x:c>
      <x:c r="T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0" s="22" t="str">
        <x:f>A90&amp;"|"&amp;B90</x:f>
        <x:v>병원|C-010106</x:v>
      </x:c>
      <x:c r="V90" s="22" t="n">
        <x:f>IF(M90&gt;0,1,0)</x:f>
        <x:v>1</x:v>
      </x:c>
    </x:row>
    <x:row r="91" ht="28" customHeight="1">
      <x:c r="A91" s="22" t="str">
        <x:v>병원</x:v>
      </x:c>
      <x:c r="B91" s="31" t="str">
        <x:f>"C-010106"</x:f>
        <x:v>C-010106</x:v>
      </x:c>
      <x:c r="C91" s="25" t="str">
        <x:v>010106  FINISH WORKS</x:v>
      </x:c>
      <x:c r="D91" s="25" t="str">
        <x:v>DRY WALL D4A(W125), 1-Sided Drywall System,(ON 50*45*0.8 C-STUD @450+52*40*0.8 RUNNER)</x:v>
      </x:c>
      <x:c r="E91" s="25" t="str">
        <x:v>(T12.5 General Gypsum Board) 2LAYER+THK2.0 LEAD PLATE</x:v>
      </x:c>
      <x:c r="F91" s="22" t="str">
        <x:v>EA</x:v>
      </x:c>
      <x:c r="G91" s="28" t="n">
        <x:v>143</x:v>
      </x:c>
      <x:c r="H91" s="25" t="str">
        <x:v>4531284DDC776A4702EA22A0C0638FB347F79</x:v>
      </x:c>
      <x:c r="I91" s="22" t="str">
        <x:v>직접자원단가</x:v>
      </x:c>
      <x:c r="J91" s="34" t="n">
        <x:v>40</x:v>
      </x:c>
      <x:c r="K91" s="34" t="n">
        <x:v>10</x:v>
      </x:c>
      <x:c r="L91" s="34" t="n">
        <x:v>0.19</x:v>
      </x:c>
      <x:c r="M91" s="34" t="n">
        <x:f>SUM(J91:L91)</x:f>
        <x:v>50.19</x:v>
      </x:c>
      <x:c r="N91" s="34" t="n">
        <x:f>G91*J91</x:f>
        <x:v>5720</x:v>
      </x:c>
      <x:c r="O91" s="34" t="n">
        <x:f>G91*K91</x:f>
        <x:v>1430</x:v>
      </x:c>
      <x:c r="P91" s="34" t="n">
        <x:f>G91*L91</x:f>
        <x:v>27.17</x:v>
      </x:c>
      <x:c r="Q91" s="34" t="n">
        <x:f>SUM(N91:P91)</x:f>
        <x:v>7177.17</x:v>
      </x:c>
      <x:c r="R91" s="22" t="str">
        <x:f>IF(M91&gt;0,"복원","미복원")</x:f>
        <x:v>복원</x:v>
      </x:c>
      <x:c r="S91" s="37" t="n">
        <x:v>167</x:v>
      </x:c>
      <x:c r="T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1" s="22" t="str">
        <x:f>A91&amp;"|"&amp;B91</x:f>
        <x:v>병원|C-010106</x:v>
      </x:c>
      <x:c r="V91" s="22" t="n">
        <x:f>IF(M91&gt;0,1,0)</x:f>
        <x:v>1</x:v>
      </x:c>
    </x:row>
    <x:row r="92" ht="28" customHeight="1">
      <x:c r="A92" s="22" t="str">
        <x:v>병원</x:v>
      </x:c>
      <x:c r="B92" s="31" t="str">
        <x:f>"C-010106"</x:f>
        <x:v>C-010106</x:v>
      </x:c>
      <x:c r="C92" s="25" t="str">
        <x:v>010106  FINISH WORKS</x:v>
      </x:c>
      <x:c r="D92" s="25" t="str">
        <x:v>DRY WALL D5(W200), General Drywall System,(ON 150*45*0.8 C-STUD @450+152*40*0.8 RUNNER)</x:v>
      </x:c>
      <x:c r="E92" s="25" t="str">
        <x:v>(T12.5 General Gypsum Board) 2LAYER+(T12.5 General Gypsum Board) 2LAYER</x:v>
      </x:c>
      <x:c r="F92" s="22" t="str">
        <x:v>EA</x:v>
      </x:c>
      <x:c r="G92" s="28" t="n">
        <x:v>121</x:v>
      </x:c>
      <x:c r="H92" s="25" t="str">
        <x:v>4531284DDC776A4702EA22A0C0638FB347F78</x:v>
      </x:c>
      <x:c r="I92" s="22" t="str">
        <x:v>직접자원단가</x:v>
      </x:c>
      <x:c r="J92" s="34" t="n">
        <x:v>40</x:v>
      </x:c>
      <x:c r="K92" s="34" t="n">
        <x:v>10</x:v>
      </x:c>
      <x:c r="L92" s="34" t="n">
        <x:v>0.19</x:v>
      </x:c>
      <x:c r="M92" s="34" t="n">
        <x:f>SUM(J92:L92)</x:f>
        <x:v>50.19</x:v>
      </x:c>
      <x:c r="N92" s="34" t="n">
        <x:f>G92*J92</x:f>
        <x:v>4840</x:v>
      </x:c>
      <x:c r="O92" s="34" t="n">
        <x:f>G92*K92</x:f>
        <x:v>1210</x:v>
      </x:c>
      <x:c r="P92" s="34" t="n">
        <x:f>G92*L92</x:f>
        <x:v>22.990000000000002</x:v>
      </x:c>
      <x:c r="Q92" s="34" t="n">
        <x:f>SUM(N92:P92)</x:f>
        <x:v>6072.99</x:v>
      </x:c>
      <x:c r="R92" s="22" t="str">
        <x:f>IF(M92&gt;0,"복원","미복원")</x:f>
        <x:v>복원</x:v>
      </x:c>
      <x:c r="S92" s="37" t="n">
        <x:v>168</x:v>
      </x:c>
      <x:c r="T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2" s="22" t="str">
        <x:f>A92&amp;"|"&amp;B92</x:f>
        <x:v>병원|C-010106</x:v>
      </x:c>
      <x:c r="V92" s="22" t="n">
        <x:f>IF(M92&gt;0,1,0)</x:f>
        <x:v>1</x:v>
      </x:c>
    </x:row>
    <x:row r="93" ht="28" customHeight="1">
      <x:c r="A93" s="22" t="str">
        <x:v>병원</x:v>
      </x:c>
      <x:c r="B93" s="31" t="str">
        <x:f>"C-010106"</x:f>
        <x:v>C-010106</x:v>
      </x:c>
      <x:c r="C93" s="25" t="str">
        <x:v>010106  FINISH WORKS</x:v>
      </x:c>
      <x:c r="D93" s="25" t="str">
        <x:v>DRY WALL DW6(W75), 1-Sided Drywall System,(ON 50*45*0.8 DRY WALL D6(W100), General DrSTUD @450+52*40*0.8 R</x:v>
      </x:c>
      <x:c r="E93" s="25" t="str">
        <x:v>(T12.5 General Gypsum Board) 2LAYER+Glass Wool Nature 24K 50mm</x:v>
      </x:c>
      <x:c r="F93" s="22" t="str">
        <x:v>M2</x:v>
      </x:c>
      <x:c r="G93" s="28" t="n">
        <x:v>374</x:v>
      </x:c>
      <x:c r="H93" s="25" t="str">
        <x:v>4482204849760A9E127F495D0F384</x:v>
      </x:c>
      <x:c r="I93" s="22" t="str">
        <x:v>복합일위대가</x:v>
      </x:c>
      <x:c r="J93" s="34" t="n">
        <x:v>44</x:v>
      </x:c>
      <x:c r="K93" s="34" t="n">
        <x:v>10</x:v>
      </x:c>
      <x:c r="L93" s="34" t="n">
        <x:v>0.19</x:v>
      </x:c>
      <x:c r="M93" s="34" t="n">
        <x:f>SUM(J93:L93)</x:f>
        <x:v>54.19</x:v>
      </x:c>
      <x:c r="N93" s="34" t="n">
        <x:f>G93*J93</x:f>
        <x:v>16456</x:v>
      </x:c>
      <x:c r="O93" s="34" t="n">
        <x:f>G93*K93</x:f>
        <x:v>3740</x:v>
      </x:c>
      <x:c r="P93" s="34" t="n">
        <x:f>G93*L93</x:f>
        <x:v>71.06</x:v>
      </x:c>
      <x:c r="Q93" s="34" t="n">
        <x:f>SUM(N93:P93)</x:f>
        <x:v>20267.06</x:v>
      </x:c>
      <x:c r="R93" s="22" t="str">
        <x:f>IF(M93&gt;0,"복원","미복원")</x:f>
        <x:v>복원</x:v>
      </x:c>
      <x:c r="S93" s="37" t="n">
        <x:v>169</x:v>
      </x:c>
      <x:c r="T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3" s="22" t="str">
        <x:f>A93&amp;"|"&amp;B93</x:f>
        <x:v>병원|C-010106</x:v>
      </x:c>
      <x:c r="V93" s="22" t="n">
        <x:f>IF(M93&gt;0,1,0)</x:f>
        <x:v>1</x:v>
      </x:c>
    </x:row>
    <x:row r="94" ht="28" customHeight="1">
      <x:c r="A94" s="22" t="str">
        <x:v>병원</x:v>
      </x:c>
      <x:c r="B94" s="31" t="str">
        <x:f>"C-010106"</x:f>
        <x:v>C-010106</x:v>
      </x:c>
      <x:c r="C94" s="25" t="str">
        <x:v>010106  FINISH WORKS</x:v>
      </x:c>
      <x:c r="D94" s="25" t="str">
        <x:v>DRY WALL DF1(W125), 1-Hour Fireproof Structrue, (ON 75*45*0.8 C-STUD @450+77*44*0.8 RUNNER)</x:v>
      </x:c>
      <x:c r="E94" s="25" t="str">
        <x:v>(T12.5 F.P Gypsum Board) 2LAYER+General Wool Nature 24K 50mm+(T12.5 F.P Gypsum Board) 2LAYER</x:v>
      </x:c>
      <x:c r="F94" s="22" t="str">
        <x:v>EA</x:v>
      </x:c>
      <x:c r="G94" s="28" t="n">
        <x:v>856</x:v>
      </x:c>
      <x:c r="H94" s="25" t="str">
        <x:v>4531284DDC776A4702EA22A0C0638FB347F7B</x:v>
      </x:c>
      <x:c r="I94" s="22" t="str">
        <x:v>직접자원단가</x:v>
      </x:c>
      <x:c r="J94" s="34" t="n">
        <x:v>40</x:v>
      </x:c>
      <x:c r="K94" s="34" t="n">
        <x:v>10</x:v>
      </x:c>
      <x:c r="L94" s="34" t="n">
        <x:v>0.19</x:v>
      </x:c>
      <x:c r="M94" s="34" t="n">
        <x:f>SUM(J94:L94)</x:f>
        <x:v>50.19</x:v>
      </x:c>
      <x:c r="N94" s="34" t="n">
        <x:f>G94*J94</x:f>
        <x:v>34240</x:v>
      </x:c>
      <x:c r="O94" s="34" t="n">
        <x:f>G94*K94</x:f>
        <x:v>8560</x:v>
      </x:c>
      <x:c r="P94" s="34" t="n">
        <x:f>G94*L94</x:f>
        <x:v>162.64000000000001</x:v>
      </x:c>
      <x:c r="Q94" s="34" t="n">
        <x:f>SUM(N94:P94)</x:f>
        <x:v>42962.64</x:v>
      </x:c>
      <x:c r="R94" s="22" t="str">
        <x:f>IF(M94&gt;0,"복원","미복원")</x:f>
        <x:v>복원</x:v>
      </x:c>
      <x:c r="S94" s="37" t="n">
        <x:v>170</x:v>
      </x:c>
      <x:c r="T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4" s="22" t="str">
        <x:f>A94&amp;"|"&amp;B94</x:f>
        <x:v>병원|C-010106</x:v>
      </x:c>
      <x:c r="V94" s="22" t="n">
        <x:f>IF(M94&gt;0,1,0)</x:f>
        <x:v>1</x:v>
      </x:c>
    </x:row>
    <x:row r="95" ht="28" customHeight="1">
      <x:c r="A95" s="22" t="str">
        <x:v>병원</x:v>
      </x:c>
      <x:c r="B95" s="31" t="str">
        <x:f>"C-010106"</x:f>
        <x:v>C-010106</x:v>
      </x:c>
      <x:c r="C95" s="25" t="str">
        <x:v>010106  FINISH WORKS</x:v>
      </x:c>
      <x:c r="D95" s="25" t="str">
        <x:v>DRY WALL DF2(W75), 1-Sided Drywall System,(ON 50*45*0.8 C-STUD @450+52*40*0.8 RUNNER)</x:v>
      </x:c>
      <x:c r="E95" s="25" t="str">
        <x:v>(T12.5 F.P Gypsum Board) 2LAYER</x:v>
      </x:c>
      <x:c r="F95" s="22" t="str">
        <x:v>EA</x:v>
      </x:c>
      <x:c r="G95" s="28" t="n">
        <x:v>210</x:v>
      </x:c>
      <x:c r="H95" s="25" t="str">
        <x:v>4531284DDC776A4702EA22A0C0638FB347F7A</x:v>
      </x:c>
      <x:c r="I95" s="22" t="str">
        <x:v>직접자원단가</x:v>
      </x:c>
      <x:c r="J95" s="34" t="n">
        <x:v>40</x:v>
      </x:c>
      <x:c r="K95" s="34" t="n">
        <x:v>10</x:v>
      </x:c>
      <x:c r="L95" s="34" t="n">
        <x:v>0.19</x:v>
      </x:c>
      <x:c r="M95" s="34" t="n">
        <x:f>SUM(J95:L95)</x:f>
        <x:v>50.19</x:v>
      </x:c>
      <x:c r="N95" s="34" t="n">
        <x:f>G95*J95</x:f>
        <x:v>8400</x:v>
      </x:c>
      <x:c r="O95" s="34" t="n">
        <x:f>G95*K95</x:f>
        <x:v>2100</x:v>
      </x:c>
      <x:c r="P95" s="34" t="n">
        <x:f>G95*L95</x:f>
        <x:v>39.9</x:v>
      </x:c>
      <x:c r="Q95" s="34" t="n">
        <x:f>SUM(N95:P95)</x:f>
        <x:v>10539.9</x:v>
      </x:c>
      <x:c r="R95" s="22" t="str">
        <x:f>IF(M95&gt;0,"복원","미복원")</x:f>
        <x:v>복원</x:v>
      </x:c>
      <x:c r="S95" s="37" t="n">
        <x:v>171</x:v>
      </x:c>
      <x:c r="T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5" s="22" t="str">
        <x:f>A95&amp;"|"&amp;B95</x:f>
        <x:v>병원|C-010106</x:v>
      </x:c>
      <x:c r="V95" s="22" t="n">
        <x:f>IF(M95&gt;0,1,0)</x:f>
        <x:v>1</x:v>
      </x:c>
    </x:row>
    <x:row r="96" ht="28" customHeight="1">
      <x:c r="A96" s="22" t="str">
        <x:v>병원</x:v>
      </x:c>
      <x:c r="B96" s="31" t="str">
        <x:f>"C-010106"</x:f>
        <x:v>C-010106</x:v>
      </x:c>
      <x:c r="C96" s="25" t="str">
        <x:v>010106  FINISH WORKS</x:v>
      </x:c>
      <x:c r="D96" s="25" t="str">
        <x:v>DRY WALL DS1(W200), General Drywall System(SHIELDING WALL),(ON 65*45*0.8 C-STUD @450+67*40*0.8 RUNNER)</x:v>
      </x:c>
      <x:c r="E96" s="25" t="str">
        <x:v>(T12.5 General Gypsum Board) 2LAYER+THK2.0 LEAD PLATE+(T12.5 General Gypsum Board) 2LAYER</x:v>
      </x:c>
      <x:c r="F96" s="22" t="str">
        <x:v>EA</x:v>
      </x:c>
      <x:c r="G96" s="28" t="n">
        <x:v>66</x:v>
      </x:c>
      <x:c r="H96" s="25" t="str">
        <x:v>4531284DDC776A4702EA22A0C0638FB347F75</x:v>
      </x:c>
      <x:c r="I96" s="22" t="str">
        <x:v>직접자원단가</x:v>
      </x:c>
      <x:c r="J96" s="34" t="n">
        <x:v>40</x:v>
      </x:c>
      <x:c r="K96" s="34" t="n">
        <x:v>10</x:v>
      </x:c>
      <x:c r="L96" s="34" t="n">
        <x:v>0.19</x:v>
      </x:c>
      <x:c r="M96" s="34" t="n">
        <x:f>SUM(J96:L96)</x:f>
        <x:v>50.19</x:v>
      </x:c>
      <x:c r="N96" s="34" t="n">
        <x:f>G96*J96</x:f>
        <x:v>2640</x:v>
      </x:c>
      <x:c r="O96" s="34" t="n">
        <x:f>G96*K96</x:f>
        <x:v>660</x:v>
      </x:c>
      <x:c r="P96" s="34" t="n">
        <x:f>G96*L96</x:f>
        <x:v>12.540000000000001</x:v>
      </x:c>
      <x:c r="Q96" s="34" t="n">
        <x:f>SUM(N96:P96)</x:f>
        <x:v>3312.54</x:v>
      </x:c>
      <x:c r="R96" s="22" t="str">
        <x:f>IF(M96&gt;0,"복원","미복원")</x:f>
        <x:v>복원</x:v>
      </x:c>
      <x:c r="S96" s="37" t="n">
        <x:v>172</x:v>
      </x:c>
      <x:c r="T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6" s="22" t="str">
        <x:f>A96&amp;"|"&amp;B96</x:f>
        <x:v>병원|C-010106</x:v>
      </x:c>
      <x:c r="V96" s="22" t="n">
        <x:f>IF(M96&gt;0,1,0)</x:f>
        <x:v>1</x:v>
      </x:c>
    </x:row>
    <x:row r="97" ht="28" customHeight="1">
      <x:c r="A97" s="22" t="str">
        <x:v>병원</x:v>
      </x:c>
      <x:c r="B97" s="31" t="str">
        <x:f>"C-010106"</x:f>
        <x:v>C-010106</x:v>
      </x:c>
      <x:c r="C97" s="25" t="str">
        <x:v>010106  FINISH WORKS</x:v>
      </x:c>
      <x:c r="D97" s="25" t="str">
        <x:v>DRY WALL DW1(W125), General Drywall System,(ON 75*45*0.8 C-STUD @450+77*44*0.8 RUNNER)</x:v>
      </x:c>
      <x:c r="E97" s="25" t="str">
        <x:v>(T12.5 W.P Gypsum Board) 2LAYER+General Wool Nature 24K 50mm+(T12.5 General Gypsum Board) 2LAYER</x:v>
      </x:c>
      <x:c r="F97" s="22" t="str">
        <x:v>EA</x:v>
      </x:c>
      <x:c r="G97" s="28" t="n">
        <x:v>154</x:v>
      </x:c>
      <x:c r="H97" s="25" t="str">
        <x:v>4531284DDC776A4702EA22A0C0638FB347F74</x:v>
      </x:c>
      <x:c r="I97" s="22" t="str">
        <x:v>직접자원단가</x:v>
      </x:c>
      <x:c r="J97" s="34" t="n">
        <x:v>40</x:v>
      </x:c>
      <x:c r="K97" s="34" t="n">
        <x:v>10</x:v>
      </x:c>
      <x:c r="L97" s="34" t="n">
        <x:v>0.19</x:v>
      </x:c>
      <x:c r="M97" s="34" t="n">
        <x:f>SUM(J97:L97)</x:f>
        <x:v>50.19</x:v>
      </x:c>
      <x:c r="N97" s="34" t="n">
        <x:f>G97*J97</x:f>
        <x:v>6160</x:v>
      </x:c>
      <x:c r="O97" s="34" t="n">
        <x:f>G97*K97</x:f>
        <x:v>1540</x:v>
      </x:c>
      <x:c r="P97" s="34" t="n">
        <x:f>G97*L97</x:f>
        <x:v>29.26</x:v>
      </x:c>
      <x:c r="Q97" s="34" t="n">
        <x:f>SUM(N97:P97)</x:f>
        <x:v>7729.26</x:v>
      </x:c>
      <x:c r="R97" s="22" t="str">
        <x:f>IF(M97&gt;0,"복원","미복원")</x:f>
        <x:v>복원</x:v>
      </x:c>
      <x:c r="S97" s="37" t="n">
        <x:v>173</x:v>
      </x:c>
      <x:c r="T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7" s="22" t="str">
        <x:f>A97&amp;"|"&amp;B97</x:f>
        <x:v>병원|C-010106</x:v>
      </x:c>
      <x:c r="V97" s="22" t="n">
        <x:f>IF(M97&gt;0,1,0)</x:f>
        <x:v>1</x:v>
      </x:c>
    </x:row>
    <x:row r="98" ht="28" customHeight="1">
      <x:c r="A98" s="22" t="str">
        <x:v>병원</x:v>
      </x:c>
      <x:c r="B98" s="31" t="str">
        <x:f>"C-010106"</x:f>
        <x:v>C-010106</x:v>
      </x:c>
      <x:c r="C98" s="25" t="str">
        <x:v>010106  FINISH WORKS</x:v>
      </x:c>
      <x:c r="D98" s="25" t="str">
        <x:v>GLASS BACK</x:v>
      </x:c>
      <x:c r="E98" s="25" t="str">
        <x:v>THK50 INSULATION+THK0.8 COLOR STEEL SHEET</x:v>
      </x:c>
      <x:c r="F98" s="22" t="str">
        <x:v>M2</x:v>
      </x:c>
      <x:c r="G98" s="28" t="n">
        <x:v>37</x:v>
      </x:c>
      <x:c r="H98" s="25" t="str">
        <x:v>4482204849760A9E127F4949DD94E</x:v>
      </x:c>
      <x:c r="I98" s="22" t="str">
        <x:v>복합일위대가</x:v>
      </x:c>
      <x:c r="J98" s="34" t="n">
        <x:v>9</x:v>
      </x:c>
      <x:c r="K98" s="34" t="n">
        <x:v>0</x:v>
      </x:c>
      <x:c r="L98" s="34" t="n">
        <x:v>0</x:v>
      </x:c>
      <x:c r="M98" s="34" t="n">
        <x:f>SUM(J98:L98)</x:f>
        <x:v>9</x:v>
      </x:c>
      <x:c r="N98" s="34" t="n">
        <x:f>G98*J98</x:f>
        <x:v>333</x:v>
      </x:c>
      <x:c r="O98" s="34" t="n">
        <x:f>G98*K98</x:f>
        <x:v>0</x:v>
      </x:c>
      <x:c r="P98" s="34" t="n">
        <x:f>G98*L98</x:f>
        <x:v>0</x:v>
      </x:c>
      <x:c r="Q98" s="34" t="n">
        <x:f>SUM(N98:P98)</x:f>
        <x:v>333</x:v>
      </x:c>
      <x:c r="R98" s="22" t="str">
        <x:f>IF(M98&gt;0,"복원","미복원")</x:f>
        <x:v>복원</x:v>
      </x:c>
      <x:c r="S98" s="37" t="n">
        <x:v>174</x:v>
      </x:c>
      <x:c r="T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8" s="22" t="str">
        <x:f>A98&amp;"|"&amp;B98</x:f>
        <x:v>병원|C-010106</x:v>
      </x:c>
      <x:c r="V98" s="22" t="n">
        <x:f>IF(M98&gt;0,1,0)</x:f>
        <x:v>1</x:v>
      </x:c>
    </x:row>
    <x:row r="99" ht="28" customHeight="1">
      <x:c r="A99" s="22" t="str">
        <x:v>병원</x:v>
      </x:c>
      <x:c r="B99" s="31" t="str">
        <x:f>"C-010106"</x:f>
        <x:v>C-010106</x:v>
      </x:c>
      <x:c r="C99" s="25" t="str">
        <x:v>010106  FINISH WORKS</x:v>
      </x:c>
      <x:c r="D99" s="25" t="str">
        <x:v>Holding door</x:v>
      </x:c>
      <x:c r="E99" s="25" t="str"/>
      <x:c r="F99" s="22" t="str">
        <x:v>M2</x:v>
      </x:c>
      <x:c r="G99" s="28" t="n">
        <x:v>13</x:v>
      </x:c>
      <x:c r="H99" s="25" t="str">
        <x:v>4482204849760A9E127F4949C332C</x:v>
      </x:c>
      <x:c r="I99" s="22" t="str">
        <x:v>복합일위대가</x:v>
      </x:c>
      <x:c r="J99" s="34" t="n">
        <x:v>33.36</x:v>
      </x:c>
      <x:c r="K99" s="34" t="n">
        <x:v>0</x:v>
      </x:c>
      <x:c r="L99" s="34" t="n">
        <x:v>0</x:v>
      </x:c>
      <x:c r="M99" s="34" t="n">
        <x:f>SUM(J99:L99)</x:f>
        <x:v>33.36</x:v>
      </x:c>
      <x:c r="N99" s="34" t="n">
        <x:f>G99*J99</x:f>
        <x:v>433.68</x:v>
      </x:c>
      <x:c r="O99" s="34" t="n">
        <x:f>G99*K99</x:f>
        <x:v>0</x:v>
      </x:c>
      <x:c r="P99" s="34" t="n">
        <x:f>G99*L99</x:f>
        <x:v>0</x:v>
      </x:c>
      <x:c r="Q99" s="34" t="n">
        <x:f>SUM(N99:P99)</x:f>
        <x:v>433.68</x:v>
      </x:c>
      <x:c r="R99" s="22" t="str">
        <x:f>IF(M99&gt;0,"복원","미복원")</x:f>
        <x:v>복원</x:v>
      </x:c>
      <x:c r="S99" s="37" t="n">
        <x:v>175</x:v>
      </x:c>
      <x:c r="T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99" s="22" t="str">
        <x:f>A99&amp;"|"&amp;B99</x:f>
        <x:v>병원|C-010106</x:v>
      </x:c>
      <x:c r="V99" s="22" t="n">
        <x:f>IF(M99&gt;0,1,0)</x:f>
        <x:v>1</x:v>
      </x:c>
    </x:row>
    <x:row r="100" ht="28" customHeight="1">
      <x:c r="A100" s="22" t="str">
        <x:v>병원</x:v>
      </x:c>
      <x:c r="B100" s="31" t="str">
        <x:f>"C-010106"</x:f>
        <x:v>C-010106</x:v>
      </x:c>
      <x:c r="C100" s="25" t="str">
        <x:v>010106  FINISH WORKS</x:v>
      </x:c>
      <x:c r="D100" s="25" t="str">
        <x:v>High density Insulation board on Wall,Thk 50mm</x:v>
      </x:c>
      <x:c r="E100" s="25" t="str"/>
      <x:c r="F100" s="22" t="str">
        <x:v>M2</x:v>
      </x:c>
      <x:c r="G100" s="28" t="n">
        <x:v>1326</x:v>
      </x:c>
      <x:c r="H100" s="25" t="str">
        <x:v>44822048387C4468A2D648548B59A</x:v>
      </x:c>
      <x:c r="I100" s="22" t="str">
        <x:v>복합일위대가</x:v>
      </x:c>
      <x:c r="J100" s="34" t="n">
        <x:v>4</x:v>
      </x:c>
      <x:c r="K100" s="34" t="n">
        <x:v>0</x:v>
      </x:c>
      <x:c r="L100" s="34" t="n">
        <x:v>0</x:v>
      </x:c>
      <x:c r="M100" s="34" t="n">
        <x:f>SUM(J100:L100)</x:f>
        <x:v>4</x:v>
      </x:c>
      <x:c r="N100" s="34" t="n">
        <x:f>G100*J100</x:f>
        <x:v>5304</x:v>
      </x:c>
      <x:c r="O100" s="34" t="n">
        <x:f>G100*K100</x:f>
        <x:v>0</x:v>
      </x:c>
      <x:c r="P100" s="34" t="n">
        <x:f>G100*L100</x:f>
        <x:v>0</x:v>
      </x:c>
      <x:c r="Q100" s="34" t="n">
        <x:f>SUM(N100:P100)</x:f>
        <x:v>5304</x:v>
      </x:c>
      <x:c r="R100" s="22" t="str">
        <x:f>IF(M100&gt;0,"복원","미복원")</x:f>
        <x:v>복원</x:v>
      </x:c>
      <x:c r="S100" s="37" t="n">
        <x:v>176</x:v>
      </x:c>
      <x:c r="T1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0" s="22" t="str">
        <x:f>A100&amp;"|"&amp;B100</x:f>
        <x:v>병원|C-010106</x:v>
      </x:c>
      <x:c r="V100" s="22" t="n">
        <x:f>IF(M100&gt;0,1,0)</x:f>
        <x:v>1</x:v>
      </x:c>
    </x:row>
    <x:row r="101" ht="28" customHeight="1">
      <x:c r="A101" s="22" t="str">
        <x:v>병원</x:v>
      </x:c>
      <x:c r="B101" s="31" t="str">
        <x:f>"C-010106"</x:f>
        <x:v>C-010106</x:v>
      </x:c>
      <x:c r="C101" s="25" t="str">
        <x:v>010106  FINISH WORKS</x:v>
      </x:c>
      <x:c r="D101" s="25" t="str">
        <x:v>High density Insulation board on Slab,Thk 50mm</x:v>
      </x:c>
      <x:c r="E101" s="25" t="str"/>
      <x:c r="F101" s="22" t="str">
        <x:v>M2</x:v>
      </x:c>
      <x:c r="G101" s="28" t="n">
        <x:v>1391</x:v>
      </x:c>
      <x:c r="H101" s="25" t="str">
        <x:v>44822048387C4468A2D648548B6A1</x:v>
      </x:c>
      <x:c r="I101" s="22" t="str">
        <x:v>복합일위대가</x:v>
      </x:c>
      <x:c r="J101" s="34" t="n">
        <x:v>4</x:v>
      </x:c>
      <x:c r="K101" s="34" t="n">
        <x:v>0</x:v>
      </x:c>
      <x:c r="L101" s="34" t="n">
        <x:v>0</x:v>
      </x:c>
      <x:c r="M101" s="34" t="n">
        <x:f>SUM(J101:L101)</x:f>
        <x:v>4</x:v>
      </x:c>
      <x:c r="N101" s="34" t="n">
        <x:f>G101*J101</x:f>
        <x:v>5564</x:v>
      </x:c>
      <x:c r="O101" s="34" t="n">
        <x:f>G101*K101</x:f>
        <x:v>0</x:v>
      </x:c>
      <x:c r="P101" s="34" t="n">
        <x:f>G101*L101</x:f>
        <x:v>0</x:v>
      </x:c>
      <x:c r="Q101" s="34" t="n">
        <x:f>SUM(N101:P101)</x:f>
        <x:v>5564</x:v>
      </x:c>
      <x:c r="R101" s="22" t="str">
        <x:f>IF(M101&gt;0,"복원","미복원")</x:f>
        <x:v>복원</x:v>
      </x:c>
      <x:c r="S101" s="37" t="n">
        <x:v>177</x:v>
      </x:c>
      <x:c r="T1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1" s="22" t="str">
        <x:f>A101&amp;"|"&amp;B101</x:f>
        <x:v>병원|C-010106</x:v>
      </x:c>
      <x:c r="V101" s="22" t="n">
        <x:f>IF(M101&gt;0,1,0)</x:f>
        <x:v>1</x:v>
      </x:c>
    </x:row>
    <x:row r="102" ht="28" customHeight="1">
      <x:c r="A102" s="22" t="str">
        <x:v>병원</x:v>
      </x:c>
      <x:c r="B102" s="31" t="str">
        <x:f>"C-010106"</x:f>
        <x:v>C-010106</x:v>
      </x:c>
      <x:c r="C102" s="25" t="str">
        <x:v>010106  FINISH WORKS</x:v>
      </x:c>
      <x:c r="D102" s="25" t="str">
        <x:v>High density Insulation board on Slab,Thk 100mm</x:v>
      </x:c>
      <x:c r="E102" s="25" t="str"/>
      <x:c r="F102" s="22" t="str">
        <x:v>M2</x:v>
      </x:c>
      <x:c r="G102" s="28" t="n">
        <x:v>1689</x:v>
      </x:c>
      <x:c r="H102" s="25" t="str">
        <x:v>44822048387C4468A2D648548B748</x:v>
      </x:c>
      <x:c r="I102" s="22" t="str">
        <x:v>복합일위대가</x:v>
      </x:c>
      <x:c r="J102" s="34" t="n">
        <x:v>8</x:v>
      </x:c>
      <x:c r="K102" s="34" t="n">
        <x:v>0</x:v>
      </x:c>
      <x:c r="L102" s="34" t="n">
        <x:v>0</x:v>
      </x:c>
      <x:c r="M102" s="34" t="n">
        <x:f>SUM(J102:L102)</x:f>
        <x:v>8</x:v>
      </x:c>
      <x:c r="N102" s="34" t="n">
        <x:f>G102*J102</x:f>
        <x:v>13512</x:v>
      </x:c>
      <x:c r="O102" s="34" t="n">
        <x:f>G102*K102</x:f>
        <x:v>0</x:v>
      </x:c>
      <x:c r="P102" s="34" t="n">
        <x:f>G102*L102</x:f>
        <x:v>0</x:v>
      </x:c>
      <x:c r="Q102" s="34" t="n">
        <x:f>SUM(N102:P102)</x:f>
        <x:v>13512</x:v>
      </x:c>
      <x:c r="R102" s="22" t="str">
        <x:f>IF(M102&gt;0,"복원","미복원")</x:f>
        <x:v>복원</x:v>
      </x:c>
      <x:c r="S102" s="37" t="n">
        <x:v>178</x:v>
      </x:c>
      <x:c r="T1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2" s="22" t="str">
        <x:f>A102&amp;"|"&amp;B102</x:f>
        <x:v>병원|C-010106</x:v>
      </x:c>
      <x:c r="V102" s="22" t="n">
        <x:f>IF(M102&gt;0,1,0)</x:f>
        <x:v>1</x:v>
      </x:c>
    </x:row>
    <x:row r="103" ht="28" customHeight="1">
      <x:c r="A103" s="22" t="str">
        <x:v>병원</x:v>
      </x:c>
      <x:c r="B103" s="31" t="str">
        <x:f>"C-010106"</x:f>
        <x:v>C-010106</x:v>
      </x:c>
      <x:c r="C103" s="25" t="str">
        <x:v>010106  FINISH WORKS</x:v>
      </x:c>
      <x:c r="D103" s="25" t="str">
        <x:v>High density Insulation board under Slab,Thk 50mm</x:v>
      </x:c>
      <x:c r="E103" s="25" t="str"/>
      <x:c r="F103" s="22" t="str">
        <x:v>M2</x:v>
      </x:c>
      <x:c r="G103" s="28" t="n">
        <x:v>395</x:v>
      </x:c>
      <x:c r="H103" s="25" t="str">
        <x:v>44822048387C4468A2D648548B019</x:v>
      </x:c>
      <x:c r="I103" s="22" t="str">
        <x:v>복합일위대가</x:v>
      </x:c>
      <x:c r="J103" s="34" t="n">
        <x:v>4</x:v>
      </x:c>
      <x:c r="K103" s="34" t="n">
        <x:v>0</x:v>
      </x:c>
      <x:c r="L103" s="34" t="n">
        <x:v>0</x:v>
      </x:c>
      <x:c r="M103" s="34" t="n">
        <x:f>SUM(J103:L103)</x:f>
        <x:v>4</x:v>
      </x:c>
      <x:c r="N103" s="34" t="n">
        <x:f>G103*J103</x:f>
        <x:v>1580</x:v>
      </x:c>
      <x:c r="O103" s="34" t="n">
        <x:f>G103*K103</x:f>
        <x:v>0</x:v>
      </x:c>
      <x:c r="P103" s="34" t="n">
        <x:f>G103*L103</x:f>
        <x:v>0</x:v>
      </x:c>
      <x:c r="Q103" s="34" t="n">
        <x:f>SUM(N103:P103)</x:f>
        <x:v>1580</x:v>
      </x:c>
      <x:c r="R103" s="22" t="str">
        <x:f>IF(M103&gt;0,"복원","미복원")</x:f>
        <x:v>복원</x:v>
      </x:c>
      <x:c r="S103" s="37" t="n">
        <x:v>179</x:v>
      </x:c>
      <x:c r="T1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3" s="22" t="str">
        <x:f>A103&amp;"|"&amp;B103</x:f>
        <x:v>병원|C-010106</x:v>
      </x:c>
      <x:c r="V103" s="22" t="n">
        <x:f>IF(M103&gt;0,1,0)</x:f>
        <x:v>1</x:v>
      </x:c>
    </x:row>
    <x:row r="104" ht="28" customHeight="1">
      <x:c r="A104" s="22" t="str">
        <x:v>병원</x:v>
      </x:c>
      <x:c r="B104" s="31" t="str">
        <x:f>"C-010106"</x:f>
        <x:v>C-010106</x:v>
      </x:c>
      <x:c r="C104" s="25" t="str">
        <x:v>010106  FINISH WORKS</x:v>
      </x:c>
      <x:c r="D104" s="25" t="str">
        <x:v>High density Insulation board under Slab,Thk 100mm</x:v>
      </x:c>
      <x:c r="E104" s="25" t="str"/>
      <x:c r="F104" s="22" t="str">
        <x:v>M2</x:v>
      </x:c>
      <x:c r="G104" s="28" t="n">
        <x:v>23</x:v>
      </x:c>
      <x:c r="H104" s="25" t="str">
        <x:v>44822048387C4468A2D648548B13F</x:v>
      </x:c>
      <x:c r="I104" s="22" t="str">
        <x:v>복합일위대가</x:v>
      </x:c>
      <x:c r="J104" s="34" t="n">
        <x:v>8</x:v>
      </x:c>
      <x:c r="K104" s="34" t="n">
        <x:v>0</x:v>
      </x:c>
      <x:c r="L104" s="34" t="n">
        <x:v>0</x:v>
      </x:c>
      <x:c r="M104" s="34" t="n">
        <x:f>SUM(J104:L104)</x:f>
        <x:v>8</x:v>
      </x:c>
      <x:c r="N104" s="34" t="n">
        <x:f>G104*J104</x:f>
        <x:v>184</x:v>
      </x:c>
      <x:c r="O104" s="34" t="n">
        <x:f>G104*K104</x:f>
        <x:v>0</x:v>
      </x:c>
      <x:c r="P104" s="34" t="n">
        <x:f>G104*L104</x:f>
        <x:v>0</x:v>
      </x:c>
      <x:c r="Q104" s="34" t="n">
        <x:f>SUM(N104:P104)</x:f>
        <x:v>184</x:v>
      </x:c>
      <x:c r="R104" s="22" t="str">
        <x:f>IF(M104&gt;0,"복원","미복원")</x:f>
        <x:v>복원</x:v>
      </x:c>
      <x:c r="S104" s="37" t="n">
        <x:v>180</x:v>
      </x:c>
      <x:c r="T1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4" s="22" t="str">
        <x:f>A104&amp;"|"&amp;B104</x:f>
        <x:v>병원|C-010106</x:v>
      </x:c>
      <x:c r="V104" s="22" t="n">
        <x:f>IF(M104&gt;0,1,0)</x:f>
        <x:v>1</x:v>
      </x:c>
    </x:row>
    <x:row r="105" ht="28" customHeight="1">
      <x:c r="A105" s="22" t="str">
        <x:v>병원</x:v>
      </x:c>
      <x:c r="B105" s="31" t="str">
        <x:f>"C-010106"</x:f>
        <x:v>C-010106</x:v>
      </x:c>
      <x:c r="C105" s="25" t="str">
        <x:v>010106  FINISH WORKS</x:v>
      </x:c>
      <x:c r="D105" s="25" t="str">
        <x:v>EXPANDED POLYSTYRENE,Thk 20mm</x:v>
      </x:c>
      <x:c r="E105" s="25" t="str"/>
      <x:c r="F105" s="22" t="str">
        <x:v>M2</x:v>
      </x:c>
      <x:c r="G105" s="28" t="n">
        <x:v>45</x:v>
      </x:c>
      <x:c r="H105" s="25" t="str">
        <x:v>44822048387C4468A2D64854B09DA</x:v>
      </x:c>
      <x:c r="I105" s="22" t="str">
        <x:v>복합일위대가</x:v>
      </x:c>
      <x:c r="J105" s="34" t="n">
        <x:v>5.38</x:v>
      </x:c>
      <x:c r="K105" s="34" t="n">
        <x:v>1.28</x:v>
      </x:c>
      <x:c r="L105" s="34" t="n">
        <x:v>0</x:v>
      </x:c>
      <x:c r="M105" s="34" t="n">
        <x:f>SUM(J105:L105)</x:f>
        <x:v>6.66</x:v>
      </x:c>
      <x:c r="N105" s="34" t="n">
        <x:f>G105*J105</x:f>
        <x:v>242.1</x:v>
      </x:c>
      <x:c r="O105" s="34" t="n">
        <x:f>G105*K105</x:f>
        <x:v>57.6</x:v>
      </x:c>
      <x:c r="P105" s="34" t="n">
        <x:f>G105*L105</x:f>
        <x:v>0</x:v>
      </x:c>
      <x:c r="Q105" s="34" t="n">
        <x:f>SUM(N105:P105)</x:f>
        <x:v>299.7</x:v>
      </x:c>
      <x:c r="R105" s="22" t="str">
        <x:f>IF(M105&gt;0,"복원","미복원")</x:f>
        <x:v>복원</x:v>
      </x:c>
      <x:c r="S105" s="37" t="n">
        <x:v>181</x:v>
      </x:c>
      <x:c r="T1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5" s="22" t="str">
        <x:f>A105&amp;"|"&amp;B105</x:f>
        <x:v>병원|C-010106</x:v>
      </x:c>
      <x:c r="V105" s="22" t="n">
        <x:f>IF(M105&gt;0,1,0)</x:f>
        <x:v>1</x:v>
      </x:c>
    </x:row>
    <x:row r="106" ht="28" customHeight="1">
      <x:c r="A106" s="22" t="str">
        <x:v>병원</x:v>
      </x:c>
      <x:c r="B106" s="31" t="str">
        <x:f>"C-010106"</x:f>
        <x:v>C-010106</x:v>
      </x:c>
      <x:c r="C106" s="25" t="str">
        <x:v>010106  FINISH WORKS</x:v>
      </x:c>
      <x:c r="D106" s="25" t="str">
        <x:v>THK0.1 PE FILM 2Layers</x:v>
      </x:c>
      <x:c r="E106" s="25" t="str"/>
      <x:c r="F106" s="22" t="str">
        <x:v>M2</x:v>
      </x:c>
      <x:c r="G106" s="28" t="n">
        <x:v>2978</x:v>
      </x:c>
      <x:c r="H106" s="25" t="str">
        <x:v>44822048387E72678210683B19F6B</x:v>
      </x:c>
      <x:c r="I106" s="22" t="str">
        <x:v>복합일위대가</x:v>
      </x:c>
      <x:c r="J106" s="34" t="n">
        <x:v>1</x:v>
      </x:c>
      <x:c r="K106" s="34" t="n">
        <x:v>0</x:v>
      </x:c>
      <x:c r="L106" s="34" t="n">
        <x:v>0</x:v>
      </x:c>
      <x:c r="M106" s="34" t="n">
        <x:f>SUM(J106:L106)</x:f>
        <x:v>1</x:v>
      </x:c>
      <x:c r="N106" s="34" t="n">
        <x:f>G106*J106</x:f>
        <x:v>2978</x:v>
      </x:c>
      <x:c r="O106" s="34" t="n">
        <x:f>G106*K106</x:f>
        <x:v>0</x:v>
      </x:c>
      <x:c r="P106" s="34" t="n">
        <x:f>G106*L106</x:f>
        <x:v>0</x:v>
      </x:c>
      <x:c r="Q106" s="34" t="n">
        <x:f>SUM(N106:P106)</x:f>
        <x:v>2978</x:v>
      </x:c>
      <x:c r="R106" s="22" t="str">
        <x:f>IF(M106&gt;0,"복원","미복원")</x:f>
        <x:v>복원</x:v>
      </x:c>
      <x:c r="S106" s="37" t="n">
        <x:v>182</x:v>
      </x:c>
      <x:c r="T1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6" s="22" t="str">
        <x:f>A106&amp;"|"&amp;B106</x:f>
        <x:v>병원|C-010106</x:v>
      </x:c>
      <x:c r="V106" s="22" t="n">
        <x:f>IF(M106&gt;0,1,0)</x:f>
        <x:v>1</x:v>
      </x:c>
    </x:row>
    <x:row r="107" ht="28" customHeight="1">
      <x:c r="A107" s="22" t="str">
        <x:v>병원</x:v>
      </x:c>
      <x:c r="B107" s="31" t="str">
        <x:f>"C-010106"</x:f>
        <x:v>C-010106</x:v>
      </x:c>
      <x:c r="C107" s="25" t="str">
        <x:v>010106  FINISH WORKS</x:v>
      </x:c>
      <x:c r="D107" s="25" t="str">
        <x:v>0.1mm thick polyethylene sheet(2Layers) under blinding beds.</x:v>
      </x:c>
      <x:c r="E107" s="25" t="str"/>
      <x:c r="F107" s="22" t="str">
        <x:v>M2</x:v>
      </x:c>
      <x:c r="G107" s="28" t="n">
        <x:v>2451</x:v>
      </x:c>
      <x:c r="H107" s="25" t="str">
        <x:v>44822048387E72678210683B2A4AF</x:v>
      </x:c>
      <x:c r="I107" s="22" t="str">
        <x:v>복합일위대가</x:v>
      </x:c>
      <x:c r="J107" s="34" t="n">
        <x:v>1</x:v>
      </x:c>
      <x:c r="K107" s="34" t="n">
        <x:v>0</x:v>
      </x:c>
      <x:c r="L107" s="34" t="n">
        <x:v>0</x:v>
      </x:c>
      <x:c r="M107" s="34" t="n">
        <x:f>SUM(J107:L107)</x:f>
        <x:v>1</x:v>
      </x:c>
      <x:c r="N107" s="34" t="n">
        <x:f>G107*J107</x:f>
        <x:v>2451</x:v>
      </x:c>
      <x:c r="O107" s="34" t="n">
        <x:f>G107*K107</x:f>
        <x:v>0</x:v>
      </x:c>
      <x:c r="P107" s="34" t="n">
        <x:f>G107*L107</x:f>
        <x:v>0</x:v>
      </x:c>
      <x:c r="Q107" s="34" t="n">
        <x:f>SUM(N107:P107)</x:f>
        <x:v>2451</x:v>
      </x:c>
      <x:c r="R107" s="22" t="str">
        <x:f>IF(M107&gt;0,"복원","미복원")</x:f>
        <x:v>복원</x:v>
      </x:c>
      <x:c r="S107" s="37" t="n">
        <x:v>183</x:v>
      </x:c>
      <x:c r="T1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7" s="22" t="str">
        <x:f>A107&amp;"|"&amp;B107</x:f>
        <x:v>병원|C-010106</x:v>
      </x:c>
      <x:c r="V107" s="22" t="n">
        <x:f>IF(M107&gt;0,1,0)</x:f>
        <x:v>1</x:v>
      </x:c>
    </x:row>
    <x:row r="108" ht="28" customHeight="1">
      <x:c r="A108" s="22" t="str">
        <x:v>병원</x:v>
      </x:c>
      <x:c r="B108" s="31" t="str">
        <x:f>"C-010106"</x:f>
        <x:v>C-010106</x:v>
      </x:c>
      <x:c r="C108" s="25" t="str">
        <x:v>010106  FINISH WORKS</x:v>
      </x:c>
      <x:c r="D108" s="25" t="str">
        <x:v>EXT. INSUL. FIN. SYS.</x:v>
      </x:c>
      <x:c r="E108" s="25" t="str">
        <x:v>50mm</x:v>
      </x:c>
      <x:c r="F108" s="22" t="str">
        <x:v>M2</x:v>
      </x:c>
      <x:c r="G108" s="28" t="n">
        <x:v>966</x:v>
      </x:c>
      <x:c r="H108" s="25" t="str">
        <x:v>44822048BC7207B6A2FCD230E04C9</x:v>
      </x:c>
      <x:c r="I108" s="22" t="str">
        <x:v>복합일위대가</x:v>
      </x:c>
      <x:c r="J108" s="34" t="n">
        <x:v>54.46</x:v>
      </x:c>
      <x:c r="K108" s="34" t="n">
        <x:v>0</x:v>
      </x:c>
      <x:c r="L108" s="34" t="n">
        <x:v>0</x:v>
      </x:c>
      <x:c r="M108" s="34" t="n">
        <x:f>SUM(J108:L108)</x:f>
        <x:v>54.46</x:v>
      </x:c>
      <x:c r="N108" s="34" t="n">
        <x:f>G108*J108</x:f>
        <x:v>52608.36</x:v>
      </x:c>
      <x:c r="O108" s="34" t="n">
        <x:f>G108*K108</x:f>
        <x:v>0</x:v>
      </x:c>
      <x:c r="P108" s="34" t="n">
        <x:f>G108*L108</x:f>
        <x:v>0</x:v>
      </x:c>
      <x:c r="Q108" s="34" t="n">
        <x:f>SUM(N108:P108)</x:f>
        <x:v>52608.36</x:v>
      </x:c>
      <x:c r="R108" s="22" t="str">
        <x:f>IF(M108&gt;0,"복원","미복원")</x:f>
        <x:v>복원</x:v>
      </x:c>
      <x:c r="S108" s="37" t="n">
        <x:v>184</x:v>
      </x:c>
      <x:c r="T1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8" s="22" t="str">
        <x:f>A108&amp;"|"&amp;B108</x:f>
        <x:v>병원|C-010106</x:v>
      </x:c>
      <x:c r="V108" s="22" t="n">
        <x:f>IF(M108&gt;0,1,0)</x:f>
        <x:v>1</x:v>
      </x:c>
    </x:row>
    <x:row r="109" ht="28" customHeight="1">
      <x:c r="A109" s="22" t="str">
        <x:v>병원</x:v>
      </x:c>
      <x:c r="B109" s="31" t="str">
        <x:f>"C-010106"</x:f>
        <x:v>C-010106</x:v>
      </x:c>
      <x:c r="C109" s="25" t="str">
        <x:v>010106  FINISH WORKS</x:v>
      </x:c>
      <x:c r="D109" s="25" t="str">
        <x:v>EXT. INSUL. FIN. SYS.</x:v>
      </x:c>
      <x:c r="E109" s="25" t="str">
        <x:v>150mm</x:v>
      </x:c>
      <x:c r="F109" s="22" t="str">
        <x:v>M2</x:v>
      </x:c>
      <x:c r="G109" s="28" t="n">
        <x:v>1616</x:v>
      </x:c>
      <x:c r="H109" s="25" t="str">
        <x:v>44822048BC7207B6A2FCD230E079E</x:v>
      </x:c>
      <x:c r="I109" s="22" t="str">
        <x:v>복합일위대가</x:v>
      </x:c>
      <x:c r="J109" s="34" t="n">
        <x:v>62.46</x:v>
      </x:c>
      <x:c r="K109" s="34" t="n">
        <x:v>0</x:v>
      </x:c>
      <x:c r="L109" s="34" t="n">
        <x:v>0</x:v>
      </x:c>
      <x:c r="M109" s="34" t="n">
        <x:f>SUM(J109:L109)</x:f>
        <x:v>62.46</x:v>
      </x:c>
      <x:c r="N109" s="34" t="n">
        <x:f>G109*J109</x:f>
        <x:v>100935.36</x:v>
      </x:c>
      <x:c r="O109" s="34" t="n">
        <x:f>G109*K109</x:f>
        <x:v>0</x:v>
      </x:c>
      <x:c r="P109" s="34" t="n">
        <x:f>G109*L109</x:f>
        <x:v>0</x:v>
      </x:c>
      <x:c r="Q109" s="34" t="n">
        <x:f>SUM(N109:P109)</x:f>
        <x:v>100935.36</x:v>
      </x:c>
      <x:c r="R109" s="22" t="str">
        <x:f>IF(M109&gt;0,"복원","미복원")</x:f>
        <x:v>복원</x:v>
      </x:c>
      <x:c r="S109" s="37" t="n">
        <x:v>185</x:v>
      </x:c>
      <x:c r="T1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09" s="22" t="str">
        <x:f>A109&amp;"|"&amp;B109</x:f>
        <x:v>병원|C-010106</x:v>
      </x:c>
      <x:c r="V109" s="22" t="n">
        <x:f>IF(M109&gt;0,1,0)</x:f>
        <x:v>1</x:v>
      </x:c>
    </x:row>
    <x:row r="110" ht="28" customHeight="1">
      <x:c r="A110" s="22" t="str">
        <x:v>병원</x:v>
      </x:c>
      <x:c r="B110" s="31" t="str">
        <x:f>"C-010106"</x:f>
        <x:v>C-010106</x:v>
      </x:c>
      <x:c r="C110" s="25" t="str">
        <x:v>010106  FINISH WORKS</x:v>
      </x:c>
      <x:c r="D110" s="25" t="str">
        <x:v>FIRE STRIP</x:v>
      </x:c>
      <x:c r="E110" s="25" t="str">
        <x:v>W=200</x:v>
      </x:c>
      <x:c r="F110" s="22" t="str">
        <x:v>M</x:v>
      </x:c>
      <x:c r="G110" s="28" t="n">
        <x:v>453</x:v>
      </x:c>
      <x:c r="H110" s="25" t="str">
        <x:v>44822048BC7207B6A2FCD230D7F25</x:v>
      </x:c>
      <x:c r="I110" s="22" t="str">
        <x:v>복합일위대가</x:v>
      </x:c>
      <x:c r="J110" s="34" t="n">
        <x:v>0.79</x:v>
      </x:c>
      <x:c r="K110" s="34" t="n">
        <x:v>0.4</x:v>
      </x:c>
      <x:c r="L110" s="34" t="n">
        <x:v>0</x:v>
      </x:c>
      <x:c r="M110" s="34" t="n">
        <x:f>SUM(J110:L110)</x:f>
        <x:v>1.19</x:v>
      </x:c>
      <x:c r="N110" s="34" t="n">
        <x:f>G110*J110</x:f>
        <x:v>357.87</x:v>
      </x:c>
      <x:c r="O110" s="34" t="n">
        <x:f>G110*K110</x:f>
        <x:v>181.20000000000002</x:v>
      </x:c>
      <x:c r="P110" s="34" t="n">
        <x:f>G110*L110</x:f>
        <x:v>0</x:v>
      </x:c>
      <x:c r="Q110" s="34" t="n">
        <x:f>SUM(N110:P110)</x:f>
        <x:v>539.07</x:v>
      </x:c>
      <x:c r="R110" s="22" t="str">
        <x:f>IF(M110&gt;0,"복원","미복원")</x:f>
        <x:v>복원</x:v>
      </x:c>
      <x:c r="S110" s="37" t="n">
        <x:v>186</x:v>
      </x:c>
      <x:c r="T1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0" s="22" t="str">
        <x:f>A110&amp;"|"&amp;B110</x:f>
        <x:v>병원|C-010106</x:v>
      </x:c>
      <x:c r="V110" s="22" t="n">
        <x:f>IF(M110&gt;0,1,0)</x:f>
        <x:v>1</x:v>
      </x:c>
    </x:row>
    <x:row r="111" ht="28" customHeight="1">
      <x:c r="A111" s="22" t="str">
        <x:v>병원</x:v>
      </x:c>
      <x:c r="B111" s="31" t="str">
        <x:f>"C-010106"</x:f>
        <x:v>C-010106</x:v>
      </x:c>
      <x:c r="C111" s="25" t="str">
        <x:v>010106  FINISH WORKS</x:v>
      </x:c>
      <x:c r="D111" s="25" t="str">
        <x:v>Thick50 Glass Wool W/ Glass Cloth,Wall</x:v>
      </x:c>
      <x:c r="E111" s="25" t="str">
        <x:v>Wall</x:v>
      </x:c>
      <x:c r="F111" s="22" t="str">
        <x:v>M2</x:v>
      </x:c>
      <x:c r="G111" s="28" t="n">
        <x:v>231</x:v>
      </x:c>
      <x:c r="H111" s="25" t="str">
        <x:v>44822048A37E48FFE2C3E6452A42C</x:v>
      </x:c>
      <x:c r="I111" s="22" t="str">
        <x:v>복합일위대가</x:v>
      </x:c>
      <x:c r="J111" s="34" t="n">
        <x:v>4</x:v>
      </x:c>
      <x:c r="K111" s="34" t="n">
        <x:v>0</x:v>
      </x:c>
      <x:c r="L111" s="34" t="n">
        <x:v>0</x:v>
      </x:c>
      <x:c r="M111" s="34" t="n">
        <x:f>SUM(J111:L111)</x:f>
        <x:v>4</x:v>
      </x:c>
      <x:c r="N111" s="34" t="n">
        <x:f>G111*J111</x:f>
        <x:v>924</x:v>
      </x:c>
      <x:c r="O111" s="34" t="n">
        <x:f>G111*K111</x:f>
        <x:v>0</x:v>
      </x:c>
      <x:c r="P111" s="34" t="n">
        <x:f>G111*L111</x:f>
        <x:v>0</x:v>
      </x:c>
      <x:c r="Q111" s="34" t="n">
        <x:f>SUM(N111:P111)</x:f>
        <x:v>924</x:v>
      </x:c>
      <x:c r="R111" s="22" t="str">
        <x:f>IF(M111&gt;0,"복원","미복원")</x:f>
        <x:v>복원</x:v>
      </x:c>
      <x:c r="S111" s="37" t="n">
        <x:v>187</x:v>
      </x:c>
      <x:c r="T1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1" s="22" t="str">
        <x:f>A111&amp;"|"&amp;B111</x:f>
        <x:v>병원|C-010106</x:v>
      </x:c>
      <x:c r="V111" s="22" t="n">
        <x:f>IF(M111&gt;0,1,0)</x:f>
        <x:v>1</x:v>
      </x:c>
    </x:row>
    <x:row r="112" ht="28" customHeight="1">
      <x:c r="A112" s="22" t="str">
        <x:v>병원</x:v>
      </x:c>
      <x:c r="B112" s="31" t="str">
        <x:f>"C-010106"</x:f>
        <x:v>C-010106</x:v>
      </x:c>
      <x:c r="C112" s="25" t="str">
        <x:v>010106  FINISH WORKS</x:v>
      </x:c>
      <x:c r="D112" s="25" t="str">
        <x:v>Thick50 Glass Wool W/ Glass Cloth</x:v>
      </x:c>
      <x:c r="E112" s="25" t="str">
        <x:v>Ceiling</x:v>
      </x:c>
      <x:c r="F112" s="22" t="str">
        <x:v>M2</x:v>
      </x:c>
      <x:c r="G112" s="28" t="n">
        <x:v>167</x:v>
      </x:c>
      <x:c r="H112" s="25" t="str">
        <x:v>44822048A37E48FFE2C3E6452A7E0</x:v>
      </x:c>
      <x:c r="I112" s="22" t="str">
        <x:v>복합일위대가</x:v>
      </x:c>
      <x:c r="J112" s="34" t="n">
        <x:v>4</x:v>
      </x:c>
      <x:c r="K112" s="34" t="n">
        <x:v>0</x:v>
      </x:c>
      <x:c r="L112" s="34" t="n">
        <x:v>0</x:v>
      </x:c>
      <x:c r="M112" s="34" t="n">
        <x:f>SUM(J112:L112)</x:f>
        <x:v>4</x:v>
      </x:c>
      <x:c r="N112" s="34" t="n">
        <x:f>G112*J112</x:f>
        <x:v>668</x:v>
      </x:c>
      <x:c r="O112" s="34" t="n">
        <x:f>G112*K112</x:f>
        <x:v>0</x:v>
      </x:c>
      <x:c r="P112" s="34" t="n">
        <x:f>G112*L112</x:f>
        <x:v>0</x:v>
      </x:c>
      <x:c r="Q112" s="34" t="n">
        <x:f>SUM(N112:P112)</x:f>
        <x:v>668</x:v>
      </x:c>
      <x:c r="R112" s="22" t="str">
        <x:f>IF(M112&gt;0,"복원","미복원")</x:f>
        <x:v>복원</x:v>
      </x:c>
      <x:c r="S112" s="37" t="n">
        <x:v>188</x:v>
      </x:c>
      <x:c r="T1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2" s="22" t="str">
        <x:f>A112&amp;"|"&amp;B112</x:f>
        <x:v>병원|C-010106</x:v>
      </x:c>
      <x:c r="V112" s="22" t="n">
        <x:f>IF(M112&gt;0,1,0)</x:f>
        <x:v>1</x:v>
      </x:c>
    </x:row>
    <x:row r="113" ht="28" customHeight="1">
      <x:c r="A113" s="22" t="str">
        <x:v>병원</x:v>
      </x:c>
      <x:c r="B113" s="31" t="str">
        <x:f>"C-010106"</x:f>
        <x:v>C-010106</x:v>
      </x:c>
      <x:c r="C113" s="25" t="str">
        <x:v>010106  FINISH WORKS</x:v>
      </x:c>
      <x:c r="D113" s="25" t="str">
        <x:v>Wall S.G.P Panel Work</x:v>
      </x:c>
      <x:c r="E113" s="25" t="str">
        <x:v>SGP+Accessories</x:v>
      </x:c>
      <x:c r="F113" s="22" t="str">
        <x:v>M2</x:v>
      </x:c>
      <x:c r="G113" s="28" t="n">
        <x:v>103</x:v>
      </x:c>
      <x:c r="H113" s="25" t="str">
        <x:v>4530234CF57486DF6239DCFA4C2</x:v>
      </x:c>
      <x:c r="I113" s="22" t="str">
        <x:v>직접자원단가</x:v>
      </x:c>
      <x:c r="J113" s="34" t="n">
        <x:v>40.731689254239804</x:v>
      </x:c>
      <x:c r="K113" s="34" t="n">
        <x:v>6.932533511071615</x:v>
      </x:c>
      <x:c r="L113" s="34" t="n">
        <x:v>2.9734133155595055</x:v>
      </x:c>
      <x:c r="M113" s="34" t="n">
        <x:f>SUM(J113:L113)</x:f>
        <x:v>50.63763608087093</x:v>
      </x:c>
      <x:c r="N113" s="34" t="n">
        <x:f>G113*J113</x:f>
        <x:v>4195.3639931867</x:v>
      </x:c>
      <x:c r="O113" s="34" t="n">
        <x:f>G113*K113</x:f>
        <x:v>714.0509516403763</x:v>
      </x:c>
      <x:c r="P113" s="34" t="n">
        <x:f>G113*L113</x:f>
        <x:v>306.26157150262907</x:v>
      </x:c>
      <x:c r="Q113" s="34" t="n">
        <x:f>SUM(N113:P113)</x:f>
        <x:v>5215.676516329706</x:v>
      </x:c>
      <x:c r="R113" s="22" t="str">
        <x:f>IF(M113&gt;0,"복원","미복원")</x:f>
        <x:v>복원</x:v>
      </x:c>
      <x:c r="S113" s="37" t="n">
        <x:v>191</x:v>
      </x:c>
      <x:c r="T1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3" s="22" t="str">
        <x:f>A113&amp;"|"&amp;B113</x:f>
        <x:v>병원|C-010106</x:v>
      </x:c>
      <x:c r="V113" s="22" t="n">
        <x:f>IF(M113&gt;0,1,0)</x:f>
        <x:v>1</x:v>
      </x:c>
    </x:row>
    <x:row r="114" ht="28" customHeight="1">
      <x:c r="A114" s="22" t="str">
        <x:v>병원</x:v>
      </x:c>
      <x:c r="B114" s="31" t="str">
        <x:f>"C-010106"</x:f>
        <x:v>C-010106</x:v>
      </x:c>
      <x:c r="C114" s="25" t="str">
        <x:v>010106  FINISH WORKS</x:v>
      </x:c>
      <x:c r="D114" s="25" t="str">
        <x:v>Wall S.G.P &amp; Frame Work</x:v>
      </x:c>
      <x:c r="E114" s="25" t="str">
        <x:v>SQ-PIPE+Accessories</x:v>
      </x:c>
      <x:c r="F114" s="22" t="str">
        <x:v>M2</x:v>
      </x:c>
      <x:c r="G114" s="28" t="n">
        <x:v>103</x:v>
      </x:c>
      <x:c r="H114" s="25" t="str">
        <x:v>4530234CF57486DF6239DCFA4C1</x:v>
      </x:c>
      <x:c r="I114" s="22" t="str">
        <x:v>직접자원단가</x:v>
      </x:c>
      <x:c r="J114" s="34" t="n">
        <x:v>20.365844627119902</x:v>
      </x:c>
      <x:c r="K114" s="34" t="n">
        <x:v>5.425461008664742</x:v>
      </x:c>
      <x:c r="L114" s="34" t="n">
        <x:v>1.7514626379323115</x:v>
      </x:c>
      <x:c r="M114" s="34" t="n">
        <x:f>SUM(J114:L114)</x:f>
        <x:v>27.54276827371696</x:v>
      </x:c>
      <x:c r="N114" s="34" t="n">
        <x:f>G114*J114</x:f>
        <x:v>2097.68199659335</x:v>
      </x:c>
      <x:c r="O114" s="34" t="n">
        <x:f>G114*K114</x:f>
        <x:v>558.8224838924684</x:v>
      </x:c>
      <x:c r="P114" s="34" t="n">
        <x:f>G114*L114</x:f>
        <x:v>180.4006517070281</x:v>
      </x:c>
      <x:c r="Q114" s="34" t="n">
        <x:f>SUM(N114:P114)</x:f>
        <x:v>2836.9051321928464</x:v>
      </x:c>
      <x:c r="R114" s="22" t="str">
        <x:f>IF(M114&gt;0,"복원","미복원")</x:f>
        <x:v>복원</x:v>
      </x:c>
      <x:c r="S114" s="37" t="n">
        <x:v>192</x:v>
      </x:c>
      <x:c r="T1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4" s="22" t="str">
        <x:f>A114&amp;"|"&amp;B114</x:f>
        <x:v>병원|C-010106</x:v>
      </x:c>
      <x:c r="V114" s="22" t="n">
        <x:f>IF(M114&gt;0,1,0)</x:f>
        <x:v>1</x:v>
      </x:c>
    </x:row>
    <x:row r="115" ht="28" customHeight="1">
      <x:c r="A115" s="22" t="str">
        <x:v>병원</x:v>
      </x:c>
      <x:c r="B115" s="31" t="str">
        <x:f>"C-010106"</x:f>
        <x:v>C-010106</x:v>
      </x:c>
      <x:c r="C115" s="25" t="str">
        <x:v>010106  FINISH WORKS</x:v>
      </x:c>
      <x:c r="D115" s="25" t="str">
        <x:v>Ceiling S.G.P Panel Work</x:v>
      </x:c>
      <x:c r="E115" s="25" t="str">
        <x:v>SGP+Accessory</x:v>
      </x:c>
      <x:c r="F115" s="22" t="str">
        <x:v>M2</x:v>
      </x:c>
      <x:c r="G115" s="28" t="n">
        <x:v>61</x:v>
      </x:c>
      <x:c r="H115" s="25" t="str">
        <x:v>4530234CF57486DF6239DCFA4C0</x:v>
      </x:c>
      <x:c r="I115" s="22" t="str">
        <x:v>직접자원단가</x:v>
      </x:c>
      <x:c r="J115" s="34" t="n">
        <x:v>40.731689254239804</x:v>
      </x:c>
      <x:c r="K115" s="34" t="n">
        <x:v>8.439606013478487</x:v>
      </x:c>
      <x:c r="L115" s="34" t="n">
        <x:v>3.1770717618307045</x:v>
      </x:c>
      <x:c r="M115" s="34" t="n">
        <x:f>SUM(J115:L115)</x:f>
        <x:v>52.348367029548996</x:v>
      </x:c>
      <x:c r="N115" s="34" t="n">
        <x:f>G115*J115</x:f>
        <x:v>2484.6330445086282</x:v>
      </x:c>
      <x:c r="O115" s="34" t="n">
        <x:f>G115*K115</x:f>
        <x:v>514.8159668221878</x:v>
      </x:c>
      <x:c r="P115" s="34" t="n">
        <x:f>G115*L115</x:f>
        <x:v>193.80137747167296</x:v>
      </x:c>
      <x:c r="Q115" s="34" t="n">
        <x:f>SUM(N115:P115)</x:f>
        <x:v>3193.250388802489</x:v>
      </x:c>
      <x:c r="R115" s="22" t="str">
        <x:f>IF(M115&gt;0,"복원","미복원")</x:f>
        <x:v>복원</x:v>
      </x:c>
      <x:c r="S115" s="37" t="n">
        <x:v>193</x:v>
      </x:c>
      <x:c r="T1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5" s="22" t="str">
        <x:f>A115&amp;"|"&amp;B115</x:f>
        <x:v>병원|C-010106</x:v>
      </x:c>
      <x:c r="V115" s="22" t="n">
        <x:f>IF(M115&gt;0,1,0)</x:f>
        <x:v>1</x:v>
      </x:c>
    </x:row>
    <x:row r="116" ht="28" customHeight="1">
      <x:c r="A116" s="22" t="str">
        <x:v>병원</x:v>
      </x:c>
      <x:c r="B116" s="31" t="str">
        <x:f>"C-010106"</x:f>
        <x:v>C-010106</x:v>
      </x:c>
      <x:c r="C116" s="25" t="str">
        <x:v>010106  FINISH WORKS</x:v>
      </x:c>
      <x:c r="D116" s="25" t="str">
        <x:v>Ceiling S.G.P &amp; Frame Work</x:v>
      </x:c>
      <x:c r="E116" s="25" t="str">
        <x:v>SQ-PIPE+Accessory</x:v>
      </x:c>
      <x:c r="F116" s="22" t="str">
        <x:v>M2</x:v>
      </x:c>
      <x:c r="G116" s="28" t="n">
        <x:v>61</x:v>
      </x:c>
      <x:c r="H116" s="25" t="str">
        <x:v>4530234CF57486DF6239DCFA4C7</x:v>
      </x:c>
      <x:c r="I116" s="22" t="str">
        <x:v>직접자원단가</x:v>
      </x:c>
      <x:c r="J116" s="34" t="n">
        <x:v>24.43901355254388</x:v>
      </x:c>
      <x:c r="K116" s="34" t="n">
        <x:v>5.726875509146116</x:v>
      </x:c>
      <x:c r="L116" s="34" t="n">
        <x:v>1.9958527734577503</x:v>
      </x:c>
      <x:c r="M116" s="34" t="n">
        <x:f>SUM(J116:L116)</x:f>
        <x:v>32.161741835147744</x:v>
      </x:c>
      <x:c r="N116" s="34" t="n">
        <x:f>G116*J116</x:f>
        <x:v>1490.7798267051767</x:v>
      </x:c>
      <x:c r="O116" s="34" t="n">
        <x:f>G116*K116</x:f>
        <x:v>349.3394060579131</x:v>
      </x:c>
      <x:c r="P116" s="34" t="n">
        <x:f>G116*L116</x:f>
        <x:v>121.74701918092276</x:v>
      </x:c>
      <x:c r="Q116" s="34" t="n">
        <x:f>SUM(N116:P116)</x:f>
        <x:v>1961.8662519440124</x:v>
      </x:c>
      <x:c r="R116" s="22" t="str">
        <x:f>IF(M116&gt;0,"복원","미복원")</x:f>
        <x:v>복원</x:v>
      </x:c>
      <x:c r="S116" s="37" t="n">
        <x:v>194</x:v>
      </x:c>
      <x:c r="T1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6" s="22" t="str">
        <x:f>A116&amp;"|"&amp;B116</x:f>
        <x:v>병원|C-010106</x:v>
      </x:c>
      <x:c r="V116" s="22" t="n">
        <x:f>IF(M116&gt;0,1,0)</x:f>
        <x:v>1</x:v>
      </x:c>
    </x:row>
    <x:row r="117" ht="28" customHeight="1">
      <x:c r="A117" s="22" t="str">
        <x:v>병원</x:v>
      </x:c>
      <x:c r="B117" s="31" t="str">
        <x:f>"C-010106"</x:f>
        <x:v>C-010106</x:v>
      </x:c>
      <x:c r="C117" s="25" t="str">
        <x:v>010106  FINISH WORKS</x:v>
      </x:c>
      <x:c r="D117" s="25" t="str">
        <x:v>Checking Door(SGP~C/E)</x:v>
      </x:c>
      <x:c r="E117" s="25" t="str"/>
      <x:c r="F117" s="22" t="str">
        <x:v>EA</x:v>
      </x:c>
      <x:c r="G117" s="28" t="n">
        <x:v>1</x:v>
      </x:c>
      <x:c r="H117" s="25" t="str">
        <x:v>4530234CF57486DF6239DCFA4C6</x:v>
      </x:c>
      <x:c r="I117" s="22" t="str">
        <x:v>직접자원단가</x:v>
      </x:c>
      <x:c r="J117" s="34" t="n">
        <x:v>122.1950677627194</x:v>
      </x:c>
      <x:c r="K117" s="34" t="n">
        <x:v>15.070725024068727</x:v>
      </x:c>
      <x:c r="L117" s="34" t="n">
        <x:v>8.14633785084796</x:v>
      </x:c>
      <x:c r="M117" s="34" t="n">
        <x:f>SUM(J117:L117)</x:f>
        <x:v>145.4121306376361</x:v>
      </x:c>
      <x:c r="N117" s="34" t="n">
        <x:f>G117*J117</x:f>
        <x:v>122.1950677627194</x:v>
      </x:c>
      <x:c r="O117" s="34" t="n">
        <x:f>G117*K117</x:f>
        <x:v>15.070725024068727</x:v>
      </x:c>
      <x:c r="P117" s="34" t="n">
        <x:f>G117*L117</x:f>
        <x:v>8.14633785084796</x:v>
      </x:c>
      <x:c r="Q117" s="34" t="n">
        <x:f>SUM(N117:P117)</x:f>
        <x:v>145.4121306376361</x:v>
      </x:c>
      <x:c r="R117" s="22" t="str">
        <x:f>IF(M117&gt;0,"복원","미복원")</x:f>
        <x:v>복원</x:v>
      </x:c>
      <x:c r="S117" s="37" t="n">
        <x:v>195</x:v>
      </x:c>
      <x:c r="T1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7" s="22" t="str">
        <x:f>A117&amp;"|"&amp;B117</x:f>
        <x:v>병원|C-010106</x:v>
      </x:c>
      <x:c r="V117" s="22" t="n">
        <x:f>IF(M117&gt;0,1,0)</x:f>
        <x:v>1</x:v>
      </x:c>
    </x:row>
    <x:row r="118" ht="28" customHeight="1">
      <x:c r="A118" s="22" t="str">
        <x:v>병원</x:v>
      </x:c>
      <x:c r="B118" s="31" t="str">
        <x:f>"C-010106"</x:f>
        <x:v>C-010106</x:v>
      </x:c>
      <x:c r="C118" s="25" t="str">
        <x:v>010106  FINISH WORKS</x:v>
      </x:c>
      <x:c r="D118" s="25" t="str">
        <x:v>Panel Caulking</x:v>
      </x:c>
      <x:c r="E118" s="25" t="str"/>
      <x:c r="F118" s="22" t="str">
        <x:v>R/M</x:v>
      </x:c>
      <x:c r="G118" s="28" t="n">
        <x:v>1</x:v>
      </x:c>
      <x:c r="H118" s="25" t="str">
        <x:v>4530234CF57486DF6239DCFA4C5</x:v>
      </x:c>
      <x:c r="I118" s="22" t="str">
        <x:v>직접자원단가</x:v>
      </x:c>
      <x:c r="J118" s="34" t="n">
        <x:v>407.316892542398</x:v>
      </x:c>
      <x:c r="K118" s="34" t="n">
        <x:v>301.41450048137455</x:v>
      </x:c>
      <x:c r="L118" s="34" t="n">
        <x:v>61.0975338813597</x:v>
      </x:c>
      <x:c r="M118" s="34" t="n">
        <x:f>SUM(J118:L118)</x:f>
        <x:v>769.8289269051323</x:v>
      </x:c>
      <x:c r="N118" s="34" t="n">
        <x:f>G118*J118</x:f>
        <x:v>407.316892542398</x:v>
      </x:c>
      <x:c r="O118" s="34" t="n">
        <x:f>G118*K118</x:f>
        <x:v>301.41450048137455</x:v>
      </x:c>
      <x:c r="P118" s="34" t="n">
        <x:f>G118*L118</x:f>
        <x:v>61.0975338813597</x:v>
      </x:c>
      <x:c r="Q118" s="34" t="n">
        <x:f>SUM(N118:P118)</x:f>
        <x:v>769.8289269051323</x:v>
      </x:c>
      <x:c r="R118" s="22" t="str">
        <x:f>IF(M118&gt;0,"복원","미복원")</x:f>
        <x:v>복원</x:v>
      </x:c>
      <x:c r="S118" s="37" t="n">
        <x:v>196</x:v>
      </x:c>
      <x:c r="T1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8" s="22" t="str">
        <x:f>A118&amp;"|"&amp;B118</x:f>
        <x:v>병원|C-010106</x:v>
      </x:c>
      <x:c r="V118" s="22" t="n">
        <x:f>IF(M118&gt;0,1,0)</x:f>
        <x:v>1</x:v>
      </x:c>
    </x:row>
    <x:row r="119" ht="28" customHeight="1">
      <x:c r="A119" s="22" t="str">
        <x:v>병원</x:v>
      </x:c>
      <x:c r="B119" s="31" t="str">
        <x:f>"C-010106"</x:f>
        <x:v>C-010106</x:v>
      </x:c>
      <x:c r="C119" s="25" t="str">
        <x:v>010106  FINISH WORKS</x:v>
      </x:c>
      <x:c r="D119" s="25" t="str">
        <x:v>Semi-Automatic Pocket Sliding Door</x:v>
      </x:c>
      <x:c r="E119" s="25" t="str"/>
      <x:c r="F119" s="22" t="str">
        <x:v>SET</x:v>
      </x:c>
      <x:c r="G119" s="28" t="n">
        <x:v>1</x:v>
      </x:c>
      <x:c r="H119" s="25" t="str">
        <x:v>4530234CF57486DF6239DCFA4C4</x:v>
      </x:c>
      <x:c r="I119" s="22" t="str">
        <x:v>직접자원단가</x:v>
      </x:c>
      <x:c r="J119" s="34" t="n">
        <x:v>4887.802710508777</x:v>
      </x:c>
      <x:c r="K119" s="34" t="n">
        <x:v>602.8290009627491</x:v>
      </x:c>
      <x:c r="L119" s="34" t="n">
        <x:v>325.85351403391843</x:v>
      </x:c>
      <x:c r="M119" s="34" t="n">
        <x:f>SUM(J119:L119)</x:f>
        <x:v>5816.485225505444</x:v>
      </x:c>
      <x:c r="N119" s="34" t="n">
        <x:f>G119*J119</x:f>
        <x:v>4887.802710508777</x:v>
      </x:c>
      <x:c r="O119" s="34" t="n">
        <x:f>G119*K119</x:f>
        <x:v>602.8290009627491</x:v>
      </x:c>
      <x:c r="P119" s="34" t="n">
        <x:f>G119*L119</x:f>
        <x:v>325.85351403391843</x:v>
      </x:c>
      <x:c r="Q119" s="34" t="n">
        <x:f>SUM(N119:P119)</x:f>
        <x:v>5816.485225505444</x:v>
      </x:c>
      <x:c r="R119" s="22" t="str">
        <x:f>IF(M119&gt;0,"복원","미복원")</x:f>
        <x:v>복원</x:v>
      </x:c>
      <x:c r="S119" s="37" t="n">
        <x:v>197</x:v>
      </x:c>
      <x:c r="T1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19" s="22" t="str">
        <x:f>A119&amp;"|"&amp;B119</x:f>
        <x:v>병원|C-010106</x:v>
      </x:c>
      <x:c r="V119" s="22" t="n">
        <x:f>IF(M119&gt;0,1,0)</x:f>
        <x:v>1</x:v>
      </x:c>
    </x:row>
    <x:row r="120" ht="28" customHeight="1">
      <x:c r="A120" s="22" t="str">
        <x:v>병원</x:v>
      </x:c>
      <x:c r="B120" s="31" t="str">
        <x:f>"C-010106"</x:f>
        <x:v>C-010106</x:v>
      </x:c>
      <x:c r="C120" s="25" t="str">
        <x:v>010106  FINISH WORKS</x:v>
      </x:c>
      <x:c r="D120" s="25" t="str">
        <x:v>SGP Door System</x:v>
      </x:c>
      <x:c r="E120" s="25" t="str"/>
      <x:c r="F120" s="22" t="str">
        <x:v>SET</x:v>
      </x:c>
      <x:c r="G120" s="28" t="n">
        <x:v>1</x:v>
      </x:c>
      <x:c r="H120" s="25" t="str">
        <x:v>4530234CF57486DF6239DCFA4CB</x:v>
      </x:c>
      <x:c r="I120" s="22" t="str">
        <x:v>직접자원단가</x:v>
      </x:c>
      <x:c r="J120" s="34" t="n">
        <x:v>651.7070280678369</x:v>
      </x:c>
      <x:c r="K120" s="34" t="n">
        <x:v>90.42435014441236</x:v>
      </x:c>
      <x:c r="L120" s="34" t="n">
        <x:v>44.80485817966378</x:v>
      </x:c>
      <x:c r="M120" s="34" t="n">
        <x:f>SUM(J120:L120)</x:f>
        <x:v>786.9362363919131</x:v>
      </x:c>
      <x:c r="N120" s="34" t="n">
        <x:f>G120*J120</x:f>
        <x:v>651.7070280678369</x:v>
      </x:c>
      <x:c r="O120" s="34" t="n">
        <x:f>G120*K120</x:f>
        <x:v>90.42435014441236</x:v>
      </x:c>
      <x:c r="P120" s="34" t="n">
        <x:f>G120*L120</x:f>
        <x:v>44.80485817966378</x:v>
      </x:c>
      <x:c r="Q120" s="34" t="n">
        <x:f>SUM(N120:P120)</x:f>
        <x:v>786.9362363919131</x:v>
      </x:c>
      <x:c r="R120" s="22" t="str">
        <x:f>IF(M120&gt;0,"복원","미복원")</x:f>
        <x:v>복원</x:v>
      </x:c>
      <x:c r="S120" s="37" t="n">
        <x:v>198</x:v>
      </x:c>
      <x:c r="T1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0" s="22" t="str">
        <x:f>A120&amp;"|"&amp;B120</x:f>
        <x:v>병원|C-010106</x:v>
      </x:c>
      <x:c r="V120" s="22" t="n">
        <x:f>IF(M120&gt;0,1,0)</x:f>
        <x:v>1</x:v>
      </x:c>
    </x:row>
    <x:row r="121" ht="28" customHeight="1">
      <x:c r="A121" s="22" t="str">
        <x:v>병원</x:v>
      </x:c>
      <x:c r="B121" s="31" t="str">
        <x:f>"C-010106"</x:f>
        <x:v>C-010106</x:v>
      </x:c>
      <x:c r="C121" s="25" t="str">
        <x:v>010106  FINISH WORKS</x:v>
      </x:c>
      <x:c r="D121" s="25" t="str">
        <x:v>Ceiling Light Box</x:v>
      </x:c>
      <x:c r="E121" s="25" t="str">
        <x:v>Operating[OR-1,2~H]</x:v>
      </x:c>
      <x:c r="F121" s="22" t="str">
        <x:v>M</x:v>
      </x:c>
      <x:c r="G121" s="28" t="n">
        <x:v>34</x:v>
      </x:c>
      <x:c r="H121" s="25" t="str">
        <x:v>4530234CF57486DF6239DCFA4CA</x:v>
      </x:c>
      <x:c r="I121" s="22" t="str">
        <x:v>직접자원단가</x:v>
      </x:c>
      <x:c r="J121" s="34" t="n">
        <x:v>162.92675701695921</x:v>
      </x:c>
      <x:c r="K121" s="34" t="n">
        <x:v>15.070725024068727</x:v>
      </x:c>
      <x:c r="L121" s="34" t="n">
        <x:v>10.182922313559951</x:v>
      </x:c>
      <x:c r="M121" s="34" t="n">
        <x:f>SUM(J121:L121)</x:f>
        <x:v>188.1804043545879</x:v>
      </x:c>
      <x:c r="N121" s="34" t="n">
        <x:f>G121*J121</x:f>
        <x:v>5539.509738576613</x:v>
      </x:c>
      <x:c r="O121" s="34" t="n">
        <x:f>G121*K121</x:f>
        <x:v>512.4046508183367</x:v>
      </x:c>
      <x:c r="P121" s="34" t="n">
        <x:f>G121*L121</x:f>
        <x:v>346.2193586610383</x:v>
      </x:c>
      <x:c r="Q121" s="34" t="n">
        <x:f>SUM(N121:P121)</x:f>
        <x:v>6398.133748055988</x:v>
      </x:c>
      <x:c r="R121" s="22" t="str">
        <x:f>IF(M121&gt;0,"복원","미복원")</x:f>
        <x:v>복원</x:v>
      </x:c>
      <x:c r="S121" s="37" t="n">
        <x:v>199</x:v>
      </x:c>
      <x:c r="T1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1" s="22" t="str">
        <x:f>A121&amp;"|"&amp;B121</x:f>
        <x:v>병원|C-010106</x:v>
      </x:c>
      <x:c r="V121" s="22" t="n">
        <x:f>IF(M121&gt;0,1,0)</x:f>
        <x:v>1</x:v>
      </x:c>
    </x:row>
    <x:row r="122" ht="28" customHeight="1">
      <x:c r="A122" s="22" t="str">
        <x:v>병원</x:v>
      </x:c>
      <x:c r="B122" s="31" t="str">
        <x:f>"C-010106"</x:f>
        <x:v>C-010106</x:v>
      </x:c>
      <x:c r="C122" s="25" t="str">
        <x:v>010106  FINISH WORKS</x:v>
      </x:c>
      <x:c r="D122" s="25" t="str">
        <x:v>OR Builtin Furniture</x:v>
      </x:c>
      <x:c r="E122" s="25" t="str">
        <x:v> STS  1,2W x 0.5D x 1,8H</x:v>
      </x:c>
      <x:c r="F122" s="22" t="str">
        <x:v>SET</x:v>
      </x:c>
      <x:c r="G122" s="28" t="n">
        <x:v>8</x:v>
      </x:c>
      <x:c r="H122" s="25" t="str">
        <x:v>4530234CF57486DF6239DCFA5EA</x:v>
      </x:c>
      <x:c r="I122" s="22" t="str">
        <x:v>직접자원단가</x:v>
      </x:c>
      <x:c r="J122" s="34" t="n">
        <x:v>3665.852032881582</x:v>
      </x:c>
      <x:c r="K122" s="34" t="n">
        <x:v>452.12175072206185</x:v>
      </x:c>
      <x:c r="L122" s="34" t="n">
        <x:v>244.3901355254388</x:v>
      </x:c>
      <x:c r="M122" s="34" t="n">
        <x:f>SUM(J122:L122)</x:f>
        <x:v>4362.363919129082</x:v>
      </x:c>
      <x:c r="N122" s="34" t="n">
        <x:f>G122*J122</x:f>
        <x:v>29326.816263052657</x:v>
      </x:c>
      <x:c r="O122" s="34" t="n">
        <x:f>G122*K122</x:f>
        <x:v>3616.974005776495</x:v>
      </x:c>
      <x:c r="P122" s="34" t="n">
        <x:f>G122*L122</x:f>
        <x:v>1955.1210842035105</x:v>
      </x:c>
      <x:c r="Q122" s="34" t="n">
        <x:f>SUM(N122:P122)</x:f>
        <x:v>34898.91135303266</x:v>
      </x:c>
      <x:c r="R122" s="22" t="str">
        <x:f>IF(M122&gt;0,"복원","미복원")</x:f>
        <x:v>복원</x:v>
      </x:c>
      <x:c r="S122" s="37" t="n">
        <x:v>200</x:v>
      </x:c>
      <x:c r="T1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2" s="22" t="str">
        <x:f>A122&amp;"|"&amp;B122</x:f>
        <x:v>병원|C-010106</x:v>
      </x:c>
      <x:c r="V122" s="22" t="n">
        <x:f>IF(M122&gt;0,1,0)</x:f>
        <x:v>1</x:v>
      </x:c>
    </x:row>
    <x:row r="123" ht="28" customHeight="1">
      <x:c r="A123" s="22" t="str">
        <x:v>병원</x:v>
      </x:c>
      <x:c r="B123" s="31" t="str">
        <x:f>"C-010106"</x:f>
        <x:v>C-010106</x:v>
      </x:c>
      <x:c r="C123" s="25" t="str">
        <x:v>010106  FINISH WORKS</x:v>
      </x:c>
      <x:c r="D123" s="25" t="str">
        <x:v>Floor Conductive Sheet</x:v>
      </x:c>
      <x:c r="E123" s="25" t="str">
        <x:v>600*600*3T</x:v>
      </x:c>
      <x:c r="F123" s="22" t="str">
        <x:v>M2</x:v>
      </x:c>
      <x:c r="G123" s="28" t="n">
        <x:v>61</x:v>
      </x:c>
      <x:c r="H123" s="25" t="str">
        <x:v>4530234CF57486DF6239DCFA5EB</x:v>
      </x:c>
      <x:c r="I123" s="22" t="str">
        <x:v>직접자원단가</x:v>
      </x:c>
      <x:c r="J123" s="34" t="n">
        <x:v>57.02436495593573</x:v>
      </x:c>
      <x:c r="K123" s="34" t="n">
        <x:v>9.042435014441235</x:v>
      </x:c>
      <x:c r="L123" s="34" t="n">
        <x:v>4.07316892542398</x:v>
      </x:c>
      <x:c r="M123" s="34" t="n">
        <x:f>SUM(J123:L123)</x:f>
        <x:v>70.13996889580095</x:v>
      </x:c>
      <x:c r="N123" s="34" t="n">
        <x:f>G123*J123</x:f>
        <x:v>3478.4862623120794</x:v>
      </x:c>
      <x:c r="O123" s="34" t="n">
        <x:f>G123*K123</x:f>
        <x:v>551.5885358809153</x:v>
      </x:c>
      <x:c r="P123" s="34" t="n">
        <x:f>G123*L123</x:f>
        <x:v>248.46330445086278</x:v>
      </x:c>
      <x:c r="Q123" s="34" t="n">
        <x:f>SUM(N123:P123)</x:f>
        <x:v>4278.538102643857</x:v>
      </x:c>
      <x:c r="R123" s="22" t="str">
        <x:f>IF(M123&gt;0,"복원","미복원")</x:f>
        <x:v>복원</x:v>
      </x:c>
      <x:c r="S123" s="37" t="n">
        <x:v>201</x:v>
      </x:c>
      <x:c r="T1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3" s="22" t="str">
        <x:f>A123&amp;"|"&amp;B123</x:f>
        <x:v>병원|C-010106</x:v>
      </x:c>
      <x:c r="V123" s="22" t="n">
        <x:f>IF(M123&gt;0,1,0)</x:f>
        <x:v>1</x:v>
      </x:c>
    </x:row>
    <x:row r="124" ht="28" customHeight="1">
      <x:c r="A124" s="22" t="str">
        <x:v>병원</x:v>
      </x:c>
      <x:c r="B124" s="31" t="str">
        <x:f>"C-010106"</x:f>
        <x:v>C-010106</x:v>
      </x:c>
      <x:c r="C124" s="25" t="str">
        <x:v>010106  FINISH WORKS</x:v>
      </x:c>
      <x:c r="D124" s="25" t="str">
        <x:v>PANEL OPEN,G</x:v>
      </x:c>
      <x:c r="E124" s="25" t="str">
        <x:v>Outlet[E/L,GAS,ETC]</x:v>
      </x:c>
      <x:c r="F124" s="22" t="str">
        <x:v>EA</x:v>
      </x:c>
      <x:c r="G124" s="28" t="n">
        <x:v>50</x:v>
      </x:c>
      <x:c r="H124" s="25" t="str">
        <x:v>4530234CF57486DF6239DCFA5E8</x:v>
      </x:c>
      <x:c r="I124" s="22" t="str">
        <x:v>직접자원단가</x:v>
      </x:c>
      <x:c r="J124" s="34" t="n">
        <x:v>16.29267570169592</x:v>
      </x:c>
      <x:c r="K124" s="34" t="n">
        <x:v>6.02829000962749</x:v>
      </x:c>
      <x:c r="L124" s="34" t="n">
        <x:v>1.6292675701695922</x:v>
      </x:c>
      <x:c r="M124" s="34" t="n">
        <x:f>SUM(J124:L124)</x:f>
        <x:v>23.950233281493002</x:v>
      </x:c>
      <x:c r="N124" s="34" t="n">
        <x:f>G124*J124</x:f>
        <x:v>814.633785084796</x:v>
      </x:c>
      <x:c r="O124" s="34" t="n">
        <x:f>G124*K124</x:f>
        <x:v>301.4145004813745</x:v>
      </x:c>
      <x:c r="P124" s="34" t="n">
        <x:f>G124*L124</x:f>
        <x:v>81.46337850847961</x:v>
      </x:c>
      <x:c r="Q124" s="34" t="n">
        <x:f>SUM(N124:P124)</x:f>
        <x:v>1197.51166407465</x:v>
      </x:c>
      <x:c r="R124" s="22" t="str">
        <x:f>IF(M124&gt;0,"복원","미복원")</x:f>
        <x:v>복원</x:v>
      </x:c>
      <x:c r="S124" s="37" t="n">
        <x:v>202</x:v>
      </x:c>
      <x:c r="T1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4" s="22" t="str">
        <x:f>A124&amp;"|"&amp;B124</x:f>
        <x:v>병원|C-010106</x:v>
      </x:c>
      <x:c r="V124" s="22" t="n">
        <x:f>IF(M124&gt;0,1,0)</x:f>
        <x:v>1</x:v>
      </x:c>
    </x:row>
    <x:row r="125" ht="28" customHeight="1">
      <x:c r="A125" s="22" t="str">
        <x:v>병원</x:v>
      </x:c>
      <x:c r="B125" s="31" t="str">
        <x:f>"C-010106"</x:f>
        <x:v>C-010106</x:v>
      </x:c>
      <x:c r="C125" s="25" t="str">
        <x:v>010106  FINISH WORKS</x:v>
      </x:c>
      <x:c r="D125" s="25" t="str">
        <x:v>Packing Fee</x:v>
      </x:c>
      <x:c r="E125" s="25" t="str"/>
      <x:c r="F125" s="22" t="str">
        <x:v>L/S</x:v>
      </x:c>
      <x:c r="G125" s="28" t="n">
        <x:v>1</x:v>
      </x:c>
      <x:c r="H125" s="25" t="str">
        <x:v>4530234CF57486DF6239DCFA5E9</x:v>
      </x:c>
      <x:c r="I125" s="22" t="str">
        <x:v>직접자원단가</x:v>
      </x:c>
      <x:c r="J125" s="34" t="n">
        <x:v>0</x:v>
      </x:c>
      <x:c r="K125" s="34" t="n">
        <x:v>0</x:v>
      </x:c>
      <x:c r="L125" s="34" t="n">
        <x:v>4073.1689254239805</x:v>
      </x:c>
      <x:c r="M125" s="34" t="n">
        <x:f>SUM(J125:L125)</x:f>
        <x:v>4073.1689254239805</x:v>
      </x:c>
      <x:c r="N125" s="34" t="n">
        <x:f>G125*J125</x:f>
        <x:v>0</x:v>
      </x:c>
      <x:c r="O125" s="34" t="n">
        <x:f>G125*K125</x:f>
        <x:v>0</x:v>
      </x:c>
      <x:c r="P125" s="34" t="n">
        <x:f>G125*L125</x:f>
        <x:v>4073.1689254239805</x:v>
      </x:c>
      <x:c r="Q125" s="34" t="n">
        <x:f>SUM(N125:P125)</x:f>
        <x:v>4073.1689254239805</x:v>
      </x:c>
      <x:c r="R125" s="22" t="str">
        <x:f>IF(M125&gt;0,"복원","미복원")</x:f>
        <x:v>복원</x:v>
      </x:c>
      <x:c r="S125" s="37" t="n">
        <x:v>203</x:v>
      </x:c>
      <x:c r="T1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5" s="22" t="str">
        <x:f>A125&amp;"|"&amp;B125</x:f>
        <x:v>병원|C-010106</x:v>
      </x:c>
      <x:c r="V125" s="22" t="n">
        <x:f>IF(M125&gt;0,1,0)</x:f>
        <x:v>1</x:v>
      </x:c>
    </x:row>
    <x:row r="126" ht="28" customHeight="1">
      <x:c r="A126" s="22" t="str">
        <x:v>병원</x:v>
      </x:c>
      <x:c r="B126" s="31" t="str">
        <x:f>"C-010106"</x:f>
        <x:v>C-010106</x:v>
      </x:c>
      <x:c r="C126" s="25" t="str">
        <x:v>010106  FINISH WORKS</x:v>
      </x:c>
      <x:c r="D126" s="25" t="str">
        <x:v>Wall S.G.P Panel Work</x:v>
      </x:c>
      <x:c r="E126" s="25" t="str">
        <x:v>SGP+Accessories</x:v>
      </x:c>
      <x:c r="F126" s="22" t="str">
        <x:v>M2</x:v>
      </x:c>
      <x:c r="G126" s="28" t="n">
        <x:v>111</x:v>
      </x:c>
      <x:c r="H126" s="25" t="str">
        <x:v>4530234CF57486DF6239DCFA4C2</x:v>
      </x:c>
      <x:c r="I126" s="22" t="str">
        <x:v>직접자원단가</x:v>
      </x:c>
      <x:c r="J126" s="34" t="n">
        <x:v>40.731689254239804</x:v>
      </x:c>
      <x:c r="K126" s="34" t="n">
        <x:v>6.932533511071615</x:v>
      </x:c>
      <x:c r="L126" s="34" t="n">
        <x:v>2.9734133155595055</x:v>
      </x:c>
      <x:c r="M126" s="34" t="n">
        <x:f>SUM(J126:L126)</x:f>
        <x:v>50.63763608087093</x:v>
      </x:c>
      <x:c r="N126" s="34" t="n">
        <x:f>G126*J126</x:f>
        <x:v>4521.217507220618</x:v>
      </x:c>
      <x:c r="O126" s="34" t="n">
        <x:f>G126*K126</x:f>
        <x:v>769.5112197289492</x:v>
      </x:c>
      <x:c r="P126" s="34" t="n">
        <x:f>G126*L126</x:f>
        <x:v>330.0488780271051</x:v>
      </x:c>
      <x:c r="Q126" s="34" t="n">
        <x:f>SUM(N126:P126)</x:f>
        <x:v>5620.777604976673</x:v>
      </x:c>
      <x:c r="R126" s="22" t="str">
        <x:f>IF(M126&gt;0,"복원","미복원")</x:f>
        <x:v>복원</x:v>
      </x:c>
      <x:c r="S126" s="37" t="n">
        <x:v>206</x:v>
      </x:c>
      <x:c r="T1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6" s="22" t="str">
        <x:f>A126&amp;"|"&amp;B126</x:f>
        <x:v>병원|C-010106</x:v>
      </x:c>
      <x:c r="V126" s="22" t="n">
        <x:f>IF(M126&gt;0,1,0)</x:f>
        <x:v>1</x:v>
      </x:c>
    </x:row>
    <x:row r="127" ht="28" customHeight="1">
      <x:c r="A127" s="22" t="str">
        <x:v>병원</x:v>
      </x:c>
      <x:c r="B127" s="31" t="str">
        <x:f>"C-010106"</x:f>
        <x:v>C-010106</x:v>
      </x:c>
      <x:c r="C127" s="25" t="str">
        <x:v>010106  FINISH WORKS</x:v>
      </x:c>
      <x:c r="D127" s="25" t="str">
        <x:v>Wall S.G.P &amp; Frame Work</x:v>
      </x:c>
      <x:c r="E127" s="25" t="str">
        <x:v>SQ-PIPE+Accessories</x:v>
      </x:c>
      <x:c r="F127" s="22" t="str">
        <x:v>M2</x:v>
      </x:c>
      <x:c r="G127" s="28" t="n">
        <x:v>111</x:v>
      </x:c>
      <x:c r="H127" s="25" t="str">
        <x:v>4530234CF57486DF6239DCFA4C1</x:v>
      </x:c>
      <x:c r="I127" s="22" t="str">
        <x:v>직접자원단가</x:v>
      </x:c>
      <x:c r="J127" s="34" t="n">
        <x:v>20.365844627119902</x:v>
      </x:c>
      <x:c r="K127" s="34" t="n">
        <x:v>5.425461008664742</x:v>
      </x:c>
      <x:c r="L127" s="34" t="n">
        <x:v>1.7514626379323115</x:v>
      </x:c>
      <x:c r="M127" s="34" t="n">
        <x:f>SUM(J127:L127)</x:f>
        <x:v>27.54276827371696</x:v>
      </x:c>
      <x:c r="N127" s="34" t="n">
        <x:f>G127*J127</x:f>
        <x:v>2260.608753610309</x:v>
      </x:c>
      <x:c r="O127" s="34" t="n">
        <x:f>G127*K127</x:f>
        <x:v>602.2261719617863</x:v>
      </x:c>
      <x:c r="P127" s="34" t="n">
        <x:f>G127*L127</x:f>
        <x:v>194.41235281048657</x:v>
      </x:c>
      <x:c r="Q127" s="34" t="n">
        <x:f>SUM(N127:P127)</x:f>
        <x:v>3057.247278382582</x:v>
      </x:c>
      <x:c r="R127" s="22" t="str">
        <x:f>IF(M127&gt;0,"복원","미복원")</x:f>
        <x:v>복원</x:v>
      </x:c>
      <x:c r="S127" s="37" t="n">
        <x:v>207</x:v>
      </x:c>
      <x:c r="T1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7" s="22" t="str">
        <x:f>A127&amp;"|"&amp;B127</x:f>
        <x:v>병원|C-010106</x:v>
      </x:c>
      <x:c r="V127" s="22" t="n">
        <x:f>IF(M127&gt;0,1,0)</x:f>
        <x:v>1</x:v>
      </x:c>
    </x:row>
    <x:row r="128" ht="28" customHeight="1">
      <x:c r="A128" s="22" t="str">
        <x:v>병원</x:v>
      </x:c>
      <x:c r="B128" s="31" t="str">
        <x:f>"C-010106"</x:f>
        <x:v>C-010106</x:v>
      </x:c>
      <x:c r="C128" s="25" t="str">
        <x:v>010106  FINISH WORKS</x:v>
      </x:c>
      <x:c r="D128" s="25" t="str">
        <x:v>Ceiling S.G.P Panel Work</x:v>
      </x:c>
      <x:c r="E128" s="25" t="str">
        <x:v>SGP+Accessory</x:v>
      </x:c>
      <x:c r="F128" s="22" t="str">
        <x:v>M2</x:v>
      </x:c>
      <x:c r="G128" s="28" t="n">
        <x:v>69</x:v>
      </x:c>
      <x:c r="H128" s="25" t="str">
        <x:v>4530234CF57486DF6239DCFA4C0</x:v>
      </x:c>
      <x:c r="I128" s="22" t="str">
        <x:v>직접자원단가</x:v>
      </x:c>
      <x:c r="J128" s="34" t="n">
        <x:v>40.731689254239804</x:v>
      </x:c>
      <x:c r="K128" s="34" t="n">
        <x:v>8.439606013478487</x:v>
      </x:c>
      <x:c r="L128" s="34" t="n">
        <x:v>3.1770717618307045</x:v>
      </x:c>
      <x:c r="M128" s="34" t="n">
        <x:f>SUM(J128:L128)</x:f>
        <x:v>52.348367029548996</x:v>
      </x:c>
      <x:c r="N128" s="34" t="n">
        <x:f>G128*J128</x:f>
        <x:v>2810.4865585425464</x:v>
      </x:c>
      <x:c r="O128" s="34" t="n">
        <x:f>G128*K128</x:f>
        <x:v>582.3328149300156</x:v>
      </x:c>
      <x:c r="P128" s="34" t="n">
        <x:f>G128*L128</x:f>
        <x:v>219.21795156631862</x:v>
      </x:c>
      <x:c r="Q128" s="34" t="n">
        <x:f>SUM(N128:P128)</x:f>
        <x:v>3612.0373250388807</x:v>
      </x:c>
      <x:c r="R128" s="22" t="str">
        <x:f>IF(M128&gt;0,"복원","미복원")</x:f>
        <x:v>복원</x:v>
      </x:c>
      <x:c r="S128" s="37" t="n">
        <x:v>208</x:v>
      </x:c>
      <x:c r="T1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8" s="22" t="str">
        <x:f>A128&amp;"|"&amp;B128</x:f>
        <x:v>병원|C-010106</x:v>
      </x:c>
      <x:c r="V128" s="22" t="n">
        <x:f>IF(M128&gt;0,1,0)</x:f>
        <x:v>1</x:v>
      </x:c>
    </x:row>
    <x:row r="129" ht="28" customHeight="1">
      <x:c r="A129" s="22" t="str">
        <x:v>병원</x:v>
      </x:c>
      <x:c r="B129" s="31" t="str">
        <x:f>"C-010106"</x:f>
        <x:v>C-010106</x:v>
      </x:c>
      <x:c r="C129" s="25" t="str">
        <x:v>010106  FINISH WORKS</x:v>
      </x:c>
      <x:c r="D129" s="25" t="str">
        <x:v>Ceiling S.G.P &amp; Frame Work</x:v>
      </x:c>
      <x:c r="E129" s="25" t="str">
        <x:v>SQ-PIPE+Accessory</x:v>
      </x:c>
      <x:c r="F129" s="22" t="str">
        <x:v>M2</x:v>
      </x:c>
      <x:c r="G129" s="28" t="n">
        <x:v>69</x:v>
      </x:c>
      <x:c r="H129" s="25" t="str">
        <x:v>4530234CF57486DF6239DCFA4C7</x:v>
      </x:c>
      <x:c r="I129" s="22" t="str">
        <x:v>직접자원단가</x:v>
      </x:c>
      <x:c r="J129" s="34" t="n">
        <x:v>24.43901355254388</x:v>
      </x:c>
      <x:c r="K129" s="34" t="n">
        <x:v>5.726875509146116</x:v>
      </x:c>
      <x:c r="L129" s="34" t="n">
        <x:v>1.9958527734577503</x:v>
      </x:c>
      <x:c r="M129" s="34" t="n">
        <x:f>SUM(J129:L129)</x:f>
        <x:v>32.161741835147744</x:v>
      </x:c>
      <x:c r="N129" s="34" t="n">
        <x:f>G129*J129</x:f>
        <x:v>1686.2919351255277</x:v>
      </x:c>
      <x:c r="O129" s="34" t="n">
        <x:f>G129*K129</x:f>
        <x:v>395.154410131082</x:v>
      </x:c>
      <x:c r="P129" s="34" t="n">
        <x:f>G129*L129</x:f>
        <x:v>137.71384136858478</x:v>
      </x:c>
      <x:c r="Q129" s="34" t="n">
        <x:f>SUM(N129:P129)</x:f>
        <x:v>2219.1601866251945</x:v>
      </x:c>
      <x:c r="R129" s="22" t="str">
        <x:f>IF(M129&gt;0,"복원","미복원")</x:f>
        <x:v>복원</x:v>
      </x:c>
      <x:c r="S129" s="37" t="n">
        <x:v>209</x:v>
      </x:c>
      <x:c r="T1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29" s="22" t="str">
        <x:f>A129&amp;"|"&amp;B129</x:f>
        <x:v>병원|C-010106</x:v>
      </x:c>
      <x:c r="V129" s="22" t="n">
        <x:f>IF(M129&gt;0,1,0)</x:f>
        <x:v>1</x:v>
      </x:c>
    </x:row>
    <x:row r="130" ht="28" customHeight="1">
      <x:c r="A130" s="22" t="str">
        <x:v>병원</x:v>
      </x:c>
      <x:c r="B130" s="31" t="str">
        <x:f>"C-010106"</x:f>
        <x:v>C-010106</x:v>
      </x:c>
      <x:c r="C130" s="25" t="str">
        <x:v>010106  FINISH WORKS</x:v>
      </x:c>
      <x:c r="D130" s="25" t="str">
        <x:v>Checking Door(SGP~C/E)</x:v>
      </x:c>
      <x:c r="E130" s="25" t="str"/>
      <x:c r="F130" s="22" t="str">
        <x:v>EA</x:v>
      </x:c>
      <x:c r="G130" s="28" t="n">
        <x:v>1</x:v>
      </x:c>
      <x:c r="H130" s="25" t="str">
        <x:v>4530234CF57486DF6239DCFA4C6</x:v>
      </x:c>
      <x:c r="I130" s="22" t="str">
        <x:v>직접자원단가</x:v>
      </x:c>
      <x:c r="J130" s="34" t="n">
        <x:v>122.1950677627194</x:v>
      </x:c>
      <x:c r="K130" s="34" t="n">
        <x:v>15.070725024068727</x:v>
      </x:c>
      <x:c r="L130" s="34" t="n">
        <x:v>8.14633785084796</x:v>
      </x:c>
      <x:c r="M130" s="34" t="n">
        <x:f>SUM(J130:L130)</x:f>
        <x:v>145.4121306376361</x:v>
      </x:c>
      <x:c r="N130" s="34" t="n">
        <x:f>G130*J130</x:f>
        <x:v>122.1950677627194</x:v>
      </x:c>
      <x:c r="O130" s="34" t="n">
        <x:f>G130*K130</x:f>
        <x:v>15.070725024068727</x:v>
      </x:c>
      <x:c r="P130" s="34" t="n">
        <x:f>G130*L130</x:f>
        <x:v>8.14633785084796</x:v>
      </x:c>
      <x:c r="Q130" s="34" t="n">
        <x:f>SUM(N130:P130)</x:f>
        <x:v>145.4121306376361</x:v>
      </x:c>
      <x:c r="R130" s="22" t="str">
        <x:f>IF(M130&gt;0,"복원","미복원")</x:f>
        <x:v>복원</x:v>
      </x:c>
      <x:c r="S130" s="37" t="n">
        <x:v>210</x:v>
      </x:c>
      <x:c r="T1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0" s="22" t="str">
        <x:f>A130&amp;"|"&amp;B130</x:f>
        <x:v>병원|C-010106</x:v>
      </x:c>
      <x:c r="V130" s="22" t="n">
        <x:f>IF(M130&gt;0,1,0)</x:f>
        <x:v>1</x:v>
      </x:c>
    </x:row>
    <x:row r="131" ht="28" customHeight="1">
      <x:c r="A131" s="22" t="str">
        <x:v>병원</x:v>
      </x:c>
      <x:c r="B131" s="31" t="str">
        <x:f>"C-010106"</x:f>
        <x:v>C-010106</x:v>
      </x:c>
      <x:c r="C131" s="25" t="str">
        <x:v>010106  FINISH WORKS</x:v>
      </x:c>
      <x:c r="D131" s="25" t="str">
        <x:v>Panel Caulking</x:v>
      </x:c>
      <x:c r="E131" s="25" t="str"/>
      <x:c r="F131" s="22" t="str">
        <x:v>R/M</x:v>
      </x:c>
      <x:c r="G131" s="28" t="n">
        <x:v>1</x:v>
      </x:c>
      <x:c r="H131" s="25" t="str">
        <x:v>4530234CF57486DF6239DCFA4C5</x:v>
      </x:c>
      <x:c r="I131" s="22" t="str">
        <x:v>직접자원단가</x:v>
      </x:c>
      <x:c r="J131" s="34" t="n">
        <x:v>407.316892542398</x:v>
      </x:c>
      <x:c r="K131" s="34" t="n">
        <x:v>301.41450048137455</x:v>
      </x:c>
      <x:c r="L131" s="34" t="n">
        <x:v>61.0975338813597</x:v>
      </x:c>
      <x:c r="M131" s="34" t="n">
        <x:f>SUM(J131:L131)</x:f>
        <x:v>769.8289269051323</x:v>
      </x:c>
      <x:c r="N131" s="34" t="n">
        <x:f>G131*J131</x:f>
        <x:v>407.316892542398</x:v>
      </x:c>
      <x:c r="O131" s="34" t="n">
        <x:f>G131*K131</x:f>
        <x:v>301.41450048137455</x:v>
      </x:c>
      <x:c r="P131" s="34" t="n">
        <x:f>G131*L131</x:f>
        <x:v>61.0975338813597</x:v>
      </x:c>
      <x:c r="Q131" s="34" t="n">
        <x:f>SUM(N131:P131)</x:f>
        <x:v>769.8289269051323</x:v>
      </x:c>
      <x:c r="R131" s="22" t="str">
        <x:f>IF(M131&gt;0,"복원","미복원")</x:f>
        <x:v>복원</x:v>
      </x:c>
      <x:c r="S131" s="37" t="n">
        <x:v>211</x:v>
      </x:c>
      <x:c r="T1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1" s="22" t="str">
        <x:f>A131&amp;"|"&amp;B131</x:f>
        <x:v>병원|C-010106</x:v>
      </x:c>
      <x:c r="V131" s="22" t="n">
        <x:f>IF(M131&gt;0,1,0)</x:f>
        <x:v>1</x:v>
      </x:c>
    </x:row>
    <x:row r="132" ht="28" customHeight="1">
      <x:c r="A132" s="22" t="str">
        <x:v>병원</x:v>
      </x:c>
      <x:c r="B132" s="31" t="str">
        <x:f>"C-010106"</x:f>
        <x:v>C-010106</x:v>
      </x:c>
      <x:c r="C132" s="25" t="str">
        <x:v>010106  FINISH WORKS</x:v>
      </x:c>
      <x:c r="D132" s="25" t="str">
        <x:v>Semi-Automatic Pocket Sliding Door</x:v>
      </x:c>
      <x:c r="E132" s="25" t="str"/>
      <x:c r="F132" s="22" t="str">
        <x:v>SET</x:v>
      </x:c>
      <x:c r="G132" s="28" t="n">
        <x:v>1</x:v>
      </x:c>
      <x:c r="H132" s="25" t="str">
        <x:v>4530234CF57486DF6239DCFA4C4</x:v>
      </x:c>
      <x:c r="I132" s="22" t="str">
        <x:v>직접자원단가</x:v>
      </x:c>
      <x:c r="J132" s="34" t="n">
        <x:v>4887.802710508777</x:v>
      </x:c>
      <x:c r="K132" s="34" t="n">
        <x:v>602.8290009627491</x:v>
      </x:c>
      <x:c r="L132" s="34" t="n">
        <x:v>325.85351403391843</x:v>
      </x:c>
      <x:c r="M132" s="34" t="n">
        <x:f>SUM(J132:L132)</x:f>
        <x:v>5816.485225505444</x:v>
      </x:c>
      <x:c r="N132" s="34" t="n">
        <x:f>G132*J132</x:f>
        <x:v>4887.802710508777</x:v>
      </x:c>
      <x:c r="O132" s="34" t="n">
        <x:f>G132*K132</x:f>
        <x:v>602.8290009627491</x:v>
      </x:c>
      <x:c r="P132" s="34" t="n">
        <x:f>G132*L132</x:f>
        <x:v>325.85351403391843</x:v>
      </x:c>
      <x:c r="Q132" s="34" t="n">
        <x:f>SUM(N132:P132)</x:f>
        <x:v>5816.485225505444</x:v>
      </x:c>
      <x:c r="R132" s="22" t="str">
        <x:f>IF(M132&gt;0,"복원","미복원")</x:f>
        <x:v>복원</x:v>
      </x:c>
      <x:c r="S132" s="37" t="n">
        <x:v>212</x:v>
      </x:c>
      <x:c r="T1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2" s="22" t="str">
        <x:f>A132&amp;"|"&amp;B132</x:f>
        <x:v>병원|C-010106</x:v>
      </x:c>
      <x:c r="V132" s="22" t="n">
        <x:f>IF(M132&gt;0,1,0)</x:f>
        <x:v>1</x:v>
      </x:c>
    </x:row>
    <x:row r="133" ht="28" customHeight="1">
      <x:c r="A133" s="22" t="str">
        <x:v>병원</x:v>
      </x:c>
      <x:c r="B133" s="31" t="str">
        <x:f>"C-010106"</x:f>
        <x:v>C-010106</x:v>
      </x:c>
      <x:c r="C133" s="25" t="str">
        <x:v>010106  FINISH WORKS</x:v>
      </x:c>
      <x:c r="D133" s="25" t="str">
        <x:v>SGP Door System</x:v>
      </x:c>
      <x:c r="E133" s="25" t="str"/>
      <x:c r="F133" s="22" t="str">
        <x:v>SET</x:v>
      </x:c>
      <x:c r="G133" s="28" t="n">
        <x:v>1</x:v>
      </x:c>
      <x:c r="H133" s="25" t="str">
        <x:v>4530234CF57486DF6239DCFA791</x:v>
      </x:c>
      <x:c r="I133" s="22" t="str">
        <x:v>직접자원단가</x:v>
      </x:c>
      <x:c r="J133" s="34" t="n">
        <x:v>651.7070280678369</x:v>
      </x:c>
      <x:c r="K133" s="34" t="n">
        <x:v>150.70725024068727</x:v>
      </x:c>
      <x:c r="L133" s="34" t="n">
        <x:v>52.951196030511746</x:v>
      </x:c>
      <x:c r="M133" s="34" t="n">
        <x:f>SUM(J133:L133)</x:f>
        <x:v>855.3654743390358</x:v>
      </x:c>
      <x:c r="N133" s="34" t="n">
        <x:f>G133*J133</x:f>
        <x:v>651.7070280678369</x:v>
      </x:c>
      <x:c r="O133" s="34" t="n">
        <x:f>G133*K133</x:f>
        <x:v>150.70725024068727</x:v>
      </x:c>
      <x:c r="P133" s="34" t="n">
        <x:f>G133*L133</x:f>
        <x:v>52.951196030511746</x:v>
      </x:c>
      <x:c r="Q133" s="34" t="n">
        <x:f>SUM(N133:P133)</x:f>
        <x:v>855.3654743390358</x:v>
      </x:c>
      <x:c r="R133" s="22" t="str">
        <x:f>IF(M133&gt;0,"복원","미복원")</x:f>
        <x:v>복원</x:v>
      </x:c>
      <x:c r="S133" s="37" t="n">
        <x:v>213</x:v>
      </x:c>
      <x:c r="T1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3" s="22" t="str">
        <x:f>A133&amp;"|"&amp;B133</x:f>
        <x:v>병원|C-010106</x:v>
      </x:c>
      <x:c r="V133" s="22" t="n">
        <x:f>IF(M133&gt;0,1,0)</x:f>
        <x:v>1</x:v>
      </x:c>
    </x:row>
    <x:row r="134" ht="28" customHeight="1">
      <x:c r="A134" s="22" t="str">
        <x:v>병원</x:v>
      </x:c>
      <x:c r="B134" s="31" t="str">
        <x:f>"C-010106"</x:f>
        <x:v>C-010106</x:v>
      </x:c>
      <x:c r="C134" s="25" t="str">
        <x:v>010106  FINISH WORKS</x:v>
      </x:c>
      <x:c r="D134" s="25" t="str">
        <x:v>Ceiling Light Box</x:v>
      </x:c>
      <x:c r="E134" s="25" t="str">
        <x:v>Operating[OR-1,2~H]</x:v>
      </x:c>
      <x:c r="F134" s="22" t="str">
        <x:v>M</x:v>
      </x:c>
      <x:c r="G134" s="28" t="n">
        <x:v>37</x:v>
      </x:c>
      <x:c r="H134" s="25" t="str">
        <x:v>4530234CF57486DF6239DCFA4CA</x:v>
      </x:c>
      <x:c r="I134" s="22" t="str">
        <x:v>직접자원단가</x:v>
      </x:c>
      <x:c r="J134" s="34" t="n">
        <x:v>162.92675701695921</x:v>
      </x:c>
      <x:c r="K134" s="34" t="n">
        <x:v>15.070725024068727</x:v>
      </x:c>
      <x:c r="L134" s="34" t="n">
        <x:v>10.182922313559951</x:v>
      </x:c>
      <x:c r="M134" s="34" t="n">
        <x:f>SUM(J134:L134)</x:f>
        <x:v>188.1804043545879</x:v>
      </x:c>
      <x:c r="N134" s="34" t="n">
        <x:f>G134*J134</x:f>
        <x:v>6028.290009627491</x:v>
      </x:c>
      <x:c r="O134" s="34" t="n">
        <x:f>G134*K134</x:f>
        <x:v>557.6168258905429</x:v>
      </x:c>
      <x:c r="P134" s="34" t="n">
        <x:f>G134*L134</x:f>
        <x:v>376.76812560171817</x:v>
      </x:c>
      <x:c r="Q134" s="34" t="n">
        <x:f>SUM(N134:P134)</x:f>
        <x:v>6962.674961119752</x:v>
      </x:c>
      <x:c r="R134" s="22" t="str">
        <x:f>IF(M134&gt;0,"복원","미복원")</x:f>
        <x:v>복원</x:v>
      </x:c>
      <x:c r="S134" s="37" t="n">
        <x:v>214</x:v>
      </x:c>
      <x:c r="T1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4" s="22" t="str">
        <x:f>A134&amp;"|"&amp;B134</x:f>
        <x:v>병원|C-010106</x:v>
      </x:c>
      <x:c r="V134" s="22" t="n">
        <x:f>IF(M134&gt;0,1,0)</x:f>
        <x:v>1</x:v>
      </x:c>
    </x:row>
    <x:row r="135" ht="28" customHeight="1">
      <x:c r="A135" s="22" t="str">
        <x:v>병원</x:v>
      </x:c>
      <x:c r="B135" s="31" t="str">
        <x:f>"C-010106"</x:f>
        <x:v>C-010106</x:v>
      </x:c>
      <x:c r="C135" s="25" t="str">
        <x:v>010106  FINISH WORKS</x:v>
      </x:c>
      <x:c r="D135" s="25" t="str">
        <x:v>OR Builtin Furniture</x:v>
      </x:c>
      <x:c r="E135" s="25" t="str">
        <x:v> STS  1,2W x 0.5D x 1,8H</x:v>
      </x:c>
      <x:c r="F135" s="22" t="str">
        <x:v>SET</x:v>
      </x:c>
      <x:c r="G135" s="28" t="n">
        <x:v>8</x:v>
      </x:c>
      <x:c r="H135" s="25" t="str">
        <x:v>4530234CF57486DF6239DCFA5EA</x:v>
      </x:c>
      <x:c r="I135" s="22" t="str">
        <x:v>직접자원단가</x:v>
      </x:c>
      <x:c r="J135" s="34" t="n">
        <x:v>3665.852032881582</x:v>
      </x:c>
      <x:c r="K135" s="34" t="n">
        <x:v>452.12175072206185</x:v>
      </x:c>
      <x:c r="L135" s="34" t="n">
        <x:v>244.3901355254388</x:v>
      </x:c>
      <x:c r="M135" s="34" t="n">
        <x:f>SUM(J135:L135)</x:f>
        <x:v>4362.363919129082</x:v>
      </x:c>
      <x:c r="N135" s="34" t="n">
        <x:f>G135*J135</x:f>
        <x:v>29326.816263052657</x:v>
      </x:c>
      <x:c r="O135" s="34" t="n">
        <x:f>G135*K135</x:f>
        <x:v>3616.974005776495</x:v>
      </x:c>
      <x:c r="P135" s="34" t="n">
        <x:f>G135*L135</x:f>
        <x:v>1955.1210842035105</x:v>
      </x:c>
      <x:c r="Q135" s="34" t="n">
        <x:f>SUM(N135:P135)</x:f>
        <x:v>34898.91135303266</x:v>
      </x:c>
      <x:c r="R135" s="22" t="str">
        <x:f>IF(M135&gt;0,"복원","미복원")</x:f>
        <x:v>복원</x:v>
      </x:c>
      <x:c r="S135" s="37" t="n">
        <x:v>215</x:v>
      </x:c>
      <x:c r="T1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5" s="22" t="str">
        <x:f>A135&amp;"|"&amp;B135</x:f>
        <x:v>병원|C-010106</x:v>
      </x:c>
      <x:c r="V135" s="22" t="n">
        <x:f>IF(M135&gt;0,1,0)</x:f>
        <x:v>1</x:v>
      </x:c>
    </x:row>
    <x:row r="136" ht="28" customHeight="1">
      <x:c r="A136" s="22" t="str">
        <x:v>병원</x:v>
      </x:c>
      <x:c r="B136" s="31" t="str">
        <x:f>"C-010106"</x:f>
        <x:v>C-010106</x:v>
      </x:c>
      <x:c r="C136" s="25" t="str">
        <x:v>010106  FINISH WORKS</x:v>
      </x:c>
      <x:c r="D136" s="25" t="str">
        <x:v>Floor Conductive Sheet</x:v>
      </x:c>
      <x:c r="E136" s="25" t="str">
        <x:v>600*600*3T</x:v>
      </x:c>
      <x:c r="F136" s="22" t="str">
        <x:v>M2</x:v>
      </x:c>
      <x:c r="G136" s="28" t="n">
        <x:v>69</x:v>
      </x:c>
      <x:c r="H136" s="25" t="str">
        <x:v>4530234CF57486DF6239DCFA5EB</x:v>
      </x:c>
      <x:c r="I136" s="22" t="str">
        <x:v>직접자원단가</x:v>
      </x:c>
      <x:c r="J136" s="34" t="n">
        <x:v>57.02436495593573</x:v>
      </x:c>
      <x:c r="K136" s="34" t="n">
        <x:v>9.042435014441235</x:v>
      </x:c>
      <x:c r="L136" s="34" t="n">
        <x:v>4.07316892542398</x:v>
      </x:c>
      <x:c r="M136" s="34" t="n">
        <x:f>SUM(J136:L136)</x:f>
        <x:v>70.13996889580095</x:v>
      </x:c>
      <x:c r="N136" s="34" t="n">
        <x:f>G136*J136</x:f>
        <x:v>3934.6811819595655</x:v>
      </x:c>
      <x:c r="O136" s="34" t="n">
        <x:f>G136*K136</x:f>
        <x:v>623.9280159964452</x:v>
      </x:c>
      <x:c r="P136" s="34" t="n">
        <x:f>G136*L136</x:f>
        <x:v>281.0486558542546</x:v>
      </x:c>
      <x:c r="Q136" s="34" t="n">
        <x:f>SUM(N136:P136)</x:f>
        <x:v>4839.657853810265</x:v>
      </x:c>
      <x:c r="R136" s="22" t="str">
        <x:f>IF(M136&gt;0,"복원","미복원")</x:f>
        <x:v>복원</x:v>
      </x:c>
      <x:c r="S136" s="37" t="n">
        <x:v>216</x:v>
      </x:c>
      <x:c r="T1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6" s="22" t="str">
        <x:f>A136&amp;"|"&amp;B136</x:f>
        <x:v>병원|C-010106</x:v>
      </x:c>
      <x:c r="V136" s="22" t="n">
        <x:f>IF(M136&gt;0,1,0)</x:f>
        <x:v>1</x:v>
      </x:c>
    </x:row>
    <x:row r="137" ht="28" customHeight="1">
      <x:c r="A137" s="22" t="str">
        <x:v>병원</x:v>
      </x:c>
      <x:c r="B137" s="31" t="str">
        <x:f>"C-010106"</x:f>
        <x:v>C-010106</x:v>
      </x:c>
      <x:c r="C137" s="25" t="str">
        <x:v>010106  FINISH WORKS</x:v>
      </x:c>
      <x:c r="D137" s="25" t="str">
        <x:v>PANEL OPEN,G</x:v>
      </x:c>
      <x:c r="E137" s="25" t="str">
        <x:v>Outlet[E/L,GAS,ETC]</x:v>
      </x:c>
      <x:c r="F137" s="22" t="str">
        <x:v>EA</x:v>
      </x:c>
      <x:c r="G137" s="28" t="n">
        <x:v>50</x:v>
      </x:c>
      <x:c r="H137" s="25" t="str">
        <x:v>4530234CF57486DF6239DCFA5E8</x:v>
      </x:c>
      <x:c r="I137" s="22" t="str">
        <x:v>직접자원단가</x:v>
      </x:c>
      <x:c r="J137" s="34" t="n">
        <x:v>16.29267570169592</x:v>
      </x:c>
      <x:c r="K137" s="34" t="n">
        <x:v>6.02829000962749</x:v>
      </x:c>
      <x:c r="L137" s="34" t="n">
        <x:v>1.6292675701695922</x:v>
      </x:c>
      <x:c r="M137" s="34" t="n">
        <x:f>SUM(J137:L137)</x:f>
        <x:v>23.950233281493002</x:v>
      </x:c>
      <x:c r="N137" s="34" t="n">
        <x:f>G137*J137</x:f>
        <x:v>814.633785084796</x:v>
      </x:c>
      <x:c r="O137" s="34" t="n">
        <x:f>G137*K137</x:f>
        <x:v>301.4145004813745</x:v>
      </x:c>
      <x:c r="P137" s="34" t="n">
        <x:f>G137*L137</x:f>
        <x:v>81.46337850847961</x:v>
      </x:c>
      <x:c r="Q137" s="34" t="n">
        <x:f>SUM(N137:P137)</x:f>
        <x:v>1197.51166407465</x:v>
      </x:c>
      <x:c r="R137" s="22" t="str">
        <x:f>IF(M137&gt;0,"복원","미복원")</x:f>
        <x:v>복원</x:v>
      </x:c>
      <x:c r="S137" s="37" t="n">
        <x:v>217</x:v>
      </x:c>
      <x:c r="T1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7" s="22" t="str">
        <x:f>A137&amp;"|"&amp;B137</x:f>
        <x:v>병원|C-010106</x:v>
      </x:c>
      <x:c r="V137" s="22" t="n">
        <x:f>IF(M137&gt;0,1,0)</x:f>
        <x:v>1</x:v>
      </x:c>
    </x:row>
    <x:row r="138" ht="28" customHeight="1">
      <x:c r="A138" s="22" t="str">
        <x:v>병원</x:v>
      </x:c>
      <x:c r="B138" s="31" t="str">
        <x:f>"C-010106"</x:f>
        <x:v>C-010106</x:v>
      </x:c>
      <x:c r="C138" s="25" t="str">
        <x:v>010106  FINISH WORKS</x:v>
      </x:c>
      <x:c r="D138" s="25" t="str">
        <x:v>Packing Fee</x:v>
      </x:c>
      <x:c r="E138" s="25" t="str"/>
      <x:c r="F138" s="22" t="str">
        <x:v>L/S</x:v>
      </x:c>
      <x:c r="G138" s="28" t="n">
        <x:v>1</x:v>
      </x:c>
      <x:c r="H138" s="25" t="str">
        <x:v>4530234CF57486DF6239DCFA5E9</x:v>
      </x:c>
      <x:c r="I138" s="22" t="str">
        <x:v>직접자원단가</x:v>
      </x:c>
      <x:c r="J138" s="34" t="n">
        <x:v>0</x:v>
      </x:c>
      <x:c r="K138" s="34" t="n">
        <x:v>0</x:v>
      </x:c>
      <x:c r="L138" s="34" t="n">
        <x:v>4073.1689254239805</x:v>
      </x:c>
      <x:c r="M138" s="34" t="n">
        <x:f>SUM(J138:L138)</x:f>
        <x:v>4073.1689254239805</x:v>
      </x:c>
      <x:c r="N138" s="34" t="n">
        <x:f>G138*J138</x:f>
        <x:v>0</x:v>
      </x:c>
      <x:c r="O138" s="34" t="n">
        <x:f>G138*K138</x:f>
        <x:v>0</x:v>
      </x:c>
      <x:c r="P138" s="34" t="n">
        <x:f>G138*L138</x:f>
        <x:v>4073.1689254239805</x:v>
      </x:c>
      <x:c r="Q138" s="34" t="n">
        <x:f>SUM(N138:P138)</x:f>
        <x:v>4073.1689254239805</x:v>
      </x:c>
      <x:c r="R138" s="22" t="str">
        <x:f>IF(M138&gt;0,"복원","미복원")</x:f>
        <x:v>복원</x:v>
      </x:c>
      <x:c r="S138" s="37" t="n">
        <x:v>218</x:v>
      </x:c>
      <x:c r="T1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8" s="22" t="str">
        <x:f>A138&amp;"|"&amp;B138</x:f>
        <x:v>병원|C-010106</x:v>
      </x:c>
      <x:c r="V138" s="22" t="n">
        <x:f>IF(M138&gt;0,1,0)</x:f>
        <x:v>1</x:v>
      </x:c>
    </x:row>
    <x:row r="139" ht="28" customHeight="1">
      <x:c r="A139" s="22" t="str">
        <x:v>병원</x:v>
      </x:c>
      <x:c r="B139" s="31" t="str">
        <x:f>"C-010106"</x:f>
        <x:v>C-010106</x:v>
      </x:c>
      <x:c r="C139" s="25" t="str">
        <x:v>010106  FINISH WORKS</x:v>
      </x:c>
      <x:c r="D139" s="25" t="str">
        <x:v>Wall S.G.P Panel Work</x:v>
      </x:c>
      <x:c r="E139" s="25" t="str">
        <x:v>SGP+Accessories</x:v>
      </x:c>
      <x:c r="F139" s="22" t="str">
        <x:v>M2</x:v>
      </x:c>
      <x:c r="G139" s="28" t="n">
        <x:v>114</x:v>
      </x:c>
      <x:c r="H139" s="25" t="str">
        <x:v>4530234CF57486DF6239DCFA4C2</x:v>
      </x:c>
      <x:c r="I139" s="22" t="str">
        <x:v>직접자원단가</x:v>
      </x:c>
      <x:c r="J139" s="34" t="n">
        <x:v>40.731689254239804</x:v>
      </x:c>
      <x:c r="K139" s="34" t="n">
        <x:v>6.932533511071615</x:v>
      </x:c>
      <x:c r="L139" s="34" t="n">
        <x:v>2.9734133155595055</x:v>
      </x:c>
      <x:c r="M139" s="34" t="n">
        <x:f>SUM(J139:L139)</x:f>
        <x:v>50.63763608087093</x:v>
      </x:c>
      <x:c r="N139" s="34" t="n">
        <x:f>G139*J139</x:f>
        <x:v>4643.412574983337</x:v>
      </x:c>
      <x:c r="O139" s="34" t="n">
        <x:f>G139*K139</x:f>
        <x:v>790.3088202621641</x:v>
      </x:c>
      <x:c r="P139" s="34" t="n">
        <x:f>G139*L139</x:f>
        <x:v>338.9691179737836</x:v>
      </x:c>
      <x:c r="Q139" s="34" t="n">
        <x:f>SUM(N139:P139)</x:f>
        <x:v>5772.690513219285</x:v>
      </x:c>
      <x:c r="R139" s="22" t="str">
        <x:f>IF(M139&gt;0,"복원","미복원")</x:f>
        <x:v>복원</x:v>
      </x:c>
      <x:c r="S139" s="37" t="n">
        <x:v>221</x:v>
      </x:c>
      <x:c r="T1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39" s="22" t="str">
        <x:f>A139&amp;"|"&amp;B139</x:f>
        <x:v>병원|C-010106</x:v>
      </x:c>
      <x:c r="V139" s="22" t="n">
        <x:f>IF(M139&gt;0,1,0)</x:f>
        <x:v>1</x:v>
      </x:c>
    </x:row>
    <x:row r="140" ht="28" customHeight="1">
      <x:c r="A140" s="22" t="str">
        <x:v>병원</x:v>
      </x:c>
      <x:c r="B140" s="31" t="str">
        <x:f>"C-010106"</x:f>
        <x:v>C-010106</x:v>
      </x:c>
      <x:c r="C140" s="25" t="str">
        <x:v>010106  FINISH WORKS</x:v>
      </x:c>
      <x:c r="D140" s="25" t="str">
        <x:v>Wall S.G.P &amp; Frame Work</x:v>
      </x:c>
      <x:c r="E140" s="25" t="str">
        <x:v>SQ-PIPE+Accessories</x:v>
      </x:c>
      <x:c r="F140" s="22" t="str">
        <x:v>M2</x:v>
      </x:c>
      <x:c r="G140" s="28" t="n">
        <x:v>114</x:v>
      </x:c>
      <x:c r="H140" s="25" t="str">
        <x:v>4530234CF57486DF6239DCFA4C1</x:v>
      </x:c>
      <x:c r="I140" s="22" t="str">
        <x:v>직접자원단가</x:v>
      </x:c>
      <x:c r="J140" s="34" t="n">
        <x:v>20.365844627119902</x:v>
      </x:c>
      <x:c r="K140" s="34" t="n">
        <x:v>5.425461008664742</x:v>
      </x:c>
      <x:c r="L140" s="34" t="n">
        <x:v>1.7514626379323115</x:v>
      </x:c>
      <x:c r="M140" s="34" t="n">
        <x:f>SUM(J140:L140)</x:f>
        <x:v>27.54276827371696</x:v>
      </x:c>
      <x:c r="N140" s="34" t="n">
        <x:f>G140*J140</x:f>
        <x:v>2321.7062874916687</x:v>
      </x:c>
      <x:c r="O140" s="34" t="n">
        <x:f>G140*K140</x:f>
        <x:v>618.5025549877806</x:v>
      </x:c>
      <x:c r="P140" s="34" t="n">
        <x:f>G140*L140</x:f>
        <x:v>199.6667407242835</x:v>
      </x:c>
      <x:c r="Q140" s="34" t="n">
        <x:f>SUM(N140:P140)</x:f>
        <x:v>3139.8755832037327</x:v>
      </x:c>
      <x:c r="R140" s="22" t="str">
        <x:f>IF(M140&gt;0,"복원","미복원")</x:f>
        <x:v>복원</x:v>
      </x:c>
      <x:c r="S140" s="37" t="n">
        <x:v>222</x:v>
      </x:c>
      <x:c r="T1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0" s="22" t="str">
        <x:f>A140&amp;"|"&amp;B140</x:f>
        <x:v>병원|C-010106</x:v>
      </x:c>
      <x:c r="V140" s="22" t="n">
        <x:f>IF(M140&gt;0,1,0)</x:f>
        <x:v>1</x:v>
      </x:c>
    </x:row>
    <x:row r="141" ht="28" customHeight="1">
      <x:c r="A141" s="22" t="str">
        <x:v>병원</x:v>
      </x:c>
      <x:c r="B141" s="31" t="str">
        <x:f>"C-010106"</x:f>
        <x:v>C-010106</x:v>
      </x:c>
      <x:c r="C141" s="25" t="str">
        <x:v>010106  FINISH WORKS</x:v>
      </x:c>
      <x:c r="D141" s="25" t="str">
        <x:v>Ceiling S.G.P Panel Work</x:v>
      </x:c>
      <x:c r="E141" s="25" t="str">
        <x:v>SGP+Accessory</x:v>
      </x:c>
      <x:c r="F141" s="22" t="str">
        <x:v>M2</x:v>
      </x:c>
      <x:c r="G141" s="28" t="n">
        <x:v>75</x:v>
      </x:c>
      <x:c r="H141" s="25" t="str">
        <x:v>4530234CF57486DF6239DCFA4C0</x:v>
      </x:c>
      <x:c r="I141" s="22" t="str">
        <x:v>직접자원단가</x:v>
      </x:c>
      <x:c r="J141" s="34" t="n">
        <x:v>40.731689254239804</x:v>
      </x:c>
      <x:c r="K141" s="34" t="n">
        <x:v>8.439606013478487</x:v>
      </x:c>
      <x:c r="L141" s="34" t="n">
        <x:v>3.1770717618307045</x:v>
      </x:c>
      <x:c r="M141" s="34" t="n">
        <x:f>SUM(J141:L141)</x:f>
        <x:v>52.348367029548996</x:v>
      </x:c>
      <x:c r="N141" s="34" t="n">
        <x:f>G141*J141</x:f>
        <x:v>3054.876694067985</x:v>
      </x:c>
      <x:c r="O141" s="34" t="n">
        <x:f>G141*K141</x:f>
        <x:v>632.9704510108866</x:v>
      </x:c>
      <x:c r="P141" s="34" t="n">
        <x:f>G141*L141</x:f>
        <x:v>238.28038213730284</x:v>
      </x:c>
      <x:c r="Q141" s="34" t="n">
        <x:f>SUM(N141:P141)</x:f>
        <x:v>3926.1275272161747</x:v>
      </x:c>
      <x:c r="R141" s="22" t="str">
        <x:f>IF(M141&gt;0,"복원","미복원")</x:f>
        <x:v>복원</x:v>
      </x:c>
      <x:c r="S141" s="37" t="n">
        <x:v>223</x:v>
      </x:c>
      <x:c r="T1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1" s="22" t="str">
        <x:f>A141&amp;"|"&amp;B141</x:f>
        <x:v>병원|C-010106</x:v>
      </x:c>
      <x:c r="V141" s="22" t="n">
        <x:f>IF(M141&gt;0,1,0)</x:f>
        <x:v>1</x:v>
      </x:c>
    </x:row>
    <x:row r="142" ht="28" customHeight="1">
      <x:c r="A142" s="22" t="str">
        <x:v>병원</x:v>
      </x:c>
      <x:c r="B142" s="31" t="str">
        <x:f>"C-010106"</x:f>
        <x:v>C-010106</x:v>
      </x:c>
      <x:c r="C142" s="25" t="str">
        <x:v>010106  FINISH WORKS</x:v>
      </x:c>
      <x:c r="D142" s="25" t="str">
        <x:v>Ceiling S.G.P &amp; Frame Work</x:v>
      </x:c>
      <x:c r="E142" s="25" t="str">
        <x:v>SQ-PIPE+Accessory</x:v>
      </x:c>
      <x:c r="F142" s="22" t="str">
        <x:v>M2</x:v>
      </x:c>
      <x:c r="G142" s="28" t="n">
        <x:v>75</x:v>
      </x:c>
      <x:c r="H142" s="25" t="str">
        <x:v>4530234CF57486DF6239DCFA4C7</x:v>
      </x:c>
      <x:c r="I142" s="22" t="str">
        <x:v>직접자원단가</x:v>
      </x:c>
      <x:c r="J142" s="34" t="n">
        <x:v>24.43901355254388</x:v>
      </x:c>
      <x:c r="K142" s="34" t="n">
        <x:v>5.726875509146116</x:v>
      </x:c>
      <x:c r="L142" s="34" t="n">
        <x:v>1.9958527734577503</x:v>
      </x:c>
      <x:c r="M142" s="34" t="n">
        <x:f>SUM(J142:L142)</x:f>
        <x:v>32.161741835147744</x:v>
      </x:c>
      <x:c r="N142" s="34" t="n">
        <x:f>G142*J142</x:f>
        <x:v>1832.926016440791</x:v>
      </x:c>
      <x:c r="O142" s="34" t="n">
        <x:f>G142*K142</x:f>
        <x:v>429.5156631859587</x:v>
      </x:c>
      <x:c r="P142" s="34" t="n">
        <x:f>G142*L142</x:f>
        <x:v>149.68895800933126</x:v>
      </x:c>
      <x:c r="Q142" s="34" t="n">
        <x:f>SUM(N142:P142)</x:f>
        <x:v>2412.130637636081</x:v>
      </x:c>
      <x:c r="R142" s="22" t="str">
        <x:f>IF(M142&gt;0,"복원","미복원")</x:f>
        <x:v>복원</x:v>
      </x:c>
      <x:c r="S142" s="37" t="n">
        <x:v>224</x:v>
      </x:c>
      <x:c r="T1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2" s="22" t="str">
        <x:f>A142&amp;"|"&amp;B142</x:f>
        <x:v>병원|C-010106</x:v>
      </x:c>
      <x:c r="V142" s="22" t="n">
        <x:f>IF(M142&gt;0,1,0)</x:f>
        <x:v>1</x:v>
      </x:c>
    </x:row>
    <x:row r="143" ht="28" customHeight="1">
      <x:c r="A143" s="22" t="str">
        <x:v>병원</x:v>
      </x:c>
      <x:c r="B143" s="31" t="str">
        <x:f>"C-010106"</x:f>
        <x:v>C-010106</x:v>
      </x:c>
      <x:c r="C143" s="25" t="str">
        <x:v>010106  FINISH WORKS</x:v>
      </x:c>
      <x:c r="D143" s="25" t="str">
        <x:v>Checking Door(SGP~C/E)</x:v>
      </x:c>
      <x:c r="E143" s="25" t="str"/>
      <x:c r="F143" s="22" t="str">
        <x:v>EA</x:v>
      </x:c>
      <x:c r="G143" s="28" t="n">
        <x:v>1</x:v>
      </x:c>
      <x:c r="H143" s="25" t="str">
        <x:v>4530234CF57486DF6239DCFA4C6</x:v>
      </x:c>
      <x:c r="I143" s="22" t="str">
        <x:v>직접자원단가</x:v>
      </x:c>
      <x:c r="J143" s="34" t="n">
        <x:v>122.1950677627194</x:v>
      </x:c>
      <x:c r="K143" s="34" t="n">
        <x:v>15.070725024068727</x:v>
      </x:c>
      <x:c r="L143" s="34" t="n">
        <x:v>8.14633785084796</x:v>
      </x:c>
      <x:c r="M143" s="34" t="n">
        <x:f>SUM(J143:L143)</x:f>
        <x:v>145.4121306376361</x:v>
      </x:c>
      <x:c r="N143" s="34" t="n">
        <x:f>G143*J143</x:f>
        <x:v>122.1950677627194</x:v>
      </x:c>
      <x:c r="O143" s="34" t="n">
        <x:f>G143*K143</x:f>
        <x:v>15.070725024068727</x:v>
      </x:c>
      <x:c r="P143" s="34" t="n">
        <x:f>G143*L143</x:f>
        <x:v>8.14633785084796</x:v>
      </x:c>
      <x:c r="Q143" s="34" t="n">
        <x:f>SUM(N143:P143)</x:f>
        <x:v>145.4121306376361</x:v>
      </x:c>
      <x:c r="R143" s="22" t="str">
        <x:f>IF(M143&gt;0,"복원","미복원")</x:f>
        <x:v>복원</x:v>
      </x:c>
      <x:c r="S143" s="37" t="n">
        <x:v>225</x:v>
      </x:c>
      <x:c r="T1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3" s="22" t="str">
        <x:f>A143&amp;"|"&amp;B143</x:f>
        <x:v>병원|C-010106</x:v>
      </x:c>
      <x:c r="V143" s="22" t="n">
        <x:f>IF(M143&gt;0,1,0)</x:f>
        <x:v>1</x:v>
      </x:c>
    </x:row>
    <x:row r="144" ht="28" customHeight="1">
      <x:c r="A144" s="22" t="str">
        <x:v>병원</x:v>
      </x:c>
      <x:c r="B144" s="31" t="str">
        <x:f>"C-010106"</x:f>
        <x:v>C-010106</x:v>
      </x:c>
      <x:c r="C144" s="25" t="str">
        <x:v>010106  FINISH WORKS</x:v>
      </x:c>
      <x:c r="D144" s="25" t="str">
        <x:v>Panel Caulking</x:v>
      </x:c>
      <x:c r="E144" s="25" t="str"/>
      <x:c r="F144" s="22" t="str">
        <x:v>R/M</x:v>
      </x:c>
      <x:c r="G144" s="28" t="n">
        <x:v>1</x:v>
      </x:c>
      <x:c r="H144" s="25" t="str">
        <x:v>4530234CF57486DF6239DCFA4C5</x:v>
      </x:c>
      <x:c r="I144" s="22" t="str">
        <x:v>직접자원단가</x:v>
      </x:c>
      <x:c r="J144" s="34" t="n">
        <x:v>407.316892542398</x:v>
      </x:c>
      <x:c r="K144" s="34" t="n">
        <x:v>301.41450048137455</x:v>
      </x:c>
      <x:c r="L144" s="34" t="n">
        <x:v>61.0975338813597</x:v>
      </x:c>
      <x:c r="M144" s="34" t="n">
        <x:f>SUM(J144:L144)</x:f>
        <x:v>769.8289269051323</x:v>
      </x:c>
      <x:c r="N144" s="34" t="n">
        <x:f>G144*J144</x:f>
        <x:v>407.316892542398</x:v>
      </x:c>
      <x:c r="O144" s="34" t="n">
        <x:f>G144*K144</x:f>
        <x:v>301.41450048137455</x:v>
      </x:c>
      <x:c r="P144" s="34" t="n">
        <x:f>G144*L144</x:f>
        <x:v>61.0975338813597</x:v>
      </x:c>
      <x:c r="Q144" s="34" t="n">
        <x:f>SUM(N144:P144)</x:f>
        <x:v>769.8289269051323</x:v>
      </x:c>
      <x:c r="R144" s="22" t="str">
        <x:f>IF(M144&gt;0,"복원","미복원")</x:f>
        <x:v>복원</x:v>
      </x:c>
      <x:c r="S144" s="37" t="n">
        <x:v>226</x:v>
      </x:c>
      <x:c r="T1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4" s="22" t="str">
        <x:f>A144&amp;"|"&amp;B144</x:f>
        <x:v>병원|C-010106</x:v>
      </x:c>
      <x:c r="V144" s="22" t="n">
        <x:f>IF(M144&gt;0,1,0)</x:f>
        <x:v>1</x:v>
      </x:c>
    </x:row>
    <x:row r="145" ht="28" customHeight="1">
      <x:c r="A145" s="22" t="str">
        <x:v>병원</x:v>
      </x:c>
      <x:c r="B145" s="31" t="str">
        <x:f>"C-010106"</x:f>
        <x:v>C-010106</x:v>
      </x:c>
      <x:c r="C145" s="25" t="str">
        <x:v>010106  FINISH WORKS</x:v>
      </x:c>
      <x:c r="D145" s="25" t="str">
        <x:v>Ceiling Light Box</x:v>
      </x:c>
      <x:c r="E145" s="25" t="str">
        <x:v>Operating[OR-1,2~H]</x:v>
      </x:c>
      <x:c r="F145" s="22" t="str">
        <x:v>M</x:v>
      </x:c>
      <x:c r="G145" s="28" t="n">
        <x:v>38</x:v>
      </x:c>
      <x:c r="H145" s="25" t="str">
        <x:v>4530234CF57486DF6239DCFA4CA</x:v>
      </x:c>
      <x:c r="I145" s="22" t="str">
        <x:v>직접자원단가</x:v>
      </x:c>
      <x:c r="J145" s="34" t="n">
        <x:v>162.92675701695921</x:v>
      </x:c>
      <x:c r="K145" s="34" t="n">
        <x:v>15.070725024068727</x:v>
      </x:c>
      <x:c r="L145" s="34" t="n">
        <x:v>10.182922313559951</x:v>
      </x:c>
      <x:c r="M145" s="34" t="n">
        <x:f>SUM(J145:L145)</x:f>
        <x:v>188.1804043545879</x:v>
      </x:c>
      <x:c r="N145" s="34" t="n">
        <x:f>G145*J145</x:f>
        <x:v>6191.21676664445</x:v>
      </x:c>
      <x:c r="O145" s="34" t="n">
        <x:f>G145*K145</x:f>
        <x:v>572.6875509146116</x:v>
      </x:c>
      <x:c r="P145" s="34" t="n">
        <x:f>G145*L145</x:f>
        <x:v>386.95104791527814</x:v>
      </x:c>
      <x:c r="Q145" s="34" t="n">
        <x:f>SUM(N145:P145)</x:f>
        <x:v>7150.855365474339</x:v>
      </x:c>
      <x:c r="R145" s="22" t="str">
        <x:f>IF(M145&gt;0,"복원","미복원")</x:f>
        <x:v>복원</x:v>
      </x:c>
      <x:c r="S145" s="37" t="n">
        <x:v>227</x:v>
      </x:c>
      <x:c r="T1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5" s="22" t="str">
        <x:f>A145&amp;"|"&amp;B145</x:f>
        <x:v>병원|C-010106</x:v>
      </x:c>
      <x:c r="V145" s="22" t="n">
        <x:f>IF(M145&gt;0,1,0)</x:f>
        <x:v>1</x:v>
      </x:c>
    </x:row>
    <x:row r="146" ht="28" customHeight="1">
      <x:c r="A146" s="22" t="str">
        <x:v>병원</x:v>
      </x:c>
      <x:c r="B146" s="31" t="str">
        <x:f>"C-010106"</x:f>
        <x:v>C-010106</x:v>
      </x:c>
      <x:c r="C146" s="25" t="str">
        <x:v>010106  FINISH WORKS</x:v>
      </x:c>
      <x:c r="D146" s="25" t="str">
        <x:v>OR Builtin Furniture</x:v>
      </x:c>
      <x:c r="E146" s="25" t="str">
        <x:v> STS  1,2W x 0.5D x 1,8H</x:v>
      </x:c>
      <x:c r="F146" s="22" t="str">
        <x:v>SET</x:v>
      </x:c>
      <x:c r="G146" s="28" t="n">
        <x:v>3</x:v>
      </x:c>
      <x:c r="H146" s="25" t="str">
        <x:v>4530234CF57486DF6239DCFA792</x:v>
      </x:c>
      <x:c r="I146" s="22" t="str">
        <x:v>직접자원단가</x:v>
      </x:c>
      <x:c r="J146" s="34" t="n">
        <x:v>3258.535140339184</x:v>
      </x:c>
      <x:c r="K146" s="34" t="n">
        <x:v>452.12175072206185</x:v>
      </x:c>
      <x:c r="L146" s="34" t="n">
        <x:v>224.02429089831892</x:v>
      </x:c>
      <x:c r="M146" s="34" t="n">
        <x:f>SUM(J146:L146)</x:f>
        <x:v>3934.681181959565</x:v>
      </x:c>
      <x:c r="N146" s="34" t="n">
        <x:f>G146*J146</x:f>
        <x:v>9775.605421017553</x:v>
      </x:c>
      <x:c r="O146" s="34" t="n">
        <x:f>G146*K146</x:f>
        <x:v>1356.3652521661857</x:v>
      </x:c>
      <x:c r="P146" s="34" t="n">
        <x:f>G146*L146</x:f>
        <x:v>672.0728726949568</x:v>
      </x:c>
      <x:c r="Q146" s="34" t="n">
        <x:f>SUM(N146:P146)</x:f>
        <x:v>11804.043545878696</x:v>
      </x:c>
      <x:c r="R146" s="22" t="str">
        <x:f>IF(M146&gt;0,"복원","미복원")</x:f>
        <x:v>복원</x:v>
      </x:c>
      <x:c r="S146" s="37" t="n">
        <x:v>228</x:v>
      </x:c>
      <x:c r="T1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6" s="22" t="str">
        <x:f>A146&amp;"|"&amp;B146</x:f>
        <x:v>병원|C-010106</x:v>
      </x:c>
      <x:c r="V146" s="22" t="n">
        <x:f>IF(M146&gt;0,1,0)</x:f>
        <x:v>1</x:v>
      </x:c>
    </x:row>
    <x:row r="147" ht="28" customHeight="1">
      <x:c r="A147" s="22" t="str">
        <x:v>병원</x:v>
      </x:c>
      <x:c r="B147" s="31" t="str">
        <x:f>"C-010106"</x:f>
        <x:v>C-010106</x:v>
      </x:c>
      <x:c r="C147" s="25" t="str">
        <x:v>010106  FINISH WORKS</x:v>
      </x:c>
      <x:c r="D147" s="25" t="str">
        <x:v>Floor Conductive Sheet</x:v>
      </x:c>
      <x:c r="E147" s="25" t="str">
        <x:v>600*600*3T</x:v>
      </x:c>
      <x:c r="F147" s="22" t="str">
        <x:v>M2</x:v>
      </x:c>
      <x:c r="G147" s="28" t="n">
        <x:v>75</x:v>
      </x:c>
      <x:c r="H147" s="25" t="str">
        <x:v>4530234CF57486DF6239DCFA5EB</x:v>
      </x:c>
      <x:c r="I147" s="22" t="str">
        <x:v>직접자원단가</x:v>
      </x:c>
      <x:c r="J147" s="34" t="n">
        <x:v>57.02436495593573</x:v>
      </x:c>
      <x:c r="K147" s="34" t="n">
        <x:v>9.042435014441235</x:v>
      </x:c>
      <x:c r="L147" s="34" t="n">
        <x:v>4.07316892542398</x:v>
      </x:c>
      <x:c r="M147" s="34" t="n">
        <x:f>SUM(J147:L147)</x:f>
        <x:v>70.13996889580095</x:v>
      </x:c>
      <x:c r="N147" s="34" t="n">
        <x:f>G147*J147</x:f>
        <x:v>4276.82737169518</x:v>
      </x:c>
      <x:c r="O147" s="34" t="n">
        <x:f>G147*K147</x:f>
        <x:v>678.1826260830926</x:v>
      </x:c>
      <x:c r="P147" s="34" t="n">
        <x:f>G147*L147</x:f>
        <x:v>305.4876694067985</x:v>
      </x:c>
      <x:c r="Q147" s="34" t="n">
        <x:f>SUM(N147:P147)</x:f>
        <x:v>5260.497667185071</x:v>
      </x:c>
      <x:c r="R147" s="22" t="str">
        <x:f>IF(M147&gt;0,"복원","미복원")</x:f>
        <x:v>복원</x:v>
      </x:c>
      <x:c r="S147" s="37" t="n">
        <x:v>229</x:v>
      </x:c>
      <x:c r="T1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7" s="22" t="str">
        <x:f>A147&amp;"|"&amp;B147</x:f>
        <x:v>병원|C-010106</x:v>
      </x:c>
      <x:c r="V147" s="22" t="n">
        <x:f>IF(M147&gt;0,1,0)</x:f>
        <x:v>1</x:v>
      </x:c>
    </x:row>
    <x:row r="148" ht="28" customHeight="1">
      <x:c r="A148" s="22" t="str">
        <x:v>병원</x:v>
      </x:c>
      <x:c r="B148" s="31" t="str">
        <x:f>"C-010106"</x:f>
        <x:v>C-010106</x:v>
      </x:c>
      <x:c r="C148" s="25" t="str">
        <x:v>010106  FINISH WORKS</x:v>
      </x:c>
      <x:c r="D148" s="25" t="str">
        <x:v>PANEL OPEN,G</x:v>
      </x:c>
      <x:c r="E148" s="25" t="str">
        <x:v>Outlet[E/L,GAS,ETC]</x:v>
      </x:c>
      <x:c r="F148" s="22" t="str">
        <x:v>EA</x:v>
      </x:c>
      <x:c r="G148" s="28" t="n">
        <x:v>50</x:v>
      </x:c>
      <x:c r="H148" s="25" t="str">
        <x:v>4530234CF57486DF6239DCFA5E8</x:v>
      </x:c>
      <x:c r="I148" s="22" t="str">
        <x:v>직접자원단가</x:v>
      </x:c>
      <x:c r="J148" s="34" t="n">
        <x:v>16.29267570169592</x:v>
      </x:c>
      <x:c r="K148" s="34" t="n">
        <x:v>6.02829000962749</x:v>
      </x:c>
      <x:c r="L148" s="34" t="n">
        <x:v>1.6292675701695922</x:v>
      </x:c>
      <x:c r="M148" s="34" t="n">
        <x:f>SUM(J148:L148)</x:f>
        <x:v>23.950233281493002</x:v>
      </x:c>
      <x:c r="N148" s="34" t="n">
        <x:f>G148*J148</x:f>
        <x:v>814.633785084796</x:v>
      </x:c>
      <x:c r="O148" s="34" t="n">
        <x:f>G148*K148</x:f>
        <x:v>301.4145004813745</x:v>
      </x:c>
      <x:c r="P148" s="34" t="n">
        <x:f>G148*L148</x:f>
        <x:v>81.46337850847961</x:v>
      </x:c>
      <x:c r="Q148" s="34" t="n">
        <x:f>SUM(N148:P148)</x:f>
        <x:v>1197.51166407465</x:v>
      </x:c>
      <x:c r="R148" s="22" t="str">
        <x:f>IF(M148&gt;0,"복원","미복원")</x:f>
        <x:v>복원</x:v>
      </x:c>
      <x:c r="S148" s="37" t="n">
        <x:v>230</x:v>
      </x:c>
      <x:c r="T1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8" s="22" t="str">
        <x:f>A148&amp;"|"&amp;B148</x:f>
        <x:v>병원|C-010106</x:v>
      </x:c>
      <x:c r="V148" s="22" t="n">
        <x:f>IF(M148&gt;0,1,0)</x:f>
        <x:v>1</x:v>
      </x:c>
    </x:row>
    <x:row r="149" ht="28" customHeight="1">
      <x:c r="A149" s="22" t="str">
        <x:v>병원</x:v>
      </x:c>
      <x:c r="B149" s="31" t="str">
        <x:f>"C-010106"</x:f>
        <x:v>C-010106</x:v>
      </x:c>
      <x:c r="C149" s="25" t="str">
        <x:v>010106  FINISH WORKS</x:v>
      </x:c>
      <x:c r="D149" s="25" t="str">
        <x:v>Packing Fee</x:v>
      </x:c>
      <x:c r="E149" s="25" t="str"/>
      <x:c r="F149" s="22" t="str">
        <x:v>L/S</x:v>
      </x:c>
      <x:c r="G149" s="28" t="n">
        <x:v>1</x:v>
      </x:c>
      <x:c r="H149" s="25" t="str">
        <x:v>4530234CF57486DF6239DCFA5E9</x:v>
      </x:c>
      <x:c r="I149" s="22" t="str">
        <x:v>직접자원단가</x:v>
      </x:c>
      <x:c r="J149" s="34" t="n">
        <x:v>0</x:v>
      </x:c>
      <x:c r="K149" s="34" t="n">
        <x:v>0</x:v>
      </x:c>
      <x:c r="L149" s="34" t="n">
        <x:v>4073.1689254239805</x:v>
      </x:c>
      <x:c r="M149" s="34" t="n">
        <x:f>SUM(J149:L149)</x:f>
        <x:v>4073.1689254239805</x:v>
      </x:c>
      <x:c r="N149" s="34" t="n">
        <x:f>G149*J149</x:f>
        <x:v>0</x:v>
      </x:c>
      <x:c r="O149" s="34" t="n">
        <x:f>G149*K149</x:f>
        <x:v>0</x:v>
      </x:c>
      <x:c r="P149" s="34" t="n">
        <x:f>G149*L149</x:f>
        <x:v>4073.1689254239805</x:v>
      </x:c>
      <x:c r="Q149" s="34" t="n">
        <x:f>SUM(N149:P149)</x:f>
        <x:v>4073.1689254239805</x:v>
      </x:c>
      <x:c r="R149" s="22" t="str">
        <x:f>IF(M149&gt;0,"복원","미복원")</x:f>
        <x:v>복원</x:v>
      </x:c>
      <x:c r="S149" s="37" t="n">
        <x:v>231</x:v>
      </x:c>
      <x:c r="T1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49" s="22" t="str">
        <x:f>A149&amp;"|"&amp;B149</x:f>
        <x:v>병원|C-010106</x:v>
      </x:c>
      <x:c r="V149" s="22" t="n">
        <x:f>IF(M149&gt;0,1,0)</x:f>
        <x:v>1</x:v>
      </x:c>
    </x:row>
    <x:row r="150" ht="28" customHeight="1">
      <x:c r="A150" s="22" t="str">
        <x:v>병원</x:v>
      </x:c>
      <x:c r="B150" s="31" t="str">
        <x:f>"C-010107"</x:f>
        <x:v>C-010107</x:v>
      </x:c>
      <x:c r="C150" s="25" t="str">
        <x:v>010107  WATERPROOFING WORKS</x:v>
      </x:c>
      <x:c r="D150" s="25" t="str">
        <x:v>Caulking</x:v>
      </x:c>
      <x:c r="E150" s="25" t="str">
        <x:v>Antibacterial Caulking</x:v>
      </x:c>
      <x:c r="F150" s="22" t="str">
        <x:v>M</x:v>
      </x:c>
      <x:c r="G150" s="28" t="n">
        <x:v>219</x:v>
      </x:c>
      <x:c r="H150" s="25" t="str">
        <x:v>448227450276D253F2E49D1ED6B64</x:v>
      </x:c>
      <x:c r="I150" s="22" t="str">
        <x:v>복합일위대가</x:v>
      </x:c>
      <x:c r="J150" s="34" t="n">
        <x:v>0.21</x:v>
      </x:c>
      <x:c r="K150" s="34" t="n">
        <x:v>0.3</x:v>
      </x:c>
      <x:c r="L150" s="34" t="n">
        <x:v>0</x:v>
      </x:c>
      <x:c r="M150" s="34" t="n">
        <x:f>SUM(J150:L150)</x:f>
        <x:v>0.51</x:v>
      </x:c>
      <x:c r="N150" s="34" t="n">
        <x:f>G150*J150</x:f>
        <x:v>45.989999999999995</x:v>
      </x:c>
      <x:c r="O150" s="34" t="n">
        <x:f>G150*K150</x:f>
        <x:v>65.7</x:v>
      </x:c>
      <x:c r="P150" s="34" t="n">
        <x:f>G150*L150</x:f>
        <x:v>0</x:v>
      </x:c>
      <x:c r="Q150" s="34" t="n">
        <x:f>SUM(N150:P150)</x:f>
        <x:v>111.69</x:v>
      </x:c>
      <x:c r="R150" s="22" t="str">
        <x:f>IF(M150&gt;0,"복원","미복원")</x:f>
        <x:v>복원</x:v>
      </x:c>
      <x:c r="S150" s="37" t="n">
        <x:v>245</x:v>
      </x:c>
      <x:c r="T1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0" s="22" t="str">
        <x:f>A150&amp;"|"&amp;B150</x:f>
        <x:v>병원|C-010107</x:v>
      </x:c>
      <x:c r="V150" s="22" t="n">
        <x:f>IF(M150&gt;0,1,0)</x:f>
        <x:v>1</x:v>
      </x:c>
    </x:row>
    <x:row r="151" ht="28" customHeight="1">
      <x:c r="A151" s="22" t="str">
        <x:v>병원</x:v>
      </x:c>
      <x:c r="B151" s="31" t="str">
        <x:f>"C-010107"</x:f>
        <x:v>C-010107</x:v>
      </x:c>
      <x:c r="C151" s="25" t="str">
        <x:v>010107  WATERPROOFING WORKS</x:v>
      </x:c>
      <x:c r="D151" s="25" t="str">
        <x:v>Caulking</x:v>
      </x:c>
      <x:c r="E151" s="25" t="str">
        <x:v>Size 10mm * 10mm, Around The door &amp; window</x:v>
      </x:c>
      <x:c r="F151" s="22" t="str">
        <x:v>M</x:v>
      </x:c>
      <x:c r="G151" s="28" t="n">
        <x:v>5869</x:v>
      </x:c>
      <x:c r="H151" s="25" t="str">
        <x:v>4482274502742434921703B609301</x:v>
      </x:c>
      <x:c r="I151" s="22" t="str">
        <x:v>복합일위대가</x:v>
      </x:c>
      <x:c r="J151" s="34" t="n">
        <x:v>0.21</x:v>
      </x:c>
      <x:c r="K151" s="34" t="n">
        <x:v>0.3</x:v>
      </x:c>
      <x:c r="L151" s="34" t="n">
        <x:v>0</x:v>
      </x:c>
      <x:c r="M151" s="34" t="n">
        <x:f>SUM(J151:L151)</x:f>
        <x:v>0.51</x:v>
      </x:c>
      <x:c r="N151" s="34" t="n">
        <x:f>G151*J151</x:f>
        <x:v>1232.49</x:v>
      </x:c>
      <x:c r="O151" s="34" t="n">
        <x:f>G151*K151</x:f>
        <x:v>1760.7</x:v>
      </x:c>
      <x:c r="P151" s="34" t="n">
        <x:f>G151*L151</x:f>
        <x:v>0</x:v>
      </x:c>
      <x:c r="Q151" s="34" t="n">
        <x:f>SUM(N151:P151)</x:f>
        <x:v>2993.19</x:v>
      </x:c>
      <x:c r="R151" s="22" t="str">
        <x:f>IF(M151&gt;0,"복원","미복원")</x:f>
        <x:v>복원</x:v>
      </x:c>
      <x:c r="S151" s="37" t="n">
        <x:v>246</x:v>
      </x:c>
      <x:c r="T1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1" s="22" t="str">
        <x:f>A151&amp;"|"&amp;B151</x:f>
        <x:v>병원|C-010107</x:v>
      </x:c>
      <x:c r="V151" s="22" t="n">
        <x:f>IF(M151&gt;0,1,0)</x:f>
        <x:v>1</x:v>
      </x:c>
    </x:row>
    <x:row r="152" ht="28" customHeight="1">
      <x:c r="A152" s="22" t="str">
        <x:v>병원</x:v>
      </x:c>
      <x:c r="B152" s="31" t="str">
        <x:f>"C-010107"</x:f>
        <x:v>C-010107</x:v>
      </x:c>
      <x:c r="C152" s="25" t="str">
        <x:v>010107  WATERPROOFING WORKS</x:v>
      </x:c>
      <x:c r="D152" s="25" t="str">
        <x:v>Expansion joint, On Roof @3000x3000</x:v>
      </x:c>
      <x:c r="E152" s="25" t="str"/>
      <x:c r="F152" s="22" t="str">
        <x:v>M</x:v>
      </x:c>
      <x:c r="G152" s="28" t="n">
        <x:v>1333</x:v>
      </x:c>
      <x:c r="H152" s="25" t="str">
        <x:v>4482274502731FF3C29CCC201CB4B</x:v>
      </x:c>
      <x:c r="I152" s="22" t="str">
        <x:v>복합일위대가</x:v>
      </x:c>
      <x:c r="J152" s="34" t="n">
        <x:v>0</x:v>
      </x:c>
      <x:c r="K152" s="34" t="n">
        <x:v>0.38</x:v>
      </x:c>
      <x:c r="L152" s="34" t="n">
        <x:v>0</x:v>
      </x:c>
      <x:c r="M152" s="34" t="n">
        <x:f>SUM(J152:L152)</x:f>
        <x:v>0.38</x:v>
      </x:c>
      <x:c r="N152" s="34" t="n">
        <x:f>G152*J152</x:f>
        <x:v>0</x:v>
      </x:c>
      <x:c r="O152" s="34" t="n">
        <x:f>G152*K152</x:f>
        <x:v>506.54</x:v>
      </x:c>
      <x:c r="P152" s="34" t="n">
        <x:f>G152*L152</x:f>
        <x:v>0</x:v>
      </x:c>
      <x:c r="Q152" s="34" t="n">
        <x:f>SUM(N152:P152)</x:f>
        <x:v>506.54</x:v>
      </x:c>
      <x:c r="R152" s="22" t="str">
        <x:f>IF(M152&gt;0,"복원","미복원")</x:f>
        <x:v>복원</x:v>
      </x:c>
      <x:c r="S152" s="37" t="n">
        <x:v>247</x:v>
      </x:c>
      <x:c r="T1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2" s="22" t="str">
        <x:f>A152&amp;"|"&amp;B152</x:f>
        <x:v>병원|C-010107</x:v>
      </x:c>
      <x:c r="V152" s="22" t="n">
        <x:f>IF(M152&gt;0,1,0)</x:f>
        <x:v>1</x:v>
      </x:c>
    </x:row>
    <x:row r="153" ht="28" customHeight="1">
      <x:c r="A153" s="22" t="str">
        <x:v>병원</x:v>
      </x:c>
      <x:c r="B153" s="31" t="str">
        <x:f>"C-010107"</x:f>
        <x:v>C-010107</x:v>
      </x:c>
      <x:c r="C153" s="25" t="str">
        <x:v>010107  WATERPROOFING WORKS</x:v>
      </x:c>
      <x:c r="D153" s="25" t="str">
        <x:v>Waterproof Mortar</x:v>
      </x:c>
      <x:c r="E153" s="25" t="str">
        <x:v>Less Than 20mm, Trench</x:v>
      </x:c>
      <x:c r="F153" s="22" t="str">
        <x:v>M2</x:v>
      </x:c>
      <x:c r="G153" s="28" t="n">
        <x:v>48</x:v>
      </x:c>
      <x:c r="H153" s="25" t="str">
        <x:v>448227451C7D1C0DC28CEFFB045AB</x:v>
      </x:c>
      <x:c r="I153" s="22" t="str">
        <x:v>복합일위대가</x:v>
      </x:c>
      <x:c r="J153" s="34" t="n">
        <x:v>1.4</x:v>
      </x:c>
      <x:c r="K153" s="34" t="n">
        <x:v>0</x:v>
      </x:c>
      <x:c r="L153" s="34" t="n">
        <x:v>0</x:v>
      </x:c>
      <x:c r="M153" s="34" t="n">
        <x:f>SUM(J153:L153)</x:f>
        <x:v>1.4</x:v>
      </x:c>
      <x:c r="N153" s="34" t="n">
        <x:f>G153*J153</x:f>
        <x:v>67.19999999999999</x:v>
      </x:c>
      <x:c r="O153" s="34" t="n">
        <x:f>G153*K153</x:f>
        <x:v>0</x:v>
      </x:c>
      <x:c r="P153" s="34" t="n">
        <x:f>G153*L153</x:f>
        <x:v>0</x:v>
      </x:c>
      <x:c r="Q153" s="34" t="n">
        <x:f>SUM(N153:P153)</x:f>
        <x:v>67.19999999999999</x:v>
      </x:c>
      <x:c r="R153" s="22" t="str">
        <x:f>IF(M153&gt;0,"복원","미복원")</x:f>
        <x:v>복원</x:v>
      </x:c>
      <x:c r="S153" s="37" t="n">
        <x:v>248</x:v>
      </x:c>
      <x:c r="T1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3" s="22" t="str">
        <x:f>A153&amp;"|"&amp;B153</x:f>
        <x:v>병원|C-010107</x:v>
      </x:c>
      <x:c r="V153" s="22" t="n">
        <x:f>IF(M153&gt;0,1,0)</x:f>
        <x:v>1</x:v>
      </x:c>
    </x:row>
    <x:row r="154" ht="28" customHeight="1">
      <x:c r="A154" s="22" t="str">
        <x:v>병원</x:v>
      </x:c>
      <x:c r="B154" s="31" t="str">
        <x:f>"C-010107"</x:f>
        <x:v>C-010107</x:v>
      </x:c>
      <x:c r="C154" s="25" t="str">
        <x:v>010107  WATERPROOFING WORKS</x:v>
      </x:c>
      <x:c r="D154" s="25" t="str">
        <x:v>LIQUID WATERPROOFING</x:v>
      </x:c>
      <x:c r="E154" s="25" t="str">
        <x:v>FLOOR</x:v>
      </x:c>
      <x:c r="F154" s="22" t="str">
        <x:v>M2</x:v>
      </x:c>
      <x:c r="G154" s="28" t="n">
        <x:v>463</x:v>
      </x:c>
      <x:c r="H154" s="25" t="str">
        <x:v>44822745FA7C21D7222D3828CFB51</x:v>
      </x:c>
      <x:c r="I154" s="22" t="str">
        <x:v>복합일위대가</x:v>
      </x:c>
      <x:c r="J154" s="34" t="n">
        <x:v>1.37</x:v>
      </x:c>
      <x:c r="K154" s="34" t="n">
        <x:v>3.18</x:v>
      </x:c>
      <x:c r="L154" s="34" t="n">
        <x:v>0</x:v>
      </x:c>
      <x:c r="M154" s="34" t="n">
        <x:f>SUM(J154:L154)</x:f>
        <x:v>4.550000000000001</x:v>
      </x:c>
      <x:c r="N154" s="34" t="n">
        <x:f>G154*J154</x:f>
        <x:v>634.3100000000001</x:v>
      </x:c>
      <x:c r="O154" s="34" t="n">
        <x:f>G154*K154</x:f>
        <x:v>1472.3400000000001</x:v>
      </x:c>
      <x:c r="P154" s="34" t="n">
        <x:f>G154*L154</x:f>
        <x:v>0</x:v>
      </x:c>
      <x:c r="Q154" s="34" t="n">
        <x:f>SUM(N154:P154)</x:f>
        <x:v>2106.65</x:v>
      </x:c>
      <x:c r="R154" s="22" t="str">
        <x:f>IF(M154&gt;0,"복원","미복원")</x:f>
        <x:v>복원</x:v>
      </x:c>
      <x:c r="S154" s="37" t="n">
        <x:v>249</x:v>
      </x:c>
      <x:c r="T1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4" s="22" t="str">
        <x:f>A154&amp;"|"&amp;B154</x:f>
        <x:v>병원|C-010107</x:v>
      </x:c>
      <x:c r="V154" s="22" t="n">
        <x:f>IF(M154&gt;0,1,0)</x:f>
        <x:v>1</x:v>
      </x:c>
    </x:row>
    <x:row r="155" ht="28" customHeight="1">
      <x:c r="A155" s="22" t="str">
        <x:v>병원</x:v>
      </x:c>
      <x:c r="B155" s="31" t="str">
        <x:f>"C-010107"</x:f>
        <x:v>C-010107</x:v>
      </x:c>
      <x:c r="C155" s="25" t="str">
        <x:v>010107  WATERPROOFING WORKS</x:v>
      </x:c>
      <x:c r="D155" s="25" t="str">
        <x:v>LIQUID WATERPROOFING</x:v>
      </x:c>
      <x:c r="E155" s="25" t="str">
        <x:v>WALL</x:v>
      </x:c>
      <x:c r="F155" s="22" t="str">
        <x:v>M2</x:v>
      </x:c>
      <x:c r="G155" s="28" t="n">
        <x:v>860</x:v>
      </x:c>
      <x:c r="H155" s="25" t="str">
        <x:v>44822745FA7C21D7222D3828CFA4A</x:v>
      </x:c>
      <x:c r="I155" s="22" t="str">
        <x:v>복합일위대가</x:v>
      </x:c>
      <x:c r="J155" s="34" t="n">
        <x:v>1.92</x:v>
      </x:c>
      <x:c r="K155" s="34" t="n">
        <x:v>3.62</x:v>
      </x:c>
      <x:c r="L155" s="34" t="n">
        <x:v>0</x:v>
      </x:c>
      <x:c r="M155" s="34" t="n">
        <x:f>SUM(J155:L155)</x:f>
        <x:v>5.54</x:v>
      </x:c>
      <x:c r="N155" s="34" t="n">
        <x:f>G155*J155</x:f>
        <x:v>1651.2</x:v>
      </x:c>
      <x:c r="O155" s="34" t="n">
        <x:f>G155*K155</x:f>
        <x:v>3113.2000000000003</x:v>
      </x:c>
      <x:c r="P155" s="34" t="n">
        <x:f>G155*L155</x:f>
        <x:v>0</x:v>
      </x:c>
      <x:c r="Q155" s="34" t="n">
        <x:f>SUM(N155:P155)</x:f>
        <x:v>4764.400000000001</x:v>
      </x:c>
      <x:c r="R155" s="22" t="str">
        <x:f>IF(M155&gt;0,"복원","미복원")</x:f>
        <x:v>복원</x:v>
      </x:c>
      <x:c r="S155" s="37" t="n">
        <x:v>250</x:v>
      </x:c>
      <x:c r="T1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5" s="22" t="str">
        <x:f>A155&amp;"|"&amp;B155</x:f>
        <x:v>병원|C-010107</x:v>
      </x:c>
      <x:c r="V155" s="22" t="n">
        <x:f>IF(M155&gt;0,1,0)</x:f>
        <x:v>1</x:v>
      </x:c>
    </x:row>
    <x:row r="156" ht="28" customHeight="1">
      <x:c r="A156" s="22" t="str">
        <x:v>병원</x:v>
      </x:c>
      <x:c r="B156" s="31" t="str">
        <x:f>"C-010107"</x:f>
        <x:v>C-010107</x:v>
      </x:c>
      <x:c r="C156" s="25" t="str">
        <x:v>010107  WATERPROOFING WORKS</x:v>
      </x:c>
      <x:c r="D156" s="25" t="str">
        <x:v>ELASTIC WATERPROOFING</x:v>
      </x:c>
      <x:c r="E156" s="25" t="str">
        <x:v>FLOOR</x:v>
      </x:c>
      <x:c r="F156" s="22" t="str">
        <x:v>M2</x:v>
      </x:c>
      <x:c r="G156" s="28" t="n">
        <x:v>321</x:v>
      </x:c>
      <x:c r="H156" s="25" t="str">
        <x:v>44822745FA7C21D7222D381E61813</x:v>
      </x:c>
      <x:c r="I156" s="22" t="str">
        <x:v>복합일위대가</x:v>
      </x:c>
      <x:c r="J156" s="34" t="n">
        <x:v>3.75</x:v>
      </x:c>
      <x:c r="K156" s="34" t="n">
        <x:v>0</x:v>
      </x:c>
      <x:c r="L156" s="34" t="n">
        <x:v>0</x:v>
      </x:c>
      <x:c r="M156" s="34" t="n">
        <x:f>SUM(J156:L156)</x:f>
        <x:v>3.75</x:v>
      </x:c>
      <x:c r="N156" s="34" t="n">
        <x:f>G156*J156</x:f>
        <x:v>1203.75</x:v>
      </x:c>
      <x:c r="O156" s="34" t="n">
        <x:f>G156*K156</x:f>
        <x:v>0</x:v>
      </x:c>
      <x:c r="P156" s="34" t="n">
        <x:f>G156*L156</x:f>
        <x:v>0</x:v>
      </x:c>
      <x:c r="Q156" s="34" t="n">
        <x:f>SUM(N156:P156)</x:f>
        <x:v>1203.75</x:v>
      </x:c>
      <x:c r="R156" s="22" t="str">
        <x:f>IF(M156&gt;0,"복원","미복원")</x:f>
        <x:v>복원</x:v>
      </x:c>
      <x:c r="S156" s="37" t="n">
        <x:v>251</x:v>
      </x:c>
      <x:c r="T1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6" s="22" t="str">
        <x:f>A156&amp;"|"&amp;B156</x:f>
        <x:v>병원|C-010107</x:v>
      </x:c>
      <x:c r="V156" s="22" t="n">
        <x:f>IF(M156&gt;0,1,0)</x:f>
        <x:v>1</x:v>
      </x:c>
    </x:row>
    <x:row r="157" ht="28" customHeight="1">
      <x:c r="A157" s="22" t="str">
        <x:v>병원</x:v>
      </x:c>
      <x:c r="B157" s="31" t="str">
        <x:f>"C-010107"</x:f>
        <x:v>C-010107</x:v>
      </x:c>
      <x:c r="C157" s="25" t="str">
        <x:v>010107  WATERPROOFING WORKS</x:v>
      </x:c>
      <x:c r="D157" s="25" t="str">
        <x:v>ELASTIC WATERPROOFING</x:v>
      </x:c>
      <x:c r="E157" s="25" t="str">
        <x:v>WALL</x:v>
      </x:c>
      <x:c r="F157" s="22" t="str">
        <x:v>M2</x:v>
      </x:c>
      <x:c r="G157" s="28" t="n">
        <x:v>611</x:v>
      </x:c>
      <x:c r="H157" s="25" t="str">
        <x:v>44822745FA7C21D7222D381E6193A</x:v>
      </x:c>
      <x:c r="I157" s="22" t="str">
        <x:v>복합일위대가</x:v>
      </x:c>
      <x:c r="J157" s="34" t="n">
        <x:v>3.75</x:v>
      </x:c>
      <x:c r="K157" s="34" t="n">
        <x:v>0</x:v>
      </x:c>
      <x:c r="L157" s="34" t="n">
        <x:v>0</x:v>
      </x:c>
      <x:c r="M157" s="34" t="n">
        <x:f>SUM(J157:L157)</x:f>
        <x:v>3.75</x:v>
      </x:c>
      <x:c r="N157" s="34" t="n">
        <x:f>G157*J157</x:f>
        <x:v>2291.25</x:v>
      </x:c>
      <x:c r="O157" s="34" t="n">
        <x:f>G157*K157</x:f>
        <x:v>0</x:v>
      </x:c>
      <x:c r="P157" s="34" t="n">
        <x:f>G157*L157</x:f>
        <x:v>0</x:v>
      </x:c>
      <x:c r="Q157" s="34" t="n">
        <x:f>SUM(N157:P157)</x:f>
        <x:v>2291.25</x:v>
      </x:c>
      <x:c r="R157" s="22" t="str">
        <x:f>IF(M157&gt;0,"복원","미복원")</x:f>
        <x:v>복원</x:v>
      </x:c>
      <x:c r="S157" s="37" t="n">
        <x:v>252</x:v>
      </x:c>
      <x:c r="T1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7" s="22" t="str">
        <x:f>A157&amp;"|"&amp;B157</x:f>
        <x:v>병원|C-010107</x:v>
      </x:c>
      <x:c r="V157" s="22" t="n">
        <x:f>IF(M157&gt;0,1,0)</x:f>
        <x:v>1</x:v>
      </x:c>
    </x:row>
    <x:row r="158" ht="28" customHeight="1">
      <x:c r="A158" s="22" t="str">
        <x:v>병원</x:v>
      </x:c>
      <x:c r="B158" s="31" t="str">
        <x:f>"C-010107"</x:f>
        <x:v>C-010107</x:v>
      </x:c>
      <x:c r="C158" s="25" t="str">
        <x:v>010107  WATERPROOFING WORKS</x:v>
      </x:c>
      <x:c r="D158" s="25" t="str">
        <x:v>Multi-layer composite waterproofin</x:v>
      </x:c>
      <x:c r="E158" s="25" t="str">
        <x:v>FLOOR</x:v>
      </x:c>
      <x:c r="F158" s="22" t="str">
        <x:v>M2</x:v>
      </x:c>
      <x:c r="G158" s="28" t="n">
        <x:v>1733</x:v>
      </x:c>
      <x:c r="H158" s="25" t="str">
        <x:v>44822745FA7C21D7222D380DF265B</x:v>
      </x:c>
      <x:c r="I158" s="22" t="str">
        <x:v>복합일위대가</x:v>
      </x:c>
      <x:c r="J158" s="34" t="n">
        <x:v>2</x:v>
      </x:c>
      <x:c r="K158" s="34" t="n">
        <x:v>0</x:v>
      </x:c>
      <x:c r="L158" s="34" t="n">
        <x:v>0</x:v>
      </x:c>
      <x:c r="M158" s="34" t="n">
        <x:f>SUM(J158:L158)</x:f>
        <x:v>2</x:v>
      </x:c>
      <x:c r="N158" s="34" t="n">
        <x:f>G158*J158</x:f>
        <x:v>3466</x:v>
      </x:c>
      <x:c r="O158" s="34" t="n">
        <x:f>G158*K158</x:f>
        <x:v>0</x:v>
      </x:c>
      <x:c r="P158" s="34" t="n">
        <x:f>G158*L158</x:f>
        <x:v>0</x:v>
      </x:c>
      <x:c r="Q158" s="34" t="n">
        <x:f>SUM(N158:P158)</x:f>
        <x:v>3466</x:v>
      </x:c>
      <x:c r="R158" s="22" t="str">
        <x:f>IF(M158&gt;0,"복원","미복원")</x:f>
        <x:v>복원</x:v>
      </x:c>
      <x:c r="S158" s="37" t="n">
        <x:v>253</x:v>
      </x:c>
      <x:c r="T1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8" s="22" t="str">
        <x:f>A158&amp;"|"&amp;B158</x:f>
        <x:v>병원|C-010107</x:v>
      </x:c>
      <x:c r="V158" s="22" t="n">
        <x:f>IF(M158&gt;0,1,0)</x:f>
        <x:v>1</x:v>
      </x:c>
    </x:row>
    <x:row r="159" ht="28" customHeight="1">
      <x:c r="A159" s="22" t="str">
        <x:v>병원</x:v>
      </x:c>
      <x:c r="B159" s="31" t="str">
        <x:f>"C-010107"</x:f>
        <x:v>C-010107</x:v>
      </x:c>
      <x:c r="C159" s="25" t="str">
        <x:v>010107  WATERPROOFING WORKS</x:v>
      </x:c>
      <x:c r="D159" s="25" t="str">
        <x:v>Multi-layer composite waterproofin</x:v>
      </x:c>
      <x:c r="E159" s="25" t="str">
        <x:v>WALL</x:v>
      </x:c>
      <x:c r="F159" s="22" t="str">
        <x:v>M2</x:v>
      </x:c>
      <x:c r="G159" s="28" t="n">
        <x:v>233</x:v>
      </x:c>
      <x:c r="H159" s="25" t="str">
        <x:v>44822745FA7C21D7222D380DF2762</x:v>
      </x:c>
      <x:c r="I159" s="22" t="str">
        <x:v>복합일위대가</x:v>
      </x:c>
      <x:c r="J159" s="34" t="n">
        <x:v>5.75</x:v>
      </x:c>
      <x:c r="K159" s="34" t="n">
        <x:v>0</x:v>
      </x:c>
      <x:c r="L159" s="34" t="n">
        <x:v>0</x:v>
      </x:c>
      <x:c r="M159" s="34" t="n">
        <x:f>SUM(J159:L159)</x:f>
        <x:v>5.75</x:v>
      </x:c>
      <x:c r="N159" s="34" t="n">
        <x:f>G159*J159</x:f>
        <x:v>1339.75</x:v>
      </x:c>
      <x:c r="O159" s="34" t="n">
        <x:f>G159*K159</x:f>
        <x:v>0</x:v>
      </x:c>
      <x:c r="P159" s="34" t="n">
        <x:f>G159*L159</x:f>
        <x:v>0</x:v>
      </x:c>
      <x:c r="Q159" s="34" t="n">
        <x:f>SUM(N159:P159)</x:f>
        <x:v>1339.75</x:v>
      </x:c>
      <x:c r="R159" s="22" t="str">
        <x:f>IF(M159&gt;0,"복원","미복원")</x:f>
        <x:v>복원</x:v>
      </x:c>
      <x:c r="S159" s="37" t="n">
        <x:v>254</x:v>
      </x:c>
      <x:c r="T1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59" s="22" t="str">
        <x:f>A159&amp;"|"&amp;B159</x:f>
        <x:v>병원|C-010107</x:v>
      </x:c>
      <x:c r="V159" s="22" t="n">
        <x:f>IF(M159&gt;0,1,0)</x:f>
        <x:v>1</x:v>
      </x:c>
    </x:row>
    <x:row r="160" ht="28" customHeight="1">
      <x:c r="A160" s="22" t="str">
        <x:v>병원</x:v>
      </x:c>
      <x:c r="B160" s="31" t="str">
        <x:f>"C-010107"</x:f>
        <x:v>C-010107</x:v>
      </x:c>
      <x:c r="C160" s="25" t="str">
        <x:v>010107  WATERPROOFING WORKS</x:v>
      </x:c>
      <x:c r="D160" s="25" t="str">
        <x:v>Corner Reinforcement Waterproofing</x:v>
      </x:c>
      <x:c r="E160" s="25" t="str">
        <x:v>W:300</x:v>
      </x:c>
      <x:c r="F160" s="22" t="str">
        <x:v>M</x:v>
      </x:c>
      <x:c r="G160" s="28" t="n">
        <x:v>888</x:v>
      </x:c>
      <x:c r="H160" s="25" t="str">
        <x:v>44822745FA7C21D7222D3870E361A</x:v>
      </x:c>
      <x:c r="I160" s="22" t="str">
        <x:v>복합일위대가</x:v>
      </x:c>
      <x:c r="J160" s="34" t="n">
        <x:v>0.6</x:v>
      </x:c>
      <x:c r="K160" s="34" t="n">
        <x:v>0</x:v>
      </x:c>
      <x:c r="L160" s="34" t="n">
        <x:v>0</x:v>
      </x:c>
      <x:c r="M160" s="34" t="n">
        <x:f>SUM(J160:L160)</x:f>
        <x:v>0.6</x:v>
      </x:c>
      <x:c r="N160" s="34" t="n">
        <x:f>G160*J160</x:f>
        <x:v>532.8</x:v>
      </x:c>
      <x:c r="O160" s="34" t="n">
        <x:f>G160*K160</x:f>
        <x:v>0</x:v>
      </x:c>
      <x:c r="P160" s="34" t="n">
        <x:f>G160*L160</x:f>
        <x:v>0</x:v>
      </x:c>
      <x:c r="Q160" s="34" t="n">
        <x:f>SUM(N160:P160)</x:f>
        <x:v>532.8</x:v>
      </x:c>
      <x:c r="R160" s="22" t="str">
        <x:f>IF(M160&gt;0,"복원","미복원")</x:f>
        <x:v>복원</x:v>
      </x:c>
      <x:c r="S160" s="37" t="n">
        <x:v>255</x:v>
      </x:c>
      <x:c r="T1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0" s="22" t="str">
        <x:f>A160&amp;"|"&amp;B160</x:f>
        <x:v>병원|C-010107</x:v>
      </x:c>
      <x:c r="V160" s="22" t="n">
        <x:f>IF(M160&gt;0,1,0)</x:f>
        <x:v>1</x:v>
      </x:c>
    </x:row>
    <x:row r="161" ht="28" customHeight="1">
      <x:c r="A161" s="22" t="str">
        <x:v>병원</x:v>
      </x:c>
      <x:c r="B161" s="31" t="str">
        <x:f>"C-010107"</x:f>
        <x:v>C-010107</x:v>
      </x:c>
      <x:c r="C161" s="25" t="str">
        <x:v>010107  WATERPROOFING WORKS</x:v>
      </x:c>
      <x:c r="D161" s="25" t="str">
        <x:v>Drain Reinforcement Waterproofing</x:v>
      </x:c>
      <x:c r="E161" s="25" t="str"/>
      <x:c r="F161" s="22" t="str">
        <x:v>EA</x:v>
      </x:c>
      <x:c r="G161" s="28" t="n">
        <x:v>82</x:v>
      </x:c>
      <x:c r="H161" s="25" t="str">
        <x:v>44822745FA7C21D7222D3870FDCBC</x:v>
      </x:c>
      <x:c r="I161" s="22" t="str">
        <x:v>복합일위대가</x:v>
      </x:c>
      <x:c r="J161" s="34" t="n">
        <x:v>0.21</x:v>
      </x:c>
      <x:c r="K161" s="34" t="n">
        <x:v>0</x:v>
      </x:c>
      <x:c r="L161" s="34" t="n">
        <x:v>0</x:v>
      </x:c>
      <x:c r="M161" s="34" t="n">
        <x:f>SUM(J161:L161)</x:f>
        <x:v>0.21</x:v>
      </x:c>
      <x:c r="N161" s="34" t="n">
        <x:f>G161*J161</x:f>
        <x:v>17.22</x:v>
      </x:c>
      <x:c r="O161" s="34" t="n">
        <x:f>G161*K161</x:f>
        <x:v>0</x:v>
      </x:c>
      <x:c r="P161" s="34" t="n">
        <x:f>G161*L161</x:f>
        <x:v>0</x:v>
      </x:c>
      <x:c r="Q161" s="34" t="n">
        <x:f>SUM(N161:P161)</x:f>
        <x:v>17.22</x:v>
      </x:c>
      <x:c r="R161" s="22" t="str">
        <x:f>IF(M161&gt;0,"복원","미복원")</x:f>
        <x:v>복원</x:v>
      </x:c>
      <x:c r="S161" s="37" t="n">
        <x:v>256</x:v>
      </x:c>
      <x:c r="T1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1" s="22" t="str">
        <x:f>A161&amp;"|"&amp;B161</x:f>
        <x:v>병원|C-010107</x:v>
      </x:c>
      <x:c r="V161" s="22" t="n">
        <x:f>IF(M161&gt;0,1,0)</x:f>
        <x:v>1</x:v>
      </x:c>
    </x:row>
    <x:row r="162" ht="28" customHeight="1">
      <x:c r="A162" s="22" t="str">
        <x:v>병원</x:v>
      </x:c>
      <x:c r="B162" s="31" t="str">
        <x:f>"C-010108"</x:f>
        <x:v>C-010108</x:v>
      </x:c>
      <x:c r="C162" s="25" t="str">
        <x:v>010108  ROOF &amp; DRAINGPIPE WORKS</x:v>
      </x:c>
      <x:c r="D162" s="25" t="str">
        <x:v>Roof Drain in roof area, Diameter 125mm</x:v>
      </x:c>
      <x:c r="E162" s="25" t="str"/>
      <x:c r="F162" s="22" t="str">
        <x:v>ea</x:v>
      </x:c>
      <x:c r="G162" s="28" t="n">
        <x:v>20</x:v>
      </x:c>
      <x:c r="H162" s="25" t="str">
        <x:v>448224421470A2F9A241EAE1B4AAA</x:v>
      </x:c>
      <x:c r="I162" s="22" t="str">
        <x:v>복합일위대가</x:v>
      </x:c>
      <x:c r="J162" s="34" t="n">
        <x:v>105.65</x:v>
      </x:c>
      <x:c r="K162" s="34" t="n">
        <x:v>13.76</x:v>
      </x:c>
      <x:c r="L162" s="34" t="n">
        <x:v>0</x:v>
      </x:c>
      <x:c r="M162" s="34" t="n">
        <x:f>SUM(J162:L162)</x:f>
        <x:v>119.41000000000001</x:v>
      </x:c>
      <x:c r="N162" s="34" t="n">
        <x:f>G162*J162</x:f>
        <x:v>2113</x:v>
      </x:c>
      <x:c r="O162" s="34" t="n">
        <x:f>G162*K162</x:f>
        <x:v>275.2</x:v>
      </x:c>
      <x:c r="P162" s="34" t="n">
        <x:f>G162*L162</x:f>
        <x:v>0</x:v>
      </x:c>
      <x:c r="Q162" s="34" t="n">
        <x:f>SUM(N162:P162)</x:f>
        <x:v>2388.2</x:v>
      </x:c>
      <x:c r="R162" s="22" t="str">
        <x:f>IF(M162&gt;0,"복원","미복원")</x:f>
        <x:v>복원</x:v>
      </x:c>
      <x:c r="S162" s="37" t="n">
        <x:v>269</x:v>
      </x:c>
      <x:c r="T1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2" s="22" t="str">
        <x:f>A162&amp;"|"&amp;B162</x:f>
        <x:v>병원|C-010108</x:v>
      </x:c>
      <x:c r="V162" s="22" t="n">
        <x:f>IF(M162&gt;0,1,0)</x:f>
        <x:v>1</x:v>
      </x:c>
    </x:row>
    <x:row r="163" ht="28" customHeight="1">
      <x:c r="A163" s="22" t="str">
        <x:v>병원</x:v>
      </x:c>
      <x:c r="B163" s="31" t="str">
        <x:f>"C-010108"</x:f>
        <x:v>C-010108</x:v>
      </x:c>
      <x:c r="C163" s="25" t="str">
        <x:v>010108  ROOF &amp; DRAINGPIPE WORKS</x:v>
      </x:c>
      <x:c r="D163" s="25" t="str">
        <x:v>SST Downspout Diameter 125mm</x:v>
      </x:c>
      <x:c r="E163" s="25" t="str"/>
      <x:c r="F163" s="22" t="str">
        <x:v>m</x:v>
      </x:c>
      <x:c r="G163" s="28" t="n">
        <x:v>168</x:v>
      </x:c>
      <x:c r="H163" s="25" t="str">
        <x:v>448224421470A2F9A241EAE1B4983</x:v>
      </x:c>
      <x:c r="I163" s="22" t="str">
        <x:v>복합일위대가</x:v>
      </x:c>
      <x:c r="J163" s="34" t="n">
        <x:v>16.57</x:v>
      </x:c>
      <x:c r="K163" s="34" t="n">
        <x:v>7.23</x:v>
      </x:c>
      <x:c r="L163" s="34" t="n">
        <x:v>0.13</x:v>
      </x:c>
      <x:c r="M163" s="34" t="n">
        <x:f>SUM(J163:L163)</x:f>
        <x:v>23.93</x:v>
      </x:c>
      <x:c r="N163" s="34" t="n">
        <x:f>G163*J163</x:f>
        <x:v>2783.76</x:v>
      </x:c>
      <x:c r="O163" s="34" t="n">
        <x:f>G163*K163</x:f>
        <x:v>1214.64</x:v>
      </x:c>
      <x:c r="P163" s="34" t="n">
        <x:f>G163*L163</x:f>
        <x:v>21.84</x:v>
      </x:c>
      <x:c r="Q163" s="34" t="n">
        <x:f>SUM(N163:P163)</x:f>
        <x:v>4020.2400000000007</x:v>
      </x:c>
      <x:c r="R163" s="22" t="str">
        <x:f>IF(M163&gt;0,"복원","미복원")</x:f>
        <x:v>복원</x:v>
      </x:c>
      <x:c r="S163" s="37" t="n">
        <x:v>270</x:v>
      </x:c>
      <x:c r="T1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3" s="22" t="str">
        <x:f>A163&amp;"|"&amp;B163</x:f>
        <x:v>병원|C-010108</x:v>
      </x:c>
      <x:c r="V163" s="22" t="n">
        <x:f>IF(M163&gt;0,1,0)</x:f>
        <x:v>1</x:v>
      </x:c>
    </x:row>
    <x:row r="164" ht="28" customHeight="1">
      <x:c r="A164" s="22" t="str">
        <x:v>병원</x:v>
      </x:c>
      <x:c r="B164" s="31" t="str">
        <x:f>"C-010108"</x:f>
        <x:v>C-010108</x:v>
      </x:c>
      <x:c r="C164" s="25" t="str">
        <x:v>010108  ROOF &amp; DRAINGPIPE WORKS</x:v>
      </x:c>
      <x:c r="D164" s="25" t="str">
        <x:v>Floor Drain in Wet Areas, Diameter 100mm</x:v>
      </x:c>
      <x:c r="E164" s="25" t="str"/>
      <x:c r="F164" s="22" t="str">
        <x:v>ea</x:v>
      </x:c>
      <x:c r="G164" s="28" t="n">
        <x:v>74</x:v>
      </x:c>
      <x:c r="H164" s="25" t="str">
        <x:v>448224421470A2F9A241EAE1B48FC</x:v>
      </x:c>
      <x:c r="I164" s="22" t="str">
        <x:v>복합일위대가</x:v>
      </x:c>
      <x:c r="J164" s="34" t="n">
        <x:v>35</x:v>
      </x:c>
      <x:c r="K164" s="34" t="n">
        <x:v>0</x:v>
      </x:c>
      <x:c r="L164" s="34" t="n">
        <x:v>0</x:v>
      </x:c>
      <x:c r="M164" s="34" t="n">
        <x:f>SUM(J164:L164)</x:f>
        <x:v>35</x:v>
      </x:c>
      <x:c r="N164" s="34" t="n">
        <x:f>G164*J164</x:f>
        <x:v>2590</x:v>
      </x:c>
      <x:c r="O164" s="34" t="n">
        <x:f>G164*K164</x:f>
        <x:v>0</x:v>
      </x:c>
      <x:c r="P164" s="34" t="n">
        <x:f>G164*L164</x:f>
        <x:v>0</x:v>
      </x:c>
      <x:c r="Q164" s="34" t="n">
        <x:f>SUM(N164:P164)</x:f>
        <x:v>2590</x:v>
      </x:c>
      <x:c r="R164" s="22" t="str">
        <x:f>IF(M164&gt;0,"복원","미복원")</x:f>
        <x:v>복원</x:v>
      </x:c>
      <x:c r="S164" s="37" t="n">
        <x:v>271</x:v>
      </x:c>
      <x:c r="T1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4" s="22" t="str">
        <x:f>A164&amp;"|"&amp;B164</x:f>
        <x:v>병원|C-010108</x:v>
      </x:c>
      <x:c r="V164" s="22" t="n">
        <x:f>IF(M164&gt;0,1,0)</x:f>
        <x:v>1</x:v>
      </x:c>
    </x:row>
    <x:row r="165" ht="28" customHeight="1">
      <x:c r="A165" s="22" t="str">
        <x:v>병원</x:v>
      </x:c>
      <x:c r="B165" s="31" t="str">
        <x:f>"C-010109"</x:f>
        <x:v>C-010109</x:v>
      </x:c>
      <x:c r="C165" s="25" t="str">
        <x:v>010109  METAL WORKS</x:v>
      </x:c>
      <x:c r="D165" s="25" t="str">
        <x:v>Thick 6.0 Gypsum Tex 1Ply  on M-Bar System</x:v>
      </x:c>
      <x:c r="E165" s="25" t="str"/>
      <x:c r="F165" s="22" t="str">
        <x:v>M2</x:v>
      </x:c>
      <x:c r="G165" s="28" t="n">
        <x:v>383</x:v>
      </x:c>
      <x:c r="H165" s="25" t="str">
        <x:v>43AE2142BE750E32422B8C4B8098C3F6EA6FF</x:v>
      </x:c>
      <x:c r="I165" s="22" t="str">
        <x:v>직접자원단가</x:v>
      </x:c>
      <x:c r="J165" s="34" t="n">
        <x:v>2</x:v>
      </x:c>
      <x:c r="K165" s="34" t="n">
        <x:v>0</x:v>
      </x:c>
      <x:c r="L165" s="34" t="n">
        <x:v>0</x:v>
      </x:c>
      <x:c r="M165" s="34" t="n">
        <x:f>SUM(J165:L165)</x:f>
        <x:v>2</x:v>
      </x:c>
      <x:c r="N165" s="34" t="n">
        <x:f>G165*J165</x:f>
        <x:v>766</x:v>
      </x:c>
      <x:c r="O165" s="34" t="n">
        <x:f>G165*K165</x:f>
        <x:v>0</x:v>
      </x:c>
      <x:c r="P165" s="34" t="n">
        <x:f>G165*L165</x:f>
        <x:v>0</x:v>
      </x:c>
      <x:c r="Q165" s="34" t="n">
        <x:f>SUM(N165:P165)</x:f>
        <x:v>766</x:v>
      </x:c>
      <x:c r="R165" s="22" t="str">
        <x:f>IF(M165&gt;0,"복원","미복원")</x:f>
        <x:v>복원</x:v>
      </x:c>
      <x:c r="S165" s="37" t="n">
        <x:v>293</x:v>
      </x:c>
      <x:c r="T1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5" s="22" t="str">
        <x:f>A165&amp;"|"&amp;B165</x:f>
        <x:v>병원|C-010109</x:v>
      </x:c>
      <x:c r="V165" s="22" t="n">
        <x:f>IF(M165&gt;0,1,0)</x:f>
        <x:v>1</x:v>
      </x:c>
    </x:row>
    <x:row r="166" ht="28" customHeight="1">
      <x:c r="A166" s="22" t="str">
        <x:v>병원</x:v>
      </x:c>
      <x:c r="B166" s="31" t="str">
        <x:f>"C-010109"</x:f>
        <x:v>C-010109</x:v>
      </x:c>
      <x:c r="C166" s="25" t="str">
        <x:v>010109  METAL WORKS</x:v>
      </x:c>
      <x:c r="D166" s="25" t="str">
        <x:v>Thick 15.0 suspended Acoustic Ceiling Tile on T-Bar System</x:v>
      </x:c>
      <x:c r="E166" s="25" t="str"/>
      <x:c r="F166" s="22" t="str">
        <x:v>M2</x:v>
      </x:c>
      <x:c r="G166" s="28" t="n">
        <x:v>2315</x:v>
      </x:c>
      <x:c r="H166" s="25" t="str">
        <x:v>43AE2142BE750E32422B8C4B8098C3F6EA786</x:v>
      </x:c>
      <x:c r="I166" s="22" t="str">
        <x:v>직접자원단가</x:v>
      </x:c>
      <x:c r="J166" s="34" t="n">
        <x:v>8</x:v>
      </x:c>
      <x:c r="K166" s="34" t="n">
        <x:v>0</x:v>
      </x:c>
      <x:c r="L166" s="34" t="n">
        <x:v>0</x:v>
      </x:c>
      <x:c r="M166" s="34" t="n">
        <x:f>SUM(J166:L166)</x:f>
        <x:v>8</x:v>
      </x:c>
      <x:c r="N166" s="34" t="n">
        <x:f>G166*J166</x:f>
        <x:v>18520</x:v>
      </x:c>
      <x:c r="O166" s="34" t="n">
        <x:f>G166*K166</x:f>
        <x:v>0</x:v>
      </x:c>
      <x:c r="P166" s="34" t="n">
        <x:f>G166*L166</x:f>
        <x:v>0</x:v>
      </x:c>
      <x:c r="Q166" s="34" t="n">
        <x:f>SUM(N166:P166)</x:f>
        <x:v>18520</x:v>
      </x:c>
      <x:c r="R166" s="22" t="str">
        <x:f>IF(M166&gt;0,"복원","미복원")</x:f>
        <x:v>복원</x:v>
      </x:c>
      <x:c r="S166" s="37" t="n">
        <x:v>294</x:v>
      </x:c>
      <x:c r="T1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6" s="22" t="str">
        <x:f>A166&amp;"|"&amp;B166</x:f>
        <x:v>병원|C-010109</x:v>
      </x:c>
      <x:c r="V166" s="22" t="n">
        <x:f>IF(M166&gt;0,1,0)</x:f>
        <x:v>1</x:v>
      </x:c>
    </x:row>
    <x:row r="167" ht="28" customHeight="1">
      <x:c r="A167" s="22" t="str">
        <x:v>병원</x:v>
      </x:c>
      <x:c r="B167" s="31" t="str">
        <x:f>"C-010109"</x:f>
        <x:v>C-010109</x:v>
      </x:c>
      <x:c r="C167" s="25" t="str">
        <x:v>010109  METAL WORKS</x:v>
      </x:c>
      <x:c r="D167" s="25" t="str">
        <x:v>Thick 9.5 suspended Gypsum Board 2Ply with Vinyl Paint on M-Bar System</x:v>
      </x:c>
      <x:c r="E167" s="25" t="str"/>
      <x:c r="F167" s="22" t="str">
        <x:v>M2</x:v>
      </x:c>
      <x:c r="G167" s="28" t="n">
        <x:v>223</x:v>
      </x:c>
      <x:c r="H167" s="25" t="str">
        <x:v>4482204864700D2772960003098B7</x:v>
      </x:c>
      <x:c r="I167" s="22" t="str">
        <x:v>복합일위대가</x:v>
      </x:c>
      <x:c r="J167" s="34" t="n">
        <x:v>16</x:v>
      </x:c>
      <x:c r="K167" s="34" t="n">
        <x:v>0</x:v>
      </x:c>
      <x:c r="L167" s="34" t="n">
        <x:v>0</x:v>
      </x:c>
      <x:c r="M167" s="34" t="n">
        <x:f>SUM(J167:L167)</x:f>
        <x:v>16</x:v>
      </x:c>
      <x:c r="N167" s="34" t="n">
        <x:f>G167*J167</x:f>
        <x:v>3568</x:v>
      </x:c>
      <x:c r="O167" s="34" t="n">
        <x:f>G167*K167</x:f>
        <x:v>0</x:v>
      </x:c>
      <x:c r="P167" s="34" t="n">
        <x:f>G167*L167</x:f>
        <x:v>0</x:v>
      </x:c>
      <x:c r="Q167" s="34" t="n">
        <x:f>SUM(N167:P167)</x:f>
        <x:v>3568</x:v>
      </x:c>
      <x:c r="R167" s="22" t="str">
        <x:f>IF(M167&gt;0,"복원","미복원")</x:f>
        <x:v>복원</x:v>
      </x:c>
      <x:c r="S167" s="37" t="n">
        <x:v>295</x:v>
      </x:c>
      <x:c r="T1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7" s="22" t="str">
        <x:f>A167&amp;"|"&amp;B167</x:f>
        <x:v>병원|C-010109</x:v>
      </x:c>
      <x:c r="V167" s="22" t="n">
        <x:f>IF(M167&gt;0,1,0)</x:f>
        <x:v>1</x:v>
      </x:c>
    </x:row>
    <x:row r="168" ht="28" customHeight="1">
      <x:c r="A168" s="22" t="str">
        <x:v>병원</x:v>
      </x:c>
      <x:c r="B168" s="31" t="str">
        <x:f>"C-010109"</x:f>
        <x:v>C-010109</x:v>
      </x:c>
      <x:c r="C168" s="25" t="str">
        <x:v>010109  METAL WORKS</x:v>
      </x:c>
      <x:c r="D168" s="25" t="str">
        <x:v>Thick 9.5 suspended Gypsum Board 2Ply with Anti-bacterial Paint on M-Bar System</x:v>
      </x:c>
      <x:c r="E168" s="25" t="str"/>
      <x:c r="F168" s="22" t="str">
        <x:v>M2</x:v>
      </x:c>
      <x:c r="G168" s="28" t="n">
        <x:v>571</x:v>
      </x:c>
      <x:c r="H168" s="25" t="str">
        <x:v>4482204864700D277296000309B0B</x:v>
      </x:c>
      <x:c r="I168" s="22" t="str">
        <x:v>복합일위대가</x:v>
      </x:c>
      <x:c r="J168" s="34" t="n">
        <x:v>13</x:v>
      </x:c>
      <x:c r="K168" s="34" t="n">
        <x:v>0</x:v>
      </x:c>
      <x:c r="L168" s="34" t="n">
        <x:v>0</x:v>
      </x:c>
      <x:c r="M168" s="34" t="n">
        <x:f>SUM(J168:L168)</x:f>
        <x:v>13</x:v>
      </x:c>
      <x:c r="N168" s="34" t="n">
        <x:f>G168*J168</x:f>
        <x:v>7423</x:v>
      </x:c>
      <x:c r="O168" s="34" t="n">
        <x:f>G168*K168</x:f>
        <x:v>0</x:v>
      </x:c>
      <x:c r="P168" s="34" t="n">
        <x:f>G168*L168</x:f>
        <x:v>0</x:v>
      </x:c>
      <x:c r="Q168" s="34" t="n">
        <x:f>SUM(N168:P168)</x:f>
        <x:v>7423</x:v>
      </x:c>
      <x:c r="R168" s="22" t="str">
        <x:f>IF(M168&gt;0,"복원","미복원")</x:f>
        <x:v>복원</x:v>
      </x:c>
      <x:c r="S168" s="37" t="n">
        <x:v>296</x:v>
      </x:c>
      <x:c r="T1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8" s="22" t="str">
        <x:f>A168&amp;"|"&amp;B168</x:f>
        <x:v>병원|C-010109</x:v>
      </x:c>
      <x:c r="V168" s="22" t="n">
        <x:f>IF(M168&gt;0,1,0)</x:f>
        <x:v>1</x:v>
      </x:c>
    </x:row>
    <x:row r="169" ht="28" customHeight="1">
      <x:c r="A169" s="22" t="str">
        <x:v>병원</x:v>
      </x:c>
      <x:c r="B169" s="31" t="str">
        <x:f>"C-010109"</x:f>
        <x:v>C-010109</x:v>
      </x:c>
      <x:c r="C169" s="25" t="str">
        <x:v>010109  METAL WORKS</x:v>
      </x:c>
      <x:c r="D169" s="25" t="str">
        <x:v>Suspended PVC Ceiling on M-Bar System</x:v>
      </x:c>
      <x:c r="E169" s="25" t="str"/>
      <x:c r="F169" s="22" t="str">
        <x:v>M2</x:v>
      </x:c>
      <x:c r="G169" s="28" t="n">
        <x:v>317</x:v>
      </x:c>
      <x:c r="H169" s="25" t="str">
        <x:v>43AE2142BE750E32422B8C4B8098C3F6EA204</x:v>
      </x:c>
      <x:c r="I169" s="22" t="str">
        <x:v>직접자원단가</x:v>
      </x:c>
      <x:c r="J169" s="34" t="n">
        <x:v>2</x:v>
      </x:c>
      <x:c r="K169" s="34" t="n">
        <x:v>0</x:v>
      </x:c>
      <x:c r="L169" s="34" t="n">
        <x:v>0</x:v>
      </x:c>
      <x:c r="M169" s="34" t="n">
        <x:f>SUM(J169:L169)</x:f>
        <x:v>2</x:v>
      </x:c>
      <x:c r="N169" s="34" t="n">
        <x:f>G169*J169</x:f>
        <x:v>634</x:v>
      </x:c>
      <x:c r="O169" s="34" t="n">
        <x:f>G169*K169</x:f>
        <x:v>0</x:v>
      </x:c>
      <x:c r="P169" s="34" t="n">
        <x:f>G169*L169</x:f>
        <x:v>0</x:v>
      </x:c>
      <x:c r="Q169" s="34" t="n">
        <x:f>SUM(N169:P169)</x:f>
        <x:v>634</x:v>
      </x:c>
      <x:c r="R169" s="22" t="str">
        <x:f>IF(M169&gt;0,"복원","미복원")</x:f>
        <x:v>복원</x:v>
      </x:c>
      <x:c r="S169" s="37" t="n">
        <x:v>297</x:v>
      </x:c>
      <x:c r="T1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69" s="22" t="str">
        <x:f>A169&amp;"|"&amp;B169</x:f>
        <x:v>병원|C-010109</x:v>
      </x:c>
      <x:c r="V169" s="22" t="n">
        <x:f>IF(M169&gt;0,1,0)</x:f>
        <x:v>1</x:v>
      </x:c>
    </x:row>
    <x:row r="170" ht="28" customHeight="1">
      <x:c r="A170" s="22" t="str">
        <x:v>병원</x:v>
      </x:c>
      <x:c r="B170" s="31" t="str">
        <x:f>"C-010109"</x:f>
        <x:v>C-010109</x:v>
      </x:c>
      <x:c r="C170" s="25" t="str">
        <x:v>010109  METAL WORKS</x:v>
      </x:c>
      <x:c r="D170" s="25" t="str">
        <x:v>Steel Frame, Thicknes of 1.2mm with Enamel Paint</x:v>
      </x:c>
      <x:c r="E170" s="25" t="str">
        <x:v>60*200</x:v>
      </x:c>
      <x:c r="F170" s="22" t="str">
        <x:v>M</x:v>
      </x:c>
      <x:c r="G170" s="28" t="n">
        <x:v>27</x:v>
      </x:c>
      <x:c r="H170" s="25" t="str">
        <x:v>4482254042708488C255237AA3726</x:v>
      </x:c>
      <x:c r="I170" s="22" t="str">
        <x:v>복합일위대가</x:v>
      </x:c>
      <x:c r="J170" s="34" t="n">
        <x:v>5.91</x:v>
      </x:c>
      <x:c r="K170" s="34" t="n">
        <x:v>11.64</x:v>
      </x:c>
      <x:c r="L170" s="34" t="n">
        <x:v>0.43</x:v>
      </x:c>
      <x:c r="M170" s="34" t="n">
        <x:f>SUM(J170:L170)</x:f>
        <x:v>17.98</x:v>
      </x:c>
      <x:c r="N170" s="34" t="n">
        <x:f>G170*J170</x:f>
        <x:v>159.57</x:v>
      </x:c>
      <x:c r="O170" s="34" t="n">
        <x:f>G170*K170</x:f>
        <x:v>314.28000000000003</x:v>
      </x:c>
      <x:c r="P170" s="34" t="n">
        <x:f>G170*L170</x:f>
        <x:v>11.61</x:v>
      </x:c>
      <x:c r="Q170" s="34" t="n">
        <x:f>SUM(N170:P170)</x:f>
        <x:v>485.46000000000004</x:v>
      </x:c>
      <x:c r="R170" s="22" t="str">
        <x:f>IF(M170&gt;0,"복원","미복원")</x:f>
        <x:v>복원</x:v>
      </x:c>
      <x:c r="S170" s="37" t="n">
        <x:v>298</x:v>
      </x:c>
      <x:c r="T1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0" s="22" t="str">
        <x:f>A170&amp;"|"&amp;B170</x:f>
        <x:v>병원|C-010109</x:v>
      </x:c>
      <x:c r="V170" s="22" t="n">
        <x:f>IF(M170&gt;0,1,0)</x:f>
        <x:v>1</x:v>
      </x:c>
    </x:row>
    <x:row r="171" ht="28" customHeight="1">
      <x:c r="A171" s="22" t="str">
        <x:v>병원</x:v>
      </x:c>
      <x:c r="B171" s="31" t="str">
        <x:f>"C-010109"</x:f>
        <x:v>C-010109</x:v>
      </x:c>
      <x:c r="C171" s="25" t="str">
        <x:v>010109  METAL WORKS</x:v>
      </x:c>
      <x:c r="D171" s="25" t="str">
        <x:v>Steel Frame, Thicknes of 1.2mm with Enamel Paint</x:v>
      </x:c>
      <x:c r="E171" s="25" t="str">
        <x:v>300*300</x:v>
      </x:c>
      <x:c r="F171" s="22" t="str">
        <x:v>M</x:v>
      </x:c>
      <x:c r="G171" s="28" t="n">
        <x:v>15</x:v>
      </x:c>
      <x:c r="H171" s="25" t="str">
        <x:v>4482254042708488C255237AA30F6</x:v>
      </x:c>
      <x:c r="I171" s="22" t="str">
        <x:v>복합일위대가</x:v>
      </x:c>
      <x:c r="J171" s="34" t="n">
        <x:v>7.69</x:v>
      </x:c>
      <x:c r="K171" s="34" t="n">
        <x:v>15.19</x:v>
      </x:c>
      <x:c r="L171" s="34" t="n">
        <x:v>0.56</x:v>
      </x:c>
      <x:c r="M171" s="34" t="n">
        <x:f>SUM(J171:L171)</x:f>
        <x:v>23.439999999999998</x:v>
      </x:c>
      <x:c r="N171" s="34" t="n">
        <x:f>G171*J171</x:f>
        <x:v>115.35000000000001</x:v>
      </x:c>
      <x:c r="O171" s="34" t="n">
        <x:f>G171*K171</x:f>
        <x:v>227.85</x:v>
      </x:c>
      <x:c r="P171" s="34" t="n">
        <x:f>G171*L171</x:f>
        <x:v>8.4</x:v>
      </x:c>
      <x:c r="Q171" s="34" t="n">
        <x:f>SUM(N171:P171)</x:f>
        <x:v>351.59999999999997</x:v>
      </x:c>
      <x:c r="R171" s="22" t="str">
        <x:f>IF(M171&gt;0,"복원","미복원")</x:f>
        <x:v>복원</x:v>
      </x:c>
      <x:c r="S171" s="37" t="n">
        <x:v>299</x:v>
      </x:c>
      <x:c r="T1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1" s="22" t="str">
        <x:f>A171&amp;"|"&amp;B171</x:f>
        <x:v>병원|C-010109</x:v>
      </x:c>
      <x:c r="V171" s="22" t="n">
        <x:f>IF(M171&gt;0,1,0)</x:f>
        <x:v>1</x:v>
      </x:c>
    </x:row>
    <x:row r="172" ht="28" customHeight="1">
      <x:c r="A172" s="22" t="str">
        <x:v>병원</x:v>
      </x:c>
      <x:c r="B172" s="31" t="str">
        <x:f>"C-010109"</x:f>
        <x:v>C-010109</x:v>
      </x:c>
      <x:c r="C172" s="25" t="str">
        <x:v>010109  METAL WORKS</x:v>
      </x:c>
      <x:c r="D172" s="25" t="str">
        <x:v>Steel Frame, Thicknes of 1.6mm with Enamel Paint</x:v>
      </x:c>
      <x:c r="E172" s="25" t="str">
        <x:v>500*300</x:v>
      </x:c>
      <x:c r="F172" s="22" t="str">
        <x:v>M</x:v>
      </x:c>
      <x:c r="G172" s="28" t="n">
        <x:v>31</x:v>
      </x:c>
      <x:c r="H172" s="25" t="str">
        <x:v>4482254042708488C255237AA319D</x:v>
      </x:c>
      <x:c r="I172" s="22" t="str">
        <x:v>복합일위대가</x:v>
      </x:c>
      <x:c r="J172" s="34" t="n">
        <x:v>14.97</x:v>
      </x:c>
      <x:c r="K172" s="34" t="n">
        <x:v>32.37</x:v>
      </x:c>
      <x:c r="L172" s="34" t="n">
        <x:v>1.23</x:v>
      </x:c>
      <x:c r="M172" s="34" t="n">
        <x:f>SUM(J172:L172)</x:f>
        <x:v>48.56999999999999</x:v>
      </x:c>
      <x:c r="N172" s="34" t="n">
        <x:f>G172*J172</x:f>
        <x:v>464.07</x:v>
      </x:c>
      <x:c r="O172" s="34" t="n">
        <x:f>G172*K172</x:f>
        <x:v>1003.4699999999999</x:v>
      </x:c>
      <x:c r="P172" s="34" t="n">
        <x:f>G172*L172</x:f>
        <x:v>38.13</x:v>
      </x:c>
      <x:c r="Q172" s="34" t="n">
        <x:f>SUM(N172:P172)</x:f>
        <x:v>1505.67</x:v>
      </x:c>
      <x:c r="R172" s="22" t="str">
        <x:f>IF(M172&gt;0,"복원","미복원")</x:f>
        <x:v>복원</x:v>
      </x:c>
      <x:c r="S172" s="37" t="n">
        <x:v>300</x:v>
      </x:c>
      <x:c r="T1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2" s="22" t="str">
        <x:f>A172&amp;"|"&amp;B172</x:f>
        <x:v>병원|C-010109</x:v>
      </x:c>
      <x:c r="V172" s="22" t="n">
        <x:f>IF(M172&gt;0,1,0)</x:f>
        <x:v>1</x:v>
      </x:c>
    </x:row>
    <x:row r="173" ht="28" customHeight="1">
      <x:c r="A173" s="22" t="str">
        <x:v>병원</x:v>
      </x:c>
      <x:c r="B173" s="31" t="str">
        <x:f>"C-010109"</x:f>
        <x:v>C-010109</x:v>
      </x:c>
      <x:c r="C173" s="25" t="str">
        <x:v>010109  METAL WORKS</x:v>
      </x:c>
      <x:c r="D173" s="25" t="str">
        <x:v>AL moulding W-type,15*15*15*15*1.0mm</x:v>
      </x:c>
      <x:c r="E173" s="25" t="str"/>
      <x:c r="F173" s="22" t="str">
        <x:v>M</x:v>
      </x:c>
      <x:c r="G173" s="28" t="n">
        <x:v>4241</x:v>
      </x:c>
      <x:c r="H173" s="25" t="str">
        <x:v>44822048E975DE1D9278198E7A89C</x:v>
      </x:c>
      <x:c r="I173" s="22" t="str">
        <x:v>복합일위대가</x:v>
      </x:c>
      <x:c r="J173" s="34" t="n">
        <x:v>2.23</x:v>
      </x:c>
      <x:c r="K173" s="34" t="n">
        <x:v>2.57</x:v>
      </x:c>
      <x:c r="L173" s="34" t="n">
        <x:v>0</x:v>
      </x:c>
      <x:c r="M173" s="34" t="n">
        <x:f>SUM(J173:L173)</x:f>
        <x:v>4.8</x:v>
      </x:c>
      <x:c r="N173" s="34" t="n">
        <x:f>G173*J173</x:f>
        <x:v>9457.43</x:v>
      </x:c>
      <x:c r="O173" s="34" t="n">
        <x:f>G173*K173</x:f>
        <x:v>10899.369999999999</x:v>
      </x:c>
      <x:c r="P173" s="34" t="n">
        <x:f>G173*L173</x:f>
        <x:v>0</x:v>
      </x:c>
      <x:c r="Q173" s="34" t="n">
        <x:f>SUM(N173:P173)</x:f>
        <x:v>20356.8</x:v>
      </x:c>
      <x:c r="R173" s="22" t="str">
        <x:f>IF(M173&gt;0,"복원","미복원")</x:f>
        <x:v>복원</x:v>
      </x:c>
      <x:c r="S173" s="37" t="n">
        <x:v>301</x:v>
      </x:c>
      <x:c r="T1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3" s="22" t="str">
        <x:f>A173&amp;"|"&amp;B173</x:f>
        <x:v>병원|C-010109</x:v>
      </x:c>
      <x:c r="V173" s="22" t="n">
        <x:f>IF(M173&gt;0,1,0)</x:f>
        <x:v>1</x:v>
      </x:c>
    </x:row>
    <x:row r="174" ht="28" customHeight="1">
      <x:c r="A174" s="22" t="str">
        <x:v>병원</x:v>
      </x:c>
      <x:c r="B174" s="31" t="str">
        <x:f>"C-010109"</x:f>
        <x:v>C-010109</x:v>
      </x:c>
      <x:c r="C174" s="25" t="str">
        <x:v>010109  METAL WORKS</x:v>
      </x:c>
      <x:c r="D174" s="25" t="str">
        <x:v>AL moulding Round-type, 50*50*1.3mm</x:v>
      </x:c>
      <x:c r="E174" s="25" t="str"/>
      <x:c r="F174" s="22" t="str">
        <x:v>M</x:v>
      </x:c>
      <x:c r="G174" s="28" t="n">
        <x:v>91</x:v>
      </x:c>
      <x:c r="H174" s="25" t="str">
        <x:v>44822048E975DE1D9278198E7AB50</x:v>
      </x:c>
      <x:c r="I174" s="22" t="str">
        <x:v>복합일위대가</x:v>
      </x:c>
      <x:c r="J174" s="34" t="n">
        <x:v>2.4</x:v>
      </x:c>
      <x:c r="K174" s="34" t="n">
        <x:v>2.57</x:v>
      </x:c>
      <x:c r="L174" s="34" t="n">
        <x:v>0</x:v>
      </x:c>
      <x:c r="M174" s="34" t="n">
        <x:f>SUM(J174:L174)</x:f>
        <x:v>4.97</x:v>
      </x:c>
      <x:c r="N174" s="34" t="n">
        <x:f>G174*J174</x:f>
        <x:v>218.4</x:v>
      </x:c>
      <x:c r="O174" s="34" t="n">
        <x:f>G174*K174</x:f>
        <x:v>233.86999999999998</x:v>
      </x:c>
      <x:c r="P174" s="34" t="n">
        <x:f>G174*L174</x:f>
        <x:v>0</x:v>
      </x:c>
      <x:c r="Q174" s="34" t="n">
        <x:f>SUM(N174:P174)</x:f>
        <x:v>452.27</x:v>
      </x:c>
      <x:c r="R174" s="22" t="str">
        <x:f>IF(M174&gt;0,"복원","미복원")</x:f>
        <x:v>복원</x:v>
      </x:c>
      <x:c r="S174" s="37" t="n">
        <x:v>302</x:v>
      </x:c>
      <x:c r="T1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4" s="22" t="str">
        <x:f>A174&amp;"|"&amp;B174</x:f>
        <x:v>병원|C-010109</x:v>
      </x:c>
      <x:c r="V174" s="22" t="n">
        <x:f>IF(M174&gt;0,1,0)</x:f>
        <x:v>1</x:v>
      </x:c>
    </x:row>
    <x:row r="175" ht="28" customHeight="1">
      <x:c r="A175" s="22" t="str">
        <x:v>병원</x:v>
      </x:c>
      <x:c r="B175" s="31" t="str">
        <x:f>"C-010109"</x:f>
        <x:v>C-010109</x:v>
      </x:c>
      <x:c r="C175" s="25" t="str">
        <x:v>010109  METAL WORKS</x:v>
      </x:c>
      <x:c r="D175" s="25" t="str">
        <x:v>Tile Corner Guard</x:v>
      </x:c>
      <x:c r="E175" s="25" t="str">
        <x:v>Stainless Steel 1.2t*30*30(Caulking 5*5)</x:v>
      </x:c>
      <x:c r="F175" s="22" t="str">
        <x:v>M</x:v>
      </x:c>
      <x:c r="G175" s="28" t="n">
        <x:v>68</x:v>
      </x:c>
      <x:c r="H175" s="25" t="str">
        <x:v>4482284B7870782B32642A2276CCE</x:v>
      </x:c>
      <x:c r="I175" s="22" t="str">
        <x:v>복합일위대가</x:v>
      </x:c>
      <x:c r="J175" s="34" t="n">
        <x:v>4.13</x:v>
      </x:c>
      <x:c r="K175" s="34" t="n">
        <x:v>6.57</x:v>
      </x:c>
      <x:c r="L175" s="34" t="n">
        <x:v>0.17</x:v>
      </x:c>
      <x:c r="M175" s="34" t="n">
        <x:f>SUM(J175:L175)</x:f>
        <x:v>10.87</x:v>
      </x:c>
      <x:c r="N175" s="34" t="n">
        <x:f>G175*J175</x:f>
        <x:v>280.84</x:v>
      </x:c>
      <x:c r="O175" s="34" t="n">
        <x:f>G175*K175</x:f>
        <x:v>446.76</x:v>
      </x:c>
      <x:c r="P175" s="34" t="n">
        <x:f>G175*L175</x:f>
        <x:v>11.56</x:v>
      </x:c>
      <x:c r="Q175" s="34" t="n">
        <x:f>SUM(N175:P175)</x:f>
        <x:v>739.1599999999999</x:v>
      </x:c>
      <x:c r="R175" s="22" t="str">
        <x:f>IF(M175&gt;0,"복원","미복원")</x:f>
        <x:v>복원</x:v>
      </x:c>
      <x:c r="S175" s="37" t="n">
        <x:v>303</x:v>
      </x:c>
      <x:c r="T1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5" s="22" t="str">
        <x:f>A175&amp;"|"&amp;B175</x:f>
        <x:v>병원|C-010109</x:v>
      </x:c>
      <x:c r="V175" s="22" t="n">
        <x:f>IF(M175&gt;0,1,0)</x:f>
        <x:v>1</x:v>
      </x:c>
    </x:row>
    <x:row r="176" ht="28" customHeight="1">
      <x:c r="A176" s="22" t="str">
        <x:v>병원</x:v>
      </x:c>
      <x:c r="B176" s="31" t="str">
        <x:f>"C-010109"</x:f>
        <x:v>C-010109</x:v>
      </x:c>
      <x:c r="C176" s="25" t="str">
        <x:v>010109  METAL WORKS</x:v>
      </x:c>
      <x:c r="D176" s="25" t="str">
        <x:v>Supply and SST Cat Ladder in Roof, 400mm x 5000mm high</x:v>
      </x:c>
      <x:c r="E176" s="25" t="str"/>
      <x:c r="F176" s="22" t="str">
        <x:v>EA</x:v>
      </x:c>
      <x:c r="G176" s="28" t="n">
        <x:v>1</x:v>
      </x:c>
      <x:c r="H176" s="25" t="str">
        <x:v>44822540B573CE783226E40F9A622</x:v>
      </x:c>
      <x:c r="I176" s="22" t="str">
        <x:v>복합일위대가</x:v>
      </x:c>
      <x:c r="J176" s="34" t="n">
        <x:v>114.4</x:v>
      </x:c>
      <x:c r="K176" s="34" t="n">
        <x:v>53.05</x:v>
      </x:c>
      <x:c r="L176" s="34" t="n">
        <x:v>2.15</x:v>
      </x:c>
      <x:c r="M176" s="34" t="n">
        <x:f>SUM(J176:L176)</x:f>
        <x:v>169.6</x:v>
      </x:c>
      <x:c r="N176" s="34" t="n">
        <x:f>G176*J176</x:f>
        <x:v>114.4</x:v>
      </x:c>
      <x:c r="O176" s="34" t="n">
        <x:f>G176*K176</x:f>
        <x:v>53.05</x:v>
      </x:c>
      <x:c r="P176" s="34" t="n">
        <x:f>G176*L176</x:f>
        <x:v>2.15</x:v>
      </x:c>
      <x:c r="Q176" s="34" t="n">
        <x:f>SUM(N176:P176)</x:f>
        <x:v>169.6</x:v>
      </x:c>
      <x:c r="R176" s="22" t="str">
        <x:f>IF(M176&gt;0,"복원","미복원")</x:f>
        <x:v>복원</x:v>
      </x:c>
      <x:c r="S176" s="37" t="n">
        <x:v>304</x:v>
      </x:c>
      <x:c r="T1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6" s="22" t="str">
        <x:f>A176&amp;"|"&amp;B176</x:f>
        <x:v>병원|C-010109</x:v>
      </x:c>
      <x:c r="V176" s="22" t="n">
        <x:f>IF(M176&gt;0,1,0)</x:f>
        <x:v>1</x:v>
      </x:c>
    </x:row>
    <x:row r="177" ht="28" customHeight="1">
      <x:c r="A177" s="22" t="str">
        <x:v>병원</x:v>
      </x:c>
      <x:c r="B177" s="31" t="str">
        <x:f>"C-010109"</x:f>
        <x:v>C-010109</x:v>
      </x:c>
      <x:c r="C177" s="25" t="str">
        <x:v>010109  METAL WORKS</x:v>
      </x:c>
      <x:c r="D177" s="25" t="str">
        <x:v>Supply and fixed of SST Ladder in E.V pit</x:v>
      </x:c>
      <x:c r="E177" s="25" t="str">
        <x:v>400mm x 3.15m high</x:v>
      </x:c>
      <x:c r="F177" s="22" t="str">
        <x:v>EA</x:v>
      </x:c>
      <x:c r="G177" s="28" t="n">
        <x:v>2</x:v>
      </x:c>
      <x:c r="H177" s="25" t="str">
        <x:v>44822540B573CE783226E40F9A474</x:v>
      </x:c>
      <x:c r="I177" s="22" t="str">
        <x:v>복합일위대가</x:v>
      </x:c>
      <x:c r="J177" s="34" t="n">
        <x:v>72.08</x:v>
      </x:c>
      <x:c r="K177" s="34" t="n">
        <x:v>33.43</x:v>
      </x:c>
      <x:c r="L177" s="34" t="n">
        <x:v>1.36</x:v>
      </x:c>
      <x:c r="M177" s="34" t="n">
        <x:f>SUM(J177:L177)</x:f>
        <x:v>106.86999999999999</x:v>
      </x:c>
      <x:c r="N177" s="34" t="n">
        <x:f>G177*J177</x:f>
        <x:v>144.16</x:v>
      </x:c>
      <x:c r="O177" s="34" t="n">
        <x:f>G177*K177</x:f>
        <x:v>66.86</x:v>
      </x:c>
      <x:c r="P177" s="34" t="n">
        <x:f>G177*L177</x:f>
        <x:v>2.72</x:v>
      </x:c>
      <x:c r="Q177" s="34" t="n">
        <x:f>SUM(N177:P177)</x:f>
        <x:v>213.73999999999998</x:v>
      </x:c>
      <x:c r="R177" s="22" t="str">
        <x:f>IF(M177&gt;0,"복원","미복원")</x:f>
        <x:v>복원</x:v>
      </x:c>
      <x:c r="S177" s="37" t="n">
        <x:v>305</x:v>
      </x:c>
      <x:c r="T1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7" s="22" t="str">
        <x:f>A177&amp;"|"&amp;B177</x:f>
        <x:v>병원|C-010109</x:v>
      </x:c>
      <x:c r="V177" s="22" t="n">
        <x:f>IF(M177&gt;0,1,0)</x:f>
        <x:v>1</x:v>
      </x:c>
    </x:row>
    <x:row r="178" ht="28" customHeight="1">
      <x:c r="A178" s="22" t="str">
        <x:v>병원</x:v>
      </x:c>
      <x:c r="B178" s="31" t="str">
        <x:f>"C-010109"</x:f>
        <x:v>C-010109</x:v>
      </x:c>
      <x:c r="C178" s="25" t="str">
        <x:v>010109  METAL WORKS</x:v>
      </x:c>
      <x:c r="D178" s="25" t="str">
        <x:v>HR-1</x:v>
      </x:c>
      <x:c r="E178" s="25" t="str"/>
      <x:c r="F178" s="22" t="str">
        <x:v>M</x:v>
      </x:c>
      <x:c r="G178" s="28" t="n">
        <x:v>13</x:v>
      </x:c>
      <x:c r="H178" s="25" t="str">
        <x:v>44822540A47860F2421589785981A</x:v>
      </x:c>
      <x:c r="I178" s="22" t="str">
        <x:v>복합일위대가</x:v>
      </x:c>
      <x:c r="J178" s="34" t="n">
        <x:v>80.13</x:v>
      </x:c>
      <x:c r="K178" s="34" t="n">
        <x:v>38.64</x:v>
      </x:c>
      <x:c r="L178" s="34" t="n">
        <x:v>0.3</x:v>
      </x:c>
      <x:c r="M178" s="34" t="n">
        <x:f>SUM(J178:L178)</x:f>
        <x:v>119.07</x:v>
      </x:c>
      <x:c r="N178" s="34" t="n">
        <x:f>G178*J178</x:f>
        <x:v>1041.69</x:v>
      </x:c>
      <x:c r="O178" s="34" t="n">
        <x:f>G178*K178</x:f>
        <x:v>502.32</x:v>
      </x:c>
      <x:c r="P178" s="34" t="n">
        <x:f>G178*L178</x:f>
        <x:v>3.9</x:v>
      </x:c>
      <x:c r="Q178" s="34" t="n">
        <x:f>SUM(N178:P178)</x:f>
        <x:v>1547.91</x:v>
      </x:c>
      <x:c r="R178" s="22" t="str">
        <x:f>IF(M178&gt;0,"복원","미복원")</x:f>
        <x:v>복원</x:v>
      </x:c>
      <x:c r="S178" s="37" t="n">
        <x:v>306</x:v>
      </x:c>
      <x:c r="T1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8" s="22" t="str">
        <x:f>A178&amp;"|"&amp;B178</x:f>
        <x:v>병원|C-010109</x:v>
      </x:c>
      <x:c r="V178" s="22" t="n">
        <x:f>IF(M178&gt;0,1,0)</x:f>
        <x:v>1</x:v>
      </x:c>
    </x:row>
    <x:row r="179" ht="28" customHeight="1">
      <x:c r="A179" s="22" t="str">
        <x:v>병원</x:v>
      </x:c>
      <x:c r="B179" s="31" t="str">
        <x:f>"C-010109"</x:f>
        <x:v>C-010109</x:v>
      </x:c>
      <x:c r="C179" s="25" t="str">
        <x:v>010109  METAL WORKS</x:v>
      </x:c>
      <x:c r="D179" s="25" t="str">
        <x:v>HR-2</x:v>
      </x:c>
      <x:c r="E179" s="25" t="str"/>
      <x:c r="F179" s="22" t="str">
        <x:v>M</x:v>
      </x:c>
      <x:c r="G179" s="28" t="n">
        <x:v>24</x:v>
      </x:c>
      <x:c r="H179" s="25" t="str">
        <x:v>44822540A47860F24215897859BEE</x:v>
      </x:c>
      <x:c r="I179" s="22" t="str">
        <x:v>복합일위대가</x:v>
      </x:c>
      <x:c r="J179" s="34" t="n">
        <x:v>58.34</x:v>
      </x:c>
      <x:c r="K179" s="34" t="n">
        <x:v>115.97</x:v>
      </x:c>
      <x:c r="L179" s="34" t="n">
        <x:v>5.15</x:v>
      </x:c>
      <x:c r="M179" s="34" t="n">
        <x:f>SUM(J179:L179)</x:f>
        <x:v>179.46</x:v>
      </x:c>
      <x:c r="N179" s="34" t="n">
        <x:f>G179*J179</x:f>
        <x:v>1400.16</x:v>
      </x:c>
      <x:c r="O179" s="34" t="n">
        <x:f>G179*K179</x:f>
        <x:v>2783.2799999999997</x:v>
      </x:c>
      <x:c r="P179" s="34" t="n">
        <x:f>G179*L179</x:f>
        <x:v>123.60000000000001</x:v>
      </x:c>
      <x:c r="Q179" s="34" t="n">
        <x:f>SUM(N179:P179)</x:f>
        <x:v>4307.04</x:v>
      </x:c>
      <x:c r="R179" s="22" t="str">
        <x:f>IF(M179&gt;0,"복원","미복원")</x:f>
        <x:v>복원</x:v>
      </x:c>
      <x:c r="S179" s="37" t="n">
        <x:v>307</x:v>
      </x:c>
      <x:c r="T1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79" s="22" t="str">
        <x:f>A179&amp;"|"&amp;B179</x:f>
        <x:v>병원|C-010109</x:v>
      </x:c>
      <x:c r="V179" s="22" t="n">
        <x:f>IF(M179&gt;0,1,0)</x:f>
        <x:v>1</x:v>
      </x:c>
    </x:row>
    <x:row r="180" ht="28" customHeight="1">
      <x:c r="A180" s="22" t="str">
        <x:v>병원</x:v>
      </x:c>
      <x:c r="B180" s="31" t="str">
        <x:f>"C-010109"</x:f>
        <x:v>C-010109</x:v>
      </x:c>
      <x:c r="C180" s="25" t="str">
        <x:v>010109  METAL WORKS</x:v>
      </x:c>
      <x:c r="D180" s="25" t="str">
        <x:v>HR-3</x:v>
      </x:c>
      <x:c r="E180" s="25" t="str"/>
      <x:c r="F180" s="22" t="str">
        <x:v>M</x:v>
      </x:c>
      <x:c r="G180" s="28" t="n">
        <x:v>8</x:v>
      </x:c>
      <x:c r="H180" s="25" t="str">
        <x:v>44822540A47860F24215897859AC7</x:v>
      </x:c>
      <x:c r="I180" s="22" t="str">
        <x:v>복합일위대가</x:v>
      </x:c>
      <x:c r="J180" s="34" t="n">
        <x:v>44.72</x:v>
      </x:c>
      <x:c r="K180" s="34" t="n">
        <x:v>90.18</x:v>
      </x:c>
      <x:c r="L180" s="34" t="n">
        <x:v>3.97</x:v>
      </x:c>
      <x:c r="M180" s="34" t="n">
        <x:f>SUM(J180:L180)</x:f>
        <x:v>138.87</x:v>
      </x:c>
      <x:c r="N180" s="34" t="n">
        <x:f>G180*J180</x:f>
        <x:v>357.76</x:v>
      </x:c>
      <x:c r="O180" s="34" t="n">
        <x:f>G180*K180</x:f>
        <x:v>721.44</x:v>
      </x:c>
      <x:c r="P180" s="34" t="n">
        <x:f>G180*L180</x:f>
        <x:v>31.76</x:v>
      </x:c>
      <x:c r="Q180" s="34" t="n">
        <x:f>SUM(N180:P180)</x:f>
        <x:v>1110.96</x:v>
      </x:c>
      <x:c r="R180" s="22" t="str">
        <x:f>IF(M180&gt;0,"복원","미복원")</x:f>
        <x:v>복원</x:v>
      </x:c>
      <x:c r="S180" s="37" t="n">
        <x:v>308</x:v>
      </x:c>
      <x:c r="T1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0" s="22" t="str">
        <x:f>A180&amp;"|"&amp;B180</x:f>
        <x:v>병원|C-010109</x:v>
      </x:c>
      <x:c r="V180" s="22" t="n">
        <x:f>IF(M180&gt;0,1,0)</x:f>
        <x:v>1</x:v>
      </x:c>
    </x:row>
    <x:row r="181" ht="28" customHeight="1">
      <x:c r="A181" s="22" t="str">
        <x:v>병원</x:v>
      </x:c>
      <x:c r="B181" s="31" t="str">
        <x:f>"C-010109"</x:f>
        <x:v>C-010109</x:v>
      </x:c>
      <x:c r="C181" s="25" t="str">
        <x:v>010109  METAL WORKS</x:v>
      </x:c>
      <x:c r="D181" s="25" t="str">
        <x:v>HR-4</x:v>
      </x:c>
      <x:c r="E181" s="25" t="str"/>
      <x:c r="F181" s="22" t="str">
        <x:v>M</x:v>
      </x:c>
      <x:c r="G181" s="28" t="n">
        <x:v>84</x:v>
      </x:c>
      <x:c r="H181" s="25" t="str">
        <x:v>44822540A47860F24215897859D9C</x:v>
      </x:c>
      <x:c r="I181" s="22" t="str">
        <x:v>복합일위대가</x:v>
      </x:c>
      <x:c r="J181" s="34" t="n">
        <x:v>16.95</x:v>
      </x:c>
      <x:c r="K181" s="34" t="n">
        <x:v>19.13</x:v>
      </x:c>
      <x:c r="L181" s="34" t="n">
        <x:v>0.9</x:v>
      </x:c>
      <x:c r="M181" s="34" t="n">
        <x:f>SUM(J181:L181)</x:f>
        <x:v>36.98</x:v>
      </x:c>
      <x:c r="N181" s="34" t="n">
        <x:f>G181*J181</x:f>
        <x:v>1423.8</x:v>
      </x:c>
      <x:c r="O181" s="34" t="n">
        <x:f>G181*K181</x:f>
        <x:v>1606.9199999999998</x:v>
      </x:c>
      <x:c r="P181" s="34" t="n">
        <x:f>G181*L181</x:f>
        <x:v>75.60000000000001</x:v>
      </x:c>
      <x:c r="Q181" s="34" t="n">
        <x:f>SUM(N181:P181)</x:f>
        <x:v>3106.3199999999997</x:v>
      </x:c>
      <x:c r="R181" s="22" t="str">
        <x:f>IF(M181&gt;0,"복원","미복원")</x:f>
        <x:v>복원</x:v>
      </x:c>
      <x:c r="S181" s="37" t="n">
        <x:v>309</x:v>
      </x:c>
      <x:c r="T1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1" s="22" t="str">
        <x:f>A181&amp;"|"&amp;B181</x:f>
        <x:v>병원|C-010109</x:v>
      </x:c>
      <x:c r="V181" s="22" t="n">
        <x:f>IF(M181&gt;0,1,0)</x:f>
        <x:v>1</x:v>
      </x:c>
    </x:row>
    <x:row r="182" ht="28" customHeight="1">
      <x:c r="A182" s="22" t="str">
        <x:v>병원</x:v>
      </x:c>
      <x:c r="B182" s="31" t="str">
        <x:f>"C-010109"</x:f>
        <x:v>C-010109</x:v>
      </x:c>
      <x:c r="C182" s="25" t="str">
        <x:v>010109  METAL WORKS</x:v>
      </x:c>
      <x:c r="D182" s="25" t="str">
        <x:v>HR-5</x:v>
      </x:c>
      <x:c r="E182" s="25" t="str"/>
      <x:c r="F182" s="22" t="str">
        <x:v>M</x:v>
      </x:c>
      <x:c r="G182" s="28" t="n">
        <x:v>3</x:v>
      </x:c>
      <x:c r="H182" s="25" t="str">
        <x:v>44822540A47860F24215897859CF5</x:v>
      </x:c>
      <x:c r="I182" s="22" t="str">
        <x:v>복합일위대가</x:v>
      </x:c>
      <x:c r="J182" s="34" t="n">
        <x:v>17.29</x:v>
      </x:c>
      <x:c r="K182" s="34" t="n">
        <x:v>9.06</x:v>
      </x:c>
      <x:c r="L182" s="34" t="n">
        <x:v>0.22</x:v>
      </x:c>
      <x:c r="M182" s="34" t="n">
        <x:f>SUM(J182:L182)</x:f>
        <x:v>26.57</x:v>
      </x:c>
      <x:c r="N182" s="34" t="n">
        <x:f>G182*J182</x:f>
        <x:v>51.87</x:v>
      </x:c>
      <x:c r="O182" s="34" t="n">
        <x:f>G182*K182</x:f>
        <x:v>27.18</x:v>
      </x:c>
      <x:c r="P182" s="34" t="n">
        <x:f>G182*L182</x:f>
        <x:v>0.66</x:v>
      </x:c>
      <x:c r="Q182" s="34" t="n">
        <x:f>SUM(N182:P182)</x:f>
        <x:v>79.71</x:v>
      </x:c>
      <x:c r="R182" s="22" t="str">
        <x:f>IF(M182&gt;0,"복원","미복원")</x:f>
        <x:v>복원</x:v>
      </x:c>
      <x:c r="S182" s="37" t="n">
        <x:v>310</x:v>
      </x:c>
      <x:c r="T1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2" s="22" t="str">
        <x:f>A182&amp;"|"&amp;B182</x:f>
        <x:v>병원|C-010109</x:v>
      </x:c>
      <x:c r="V182" s="22" t="n">
        <x:f>IF(M182&gt;0,1,0)</x:f>
        <x:v>1</x:v>
      </x:c>
    </x:row>
    <x:row r="183" ht="28" customHeight="1">
      <x:c r="A183" s="22" t="str">
        <x:v>병원</x:v>
      </x:c>
      <x:c r="B183" s="31" t="str">
        <x:f>"C-010109"</x:f>
        <x:v>C-010109</x:v>
      </x:c>
      <x:c r="C183" s="25" t="str">
        <x:v>010109  METAL WORKS</x:v>
      </x:c>
      <x:c r="D183" s="25" t="str">
        <x:v>HR-6</x:v>
      </x:c>
      <x:c r="E183" s="25" t="str"/>
      <x:c r="F183" s="22" t="str">
        <x:v>M</x:v>
      </x:c>
      <x:c r="G183" s="28" t="n">
        <x:v>3</x:v>
      </x:c>
      <x:c r="H183" s="25" t="str">
        <x:v>44822540A47860F24215897859F49</x:v>
      </x:c>
      <x:c r="I183" s="22" t="str">
        <x:v>복합일위대가</x:v>
      </x:c>
      <x:c r="J183" s="34" t="n">
        <x:v>58.34</x:v>
      </x:c>
      <x:c r="K183" s="34" t="n">
        <x:v>115.97</x:v>
      </x:c>
      <x:c r="L183" s="34" t="n">
        <x:v>5.15</x:v>
      </x:c>
      <x:c r="M183" s="34" t="n">
        <x:f>SUM(J183:L183)</x:f>
        <x:v>179.46</x:v>
      </x:c>
      <x:c r="N183" s="34" t="n">
        <x:f>G183*J183</x:f>
        <x:v>175.02</x:v>
      </x:c>
      <x:c r="O183" s="34" t="n">
        <x:f>G183*K183</x:f>
        <x:v>347.90999999999997</x:v>
      </x:c>
      <x:c r="P183" s="34" t="n">
        <x:f>G183*L183</x:f>
        <x:v>15.450000000000001</x:v>
      </x:c>
      <x:c r="Q183" s="34" t="n">
        <x:f>SUM(N183:P183)</x:f>
        <x:v>538.38</x:v>
      </x:c>
      <x:c r="R183" s="22" t="str">
        <x:f>IF(M183&gt;0,"복원","미복원")</x:f>
        <x:v>복원</x:v>
      </x:c>
      <x:c r="S183" s="37" t="n">
        <x:v>311</x:v>
      </x:c>
      <x:c r="T1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3" s="22" t="str">
        <x:f>A183&amp;"|"&amp;B183</x:f>
        <x:v>병원|C-010109</x:v>
      </x:c>
      <x:c r="V183" s="22" t="n">
        <x:f>IF(M183&gt;0,1,0)</x:f>
        <x:v>1</x:v>
      </x:c>
    </x:row>
    <x:row r="184" ht="28" customHeight="1">
      <x:c r="A184" s="22" t="str">
        <x:v>병원</x:v>
      </x:c>
      <x:c r="B184" s="31" t="str">
        <x:f>"C-010109"</x:f>
        <x:v>C-010109</x:v>
      </x:c>
      <x:c r="C184" s="25" t="str">
        <x:v>010109  METAL WORKS</x:v>
      </x:c>
      <x:c r="D184" s="25" t="str">
        <x:v>Supply and fixed of Wiremesh On Floor, #8-150*150</x:v>
      </x:c>
      <x:c r="E184" s="25" t="str"/>
      <x:c r="F184" s="22" t="str">
        <x:v>M2</x:v>
      </x:c>
      <x:c r="G184" s="28" t="n">
        <x:v>3671</x:v>
      </x:c>
      <x:c r="H184" s="25" t="str">
        <x:v>44822540D17E8D4602588173AE071</x:v>
      </x:c>
      <x:c r="I184" s="22" t="str">
        <x:v>복합일위대가</x:v>
      </x:c>
      <x:c r="J184" s="34" t="n">
        <x:v>6</x:v>
      </x:c>
      <x:c r="K184" s="34" t="n">
        <x:v>0</x:v>
      </x:c>
      <x:c r="L184" s="34" t="n">
        <x:v>0</x:v>
      </x:c>
      <x:c r="M184" s="34" t="n">
        <x:f>SUM(J184:L184)</x:f>
        <x:v>6</x:v>
      </x:c>
      <x:c r="N184" s="34" t="n">
        <x:f>G184*J184</x:f>
        <x:v>22026</x:v>
      </x:c>
      <x:c r="O184" s="34" t="n">
        <x:f>G184*K184</x:f>
        <x:v>0</x:v>
      </x:c>
      <x:c r="P184" s="34" t="n">
        <x:f>G184*L184</x:f>
        <x:v>0</x:v>
      </x:c>
      <x:c r="Q184" s="34" t="n">
        <x:f>SUM(N184:P184)</x:f>
        <x:v>22026</x:v>
      </x:c>
      <x:c r="R184" s="22" t="str">
        <x:f>IF(M184&gt;0,"복원","미복원")</x:f>
        <x:v>복원</x:v>
      </x:c>
      <x:c r="S184" s="37" t="n">
        <x:v>312</x:v>
      </x:c>
      <x:c r="T1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4" s="22" t="str">
        <x:f>A184&amp;"|"&amp;B184</x:f>
        <x:v>병원|C-010109</x:v>
      </x:c>
      <x:c r="V184" s="22" t="n">
        <x:f>IF(M184&gt;0,1,0)</x:f>
        <x:v>1</x:v>
      </x:c>
    </x:row>
    <x:row r="185" ht="28" customHeight="1">
      <x:c r="A185" s="22" t="str">
        <x:v>병원</x:v>
      </x:c>
      <x:c r="B185" s="31" t="str">
        <x:f>"C-010109"</x:f>
        <x:v>C-010109</x:v>
      </x:c>
      <x:c r="C185" s="25" t="str">
        <x:v>010109  METAL WORKS</x:v>
      </x:c>
      <x:c r="D185" s="25" t="str">
        <x:v>Supply and fixed of Steel cover</x:v>
      </x:c>
      <x:c r="E185" s="25" t="str">
        <x:v>T4.5 STL CHECKERED PL 1000*1000</x:v>
      </x:c>
      <x:c r="F185" s="22" t="str">
        <x:v>EA</x:v>
      </x:c>
      <x:c r="G185" s="28" t="n">
        <x:v>4</x:v>
      </x:c>
      <x:c r="H185" s="25" t="str">
        <x:v>44822540E277AD1B92F0277963016</x:v>
      </x:c>
      <x:c r="I185" s="22" t="str">
        <x:v>복합일위대가</x:v>
      </x:c>
      <x:c r="J185" s="34" t="n">
        <x:v>53.85</x:v>
      </x:c>
      <x:c r="K185" s="34" t="n">
        <x:v>105.12</x:v>
      </x:c>
      <x:c r="L185" s="34" t="n">
        <x:v>4.39</x:v>
      </x:c>
      <x:c r="M185" s="34" t="n">
        <x:f>SUM(J185:L185)</x:f>
        <x:v>163.35999999999999</x:v>
      </x:c>
      <x:c r="N185" s="34" t="n">
        <x:f>G185*J185</x:f>
        <x:v>215.4</x:v>
      </x:c>
      <x:c r="O185" s="34" t="n">
        <x:f>G185*K185</x:f>
        <x:v>420.48</x:v>
      </x:c>
      <x:c r="P185" s="34" t="n">
        <x:f>G185*L185</x:f>
        <x:v>17.56</x:v>
      </x:c>
      <x:c r="Q185" s="34" t="n">
        <x:f>SUM(N185:P185)</x:f>
        <x:v>653.4399999999999</x:v>
      </x:c>
      <x:c r="R185" s="22" t="str">
        <x:f>IF(M185&gt;0,"복원","미복원")</x:f>
        <x:v>복원</x:v>
      </x:c>
      <x:c r="S185" s="37" t="n">
        <x:v>313</x:v>
      </x:c>
      <x:c r="T1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5" s="22" t="str">
        <x:f>A185&amp;"|"&amp;B185</x:f>
        <x:v>병원|C-010109</x:v>
      </x:c>
      <x:c r="V185" s="22" t="n">
        <x:f>IF(M185&gt;0,1,0)</x:f>
        <x:v>1</x:v>
      </x:c>
    </x:row>
    <x:row r="186" ht="28" customHeight="1">
      <x:c r="A186" s="22" t="str">
        <x:v>병원</x:v>
      </x:c>
      <x:c r="B186" s="31" t="str">
        <x:f>"C-010109"</x:f>
        <x:v>C-010109</x:v>
      </x:c>
      <x:c r="C186" s="25" t="str">
        <x:v>010109  METAL WORKS</x:v>
      </x:c>
      <x:c r="D186" s="25" t="str">
        <x:v>Open Trench</x:v>
      </x:c>
      <x:c r="E186" s="25" t="str">
        <x:v>TWO SIDE, L-25*25*3t Galvanized</x:v>
      </x:c>
      <x:c r="F186" s="22" t="str">
        <x:v>M</x:v>
      </x:c>
      <x:c r="G186" s="28" t="n">
        <x:v>134</x:v>
      </x:c>
      <x:c r="H186" s="25" t="str">
        <x:v>44822540E2707C9F62530C63082EE</x:v>
      </x:c>
      <x:c r="I186" s="22" t="str">
        <x:v>복합일위대가</x:v>
      </x:c>
      <x:c r="J186" s="34" t="n">
        <x:v>2.92</x:v>
      </x:c>
      <x:c r="K186" s="34" t="n">
        <x:v>5.08</x:v>
      </x:c>
      <x:c r="L186" s="34" t="n">
        <x:v>0.26</x:v>
      </x:c>
      <x:c r="M186" s="34" t="n">
        <x:f>SUM(J186:L186)</x:f>
        <x:v>8.26</x:v>
      </x:c>
      <x:c r="N186" s="34" t="n">
        <x:f>G186*J186</x:f>
        <x:v>391.28</x:v>
      </x:c>
      <x:c r="O186" s="34" t="n">
        <x:f>G186*K186</x:f>
        <x:v>680.72</x:v>
      </x:c>
      <x:c r="P186" s="34" t="n">
        <x:f>G186*L186</x:f>
        <x:v>34.84</x:v>
      </x:c>
      <x:c r="Q186" s="34" t="n">
        <x:f>SUM(N186:P186)</x:f>
        <x:v>1106.84</x:v>
      </x:c>
      <x:c r="R186" s="22" t="str">
        <x:f>IF(M186&gt;0,"복원","미복원")</x:f>
        <x:v>복원</x:v>
      </x:c>
      <x:c r="S186" s="37" t="n">
        <x:v>314</x:v>
      </x:c>
      <x:c r="T1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6" s="22" t="str">
        <x:f>A186&amp;"|"&amp;B186</x:f>
        <x:v>병원|C-010109</x:v>
      </x:c>
      <x:c r="V186" s="22" t="n">
        <x:f>IF(M186&gt;0,1,0)</x:f>
        <x:v>1</x:v>
      </x:c>
    </x:row>
    <x:row r="187" ht="28" customHeight="1">
      <x:c r="A187" s="22" t="str">
        <x:v>병원</x:v>
      </x:c>
      <x:c r="B187" s="31" t="str">
        <x:f>"C-010109"</x:f>
        <x:v>C-010109</x:v>
      </x:c>
      <x:c r="C187" s="25" t="str">
        <x:v>010109  METAL WORKS</x:v>
      </x:c>
      <x:c r="D187" s="25" t="str">
        <x:v>P.V.D.F coated Aluminum Sheet, Thicknes of 0.7mm</x:v>
      </x:c>
      <x:c r="E187" s="25" t="str"/>
      <x:c r="F187" s="22" t="str">
        <x:v>M2</x:v>
      </x:c>
      <x:c r="G187" s="28" t="n">
        <x:v>255</x:v>
      </x:c>
      <x:c r="H187" s="25" t="str">
        <x:v>4482254042708488C255237DA7814</x:v>
      </x:c>
      <x:c r="I187" s="22" t="str">
        <x:v>복합일위대가</x:v>
      </x:c>
      <x:c r="J187" s="34" t="n">
        <x:v>159.67</x:v>
      </x:c>
      <x:c r="K187" s="34" t="n">
        <x:v>0</x:v>
      </x:c>
      <x:c r="L187" s="34" t="n">
        <x:v>0</x:v>
      </x:c>
      <x:c r="M187" s="34" t="n">
        <x:f>SUM(J187:L187)</x:f>
        <x:v>159.67</x:v>
      </x:c>
      <x:c r="N187" s="34" t="n">
        <x:f>G187*J187</x:f>
        <x:v>40715.85</x:v>
      </x:c>
      <x:c r="O187" s="34" t="n">
        <x:f>G187*K187</x:f>
        <x:v>0</x:v>
      </x:c>
      <x:c r="P187" s="34" t="n">
        <x:f>G187*L187</x:f>
        <x:v>0</x:v>
      </x:c>
      <x:c r="Q187" s="34" t="n">
        <x:f>SUM(N187:P187)</x:f>
        <x:v>40715.85</x:v>
      </x:c>
      <x:c r="R187" s="22" t="str">
        <x:f>IF(M187&gt;0,"복원","미복원")</x:f>
        <x:v>복원</x:v>
      </x:c>
      <x:c r="S187" s="37" t="n">
        <x:v>315</x:v>
      </x:c>
      <x:c r="T1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7" s="22" t="str">
        <x:f>A187&amp;"|"&amp;B187</x:f>
        <x:v>병원|C-010109</x:v>
      </x:c>
      <x:c r="V187" s="22" t="n">
        <x:f>IF(M187&gt;0,1,0)</x:f>
        <x:v>1</x:v>
      </x:c>
    </x:row>
    <x:row r="188" ht="28" customHeight="1">
      <x:c r="A188" s="22" t="str">
        <x:v>병원</x:v>
      </x:c>
      <x:c r="B188" s="31" t="str">
        <x:f>"C-010109"</x:f>
        <x:v>C-010109</x:v>
      </x:c>
      <x:c r="C188" s="25" t="str">
        <x:v>010109  METAL WORKS</x:v>
      </x:c>
      <x:c r="D188" s="25" t="str">
        <x:v>AL SHEET FLASHING</x:v>
      </x:c>
      <x:c r="E188" s="25" t="str">
        <x:v>100*400</x:v>
      </x:c>
      <x:c r="F188" s="22" t="str">
        <x:v>M</x:v>
      </x:c>
      <x:c r="G188" s="28" t="n">
        <x:v>289</x:v>
      </x:c>
      <x:c r="H188" s="25" t="str">
        <x:v>4482254042708488C255237DA793B</x:v>
      </x:c>
      <x:c r="I188" s="22" t="str">
        <x:v>복합일위대가</x:v>
      </x:c>
      <x:c r="J188" s="34" t="n">
        <x:v>113.37</x:v>
      </x:c>
      <x:c r="K188" s="34" t="n">
        <x:v>0</x:v>
      </x:c>
      <x:c r="L188" s="34" t="n">
        <x:v>0</x:v>
      </x:c>
      <x:c r="M188" s="34" t="n">
        <x:f>SUM(J188:L188)</x:f>
        <x:v>113.37</x:v>
      </x:c>
      <x:c r="N188" s="34" t="n">
        <x:f>G188*J188</x:f>
        <x:v>32763.93</x:v>
      </x:c>
      <x:c r="O188" s="34" t="n">
        <x:f>G188*K188</x:f>
        <x:v>0</x:v>
      </x:c>
      <x:c r="P188" s="34" t="n">
        <x:f>G188*L188</x:f>
        <x:v>0</x:v>
      </x:c>
      <x:c r="Q188" s="34" t="n">
        <x:f>SUM(N188:P188)</x:f>
        <x:v>32763.93</x:v>
      </x:c>
      <x:c r="R188" s="22" t="str">
        <x:f>IF(M188&gt;0,"복원","미복원")</x:f>
        <x:v>복원</x:v>
      </x:c>
      <x:c r="S188" s="37" t="n">
        <x:v>316</x:v>
      </x:c>
      <x:c r="T1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8" s="22" t="str">
        <x:f>A188&amp;"|"&amp;B188</x:f>
        <x:v>병원|C-010109</x:v>
      </x:c>
      <x:c r="V188" s="22" t="n">
        <x:f>IF(M188&gt;0,1,0)</x:f>
        <x:v>1</x:v>
      </x:c>
    </x:row>
    <x:row r="189" ht="28" customHeight="1">
      <x:c r="A189" s="22" t="str">
        <x:v>병원</x:v>
      </x:c>
      <x:c r="B189" s="31" t="str">
        <x:f>"C-010109"</x:f>
        <x:v>C-010109</x:v>
      </x:c>
      <x:c r="C189" s="25" t="str">
        <x:v>010109  METAL WORKS</x:v>
      </x:c>
      <x:c r="D189" s="25" t="str">
        <x:v>AL SHEET FLASHING</x:v>
      </x:c>
      <x:c r="E189" s="25" t="str">
        <x:v>100*300</x:v>
      </x:c>
      <x:c r="F189" s="22" t="str">
        <x:v>M</x:v>
      </x:c>
      <x:c r="G189" s="28" t="n">
        <x:v>8</x:v>
      </x:c>
      <x:c r="H189" s="25" t="str">
        <x:v>4482254042708488C255237DA7AC2</x:v>
      </x:c>
      <x:c r="I189" s="22" t="str">
        <x:v>복합일위대가</x:v>
      </x:c>
      <x:c r="J189" s="34" t="n">
        <x:v>86.23</x:v>
      </x:c>
      <x:c r="K189" s="34" t="n">
        <x:v>0</x:v>
      </x:c>
      <x:c r="L189" s="34" t="n">
        <x:v>0</x:v>
      </x:c>
      <x:c r="M189" s="34" t="n">
        <x:f>SUM(J189:L189)</x:f>
        <x:v>86.23</x:v>
      </x:c>
      <x:c r="N189" s="34" t="n">
        <x:f>G189*J189</x:f>
        <x:v>689.84</x:v>
      </x:c>
      <x:c r="O189" s="34" t="n">
        <x:f>G189*K189</x:f>
        <x:v>0</x:v>
      </x:c>
      <x:c r="P189" s="34" t="n">
        <x:f>G189*L189</x:f>
        <x:v>0</x:v>
      </x:c>
      <x:c r="Q189" s="34" t="n">
        <x:f>SUM(N189:P189)</x:f>
        <x:v>689.84</x:v>
      </x:c>
      <x:c r="R189" s="22" t="str">
        <x:f>IF(M189&gt;0,"복원","미복원")</x:f>
        <x:v>복원</x:v>
      </x:c>
      <x:c r="S189" s="37" t="n">
        <x:v>317</x:v>
      </x:c>
      <x:c r="T1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89" s="22" t="str">
        <x:f>A189&amp;"|"&amp;B189</x:f>
        <x:v>병원|C-010109</x:v>
      </x:c>
      <x:c r="V189" s="22" t="n">
        <x:f>IF(M189&gt;0,1,0)</x:f>
        <x:v>1</x:v>
      </x:c>
    </x:row>
    <x:row r="190" ht="28" customHeight="1">
      <x:c r="A190" s="22" t="str">
        <x:v>병원</x:v>
      </x:c>
      <x:c r="B190" s="31" t="str">
        <x:f>"C-010109"</x:f>
        <x:v>C-010109</x:v>
      </x:c>
      <x:c r="C190" s="25" t="str">
        <x:v>010109  METAL WORKS</x:v>
      </x:c>
      <x:c r="D190" s="25" t="str">
        <x:v>AL SHEET FLASHING</x:v>
      </x:c>
      <x:c r="E190" s="25" t="str">
        <x:v>100*520</x:v>
      </x:c>
      <x:c r="F190" s="22" t="str">
        <x:v>M</x:v>
      </x:c>
      <x:c r="G190" s="28" t="n">
        <x:v>40</x:v>
      </x:c>
      <x:c r="H190" s="25" t="str">
        <x:v>4482254042708488C255237DA7BE9</x:v>
      </x:c>
      <x:c r="I190" s="22" t="str">
        <x:v>복합일위대가</x:v>
      </x:c>
      <x:c r="J190" s="34" t="n">
        <x:v>132.53</x:v>
      </x:c>
      <x:c r="K190" s="34" t="n">
        <x:v>0</x:v>
      </x:c>
      <x:c r="L190" s="34" t="n">
        <x:v>0</x:v>
      </x:c>
      <x:c r="M190" s="34" t="n">
        <x:f>SUM(J190:L190)</x:f>
        <x:v>132.53</x:v>
      </x:c>
      <x:c r="N190" s="34" t="n">
        <x:f>G190*J190</x:f>
        <x:v>5301.2</x:v>
      </x:c>
      <x:c r="O190" s="34" t="n">
        <x:f>G190*K190</x:f>
        <x:v>0</x:v>
      </x:c>
      <x:c r="P190" s="34" t="n">
        <x:f>G190*L190</x:f>
        <x:v>0</x:v>
      </x:c>
      <x:c r="Q190" s="34" t="n">
        <x:f>SUM(N190:P190)</x:f>
        <x:v>5301.2</x:v>
      </x:c>
      <x:c r="R190" s="22" t="str">
        <x:f>IF(M190&gt;0,"복원","미복원")</x:f>
        <x:v>복원</x:v>
      </x:c>
      <x:c r="S190" s="37" t="n">
        <x:v>318</x:v>
      </x:c>
      <x:c r="T1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0" s="22" t="str">
        <x:f>A190&amp;"|"&amp;B190</x:f>
        <x:v>병원|C-010109</x:v>
      </x:c>
      <x:c r="V190" s="22" t="n">
        <x:f>IF(M190&gt;0,1,0)</x:f>
        <x:v>1</x:v>
      </x:c>
    </x:row>
    <x:row r="191" ht="28" customHeight="1">
      <x:c r="A191" s="22" t="str">
        <x:v>병원</x:v>
      </x:c>
      <x:c r="B191" s="31" t="str">
        <x:f>"C-010109"</x:f>
        <x:v>C-010109</x:v>
      </x:c>
      <x:c r="C191" s="25" t="str">
        <x:v>010109  METAL WORKS</x:v>
      </x:c>
      <x:c r="D191" s="25" t="str">
        <x:v>AL SHEET FLASHING</x:v>
      </x:c>
      <x:c r="E191" s="25" t="str">
        <x:v>100*650</x:v>
      </x:c>
      <x:c r="F191" s="22" t="str">
        <x:v>M</x:v>
      </x:c>
      <x:c r="G191" s="28" t="n">
        <x:v>8</x:v>
      </x:c>
      <x:c r="H191" s="25" t="str">
        <x:v>4482254042708488C255237DA7C8F</x:v>
      </x:c>
      <x:c r="I191" s="22" t="str">
        <x:v>복합일위대가</x:v>
      </x:c>
      <x:c r="J191" s="34" t="n">
        <x:v>143.71</x:v>
      </x:c>
      <x:c r="K191" s="34" t="n">
        <x:v>0</x:v>
      </x:c>
      <x:c r="L191" s="34" t="n">
        <x:v>0</x:v>
      </x:c>
      <x:c r="M191" s="34" t="n">
        <x:f>SUM(J191:L191)</x:f>
        <x:v>143.71</x:v>
      </x:c>
      <x:c r="N191" s="34" t="n">
        <x:f>G191*J191</x:f>
        <x:v>1149.68</x:v>
      </x:c>
      <x:c r="O191" s="34" t="n">
        <x:f>G191*K191</x:f>
        <x:v>0</x:v>
      </x:c>
      <x:c r="P191" s="34" t="n">
        <x:f>G191*L191</x:f>
        <x:v>0</x:v>
      </x:c>
      <x:c r="Q191" s="34" t="n">
        <x:f>SUM(N191:P191)</x:f>
        <x:v>1149.68</x:v>
      </x:c>
      <x:c r="R191" s="22" t="str">
        <x:f>IF(M191&gt;0,"복원","미복원")</x:f>
        <x:v>복원</x:v>
      </x:c>
      <x:c r="S191" s="37" t="n">
        <x:v>319</x:v>
      </x:c>
      <x:c r="T1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1" s="22" t="str">
        <x:f>A191&amp;"|"&amp;B191</x:f>
        <x:v>병원|C-010109</x:v>
      </x:c>
      <x:c r="V191" s="22" t="n">
        <x:f>IF(M191&gt;0,1,0)</x:f>
        <x:v>1</x:v>
      </x:c>
    </x:row>
    <x:row r="192" ht="28" customHeight="1">
      <x:c r="A192" s="22" t="str">
        <x:v>병원</x:v>
      </x:c>
      <x:c r="B192" s="31" t="str">
        <x:f>"C-010109"</x:f>
        <x:v>C-010109</x:v>
      </x:c>
      <x:c r="C192" s="25" t="str">
        <x:v>010109  METAL WORKS</x:v>
      </x:c>
      <x:c r="D192" s="25" t="str">
        <x:v>AL MOULDING</x:v>
      </x:c>
      <x:c r="E192" s="25" t="str">
        <x:v>W=50</x:v>
      </x:c>
      <x:c r="F192" s="22" t="str">
        <x:v>M</x:v>
      </x:c>
      <x:c r="G192" s="28" t="n">
        <x:v>136</x:v>
      </x:c>
      <x:c r="H192" s="25" t="str">
        <x:v>4482254042708488C255237DA7D96</x:v>
      </x:c>
      <x:c r="I192" s="22" t="str">
        <x:v>복합일위대가</x:v>
      </x:c>
      <x:c r="J192" s="34" t="n">
        <x:v>19.17</x:v>
      </x:c>
      <x:c r="K192" s="34" t="n">
        <x:v>0</x:v>
      </x:c>
      <x:c r="L192" s="34" t="n">
        <x:v>0</x:v>
      </x:c>
      <x:c r="M192" s="34" t="n">
        <x:f>SUM(J192:L192)</x:f>
        <x:v>19.17</x:v>
      </x:c>
      <x:c r="N192" s="34" t="n">
        <x:f>G192*J192</x:f>
        <x:v>2607.1200000000003</x:v>
      </x:c>
      <x:c r="O192" s="34" t="n">
        <x:f>G192*K192</x:f>
        <x:v>0</x:v>
      </x:c>
      <x:c r="P192" s="34" t="n">
        <x:f>G192*L192</x:f>
        <x:v>0</x:v>
      </x:c>
      <x:c r="Q192" s="34" t="n">
        <x:f>SUM(N192:P192)</x:f>
        <x:v>2607.1200000000003</x:v>
      </x:c>
      <x:c r="R192" s="22" t="str">
        <x:f>IF(M192&gt;0,"복원","미복원")</x:f>
        <x:v>복원</x:v>
      </x:c>
      <x:c r="S192" s="37" t="n">
        <x:v>320</x:v>
      </x:c>
      <x:c r="T1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2" s="22" t="str">
        <x:f>A192&amp;"|"&amp;B192</x:f>
        <x:v>병원|C-010109</x:v>
      </x:c>
      <x:c r="V192" s="22" t="n">
        <x:f>IF(M192&gt;0,1,0)</x:f>
        <x:v>1</x:v>
      </x:c>
    </x:row>
    <x:row r="193" ht="28" customHeight="1">
      <x:c r="A193" s="22" t="str">
        <x:v>병원</x:v>
      </x:c>
      <x:c r="B193" s="31" t="str">
        <x:f>"C-010109"</x:f>
        <x:v>C-010109</x:v>
      </x:c>
      <x:c r="C193" s="25" t="str">
        <x:v>010109  METAL WORKS</x:v>
      </x:c>
      <x:c r="D193" s="25" t="str">
        <x:v>Supply and fixed of Parapet Ring(for cleaning), SST, D100*19t</x:v>
      </x:c>
      <x:c r="E193" s="25" t="str"/>
      <x:c r="F193" s="22" t="str">
        <x:v>no</x:v>
      </x:c>
      <x:c r="G193" s="28" t="n">
        <x:v>64</x:v>
      </x:c>
      <x:c r="H193" s="25" t="str">
        <x:v>4482254042750415127D43074ABFE</x:v>
      </x:c>
      <x:c r="I193" s="22" t="str">
        <x:v>복합일위대가</x:v>
      </x:c>
      <x:c r="J193" s="34" t="n">
        <x:v>8.05</x:v>
      </x:c>
      <x:c r="K193" s="34" t="n">
        <x:v>4.39</x:v>
      </x:c>
      <x:c r="L193" s="34" t="n">
        <x:v>0.18</x:v>
      </x:c>
      <x:c r="M193" s="34" t="n">
        <x:f>SUM(J193:L193)</x:f>
        <x:v>12.620000000000001</x:v>
      </x:c>
      <x:c r="N193" s="34" t="n">
        <x:f>G193*J193</x:f>
        <x:v>515.2</x:v>
      </x:c>
      <x:c r="O193" s="34" t="n">
        <x:f>G193*K193</x:f>
        <x:v>280.96</x:v>
      </x:c>
      <x:c r="P193" s="34" t="n">
        <x:f>G193*L193</x:f>
        <x:v>11.52</x:v>
      </x:c>
      <x:c r="Q193" s="34" t="n">
        <x:f>SUM(N193:P193)</x:f>
        <x:v>807.6800000000001</x:v>
      </x:c>
      <x:c r="R193" s="22" t="str">
        <x:f>IF(M193&gt;0,"복원","미복원")</x:f>
        <x:v>복원</x:v>
      </x:c>
      <x:c r="S193" s="37" t="n">
        <x:v>321</x:v>
      </x:c>
      <x:c r="T1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3" s="22" t="str">
        <x:f>A193&amp;"|"&amp;B193</x:f>
        <x:v>병원|C-010109</x:v>
      </x:c>
      <x:c r="V193" s="22" t="n">
        <x:f>IF(M193&gt;0,1,0)</x:f>
        <x:v>1</x:v>
      </x:c>
    </x:row>
    <x:row r="194" ht="28" customHeight="1">
      <x:c r="A194" s="22" t="str">
        <x:v>병원</x:v>
      </x:c>
      <x:c r="B194" s="31" t="str">
        <x:f>"C-010109"</x:f>
        <x:v>C-010109</x:v>
      </x:c>
      <x:c r="C194" s="25" t="str">
        <x:v>010109  METAL WORKS</x:v>
      </x:c>
      <x:c r="D194" s="25" t="str">
        <x:v>Supply and fixed of Elevator hook</x:v>
      </x:c>
      <x:c r="E194" s="25" t="str">
        <x:v>Ø100*22t STL</x:v>
      </x:c>
      <x:c r="F194" s="22" t="str">
        <x:v>EA</x:v>
      </x:c>
      <x:c r="G194" s="28" t="n">
        <x:v>2</x:v>
      </x:c>
      <x:c r="H194" s="25" t="str">
        <x:v>448225404275053C32FA817ED1475</x:v>
      </x:c>
      <x:c r="I194" s="22" t="str">
        <x:v>복합일위대가</x:v>
      </x:c>
      <x:c r="J194" s="34" t="n">
        <x:v>0.78</x:v>
      </x:c>
      <x:c r="K194" s="34" t="n">
        <x:v>1.74</x:v>
      </x:c>
      <x:c r="L194" s="34" t="n">
        <x:v>0.07</x:v>
      </x:c>
      <x:c r="M194" s="34" t="n">
        <x:f>SUM(J194:L194)</x:f>
        <x:v>2.59</x:v>
      </x:c>
      <x:c r="N194" s="34" t="n">
        <x:f>G194*J194</x:f>
        <x:v>1.56</x:v>
      </x:c>
      <x:c r="O194" s="34" t="n">
        <x:f>G194*K194</x:f>
        <x:v>3.48</x:v>
      </x:c>
      <x:c r="P194" s="34" t="n">
        <x:f>G194*L194</x:f>
        <x:v>0.14</x:v>
      </x:c>
      <x:c r="Q194" s="34" t="n">
        <x:f>SUM(N194:P194)</x:f>
        <x:v>5.18</x:v>
      </x:c>
      <x:c r="R194" s="22" t="str">
        <x:f>IF(M194&gt;0,"복원","미복원")</x:f>
        <x:v>복원</x:v>
      </x:c>
      <x:c r="S194" s="37" t="n">
        <x:v>322</x:v>
      </x:c>
      <x:c r="T1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4" s="22" t="str">
        <x:f>A194&amp;"|"&amp;B194</x:f>
        <x:v>병원|C-010109</x:v>
      </x:c>
      <x:c r="V194" s="22" t="n">
        <x:f>IF(M194&gt;0,1,0)</x:f>
        <x:v>1</x:v>
      </x:c>
    </x:row>
    <x:row r="195" ht="28" customHeight="1">
      <x:c r="A195" s="22" t="str">
        <x:v>병원</x:v>
      </x:c>
      <x:c r="B195" s="31" t="str">
        <x:f>"C-010109"</x:f>
        <x:v>C-010109</x:v>
      </x:c>
      <x:c r="C195" s="25" t="str">
        <x:v>010109  METAL WORKS</x:v>
      </x:c>
      <x:c r="D195" s="25" t="str">
        <x:v>Stainless steel material separator</x:v>
      </x:c>
      <x:c r="E195" s="25" t="str">
        <x:v>FLOOR, W45*H20*1.5t</x:v>
      </x:c>
      <x:c r="F195" s="22" t="str">
        <x:v>M</x:v>
      </x:c>
      <x:c r="G195" s="28" t="n">
        <x:v>112</x:v>
      </x:c>
      <x:c r="H195" s="25" t="str">
        <x:v>448220480378444AE2DDFBB1E17A4</x:v>
      </x:c>
      <x:c r="I195" s="22" t="str">
        <x:v>복합일위대가</x:v>
      </x:c>
      <x:c r="J195" s="34" t="n">
        <x:v>5.26</x:v>
      </x:c>
      <x:c r="K195" s="34" t="n">
        <x:v>5.85</x:v>
      </x:c>
      <x:c r="L195" s="34" t="n">
        <x:v>0.29</x:v>
      </x:c>
      <x:c r="M195" s="34" t="n">
        <x:f>SUM(J195:L195)</x:f>
        <x:v>11.399999999999999</x:v>
      </x:c>
      <x:c r="N195" s="34" t="n">
        <x:f>G195*J195</x:f>
        <x:v>589.12</x:v>
      </x:c>
      <x:c r="O195" s="34" t="n">
        <x:f>G195*K195</x:f>
        <x:v>655.1999999999999</x:v>
      </x:c>
      <x:c r="P195" s="34" t="n">
        <x:f>G195*L195</x:f>
        <x:v>32.48</x:v>
      </x:c>
      <x:c r="Q195" s="34" t="n">
        <x:f>SUM(N195:P195)</x:f>
        <x:v>1276.8</x:v>
      </x:c>
      <x:c r="R195" s="22" t="str">
        <x:f>IF(M195&gt;0,"복원","미복원")</x:f>
        <x:v>복원</x:v>
      </x:c>
      <x:c r="S195" s="37" t="n">
        <x:v>323</x:v>
      </x:c>
      <x:c r="T1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5" s="22" t="str">
        <x:f>A195&amp;"|"&amp;B195</x:f>
        <x:v>병원|C-010109</x:v>
      </x:c>
      <x:c r="V195" s="22" t="n">
        <x:f>IF(M195&gt;0,1,0)</x:f>
        <x:v>1</x:v>
      </x:c>
    </x:row>
    <x:row r="196" ht="28" customHeight="1">
      <x:c r="A196" s="22" t="str">
        <x:v>병원</x:v>
      </x:c>
      <x:c r="B196" s="31" t="str">
        <x:f>"C-010109"</x:f>
        <x:v>C-010109</x:v>
      </x:c>
      <x:c r="C196" s="25" t="str">
        <x:v>010109  METAL WORKS</x:v>
      </x:c>
      <x:c r="D196" s="25" t="str">
        <x:v>Stainless steel material separator</x:v>
      </x:c>
      <x:c r="E196" s="25" t="str">
        <x:v>FLOOR, W20*H20*2.0t</x:v>
      </x:c>
      <x:c r="F196" s="22" t="str">
        <x:v>M</x:v>
      </x:c>
      <x:c r="G196" s="28" t="n">
        <x:v>18</x:v>
      </x:c>
      <x:c r="H196" s="25" t="str">
        <x:v>448220480378444AE2DDFBB1E169E</x:v>
      </x:c>
      <x:c r="I196" s="22" t="str">
        <x:v>복합일위대가</x:v>
      </x:c>
      <x:c r="J196" s="34" t="n">
        <x:v>3.89</x:v>
      </x:c>
      <x:c r="K196" s="34" t="n">
        <x:v>4.22</x:v>
      </x:c>
      <x:c r="L196" s="34" t="n">
        <x:v>0.21</x:v>
      </x:c>
      <x:c r="M196" s="34" t="n">
        <x:f>SUM(J196:L196)</x:f>
        <x:v>8.32</x:v>
      </x:c>
      <x:c r="N196" s="34" t="n">
        <x:f>G196*J196</x:f>
        <x:v>70.02</x:v>
      </x:c>
      <x:c r="O196" s="34" t="n">
        <x:f>G196*K196</x:f>
        <x:v>75.96</x:v>
      </x:c>
      <x:c r="P196" s="34" t="n">
        <x:f>G196*L196</x:f>
        <x:v>3.78</x:v>
      </x:c>
      <x:c r="Q196" s="34" t="n">
        <x:f>SUM(N196:P196)</x:f>
        <x:v>149.76</x:v>
      </x:c>
      <x:c r="R196" s="22" t="str">
        <x:f>IF(M196&gt;0,"복원","미복원")</x:f>
        <x:v>복원</x:v>
      </x:c>
      <x:c r="S196" s="37" t="n">
        <x:v>324</x:v>
      </x:c>
      <x:c r="T1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6" s="22" t="str">
        <x:f>A196&amp;"|"&amp;B196</x:f>
        <x:v>병원|C-010109</x:v>
      </x:c>
      <x:c r="V196" s="22" t="n">
        <x:f>IF(M196&gt;0,1,0)</x:f>
        <x:v>1</x:v>
      </x:c>
    </x:row>
    <x:row r="197" ht="28" customHeight="1">
      <x:c r="A197" s="22" t="str">
        <x:v>병원</x:v>
      </x:c>
      <x:c r="B197" s="31" t="str">
        <x:f>"C-010109"</x:f>
        <x:v>C-010109</x:v>
      </x:c>
      <x:c r="C197" s="25" t="str">
        <x:v>010109  METAL WORKS</x:v>
      </x:c>
      <x:c r="D197" s="25" t="str">
        <x:v>Curtain box(type-ㄷ)</x:v>
      </x:c>
      <x:c r="E197" s="25" t="str">
        <x:v>150mm x 150mm x Thick 1.2mm, Stl plate frame,with Paint</x:v>
      </x:c>
      <x:c r="F197" s="22" t="str">
        <x:v>M</x:v>
      </x:c>
      <x:c r="G197" s="28" t="n">
        <x:v>238</x:v>
      </x:c>
      <x:c r="H197" s="25" t="str">
        <x:v>44822048FB7FB9F1222D3F8F96C2D</x:v>
      </x:c>
      <x:c r="I197" s="22" t="str">
        <x:v>복합일위대가</x:v>
      </x:c>
      <x:c r="J197" s="34" t="n">
        <x:v>6.17</x:v>
      </x:c>
      <x:c r="K197" s="34" t="n">
        <x:v>12.27</x:v>
      </x:c>
      <x:c r="L197" s="34" t="n">
        <x:v>0.48</x:v>
      </x:c>
      <x:c r="M197" s="34" t="n">
        <x:f>SUM(J197:L197)</x:f>
        <x:v>18.919999999999998</x:v>
      </x:c>
      <x:c r="N197" s="34" t="n">
        <x:f>G197*J197</x:f>
        <x:v>1468.46</x:v>
      </x:c>
      <x:c r="O197" s="34" t="n">
        <x:f>G197*K197</x:f>
        <x:v>2920.2599999999998</x:v>
      </x:c>
      <x:c r="P197" s="34" t="n">
        <x:f>G197*L197</x:f>
        <x:v>114.24</x:v>
      </x:c>
      <x:c r="Q197" s="34" t="n">
        <x:f>SUM(N197:P197)</x:f>
        <x:v>4502.959999999999</x:v>
      </x:c>
      <x:c r="R197" s="22" t="str">
        <x:f>IF(M197&gt;0,"복원","미복원")</x:f>
        <x:v>복원</x:v>
      </x:c>
      <x:c r="S197" s="37" t="n">
        <x:v>325</x:v>
      </x:c>
      <x:c r="T1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7" s="22" t="str">
        <x:f>A197&amp;"|"&amp;B197</x:f>
        <x:v>병원|C-010109</x:v>
      </x:c>
      <x:c r="V197" s="22" t="n">
        <x:f>IF(M197&gt;0,1,0)</x:f>
        <x:v>1</x:v>
      </x:c>
    </x:row>
    <x:row r="198" ht="28" customHeight="1">
      <x:c r="A198" s="22" t="str">
        <x:v>병원</x:v>
      </x:c>
      <x:c r="B198" s="31" t="str">
        <x:f>"C-010110"</x:f>
        <x:v>C-010110</x:v>
      </x:c>
      <x:c r="C198" s="25" t="str">
        <x:v>010110  PLASTER WORKS</x:v>
      </x:c>
      <x:c r="D198" s="25" t="str">
        <x:v>Mortar, W/Plastering 20mm thick on concrete Ceiling</x:v>
      </x:c>
      <x:c r="E198" s="25" t="str"/>
      <x:c r="F198" s="22" t="str">
        <x:v>M2</x:v>
      </x:c>
      <x:c r="G198" s="28" t="n">
        <x:v>19</x:v>
      </x:c>
      <x:c r="H198" s="25" t="str">
        <x:v>4482284BC0735B256231C4073E69B</x:v>
      </x:c>
      <x:c r="I198" s="22" t="str">
        <x:v>복합일위대가</x:v>
      </x:c>
      <x:c r="J198" s="34" t="n">
        <x:v>1.05</x:v>
      </x:c>
      <x:c r="K198" s="34" t="n">
        <x:v>0</x:v>
      </x:c>
      <x:c r="L198" s="34" t="n">
        <x:v>0</x:v>
      </x:c>
      <x:c r="M198" s="34" t="n">
        <x:f>SUM(J198:L198)</x:f>
        <x:v>1.05</x:v>
      </x:c>
      <x:c r="N198" s="34" t="n">
        <x:f>G198*J198</x:f>
        <x:v>19.95</x:v>
      </x:c>
      <x:c r="O198" s="34" t="n">
        <x:f>G198*K198</x:f>
        <x:v>0</x:v>
      </x:c>
      <x:c r="P198" s="34" t="n">
        <x:f>G198*L198</x:f>
        <x:v>0</x:v>
      </x:c>
      <x:c r="Q198" s="34" t="n">
        <x:f>SUM(N198:P198)</x:f>
        <x:v>19.95</x:v>
      </x:c>
      <x:c r="R198" s="22" t="str">
        <x:f>IF(M198&gt;0,"복원","미복원")</x:f>
        <x:v>복원</x:v>
      </x:c>
      <x:c r="S198" s="37" t="n">
        <x:v>341</x:v>
      </x:c>
      <x:c r="T1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8" s="22" t="str">
        <x:f>A198&amp;"|"&amp;B198</x:f>
        <x:v>병원|C-010110</x:v>
      </x:c>
      <x:c r="V198" s="22" t="n">
        <x:f>IF(M198&gt;0,1,0)</x:f>
        <x:v>1</x:v>
      </x:c>
    </x:row>
    <x:row r="199" ht="28" customHeight="1">
      <x:c r="A199" s="22" t="str">
        <x:v>병원</x:v>
      </x:c>
      <x:c r="B199" s="31" t="str">
        <x:f>"C-010110"</x:f>
        <x:v>C-010110</x:v>
      </x:c>
      <x:c r="C199" s="25" t="str">
        <x:v>010110  PLASTER WORKS</x:v>
      </x:c>
      <x:c r="D199" s="25" t="str">
        <x:v>Mortar, W/Plastering 9mm thick on concrete walls</x:v>
      </x:c>
      <x:c r="E199" s="25" t="str"/>
      <x:c r="F199" s="22" t="str">
        <x:v>M2</x:v>
      </x:c>
      <x:c r="G199" s="28" t="n">
        <x:v>605</x:v>
      </x:c>
      <x:c r="H199" s="25" t="str">
        <x:v>4482284BC0735B256231C550138F1</x:v>
      </x:c>
      <x:c r="I199" s="22" t="str">
        <x:v>복합일위대가</x:v>
      </x:c>
      <x:c r="J199" s="34" t="n">
        <x:v>0.63</x:v>
      </x:c>
      <x:c r="K199" s="34" t="n">
        <x:v>0</x:v>
      </x:c>
      <x:c r="L199" s="34" t="n">
        <x:v>0</x:v>
      </x:c>
      <x:c r="M199" s="34" t="n">
        <x:f>SUM(J199:L199)</x:f>
        <x:v>0.63</x:v>
      </x:c>
      <x:c r="N199" s="34" t="n">
        <x:f>G199*J199</x:f>
        <x:v>381.15</x:v>
      </x:c>
      <x:c r="O199" s="34" t="n">
        <x:f>G199*K199</x:f>
        <x:v>0</x:v>
      </x:c>
      <x:c r="P199" s="34" t="n">
        <x:f>G199*L199</x:f>
        <x:v>0</x:v>
      </x:c>
      <x:c r="Q199" s="34" t="n">
        <x:f>SUM(N199:P199)</x:f>
        <x:v>381.15</x:v>
      </x:c>
      <x:c r="R199" s="22" t="str">
        <x:f>IF(M199&gt;0,"복원","미복원")</x:f>
        <x:v>복원</x:v>
      </x:c>
      <x:c r="S199" s="37" t="n">
        <x:v>342</x:v>
      </x:c>
      <x:c r="T1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199" s="22" t="str">
        <x:f>A199&amp;"|"&amp;B199</x:f>
        <x:v>병원|C-010110</x:v>
      </x:c>
      <x:c r="V199" s="22" t="n">
        <x:f>IF(M199&gt;0,1,0)</x:f>
        <x:v>1</x:v>
      </x:c>
    </x:row>
    <x:row r="200" ht="28" customHeight="1">
      <x:c r="A200" s="22" t="str">
        <x:v>병원</x:v>
      </x:c>
      <x:c r="B200" s="31" t="str">
        <x:f>"C-010110"</x:f>
        <x:v>C-010110</x:v>
      </x:c>
      <x:c r="C200" s="25" t="str">
        <x:v>010110  PLASTER WORKS</x:v>
      </x:c>
      <x:c r="D200" s="25" t="str">
        <x:v>Mortar, W/Plastering 20mm thick on concrete walls</x:v>
      </x:c>
      <x:c r="E200" s="25" t="str"/>
      <x:c r="F200" s="22" t="str">
        <x:v>M2</x:v>
      </x:c>
      <x:c r="G200" s="28" t="n">
        <x:v>4063</x:v>
      </x:c>
      <x:c r="H200" s="25" t="str">
        <x:v>4482284BC0735B256231C547A6415</x:v>
      </x:c>
      <x:c r="I200" s="22" t="str">
        <x:v>복합일위대가</x:v>
      </x:c>
      <x:c r="J200" s="34" t="n">
        <x:v>14</x:v>
      </x:c>
      <x:c r="K200" s="34" t="n">
        <x:v>0</x:v>
      </x:c>
      <x:c r="L200" s="34" t="n">
        <x:v>0</x:v>
      </x:c>
      <x:c r="M200" s="34" t="n">
        <x:f>SUM(J200:L200)</x:f>
        <x:v>14</x:v>
      </x:c>
      <x:c r="N200" s="34" t="n">
        <x:f>G200*J200</x:f>
        <x:v>56882</x:v>
      </x:c>
      <x:c r="O200" s="34" t="n">
        <x:f>G200*K200</x:f>
        <x:v>0</x:v>
      </x:c>
      <x:c r="P200" s="34" t="n">
        <x:f>G200*L200</x:f>
        <x:v>0</x:v>
      </x:c>
      <x:c r="Q200" s="34" t="n">
        <x:f>SUM(N200:P200)</x:f>
        <x:v>56882</x:v>
      </x:c>
      <x:c r="R200" s="22" t="str">
        <x:f>IF(M200&gt;0,"복원","미복원")</x:f>
        <x:v>복원</x:v>
      </x:c>
      <x:c r="S200" s="37" t="n">
        <x:v>343</x:v>
      </x:c>
      <x:c r="T2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0" s="22" t="str">
        <x:f>A200&amp;"|"&amp;B200</x:f>
        <x:v>병원|C-010110</x:v>
      </x:c>
      <x:c r="V200" s="22" t="n">
        <x:f>IF(M200&gt;0,1,0)</x:f>
        <x:v>1</x:v>
      </x:c>
    </x:row>
    <x:row r="201" ht="28" customHeight="1">
      <x:c r="A201" s="22" t="str">
        <x:v>병원</x:v>
      </x:c>
      <x:c r="B201" s="31" t="str">
        <x:f>"C-010110"</x:f>
        <x:v>C-010110</x:v>
      </x:c>
      <x:c r="C201" s="25" t="str">
        <x:v>010110  PLASTER WORKS</x:v>
      </x:c>
      <x:c r="D201" s="25" t="str">
        <x:v>20mm thick on concrete to receive receive tile finish</x:v>
      </x:c>
      <x:c r="E201" s="25" t="str"/>
      <x:c r="F201" s="22" t="str">
        <x:v>M2</x:v>
      </x:c>
      <x:c r="G201" s="28" t="n">
        <x:v>171</x:v>
      </x:c>
      <x:c r="H201" s="25" t="str">
        <x:v>4482284BC0735979B2D256C17F168</x:v>
      </x:c>
      <x:c r="I201" s="22" t="str">
        <x:v>복합일위대가</x:v>
      </x:c>
      <x:c r="J201" s="34" t="n">
        <x:v>1.4</x:v>
      </x:c>
      <x:c r="K201" s="34" t="n">
        <x:v>0</x:v>
      </x:c>
      <x:c r="L201" s="34" t="n">
        <x:v>0</x:v>
      </x:c>
      <x:c r="M201" s="34" t="n">
        <x:f>SUM(J201:L201)</x:f>
        <x:v>1.4</x:v>
      </x:c>
      <x:c r="N201" s="34" t="n">
        <x:f>G201*J201</x:f>
        <x:v>239.39999999999998</x:v>
      </x:c>
      <x:c r="O201" s="34" t="n">
        <x:f>G201*K201</x:f>
        <x:v>0</x:v>
      </x:c>
      <x:c r="P201" s="34" t="n">
        <x:f>G201*L201</x:f>
        <x:v>0</x:v>
      </x:c>
      <x:c r="Q201" s="34" t="n">
        <x:f>SUM(N201:P201)</x:f>
        <x:v>239.39999999999998</x:v>
      </x:c>
      <x:c r="R201" s="22" t="str">
        <x:f>IF(M201&gt;0,"복원","미복원")</x:f>
        <x:v>복원</x:v>
      </x:c>
      <x:c r="S201" s="37" t="n">
        <x:v>344</x:v>
      </x:c>
      <x:c r="T2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1" s="22" t="str">
        <x:f>A201&amp;"|"&amp;B201</x:f>
        <x:v>병원|C-010110</x:v>
      </x:c>
      <x:c r="V201" s="22" t="n">
        <x:f>IF(M201&gt;0,1,0)</x:f>
        <x:v>1</x:v>
      </x:c>
    </x:row>
    <x:row r="202" ht="28" customHeight="1">
      <x:c r="A202" s="22" t="str">
        <x:v>병원</x:v>
      </x:c>
      <x:c r="B202" s="31" t="str">
        <x:f>"C-010110"</x:f>
        <x:v>C-010110</x:v>
      </x:c>
      <x:c r="C202" s="25" t="str">
        <x:v>010110  PLASTER WORKS</x:v>
      </x:c>
      <x:c r="D202" s="25" t="str">
        <x:v>50mm thick on concrete to receive receive tile finish</x:v>
      </x:c>
      <x:c r="E202" s="25" t="str"/>
      <x:c r="F202" s="22" t="str">
        <x:v>M2</x:v>
      </x:c>
      <x:c r="G202" s="28" t="n">
        <x:v>136</x:v>
      </x:c>
      <x:c r="H202" s="25" t="str">
        <x:v>4482284BC0735979B2D250AFDAC78</x:v>
      </x:c>
      <x:c r="I202" s="22" t="str">
        <x:v>복합일위대가</x:v>
      </x:c>
      <x:c r="J202" s="34" t="n">
        <x:v>3.5</x:v>
      </x:c>
      <x:c r="K202" s="34" t="n">
        <x:v>0</x:v>
      </x:c>
      <x:c r="L202" s="34" t="n">
        <x:v>0</x:v>
      </x:c>
      <x:c r="M202" s="34" t="n">
        <x:f>SUM(J202:L202)</x:f>
        <x:v>3.5</x:v>
      </x:c>
      <x:c r="N202" s="34" t="n">
        <x:f>G202*J202</x:f>
        <x:v>476</x:v>
      </x:c>
      <x:c r="O202" s="34" t="n">
        <x:f>G202*K202</x:f>
        <x:v>0</x:v>
      </x:c>
      <x:c r="P202" s="34" t="n">
        <x:f>G202*L202</x:f>
        <x:v>0</x:v>
      </x:c>
      <x:c r="Q202" s="34" t="n">
        <x:f>SUM(N202:P202)</x:f>
        <x:v>476</x:v>
      </x:c>
      <x:c r="R202" s="22" t="str">
        <x:f>IF(M202&gt;0,"복원","미복원")</x:f>
        <x:v>복원</x:v>
      </x:c>
      <x:c r="S202" s="37" t="n">
        <x:v>345</x:v>
      </x:c>
      <x:c r="T2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2" s="22" t="str">
        <x:f>A202&amp;"|"&amp;B202</x:f>
        <x:v>병원|C-010110</x:v>
      </x:c>
      <x:c r="V202" s="22" t="n">
        <x:f>IF(M202&gt;0,1,0)</x:f>
        <x:v>1</x:v>
      </x:c>
    </x:row>
    <x:row r="203" ht="28" customHeight="1">
      <x:c r="A203" s="22" t="str">
        <x:v>병원</x:v>
      </x:c>
      <x:c r="B203" s="31" t="str">
        <x:f>"C-010110"</x:f>
        <x:v>C-010110</x:v>
      </x:c>
      <x:c r="C203" s="25" t="str">
        <x:v>010110  PLASTER WORKS</x:v>
      </x:c>
      <x:c r="D203" s="25" t="str">
        <x:v>55mm thick on concrete to receive receive tile finish</x:v>
      </x:c>
      <x:c r="E203" s="25" t="str"/>
      <x:c r="F203" s="22" t="str">
        <x:v>M2</x:v>
      </x:c>
      <x:c r="G203" s="28" t="n">
        <x:v>45</x:v>
      </x:c>
      <x:c r="H203" s="25" t="str">
        <x:v>4482284BC0735979B2D250AFDAC7D</x:v>
      </x:c>
      <x:c r="I203" s="22" t="str">
        <x:v>복합일위대가</x:v>
      </x:c>
      <x:c r="J203" s="34" t="n">
        <x:v>3.85</x:v>
      </x:c>
      <x:c r="K203" s="34" t="n">
        <x:v>0</x:v>
      </x:c>
      <x:c r="L203" s="34" t="n">
        <x:v>0</x:v>
      </x:c>
      <x:c r="M203" s="34" t="n">
        <x:f>SUM(J203:L203)</x:f>
        <x:v>3.85</x:v>
      </x:c>
      <x:c r="N203" s="34" t="n">
        <x:f>G203*J203</x:f>
        <x:v>173.25</x:v>
      </x:c>
      <x:c r="O203" s="34" t="n">
        <x:f>G203*K203</x:f>
        <x:v>0</x:v>
      </x:c>
      <x:c r="P203" s="34" t="n">
        <x:f>G203*L203</x:f>
        <x:v>0</x:v>
      </x:c>
      <x:c r="Q203" s="34" t="n">
        <x:f>SUM(N203:P203)</x:f>
        <x:v>173.25</x:v>
      </x:c>
      <x:c r="R203" s="22" t="str">
        <x:f>IF(M203&gt;0,"복원","미복원")</x:f>
        <x:v>복원</x:v>
      </x:c>
      <x:c r="S203" s="37" t="n">
        <x:v>346</x:v>
      </x:c>
      <x:c r="T2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3" s="22" t="str">
        <x:f>A203&amp;"|"&amp;B203</x:f>
        <x:v>병원|C-010110</x:v>
      </x:c>
      <x:c r="V203" s="22" t="n">
        <x:f>IF(M203&gt;0,1,0)</x:f>
        <x:v>1</x:v>
      </x:c>
    </x:row>
    <x:row r="204" ht="28" customHeight="1">
      <x:c r="A204" s="22" t="str">
        <x:v>병원</x:v>
      </x:c>
      <x:c r="B204" s="31" t="str">
        <x:f>"C-010110"</x:f>
        <x:v>C-010110</x:v>
      </x:c>
      <x:c r="C204" s="25" t="str">
        <x:v>010110  PLASTER WORKS</x:v>
      </x:c>
      <x:c r="D204" s="25" t="str">
        <x:v>Mortar, W/Plastering 60mm thick on concrete floors</x:v>
      </x:c>
      <x:c r="E204" s="25" t="str"/>
      <x:c r="F204" s="22" t="str">
        <x:v>M2</x:v>
      </x:c>
      <x:c r="G204" s="28" t="n">
        <x:v>53</x:v>
      </x:c>
      <x:c r="H204" s="25" t="str">
        <x:v>4482284BC0735979B2D250AFDAC7B</x:v>
      </x:c>
      <x:c r="I204" s="22" t="str">
        <x:v>복합일위대가</x:v>
      </x:c>
      <x:c r="J204" s="34" t="n">
        <x:v>4.2</x:v>
      </x:c>
      <x:c r="K204" s="34" t="n">
        <x:v>0</x:v>
      </x:c>
      <x:c r="L204" s="34" t="n">
        <x:v>0</x:v>
      </x:c>
      <x:c r="M204" s="34" t="n">
        <x:f>SUM(J204:L204)</x:f>
        <x:v>4.2</x:v>
      </x:c>
      <x:c r="N204" s="34" t="n">
        <x:f>G204*J204</x:f>
        <x:v>222.60000000000002</x:v>
      </x:c>
      <x:c r="O204" s="34" t="n">
        <x:f>G204*K204</x:f>
        <x:v>0</x:v>
      </x:c>
      <x:c r="P204" s="34" t="n">
        <x:f>G204*L204</x:f>
        <x:v>0</x:v>
      </x:c>
      <x:c r="Q204" s="34" t="n">
        <x:f>SUM(N204:P204)</x:f>
        <x:v>222.60000000000002</x:v>
      </x:c>
      <x:c r="R204" s="22" t="str">
        <x:f>IF(M204&gt;0,"복원","미복원")</x:f>
        <x:v>복원</x:v>
      </x:c>
      <x:c r="S204" s="37" t="n">
        <x:v>347</x:v>
      </x:c>
      <x:c r="T2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4" s="22" t="str">
        <x:f>A204&amp;"|"&amp;B204</x:f>
        <x:v>병원|C-010110</x:v>
      </x:c>
      <x:c r="V204" s="22" t="n">
        <x:f>IF(M204&gt;0,1,0)</x:f>
        <x:v>1</x:v>
      </x:c>
    </x:row>
    <x:row r="205" ht="28" customHeight="1">
      <x:c r="A205" s="22" t="str">
        <x:v>병원</x:v>
      </x:c>
      <x:c r="B205" s="31" t="str">
        <x:f>"C-010110"</x:f>
        <x:v>C-010110</x:v>
      </x:c>
      <x:c r="C205" s="25" t="str">
        <x:v>010110  PLASTER WORKS</x:v>
      </x:c>
      <x:c r="D205" s="25" t="str">
        <x:v>Mortar, W/Plastering 15mm thick on concrete ceiling</x:v>
      </x:c>
      <x:c r="E205" s="25" t="str"/>
      <x:c r="F205" s="22" t="str">
        <x:v>M2</x:v>
      </x:c>
      <x:c r="G205" s="28" t="n">
        <x:v>241</x:v>
      </x:c>
      <x:c r="H205" s="25" t="str">
        <x:v>4482284BC0735979B2D250AFDAC7A</x:v>
      </x:c>
      <x:c r="I205" s="22" t="str">
        <x:v>복합일위대가</x:v>
      </x:c>
      <x:c r="J205" s="34" t="n">
        <x:v>1.05</x:v>
      </x:c>
      <x:c r="K205" s="34" t="n">
        <x:v>0</x:v>
      </x:c>
      <x:c r="L205" s="34" t="n">
        <x:v>0</x:v>
      </x:c>
      <x:c r="M205" s="34" t="n">
        <x:f>SUM(J205:L205)</x:f>
        <x:v>1.05</x:v>
      </x:c>
      <x:c r="N205" s="34" t="n">
        <x:f>G205*J205</x:f>
        <x:v>253.05</x:v>
      </x:c>
      <x:c r="O205" s="34" t="n">
        <x:f>G205*K205</x:f>
        <x:v>0</x:v>
      </x:c>
      <x:c r="P205" s="34" t="n">
        <x:f>G205*L205</x:f>
        <x:v>0</x:v>
      </x:c>
      <x:c r="Q205" s="34" t="n">
        <x:f>SUM(N205:P205)</x:f>
        <x:v>253.05</x:v>
      </x:c>
      <x:c r="R205" s="22" t="str">
        <x:f>IF(M205&gt;0,"복원","미복원")</x:f>
        <x:v>복원</x:v>
      </x:c>
      <x:c r="S205" s="37" t="n">
        <x:v>348</x:v>
      </x:c>
      <x:c r="T2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5" s="22" t="str">
        <x:f>A205&amp;"|"&amp;B205</x:f>
        <x:v>병원|C-010110</x:v>
      </x:c>
      <x:c r="V205" s="22" t="n">
        <x:f>IF(M205&gt;0,1,0)</x:f>
        <x:v>1</x:v>
      </x:c>
    </x:row>
    <x:row r="206" ht="28" customHeight="1">
      <x:c r="A206" s="22" t="str">
        <x:v>병원</x:v>
      </x:c>
      <x:c r="B206" s="31" t="str">
        <x:f>"C-010110"</x:f>
        <x:v>C-010110</x:v>
      </x:c>
      <x:c r="C206" s="25" t="str">
        <x:v>010110  PLASTER WORKS</x:v>
      </x:c>
      <x:c r="D206" s="25" t="str">
        <x:v>Resin Mortar, W/Plastering 5mm thick on concrete floors</x:v>
      </x:c>
      <x:c r="E206" s="25" t="str"/>
      <x:c r="F206" s="22" t="str">
        <x:v>M2</x:v>
      </x:c>
      <x:c r="G206" s="28" t="n">
        <x:v>45</x:v>
      </x:c>
      <x:c r="H206" s="25" t="str">
        <x:v>4482284BC0735979B2D256C143E89</x:v>
      </x:c>
      <x:c r="I206" s="22" t="str">
        <x:v>복합일위대가</x:v>
      </x:c>
      <x:c r="J206" s="34" t="n">
        <x:v>7.15</x:v>
      </x:c>
      <x:c r="K206" s="34" t="n">
        <x:v>0</x:v>
      </x:c>
      <x:c r="L206" s="34" t="n">
        <x:v>0</x:v>
      </x:c>
      <x:c r="M206" s="34" t="n">
        <x:f>SUM(J206:L206)</x:f>
        <x:v>7.15</x:v>
      </x:c>
      <x:c r="N206" s="34" t="n">
        <x:f>G206*J206</x:f>
        <x:v>321.75</x:v>
      </x:c>
      <x:c r="O206" s="34" t="n">
        <x:f>G206*K206</x:f>
        <x:v>0</x:v>
      </x:c>
      <x:c r="P206" s="34" t="n">
        <x:f>G206*L206</x:f>
        <x:v>0</x:v>
      </x:c>
      <x:c r="Q206" s="34" t="n">
        <x:f>SUM(N206:P206)</x:f>
        <x:v>321.75</x:v>
      </x:c>
      <x:c r="R206" s="22" t="str">
        <x:f>IF(M206&gt;0,"복원","미복원")</x:f>
        <x:v>복원</x:v>
      </x:c>
      <x:c r="S206" s="37" t="n">
        <x:v>349</x:v>
      </x:c>
      <x:c r="T2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6" s="22" t="str">
        <x:f>A206&amp;"|"&amp;B206</x:f>
        <x:v>병원|C-010110</x:v>
      </x:c>
      <x:c r="V206" s="22" t="n">
        <x:f>IF(M206&gt;0,1,0)</x:f>
        <x:v>1</x:v>
      </x:c>
    </x:row>
    <x:row r="207" ht="28" customHeight="1">
      <x:c r="A207" s="22" t="str">
        <x:v>병원</x:v>
      </x:c>
      <x:c r="B207" s="31" t="str">
        <x:f>"C-010110"</x:f>
        <x:v>C-010110</x:v>
      </x:c>
      <x:c r="C207" s="25" t="str">
        <x:v>010110  PLASTER WORKS</x:v>
      </x:c>
      <x:c r="D207" s="25" t="str">
        <x:v>CONCRETE SURFACE TREATMENT</x:v>
      </x:c>
      <x:c r="E207" s="25" t="str">
        <x:v>WALL</x:v>
      </x:c>
      <x:c r="F207" s="22" t="str">
        <x:v>M2</x:v>
      </x:c>
      <x:c r="G207" s="28" t="n">
        <x:v>2141</x:v>
      </x:c>
      <x:c r="H207" s="25" t="str">
        <x:v>4482284BC070874912CC359D94171</x:v>
      </x:c>
      <x:c r="I207" s="22" t="str">
        <x:v>복합일위대가</x:v>
      </x:c>
      <x:c r="J207" s="34" t="n">
        <x:v>3</x:v>
      </x:c>
      <x:c r="K207" s="34" t="n">
        <x:v>0</x:v>
      </x:c>
      <x:c r="L207" s="34" t="n">
        <x:v>0</x:v>
      </x:c>
      <x:c r="M207" s="34" t="n">
        <x:f>SUM(J207:L207)</x:f>
        <x:v>3</x:v>
      </x:c>
      <x:c r="N207" s="34" t="n">
        <x:f>G207*J207</x:f>
        <x:v>6423</x:v>
      </x:c>
      <x:c r="O207" s="34" t="n">
        <x:f>G207*K207</x:f>
        <x:v>0</x:v>
      </x:c>
      <x:c r="P207" s="34" t="n">
        <x:f>G207*L207</x:f>
        <x:v>0</x:v>
      </x:c>
      <x:c r="Q207" s="34" t="n">
        <x:f>SUM(N207:P207)</x:f>
        <x:v>6423</x:v>
      </x:c>
      <x:c r="R207" s="22" t="str">
        <x:f>IF(M207&gt;0,"복원","미복원")</x:f>
        <x:v>복원</x:v>
      </x:c>
      <x:c r="S207" s="37" t="n">
        <x:v>350</x:v>
      </x:c>
      <x:c r="T2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7" s="22" t="str">
        <x:f>A207&amp;"|"&amp;B207</x:f>
        <x:v>병원|C-010110</x:v>
      </x:c>
      <x:c r="V207" s="22" t="n">
        <x:f>IF(M207&gt;0,1,0)</x:f>
        <x:v>1</x:v>
      </x:c>
    </x:row>
    <x:row r="208" ht="28" customHeight="1">
      <x:c r="A208" s="22" t="str">
        <x:v>병원</x:v>
      </x:c>
      <x:c r="B208" s="31" t="str">
        <x:f>"C-010110"</x:f>
        <x:v>C-010110</x:v>
      </x:c>
      <x:c r="C208" s="25" t="str">
        <x:v>010110  PLASTER WORKS</x:v>
      </x:c>
      <x:c r="D208" s="25" t="str">
        <x:v>CONCRETE SURFACE TREATMENT</x:v>
      </x:c>
      <x:c r="E208" s="25" t="str">
        <x:v>CEILING</x:v>
      </x:c>
      <x:c r="F208" s="22" t="str">
        <x:v>M2</x:v>
      </x:c>
      <x:c r="G208" s="28" t="n">
        <x:v>856</x:v>
      </x:c>
      <x:c r="H208" s="25" t="str">
        <x:v>4482284BC070874912CC359D94218</x:v>
      </x:c>
      <x:c r="I208" s="22" t="str">
        <x:v>복합일위대가</x:v>
      </x:c>
      <x:c r="J208" s="34" t="n">
        <x:v>3</x:v>
      </x:c>
      <x:c r="K208" s="34" t="n">
        <x:v>0</x:v>
      </x:c>
      <x:c r="L208" s="34" t="n">
        <x:v>0</x:v>
      </x:c>
      <x:c r="M208" s="34" t="n">
        <x:f>SUM(J208:L208)</x:f>
        <x:v>3</x:v>
      </x:c>
      <x:c r="N208" s="34" t="n">
        <x:f>G208*J208</x:f>
        <x:v>2568</x:v>
      </x:c>
      <x:c r="O208" s="34" t="n">
        <x:f>G208*K208</x:f>
        <x:v>0</x:v>
      </x:c>
      <x:c r="P208" s="34" t="n">
        <x:f>G208*L208</x:f>
        <x:v>0</x:v>
      </x:c>
      <x:c r="Q208" s="34" t="n">
        <x:f>SUM(N208:P208)</x:f>
        <x:v>2568</x:v>
      </x:c>
      <x:c r="R208" s="22" t="str">
        <x:f>IF(M208&gt;0,"복원","미복원")</x:f>
        <x:v>복원</x:v>
      </x:c>
      <x:c r="S208" s="37" t="n">
        <x:v>351</x:v>
      </x:c>
      <x:c r="T2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8" s="22" t="str">
        <x:f>A208&amp;"|"&amp;B208</x:f>
        <x:v>병원|C-010110</x:v>
      </x:c>
      <x:c r="V208" s="22" t="n">
        <x:f>IF(M208&gt;0,1,0)</x:f>
        <x:v>1</x:v>
      </x:c>
    </x:row>
    <x:row r="209" ht="28" customHeight="1">
      <x:c r="A209" s="22" t="str">
        <x:v>병원</x:v>
      </x:c>
      <x:c r="B209" s="31" t="str">
        <x:f>"C-010110"</x:f>
        <x:v>C-010110</x:v>
      </x:c>
      <x:c r="C209" s="25" t="str">
        <x:v>010110  PLASTER WORKS</x:v>
      </x:c>
      <x:c r="D209" s="25" t="str">
        <x:v>Steel Troweled</x:v>
      </x:c>
      <x:c r="E209" s="25" t="str">
        <x:v>Floor</x:v>
      </x:c>
      <x:c r="F209" s="22" t="str">
        <x:v>M2</x:v>
      </x:c>
      <x:c r="G209" s="28" t="n">
        <x:v>4425</x:v>
      </x:c>
      <x:c r="H209" s="25" t="str">
        <x:v>4482284BC0762C32527F32009D274</x:v>
      </x:c>
      <x:c r="I209" s="22" t="str">
        <x:v>복합일위대가</x:v>
      </x:c>
      <x:c r="J209" s="34" t="n">
        <x:v>3</x:v>
      </x:c>
      <x:c r="K209" s="34" t="n">
        <x:v>0</x:v>
      </x:c>
      <x:c r="L209" s="34" t="n">
        <x:v>0</x:v>
      </x:c>
      <x:c r="M209" s="34" t="n">
        <x:f>SUM(J209:L209)</x:f>
        <x:v>3</x:v>
      </x:c>
      <x:c r="N209" s="34" t="n">
        <x:f>G209*J209</x:f>
        <x:v>13275</x:v>
      </x:c>
      <x:c r="O209" s="34" t="n">
        <x:f>G209*K209</x:f>
        <x:v>0</x:v>
      </x:c>
      <x:c r="P209" s="34" t="n">
        <x:f>G209*L209</x:f>
        <x:v>0</x:v>
      </x:c>
      <x:c r="Q209" s="34" t="n">
        <x:f>SUM(N209:P209)</x:f>
        <x:v>13275</x:v>
      </x:c>
      <x:c r="R209" s="22" t="str">
        <x:f>IF(M209&gt;0,"복원","미복원")</x:f>
        <x:v>복원</x:v>
      </x:c>
      <x:c r="S209" s="37" t="n">
        <x:v>352</x:v>
      </x:c>
      <x:c r="T2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09" s="22" t="str">
        <x:f>A209&amp;"|"&amp;B209</x:f>
        <x:v>병원|C-010110</x:v>
      </x:c>
      <x:c r="V209" s="22" t="n">
        <x:f>IF(M209&gt;0,1,0)</x:f>
        <x:v>1</x:v>
      </x:c>
    </x:row>
    <x:row r="210" ht="28" customHeight="1">
      <x:c r="A210" s="22" t="str">
        <x:v>병원</x:v>
      </x:c>
      <x:c r="B210" s="31" t="str">
        <x:f>"C-010110"</x:f>
        <x:v>C-010110</x:v>
      </x:c>
      <x:c r="C210" s="25" t="str">
        <x:v>010110  PLASTER WORKS</x:v>
      </x:c>
      <x:c r="D210" s="25" t="str">
        <x:v>Mortar Infill</x:v>
      </x:c>
      <x:c r="E210" s="25" t="str">
        <x:v>Around The door &amp; window</x:v>
      </x:c>
      <x:c r="F210" s="22" t="str">
        <x:v>M</x:v>
      </x:c>
      <x:c r="G210" s="28" t="n">
        <x:v>387</x:v>
      </x:c>
      <x:c r="H210" s="25" t="str">
        <x:v>44822343DD798A2812ACA2BC9896B</x:v>
      </x:c>
      <x:c r="I210" s="22" t="str">
        <x:v>복합일위대가</x:v>
      </x:c>
      <x:c r="J210" s="34" t="n">
        <x:v>0.54</x:v>
      </x:c>
      <x:c r="K210" s="34" t="n">
        <x:v>1.33</x:v>
      </x:c>
      <x:c r="L210" s="34" t="n">
        <x:v>0.03</x:v>
      </x:c>
      <x:c r="M210" s="34" t="n">
        <x:f>SUM(J210:L210)</x:f>
        <x:v>1.9000000000000001</x:v>
      </x:c>
      <x:c r="N210" s="34" t="n">
        <x:f>G210*J210</x:f>
        <x:v>208.98000000000002</x:v>
      </x:c>
      <x:c r="O210" s="34" t="n">
        <x:f>G210*K210</x:f>
        <x:v>514.71</x:v>
      </x:c>
      <x:c r="P210" s="34" t="n">
        <x:f>G210*L210</x:f>
        <x:v>11.61</x:v>
      </x:c>
      <x:c r="Q210" s="34" t="n">
        <x:f>SUM(N210:P210)</x:f>
        <x:v>735.3000000000001</x:v>
      </x:c>
      <x:c r="R210" s="22" t="str">
        <x:f>IF(M210&gt;0,"복원","미복원")</x:f>
        <x:v>복원</x:v>
      </x:c>
      <x:c r="S210" s="37" t="n">
        <x:v>353</x:v>
      </x:c>
      <x:c r="T2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0" s="22" t="str">
        <x:f>A210&amp;"|"&amp;B210</x:f>
        <x:v>병원|C-010110</x:v>
      </x:c>
      <x:c r="V210" s="22" t="n">
        <x:f>IF(M210&gt;0,1,0)</x:f>
        <x:v>1</x:v>
      </x:c>
    </x:row>
    <x:row r="211" ht="28" customHeight="1">
      <x:c r="A211" s="22" t="str">
        <x:v>병원</x:v>
      </x:c>
      <x:c r="B211" s="31" t="str">
        <x:f>"C-010110"</x:f>
        <x:v>C-010110</x:v>
      </x:c>
      <x:c r="C211" s="25" t="str">
        <x:v>010110  PLASTER WORKS</x:v>
      </x:c>
      <x:c r="D211" s="25" t="str">
        <x:v>Urethane Foam Filling</x:v>
      </x:c>
      <x:c r="E211" s="25" t="str">
        <x:v>Around The door &amp; window</x:v>
      </x:c>
      <x:c r="F211" s="22" t="str">
        <x:v>M</x:v>
      </x:c>
      <x:c r="G211" s="28" t="n">
        <x:v>2547</x:v>
      </x:c>
      <x:c r="H211" s="25" t="str">
        <x:v>44822343DD798A292213C43685E09</x:v>
      </x:c>
      <x:c r="I211" s="22" t="str">
        <x:v>복합일위대가</x:v>
      </x:c>
      <x:c r="J211" s="34" t="n">
        <x:v>0.39</x:v>
      </x:c>
      <x:c r="K211" s="34" t="n">
        <x:v>0.8</x:v>
      </x:c>
      <x:c r="L211" s="34" t="n">
        <x:v>0</x:v>
      </x:c>
      <x:c r="M211" s="34" t="n">
        <x:f>SUM(J211:L211)</x:f>
        <x:v>1.19</x:v>
      </x:c>
      <x:c r="N211" s="34" t="n">
        <x:f>G211*J211</x:f>
        <x:v>993.33</x:v>
      </x:c>
      <x:c r="O211" s="34" t="n">
        <x:f>G211*K211</x:f>
        <x:v>2037.6000000000001</x:v>
      </x:c>
      <x:c r="P211" s="34" t="n">
        <x:f>G211*L211</x:f>
        <x:v>0</x:v>
      </x:c>
      <x:c r="Q211" s="34" t="n">
        <x:f>SUM(N211:P211)</x:f>
        <x:v>3030.9300000000003</x:v>
      </x:c>
      <x:c r="R211" s="22" t="str">
        <x:f>IF(M211&gt;0,"복원","미복원")</x:f>
        <x:v>복원</x:v>
      </x:c>
      <x:c r="S211" s="37" t="n">
        <x:v>354</x:v>
      </x:c>
      <x:c r="T2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1" s="22" t="str">
        <x:f>A211&amp;"|"&amp;B211</x:f>
        <x:v>병원|C-010110</x:v>
      </x:c>
      <x:c r="V211" s="22" t="n">
        <x:f>IF(M211&gt;0,1,0)</x:f>
        <x:v>1</x:v>
      </x:c>
    </x:row>
    <x:row r="212" ht="28" customHeight="1">
      <x:c r="A212" s="22" t="str">
        <x:v>병원</x:v>
      </x:c>
      <x:c r="B212" s="31" t="str">
        <x:f>"C-010111"</x:f>
        <x:v>C-010111</x:v>
      </x:c>
      <x:c r="C212" s="25" t="str">
        <x:v>010111  DOORS &amp; WINDOWS WORKS-1</x:v>
      </x:c>
      <x:c r="D212" s="25" t="str">
        <x:v>AD01/01. HOSPITAL/60*150 AL</x:v>
      </x:c>
      <x:c r="E212" s="25" t="str">
        <x:v>0.900 x 1.800 = 1.620</x:v>
      </x:c>
      <x:c r="F212" s="22" t="str">
        <x:v>EA</x:v>
      </x:c>
      <x:c r="G212" s="28" t="n">
        <x:v>2</x:v>
      </x:c>
      <x:c r="H212" s="25" t="str">
        <x:v>453125479B7D7FE4C224A493677E6</x:v>
      </x:c>
      <x:c r="I212" s="22" t="str">
        <x:v>복합일위대가</x:v>
      </x:c>
      <x:c r="J212" s="34" t="n">
        <x:v>299.7</x:v>
      </x:c>
      <x:c r="K212" s="34" t="n">
        <x:v>0</x:v>
      </x:c>
      <x:c r="L212" s="34" t="n">
        <x:v>0</x:v>
      </x:c>
      <x:c r="M212" s="34" t="n">
        <x:f>SUM(J212:L212)</x:f>
        <x:v>299.7</x:v>
      </x:c>
      <x:c r="N212" s="34" t="n">
        <x:f>G212*J212</x:f>
        <x:v>599.4</x:v>
      </x:c>
      <x:c r="O212" s="34" t="n">
        <x:f>G212*K212</x:f>
        <x:v>0</x:v>
      </x:c>
      <x:c r="P212" s="34" t="n">
        <x:f>G212*L212</x:f>
        <x:v>0</x:v>
      </x:c>
      <x:c r="Q212" s="34" t="n">
        <x:f>SUM(N212:P212)</x:f>
        <x:v>599.4</x:v>
      </x:c>
      <x:c r="R212" s="22" t="str">
        <x:f>IF(M212&gt;0,"복원","미복원")</x:f>
        <x:v>복원</x:v>
      </x:c>
      <x:c r="S212" s="37" t="n">
        <x:v>365</x:v>
      </x:c>
      <x:c r="T2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2" s="22" t="str">
        <x:f>A212&amp;"|"&amp;B212</x:f>
        <x:v>병원|C-010111</x:v>
      </x:c>
      <x:c r="V212" s="22" t="n">
        <x:f>IF(M212&gt;0,1,0)</x:f>
        <x:v>1</x:v>
      </x:c>
    </x:row>
    <x:row r="213" ht="28" customHeight="1">
      <x:c r="A213" s="22" t="str">
        <x:v>병원</x:v>
      </x:c>
      <x:c r="B213" s="31" t="str">
        <x:f>"C-010111"</x:f>
        <x:v>C-010111</x:v>
      </x:c>
      <x:c r="C213" s="25" t="str">
        <x:v>010111  DOORS &amp; WINDOWS WORKS-1</x:v>
      </x:c>
      <x:c r="D213" s="25" t="str">
        <x:v>AG01/01. HOSPITAL/AL.Louver</x:v>
      </x:c>
      <x:c r="E213" s="25" t="str">
        <x:v>2.475 x 1.800 = 4.455</x:v>
      </x:c>
      <x:c r="F213" s="22" t="str">
        <x:v>EA</x:v>
      </x:c>
      <x:c r="G213" s="28" t="n">
        <x:v>2</x:v>
      </x:c>
      <x:c r="H213" s="25" t="str">
        <x:v>453125479B7D7FE4C224BA0035DEF</x:v>
      </x:c>
      <x:c r="I213" s="22" t="str">
        <x:v>복합일위대가</x:v>
      </x:c>
      <x:c r="J213" s="34" t="n">
        <x:v>824.18</x:v>
      </x:c>
      <x:c r="K213" s="34" t="n">
        <x:v>0</x:v>
      </x:c>
      <x:c r="L213" s="34" t="n">
        <x:v>0</x:v>
      </x:c>
      <x:c r="M213" s="34" t="n">
        <x:f>SUM(J213:L213)</x:f>
        <x:v>824.18</x:v>
      </x:c>
      <x:c r="N213" s="34" t="n">
        <x:f>G213*J213</x:f>
        <x:v>1648.36</x:v>
      </x:c>
      <x:c r="O213" s="34" t="n">
        <x:f>G213*K213</x:f>
        <x:v>0</x:v>
      </x:c>
      <x:c r="P213" s="34" t="n">
        <x:f>G213*L213</x:f>
        <x:v>0</x:v>
      </x:c>
      <x:c r="Q213" s="34" t="n">
        <x:f>SUM(N213:P213)</x:f>
        <x:v>1648.36</x:v>
      </x:c>
      <x:c r="R213" s="22" t="str">
        <x:f>IF(M213&gt;0,"복원","미복원")</x:f>
        <x:v>복원</x:v>
      </x:c>
      <x:c r="S213" s="37" t="n">
        <x:v>366</x:v>
      </x:c>
      <x:c r="T2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3" s="22" t="str">
        <x:f>A213&amp;"|"&amp;B213</x:f>
        <x:v>병원|C-010111</x:v>
      </x:c>
      <x:c r="V213" s="22" t="n">
        <x:f>IF(M213&gt;0,1,0)</x:f>
        <x:v>1</x:v>
      </x:c>
    </x:row>
    <x:row r="214" ht="28" customHeight="1">
      <x:c r="A214" s="22" t="str">
        <x:v>병원</x:v>
      </x:c>
      <x:c r="B214" s="31" t="str">
        <x:f>"C-010111"</x:f>
        <x:v>C-010111</x:v>
      </x:c>
      <x:c r="C214" s="25" t="str">
        <x:v>010111  DOORS &amp; WINDOWS WORKS-1</x:v>
      </x:c>
      <x:c r="D214" s="25" t="str">
        <x:v>AG02/01. HOSPITAL/AL.Louver</x:v>
      </x:c>
      <x:c r="E214" s="25" t="str">
        <x:v>2.475 x 1.800 = 4.455</x:v>
      </x:c>
      <x:c r="F214" s="22" t="str">
        <x:v>EA</x:v>
      </x:c>
      <x:c r="G214" s="28" t="n">
        <x:v>2</x:v>
      </x:c>
      <x:c r="H214" s="25" t="str">
        <x:v>453125479B7D7FE4C224BA0035DED</x:v>
      </x:c>
      <x:c r="I214" s="22" t="str">
        <x:v>복합일위대가</x:v>
      </x:c>
      <x:c r="J214" s="34" t="n">
        <x:v>824.18</x:v>
      </x:c>
      <x:c r="K214" s="34" t="n">
        <x:v>0</x:v>
      </x:c>
      <x:c r="L214" s="34" t="n">
        <x:v>0</x:v>
      </x:c>
      <x:c r="M214" s="34" t="n">
        <x:f>SUM(J214:L214)</x:f>
        <x:v>824.18</x:v>
      </x:c>
      <x:c r="N214" s="34" t="n">
        <x:f>G214*J214</x:f>
        <x:v>1648.36</x:v>
      </x:c>
      <x:c r="O214" s="34" t="n">
        <x:f>G214*K214</x:f>
        <x:v>0</x:v>
      </x:c>
      <x:c r="P214" s="34" t="n">
        <x:f>G214*L214</x:f>
        <x:v>0</x:v>
      </x:c>
      <x:c r="Q214" s="34" t="n">
        <x:f>SUM(N214:P214)</x:f>
        <x:v>1648.36</x:v>
      </x:c>
      <x:c r="R214" s="22" t="str">
        <x:f>IF(M214&gt;0,"복원","미복원")</x:f>
        <x:v>복원</x:v>
      </x:c>
      <x:c r="S214" s="37" t="n">
        <x:v>367</x:v>
      </x:c>
      <x:c r="T2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4" s="22" t="str">
        <x:f>A214&amp;"|"&amp;B214</x:f>
        <x:v>병원|C-010111</x:v>
      </x:c>
      <x:c r="V214" s="22" t="n">
        <x:f>IF(M214&gt;0,1,0)</x:f>
        <x:v>1</x:v>
      </x:c>
    </x:row>
    <x:row r="215" ht="28" customHeight="1">
      <x:c r="A215" s="22" t="str">
        <x:v>병원</x:v>
      </x:c>
      <x:c r="B215" s="31" t="str">
        <x:f>"C-010111"</x:f>
        <x:v>C-010111</x:v>
      </x:c>
      <x:c r="C215" s="25" t="str">
        <x:v>010111  DOORS &amp; WINDOWS WORKS-1</x:v>
      </x:c>
      <x:c r="D215" s="25" t="str">
        <x:v>AG02A/01. HOSPITAL/AL.Louver</x:v>
      </x:c>
      <x:c r="E215" s="25" t="str">
        <x:v>1.420 x 2.400 = 3.408</x:v>
      </x:c>
      <x:c r="F215" s="22" t="str">
        <x:v>EA</x:v>
      </x:c>
      <x:c r="G215" s="28" t="n">
        <x:v>1</x:v>
      </x:c>
      <x:c r="H215" s="25" t="str">
        <x:v>453125479B7D7FE4C224A493677E4</x:v>
      </x:c>
      <x:c r="I215" s="22" t="str">
        <x:v>복합일위대가</x:v>
      </x:c>
      <x:c r="J215" s="34" t="n">
        <x:v>630.48</x:v>
      </x:c>
      <x:c r="K215" s="34" t="n">
        <x:v>0</x:v>
      </x:c>
      <x:c r="L215" s="34" t="n">
        <x:v>0</x:v>
      </x:c>
      <x:c r="M215" s="34" t="n">
        <x:f>SUM(J215:L215)</x:f>
        <x:v>630.48</x:v>
      </x:c>
      <x:c r="N215" s="34" t="n">
        <x:f>G215*J215</x:f>
        <x:v>630.48</x:v>
      </x:c>
      <x:c r="O215" s="34" t="n">
        <x:f>G215*K215</x:f>
        <x:v>0</x:v>
      </x:c>
      <x:c r="P215" s="34" t="n">
        <x:f>G215*L215</x:f>
        <x:v>0</x:v>
      </x:c>
      <x:c r="Q215" s="34" t="n">
        <x:f>SUM(N215:P215)</x:f>
        <x:v>630.48</x:v>
      </x:c>
      <x:c r="R215" s="22" t="str">
        <x:f>IF(M215&gt;0,"복원","미복원")</x:f>
        <x:v>복원</x:v>
      </x:c>
      <x:c r="S215" s="37" t="n">
        <x:v>368</x:v>
      </x:c>
      <x:c r="T2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5" s="22" t="str">
        <x:f>A215&amp;"|"&amp;B215</x:f>
        <x:v>병원|C-010111</x:v>
      </x:c>
      <x:c r="V215" s="22" t="n">
        <x:f>IF(M215&gt;0,1,0)</x:f>
        <x:v>1</x:v>
      </x:c>
    </x:row>
    <x:row r="216" ht="28" customHeight="1">
      <x:c r="A216" s="22" t="str">
        <x:v>병원</x:v>
      </x:c>
      <x:c r="B216" s="31" t="str">
        <x:f>"C-010111"</x:f>
        <x:v>C-010111</x:v>
      </x:c>
      <x:c r="C216" s="25" t="str">
        <x:v>010111  DOORS &amp; WINDOWS WORKS-1</x:v>
      </x:c>
      <x:c r="D216" s="25" t="str">
        <x:v>AG03/01. HOSPITAL/AL.Louver</x:v>
      </x:c>
      <x:c r="E216" s="25" t="str">
        <x:v>2.450 x 0.550 = 1.347</x:v>
      </x:c>
      <x:c r="F216" s="22" t="str">
        <x:v>EA</x:v>
      </x:c>
      <x:c r="G216" s="28" t="n">
        <x:v>1</x:v>
      </x:c>
      <x:c r="H216" s="25" t="str">
        <x:v>453125479B7D7FE4C224BA0035DEB</x:v>
      </x:c>
      <x:c r="I216" s="22" t="str">
        <x:v>복합일위대가</x:v>
      </x:c>
      <x:c r="J216" s="34" t="n">
        <x:v>249.2</x:v>
      </x:c>
      <x:c r="K216" s="34" t="n">
        <x:v>0</x:v>
      </x:c>
      <x:c r="L216" s="34" t="n">
        <x:v>0</x:v>
      </x:c>
      <x:c r="M216" s="34" t="n">
        <x:f>SUM(J216:L216)</x:f>
        <x:v>249.2</x:v>
      </x:c>
      <x:c r="N216" s="34" t="n">
        <x:f>G216*J216</x:f>
        <x:v>249.2</x:v>
      </x:c>
      <x:c r="O216" s="34" t="n">
        <x:f>G216*K216</x:f>
        <x:v>0</x:v>
      </x:c>
      <x:c r="P216" s="34" t="n">
        <x:f>G216*L216</x:f>
        <x:v>0</x:v>
      </x:c>
      <x:c r="Q216" s="34" t="n">
        <x:f>SUM(N216:P216)</x:f>
        <x:v>249.2</x:v>
      </x:c>
      <x:c r="R216" s="22" t="str">
        <x:f>IF(M216&gt;0,"복원","미복원")</x:f>
        <x:v>복원</x:v>
      </x:c>
      <x:c r="S216" s="37" t="n">
        <x:v>369</x:v>
      </x:c>
      <x:c r="T2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6" s="22" t="str">
        <x:f>A216&amp;"|"&amp;B216</x:f>
        <x:v>병원|C-010111</x:v>
      </x:c>
      <x:c r="V216" s="22" t="n">
        <x:f>IF(M216&gt;0,1,0)</x:f>
        <x:v>1</x:v>
      </x:c>
    </x:row>
    <x:row r="217" ht="28" customHeight="1">
      <x:c r="A217" s="22" t="str">
        <x:v>병원</x:v>
      </x:c>
      <x:c r="B217" s="31" t="str">
        <x:f>"C-010111"</x:f>
        <x:v>C-010111</x:v>
      </x:c>
      <x:c r="C217" s="25" t="str">
        <x:v>010111  DOORS &amp; WINDOWS WORKS-1</x:v>
      </x:c>
      <x:c r="D217" s="25" t="str">
        <x:v>ASD01/01. HOSPITAL/45*150 ST [AUTO]</x:v>
      </x:c>
      <x:c r="E217" s="25" t="str">
        <x:v>3.000 x 2.300 = 6.900</x:v>
      </x:c>
      <x:c r="F217" s="22" t="str">
        <x:v>EA</x:v>
      </x:c>
      <x:c r="G217" s="28" t="n">
        <x:v>1</x:v>
      </x:c>
      <x:c r="H217" s="25" t="str">
        <x:v>453125479B7D7FE4C224BA0035DE9</x:v>
      </x:c>
      <x:c r="I217" s="22" t="str">
        <x:v>복합일위대가</x:v>
      </x:c>
      <x:c r="J217" s="34" t="n">
        <x:v>3097.65</x:v>
      </x:c>
      <x:c r="K217" s="34" t="n">
        <x:v>528.99</x:v>
      </x:c>
      <x:c r="L217" s="34" t="n">
        <x:v>238.29</x:v>
      </x:c>
      <x:c r="M217" s="34" t="n">
        <x:f>SUM(J217:L217)</x:f>
        <x:v>3864.9300000000003</x:v>
      </x:c>
      <x:c r="N217" s="34" t="n">
        <x:f>G217*J217</x:f>
        <x:v>3097.65</x:v>
      </x:c>
      <x:c r="O217" s="34" t="n">
        <x:f>G217*K217</x:f>
        <x:v>528.99</x:v>
      </x:c>
      <x:c r="P217" s="34" t="n">
        <x:f>G217*L217</x:f>
        <x:v>238.29</x:v>
      </x:c>
      <x:c r="Q217" s="34" t="n">
        <x:f>SUM(N217:P217)</x:f>
        <x:v>3864.9300000000003</x:v>
      </x:c>
      <x:c r="R217" s="22" t="str">
        <x:f>IF(M217&gt;0,"복원","미복원")</x:f>
        <x:v>복원</x:v>
      </x:c>
      <x:c r="S217" s="37" t="n">
        <x:v>370</x:v>
      </x:c>
      <x:c r="T2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7" s="22" t="str">
        <x:f>A217&amp;"|"&amp;B217</x:f>
        <x:v>병원|C-010111</x:v>
      </x:c>
      <x:c r="V217" s="22" t="n">
        <x:f>IF(M217&gt;0,1,0)</x:f>
        <x:v>1</x:v>
      </x:c>
    </x:row>
    <x:row r="218" ht="28" customHeight="1">
      <x:c r="A218" s="22" t="str">
        <x:v>병원</x:v>
      </x:c>
      <x:c r="B218" s="31" t="str">
        <x:f>"C-010111"</x:f>
        <x:v>C-010111</x:v>
      </x:c>
      <x:c r="C218" s="25" t="str">
        <x:v>010111  DOORS &amp; WINDOWS WORKS-1</x:v>
      </x:c>
      <x:c r="D218" s="25" t="str">
        <x:v>ASD01A/01. HOSPITAL/45*150 ST [AUTO]</x:v>
      </x:c>
      <x:c r="E218" s="25" t="str">
        <x:v>3.000 x 2.300 = 6.900</x:v>
      </x:c>
      <x:c r="F218" s="22" t="str">
        <x:v>EA</x:v>
      </x:c>
      <x:c r="G218" s="28" t="n">
        <x:v>1</x:v>
      </x:c>
      <x:c r="H218" s="25" t="str">
        <x:v>453125479B7D7FE4C224BA0035DE7</x:v>
      </x:c>
      <x:c r="I218" s="22" t="str">
        <x:v>복합일위대가</x:v>
      </x:c>
      <x:c r="J218" s="34" t="n">
        <x:v>3097.65</x:v>
      </x:c>
      <x:c r="K218" s="34" t="n">
        <x:v>528.99</x:v>
      </x:c>
      <x:c r="L218" s="34" t="n">
        <x:v>238.29</x:v>
      </x:c>
      <x:c r="M218" s="34" t="n">
        <x:f>SUM(J218:L218)</x:f>
        <x:v>3864.9300000000003</x:v>
      </x:c>
      <x:c r="N218" s="34" t="n">
        <x:f>G218*J218</x:f>
        <x:v>3097.65</x:v>
      </x:c>
      <x:c r="O218" s="34" t="n">
        <x:f>G218*K218</x:f>
        <x:v>528.99</x:v>
      </x:c>
      <x:c r="P218" s="34" t="n">
        <x:f>G218*L218</x:f>
        <x:v>238.29</x:v>
      </x:c>
      <x:c r="Q218" s="34" t="n">
        <x:f>SUM(N218:P218)</x:f>
        <x:v>3864.9300000000003</x:v>
      </x:c>
      <x:c r="R218" s="22" t="str">
        <x:f>IF(M218&gt;0,"복원","미복원")</x:f>
        <x:v>복원</x:v>
      </x:c>
      <x:c r="S218" s="37" t="n">
        <x:v>371</x:v>
      </x:c>
      <x:c r="T2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8" s="22" t="str">
        <x:f>A218&amp;"|"&amp;B218</x:f>
        <x:v>병원|C-010111</x:v>
      </x:c>
      <x:c r="V218" s="22" t="n">
        <x:f>IF(M218&gt;0,1,0)</x:f>
        <x:v>1</x:v>
      </x:c>
    </x:row>
    <x:row r="219" ht="28" customHeight="1">
      <x:c r="A219" s="22" t="str">
        <x:v>병원</x:v>
      </x:c>
      <x:c r="B219" s="31" t="str">
        <x:f>"C-010111"</x:f>
        <x:v>C-010111</x:v>
      </x:c>
      <x:c r="C219" s="25" t="str">
        <x:v>010111  DOORS &amp; WINDOWS WORKS-1</x:v>
      </x:c>
      <x:c r="D219" s="25" t="str">
        <x:v>ASD02/01. HOSPITAL/45*150 ST [AUTO]</x:v>
      </x:c>
      <x:c r="E219" s="25" t="str">
        <x:v>2.600 x 2.700 = 7.020</x:v>
      </x:c>
      <x:c r="F219" s="22" t="str">
        <x:v>EA</x:v>
      </x:c>
      <x:c r="G219" s="28" t="n">
        <x:v>3</x:v>
      </x:c>
      <x:c r="H219" s="25" t="str">
        <x:v>453125479B7D7FE4C224BA0035CC6</x:v>
      </x:c>
      <x:c r="I219" s="22" t="str">
        <x:v>복합일위대가</x:v>
      </x:c>
      <x:c r="J219" s="34" t="n">
        <x:v>3044.7</x:v>
      </x:c>
      <x:c r="K219" s="34" t="n">
        <x:v>519.95</x:v>
      </x:c>
      <x:c r="L219" s="34" t="n">
        <x:v>234.21</x:v>
      </x:c>
      <x:c r="M219" s="34" t="n">
        <x:f>SUM(J219:L219)</x:f>
        <x:v>3798.8599999999997</x:v>
      </x:c>
      <x:c r="N219" s="34" t="n">
        <x:f>G219*J219</x:f>
        <x:v>9134.099999999999</x:v>
      </x:c>
      <x:c r="O219" s="34" t="n">
        <x:f>G219*K219</x:f>
        <x:v>1559.8500000000001</x:v>
      </x:c>
      <x:c r="P219" s="34" t="n">
        <x:f>G219*L219</x:f>
        <x:v>702.63</x:v>
      </x:c>
      <x:c r="Q219" s="34" t="n">
        <x:f>SUM(N219:P219)</x:f>
        <x:v>11396.579999999998</x:v>
      </x:c>
      <x:c r="R219" s="22" t="str">
        <x:f>IF(M219&gt;0,"복원","미복원")</x:f>
        <x:v>복원</x:v>
      </x:c>
      <x:c r="S219" s="37" t="n">
        <x:v>372</x:v>
      </x:c>
      <x:c r="T2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19" s="22" t="str">
        <x:f>A219&amp;"|"&amp;B219</x:f>
        <x:v>병원|C-010111</x:v>
      </x:c>
      <x:c r="V219" s="22" t="n">
        <x:f>IF(M219&gt;0,1,0)</x:f>
        <x:v>1</x:v>
      </x:c>
    </x:row>
    <x:row r="220" ht="28" customHeight="1">
      <x:c r="A220" s="22" t="str">
        <x:v>병원</x:v>
      </x:c>
      <x:c r="B220" s="31" t="str">
        <x:f>"C-010111"</x:f>
        <x:v>C-010111</x:v>
      </x:c>
      <x:c r="C220" s="25" t="str">
        <x:v>010111  DOORS &amp; WINDOWS WORKS-1</x:v>
      </x:c>
      <x:c r="D220" s="25" t="str">
        <x:v>ASD03/01. HOSPITAL/45*150 ST [AUTO]</x:v>
      </x:c>
      <x:c r="E220" s="25" t="str">
        <x:v>3.000 x 2.700 = 8.100</x:v>
      </x:c>
      <x:c r="F220" s="22" t="str">
        <x:v>EA</x:v>
      </x:c>
      <x:c r="G220" s="28" t="n">
        <x:v>2</x:v>
      </x:c>
      <x:c r="H220" s="25" t="str">
        <x:v>453125479B7D7FE4C224BA0035CC4</x:v>
      </x:c>
      <x:c r="I220" s="22" t="str">
        <x:v>복합일위대가</x:v>
      </x:c>
      <x:c r="J220" s="34" t="n">
        <x:v>3309.45</x:v>
      </x:c>
      <x:c r="K220" s="34" t="n">
        <x:v>565.16</x:v>
      </x:c>
      <x:c r="L220" s="34" t="n">
        <x:v>254.58</x:v>
      </x:c>
      <x:c r="M220" s="34" t="n">
        <x:f>SUM(J220:L220)</x:f>
        <x:v>4129.19</x:v>
      </x:c>
      <x:c r="N220" s="34" t="n">
        <x:f>G220*J220</x:f>
        <x:v>6618.9</x:v>
      </x:c>
      <x:c r="O220" s="34" t="n">
        <x:f>G220*K220</x:f>
        <x:v>1130.32</x:v>
      </x:c>
      <x:c r="P220" s="34" t="n">
        <x:f>G220*L220</x:f>
        <x:v>509.16</x:v>
      </x:c>
      <x:c r="Q220" s="34" t="n">
        <x:f>SUM(N220:P220)</x:f>
        <x:v>8258.38</x:v>
      </x:c>
      <x:c r="R220" s="22" t="str">
        <x:f>IF(M220&gt;0,"복원","미복원")</x:f>
        <x:v>복원</x:v>
      </x:c>
      <x:c r="S220" s="37" t="n">
        <x:v>373</x:v>
      </x:c>
      <x:c r="T2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0" s="22" t="str">
        <x:f>A220&amp;"|"&amp;B220</x:f>
        <x:v>병원|C-010111</x:v>
      </x:c>
      <x:c r="V220" s="22" t="n">
        <x:f>IF(M220&gt;0,1,0)</x:f>
        <x:v>1</x:v>
      </x:c>
    </x:row>
    <x:row r="221" ht="28" customHeight="1">
      <x:c r="A221" s="22" t="str">
        <x:v>병원</x:v>
      </x:c>
      <x:c r="B221" s="31" t="str">
        <x:f>"C-010111"</x:f>
        <x:v>C-010111</x:v>
      </x:c>
      <x:c r="C221" s="25" t="str">
        <x:v>010111  DOORS &amp; WINDOWS WORKS-1</x:v>
      </x:c>
      <x:c r="D221" s="25" t="str">
        <x:v>ASD04/01. HOSPITAL/45*150 ST [AUTO]</x:v>
      </x:c>
      <x:c r="E221" s="25" t="str">
        <x:v>2.150 x 2.700 = 5.805</x:v>
      </x:c>
      <x:c r="F221" s="22" t="str">
        <x:v>EA</x:v>
      </x:c>
      <x:c r="G221" s="28" t="n">
        <x:v>4</x:v>
      </x:c>
      <x:c r="H221" s="25" t="str">
        <x:v>453125479B7D7FE4C224BA0035CC2</x:v>
      </x:c>
      <x:c r="I221" s="22" t="str">
        <x:v>복합일위대가</x:v>
      </x:c>
      <x:c r="J221" s="34" t="n">
        <x:v>2462.24</x:v>
      </x:c>
      <x:c r="K221" s="34" t="n">
        <x:v>420.48</x:v>
      </x:c>
      <x:c r="L221" s="34" t="n">
        <x:v>189.41</x:v>
      </x:c>
      <x:c r="M221" s="34" t="n">
        <x:f>SUM(J221:L221)</x:f>
        <x:v>3072.1299999999997</x:v>
      </x:c>
      <x:c r="N221" s="34" t="n">
        <x:f>G221*J221</x:f>
        <x:v>9848.96</x:v>
      </x:c>
      <x:c r="O221" s="34" t="n">
        <x:f>G221*K221</x:f>
        <x:v>1681.92</x:v>
      </x:c>
      <x:c r="P221" s="34" t="n">
        <x:f>G221*L221</x:f>
        <x:v>757.64</x:v>
      </x:c>
      <x:c r="Q221" s="34" t="n">
        <x:f>SUM(N221:P221)</x:f>
        <x:v>12288.519999999999</x:v>
      </x:c>
      <x:c r="R221" s="22" t="str">
        <x:f>IF(M221&gt;0,"복원","미복원")</x:f>
        <x:v>복원</x:v>
      </x:c>
      <x:c r="S221" s="37" t="n">
        <x:v>374</x:v>
      </x:c>
      <x:c r="T2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1" s="22" t="str">
        <x:f>A221&amp;"|"&amp;B221</x:f>
        <x:v>병원|C-010111</x:v>
      </x:c>
      <x:c r="V221" s="22" t="n">
        <x:f>IF(M221&gt;0,1,0)</x:f>
        <x:v>1</x:v>
      </x:c>
    </x:row>
    <x:row r="222" ht="28" customHeight="1">
      <x:c r="A222" s="22" t="str">
        <x:v>병원</x:v>
      </x:c>
      <x:c r="B222" s="31" t="str">
        <x:f>"C-010111"</x:f>
        <x:v>C-010111</x:v>
      </x:c>
      <x:c r="C222" s="25" t="str">
        <x:v>010111  DOORS &amp; WINDOWS WORKS-1</x:v>
      </x:c>
      <x:c r="D222" s="25" t="str">
        <x:v>ASD05/01. HOSPITAL/EGI [AUTO]</x:v>
      </x:c>
      <x:c r="E222" s="25" t="str">
        <x:v>3.000 x 2.400 = 7.200</x:v>
      </x:c>
      <x:c r="F222" s="22" t="str">
        <x:v>EA</x:v>
      </x:c>
      <x:c r="G222" s="28" t="n">
        <x:v>4</x:v>
      </x:c>
      <x:c r="H222" s="25" t="str">
        <x:v>453125479B7D7FE4C224BA0035CC0</x:v>
      </x:c>
      <x:c r="I222" s="22" t="str">
        <x:v>복합일위대가</x:v>
      </x:c>
      <x:c r="J222" s="34" t="n">
        <x:v>2118.05</x:v>
      </x:c>
      <x:c r="K222" s="34" t="n">
        <x:v>361.7</x:v>
      </x:c>
      <x:c r="L222" s="34" t="n">
        <x:v>162.93</x:v>
      </x:c>
      <x:c r="M222" s="34" t="n">
        <x:f>SUM(J222:L222)</x:f>
        <x:v>2642.68</x:v>
      </x:c>
      <x:c r="N222" s="34" t="n">
        <x:f>G222*J222</x:f>
        <x:v>8472.2</x:v>
      </x:c>
      <x:c r="O222" s="34" t="n">
        <x:f>G222*K222</x:f>
        <x:v>1446.8</x:v>
      </x:c>
      <x:c r="P222" s="34" t="n">
        <x:f>G222*L222</x:f>
        <x:v>651.72</x:v>
      </x:c>
      <x:c r="Q222" s="34" t="n">
        <x:f>SUM(N222:P222)</x:f>
        <x:v>10570.72</x:v>
      </x:c>
      <x:c r="R222" s="22" t="str">
        <x:f>IF(M222&gt;0,"복원","미복원")</x:f>
        <x:v>복원</x:v>
      </x:c>
      <x:c r="S222" s="37" t="n">
        <x:v>375</x:v>
      </x:c>
      <x:c r="T2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2" s="22" t="str">
        <x:f>A222&amp;"|"&amp;B222</x:f>
        <x:v>병원|C-010111</x:v>
      </x:c>
      <x:c r="V222" s="22" t="n">
        <x:f>IF(M222&gt;0,1,0)</x:f>
        <x:v>1</x:v>
      </x:c>
    </x:row>
    <x:row r="223" ht="28" customHeight="1">
      <x:c r="A223" s="22" t="str">
        <x:v>병원</x:v>
      </x:c>
      <x:c r="B223" s="31" t="str">
        <x:f>"C-010111"</x:f>
        <x:v>C-010111</x:v>
      </x:c>
      <x:c r="C223" s="25" t="str">
        <x:v>010111  DOORS &amp; WINDOWS WORKS-1</x:v>
      </x:c>
      <x:c r="D223" s="25" t="str">
        <x:v>ASD06/01. HOSPITAL/45*150 ST [AUTO]</x:v>
      </x:c>
      <x:c r="E223" s="25" t="str">
        <x:v>3.800 x 2.700 = 10.260</x:v>
      </x:c>
      <x:c r="F223" s="22" t="str">
        <x:v>EA</x:v>
      </x:c>
      <x:c r="G223" s="28" t="n">
        <x:v>6</x:v>
      </x:c>
      <x:c r="H223" s="25" t="str">
        <x:v>453125479B7D7FE4C224BA0035CCE</x:v>
      </x:c>
      <x:c r="I223" s="22" t="str">
        <x:v>복합일위대가</x:v>
      </x:c>
      <x:c r="J223" s="34" t="n">
        <x:v>3786.02</x:v>
      </x:c>
      <x:c r="K223" s="34" t="n">
        <x:v>646.54</x:v>
      </x:c>
      <x:c r="L223" s="34" t="n">
        <x:v>291.24</x:v>
      </x:c>
      <x:c r="M223" s="34" t="n">
        <x:f>SUM(J223:L223)</x:f>
        <x:v>4723.799999999999</x:v>
      </x:c>
      <x:c r="N223" s="34" t="n">
        <x:f>G223*J223</x:f>
        <x:v>22716.12</x:v>
      </x:c>
      <x:c r="O223" s="34" t="n">
        <x:f>G223*K223</x:f>
        <x:v>3879.24</x:v>
      </x:c>
      <x:c r="P223" s="34" t="n">
        <x:f>G223*L223</x:f>
        <x:v>1747.44</x:v>
      </x:c>
      <x:c r="Q223" s="34" t="n">
        <x:f>SUM(N223:P223)</x:f>
        <x:v>28342.8</x:v>
      </x:c>
      <x:c r="R223" s="22" t="str">
        <x:f>IF(M223&gt;0,"복원","미복원")</x:f>
        <x:v>복원</x:v>
      </x:c>
      <x:c r="S223" s="37" t="n">
        <x:v>376</x:v>
      </x:c>
      <x:c r="T2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3" s="22" t="str">
        <x:f>A223&amp;"|"&amp;B223</x:f>
        <x:v>병원|C-010111</x:v>
      </x:c>
      <x:c r="V223" s="22" t="n">
        <x:f>IF(M223&gt;0,1,0)</x:f>
        <x:v>1</x:v>
      </x:c>
    </x:row>
    <x:row r="224" ht="28" customHeight="1">
      <x:c r="A224" s="22" t="str">
        <x:v>병원</x:v>
      </x:c>
      <x:c r="B224" s="31" t="str">
        <x:f>"C-010111"</x:f>
        <x:v>C-010111</x:v>
      </x:c>
      <x:c r="C224" s="25" t="str">
        <x:v>010111  DOORS &amp; WINDOWS WORKS-1</x:v>
      </x:c>
      <x:c r="D224" s="25" t="str">
        <x:v>ASD07/01. HOSPITAL/EGI [AUTO]</x:v>
      </x:c>
      <x:c r="E224" s="25" t="str">
        <x:v>2.600 x 2.400 = 6.240</x:v>
      </x:c>
      <x:c r="F224" s="22" t="str">
        <x:v>EA</x:v>
      </x:c>
      <x:c r="G224" s="28" t="n">
        <x:v>6</x:v>
      </x:c>
      <x:c r="H224" s="25" t="str">
        <x:v>453125479B7D7FE4C224BA0035F9D</x:v>
      </x:c>
      <x:c r="I224" s="22" t="str">
        <x:v>복합일위대가</x:v>
      </x:c>
      <x:c r="J224" s="34" t="n">
        <x:v>1720.92</x:v>
      </x:c>
      <x:c r="K224" s="34" t="n">
        <x:v>293.88</x:v>
      </x:c>
      <x:c r="L224" s="34" t="n">
        <x:v>132.38</x:v>
      </x:c>
      <x:c r="M224" s="34" t="n">
        <x:f>SUM(J224:L224)</x:f>
        <x:v>2147.1800000000003</x:v>
      </x:c>
      <x:c r="N224" s="34" t="n">
        <x:f>G224*J224</x:f>
        <x:v>10325.52</x:v>
      </x:c>
      <x:c r="O224" s="34" t="n">
        <x:f>G224*K224</x:f>
        <x:v>1763.28</x:v>
      </x:c>
      <x:c r="P224" s="34" t="n">
        <x:f>G224*L224</x:f>
        <x:v>794.28</x:v>
      </x:c>
      <x:c r="Q224" s="34" t="n">
        <x:f>SUM(N224:P224)</x:f>
        <x:v>12883.080000000002</x:v>
      </x:c>
      <x:c r="R224" s="22" t="str">
        <x:f>IF(M224&gt;0,"복원","미복원")</x:f>
        <x:v>복원</x:v>
      </x:c>
      <x:c r="S224" s="37" t="n">
        <x:v>377</x:v>
      </x:c>
      <x:c r="T2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4" s="22" t="str">
        <x:f>A224&amp;"|"&amp;B224</x:f>
        <x:v>병원|C-010111</x:v>
      </x:c>
      <x:c r="V224" s="22" t="n">
        <x:f>IF(M224&gt;0,1,0)</x:f>
        <x:v>1</x:v>
      </x:c>
    </x:row>
    <x:row r="225" ht="28" customHeight="1">
      <x:c r="A225" s="22" t="str">
        <x:v>병원</x:v>
      </x:c>
      <x:c r="B225" s="31" t="str">
        <x:f>"C-010111"</x:f>
        <x:v>C-010111</x:v>
      </x:c>
      <x:c r="C225" s="25" t="str">
        <x:v>010111  DOORS &amp; WINDOWS WORKS-1</x:v>
      </x:c>
      <x:c r="D225" s="25" t="str">
        <x:v>AW01/01. HOSPITAL/60*150 AL</x:v>
      </x:c>
      <x:c r="E225" s="25" t="str">
        <x:v>1.650 x 0.450 = 0.742</x:v>
      </x:c>
      <x:c r="F225" s="22" t="str">
        <x:v>EA</x:v>
      </x:c>
      <x:c r="G225" s="28" t="n">
        <x:v>4</x:v>
      </x:c>
      <x:c r="H225" s="25" t="str">
        <x:v>453125479B7D7FE4C224BA0035F99</x:v>
      </x:c>
      <x:c r="I225" s="22" t="str">
        <x:v>복합일위대가</x:v>
      </x:c>
      <x:c r="J225" s="34" t="n">
        <x:v>137.27</x:v>
      </x:c>
      <x:c r="K225" s="34" t="n">
        <x:v>0</x:v>
      </x:c>
      <x:c r="L225" s="34" t="n">
        <x:v>0</x:v>
      </x:c>
      <x:c r="M225" s="34" t="n">
        <x:f>SUM(J225:L225)</x:f>
        <x:v>137.27</x:v>
      </x:c>
      <x:c r="N225" s="34" t="n">
        <x:f>G225*J225</x:f>
        <x:v>549.08</x:v>
      </x:c>
      <x:c r="O225" s="34" t="n">
        <x:f>G225*K225</x:f>
        <x:v>0</x:v>
      </x:c>
      <x:c r="P225" s="34" t="n">
        <x:f>G225*L225</x:f>
        <x:v>0</x:v>
      </x:c>
      <x:c r="Q225" s="34" t="n">
        <x:f>SUM(N225:P225)</x:f>
        <x:v>549.08</x:v>
      </x:c>
      <x:c r="R225" s="22" t="str">
        <x:f>IF(M225&gt;0,"복원","미복원")</x:f>
        <x:v>복원</x:v>
      </x:c>
      <x:c r="S225" s="37" t="n">
        <x:v>378</x:v>
      </x:c>
      <x:c r="T2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5" s="22" t="str">
        <x:f>A225&amp;"|"&amp;B225</x:f>
        <x:v>병원|C-010111</x:v>
      </x:c>
      <x:c r="V225" s="22" t="n">
        <x:f>IF(M225&gt;0,1,0)</x:f>
        <x:v>1</x:v>
      </x:c>
    </x:row>
    <x:row r="226" ht="28" customHeight="1">
      <x:c r="A226" s="22" t="str">
        <x:v>병원</x:v>
      </x:c>
      <x:c r="B226" s="31" t="str">
        <x:f>"C-010111"</x:f>
        <x:v>C-010111</x:v>
      </x:c>
      <x:c r="C226" s="25" t="str">
        <x:v>010111  DOORS &amp; WINDOWS WORKS-1</x:v>
      </x:c>
      <x:c r="D226" s="25" t="str">
        <x:v>AW02/01. HOSPITAL/60*150 AL</x:v>
      </x:c>
      <x:c r="E226" s="25" t="str">
        <x:v>1.650 x 1.800 = 2.970</x:v>
      </x:c>
      <x:c r="F226" s="22" t="str">
        <x:v>EA</x:v>
      </x:c>
      <x:c r="G226" s="28" t="n">
        <x:v>2</x:v>
      </x:c>
      <x:c r="H226" s="25" t="str">
        <x:v>453125479B7D7FE4C224BA0035F9B</x:v>
      </x:c>
      <x:c r="I226" s="22" t="str">
        <x:v>복합일위대가</x:v>
      </x:c>
      <x:c r="J226" s="34" t="n">
        <x:v>549.45</x:v>
      </x:c>
      <x:c r="K226" s="34" t="n">
        <x:v>0</x:v>
      </x:c>
      <x:c r="L226" s="34" t="n">
        <x:v>0</x:v>
      </x:c>
      <x:c r="M226" s="34" t="n">
        <x:f>SUM(J226:L226)</x:f>
        <x:v>549.45</x:v>
      </x:c>
      <x:c r="N226" s="34" t="n">
        <x:f>G226*J226</x:f>
        <x:v>1098.9</x:v>
      </x:c>
      <x:c r="O226" s="34" t="n">
        <x:f>G226*K226</x:f>
        <x:v>0</x:v>
      </x:c>
      <x:c r="P226" s="34" t="n">
        <x:f>G226*L226</x:f>
        <x:v>0</x:v>
      </x:c>
      <x:c r="Q226" s="34" t="n">
        <x:f>SUM(N226:P226)</x:f>
        <x:v>1098.9</x:v>
      </x:c>
      <x:c r="R226" s="22" t="str">
        <x:f>IF(M226&gt;0,"복원","미복원")</x:f>
        <x:v>복원</x:v>
      </x:c>
      <x:c r="S226" s="37" t="n">
        <x:v>379</x:v>
      </x:c>
      <x:c r="T2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6" s="22" t="str">
        <x:f>A226&amp;"|"&amp;B226</x:f>
        <x:v>병원|C-010111</x:v>
      </x:c>
      <x:c r="V226" s="22" t="n">
        <x:f>IF(M226&gt;0,1,0)</x:f>
        <x:v>1</x:v>
      </x:c>
    </x:row>
    <x:row r="227" ht="28" customHeight="1">
      <x:c r="A227" s="22" t="str">
        <x:v>병원</x:v>
      </x:c>
      <x:c r="B227" s="31" t="str">
        <x:f>"C-010111"</x:f>
        <x:v>C-010111</x:v>
      </x:c>
      <x:c r="C227" s="25" t="str">
        <x:v>010111  DOORS &amp; WINDOWS WORKS-1</x:v>
      </x:c>
      <x:c r="D227" s="25" t="str">
        <x:v>AW03/01. HOSPITAL/60*150 AL</x:v>
      </x:c>
      <x:c r="E227" s="25" t="str">
        <x:v>0.825 x 1.800 = 1.485</x:v>
      </x:c>
      <x:c r="F227" s="22" t="str">
        <x:v>EA</x:v>
      </x:c>
      <x:c r="G227" s="28" t="n">
        <x:v>8</x:v>
      </x:c>
      <x:c r="H227" s="25" t="str">
        <x:v>453125479B7D7FE4C224BA0035F95</x:v>
      </x:c>
      <x:c r="I227" s="22" t="str">
        <x:v>복합일위대가</x:v>
      </x:c>
      <x:c r="J227" s="34" t="n">
        <x:v>274.73</x:v>
      </x:c>
      <x:c r="K227" s="34" t="n">
        <x:v>0</x:v>
      </x:c>
      <x:c r="L227" s="34" t="n">
        <x:v>0</x:v>
      </x:c>
      <x:c r="M227" s="34" t="n">
        <x:f>SUM(J227:L227)</x:f>
        <x:v>274.73</x:v>
      </x:c>
      <x:c r="N227" s="34" t="n">
        <x:f>G227*J227</x:f>
        <x:v>2197.84</x:v>
      </x:c>
      <x:c r="O227" s="34" t="n">
        <x:f>G227*K227</x:f>
        <x:v>0</x:v>
      </x:c>
      <x:c r="P227" s="34" t="n">
        <x:f>G227*L227</x:f>
        <x:v>0</x:v>
      </x:c>
      <x:c r="Q227" s="34" t="n">
        <x:f>SUM(N227:P227)</x:f>
        <x:v>2197.84</x:v>
      </x:c>
      <x:c r="R227" s="22" t="str">
        <x:f>IF(M227&gt;0,"복원","미복원")</x:f>
        <x:v>복원</x:v>
      </x:c>
      <x:c r="S227" s="37" t="n">
        <x:v>380</x:v>
      </x:c>
      <x:c r="T2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7" s="22" t="str">
        <x:f>A227&amp;"|"&amp;B227</x:f>
        <x:v>병원|C-010111</x:v>
      </x:c>
      <x:c r="V227" s="22" t="n">
        <x:f>IF(M227&gt;0,1,0)</x:f>
        <x:v>1</x:v>
      </x:c>
    </x:row>
    <x:row r="228" ht="28" customHeight="1">
      <x:c r="A228" s="22" t="str">
        <x:v>병원</x:v>
      </x:c>
      <x:c r="B228" s="31" t="str">
        <x:f>"C-010111"</x:f>
        <x:v>C-010111</x:v>
      </x:c>
      <x:c r="C228" s="25" t="str">
        <x:v>010111  DOORS &amp; WINDOWS WORKS-1</x:v>
      </x:c>
      <x:c r="D228" s="25" t="str">
        <x:v>AW04/01. HOSPITAL/60*150 AL</x:v>
      </x:c>
      <x:c r="E228" s="25" t="str">
        <x:v>1.250 x 0.550 = 0.687</x:v>
      </x:c>
      <x:c r="F228" s="22" t="str">
        <x:v>EA</x:v>
      </x:c>
      <x:c r="G228" s="28" t="n">
        <x:v>1</x:v>
      </x:c>
      <x:c r="H228" s="25" t="str">
        <x:v>453125479B7D7FE4C224BA0035EF4</x:v>
      </x:c>
      <x:c r="I228" s="22" t="str">
        <x:v>복합일위대가</x:v>
      </x:c>
      <x:c r="J228" s="34" t="n">
        <x:v>127.1</x:v>
      </x:c>
      <x:c r="K228" s="34" t="n">
        <x:v>0</x:v>
      </x:c>
      <x:c r="L228" s="34" t="n">
        <x:v>0</x:v>
      </x:c>
      <x:c r="M228" s="34" t="n">
        <x:f>SUM(J228:L228)</x:f>
        <x:v>127.1</x:v>
      </x:c>
      <x:c r="N228" s="34" t="n">
        <x:f>G228*J228</x:f>
        <x:v>127.1</x:v>
      </x:c>
      <x:c r="O228" s="34" t="n">
        <x:f>G228*K228</x:f>
        <x:v>0</x:v>
      </x:c>
      <x:c r="P228" s="34" t="n">
        <x:f>G228*L228</x:f>
        <x:v>0</x:v>
      </x:c>
      <x:c r="Q228" s="34" t="n">
        <x:f>SUM(N228:P228)</x:f>
        <x:v>127.1</x:v>
      </x:c>
      <x:c r="R228" s="22" t="str">
        <x:f>IF(M228&gt;0,"복원","미복원")</x:f>
        <x:v>복원</x:v>
      </x:c>
      <x:c r="S228" s="37" t="n">
        <x:v>381</x:v>
      </x:c>
      <x:c r="T2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8" s="22" t="str">
        <x:f>A228&amp;"|"&amp;B228</x:f>
        <x:v>병원|C-010111</x:v>
      </x:c>
      <x:c r="V228" s="22" t="n">
        <x:f>IF(M228&gt;0,1,0)</x:f>
        <x:v>1</x:v>
      </x:c>
    </x:row>
    <x:row r="229" ht="28" customHeight="1">
      <x:c r="A229" s="22" t="str">
        <x:v>병원</x:v>
      </x:c>
      <x:c r="B229" s="31" t="str">
        <x:f>"C-010111"</x:f>
        <x:v>C-010111</x:v>
      </x:c>
      <x:c r="C229" s="25" t="str">
        <x:v>010111  DOORS &amp; WINDOWS WORKS-1</x:v>
      </x:c>
      <x:c r="D229" s="25" t="str">
        <x:v>AW05/01. HOSPITAL/60*150 AL</x:v>
      </x:c>
      <x:c r="E229" s="25" t="str">
        <x:v>0.825 x 2.700 = 2.227</x:v>
      </x:c>
      <x:c r="F229" s="22" t="str">
        <x:v>EA</x:v>
      </x:c>
      <x:c r="G229" s="28" t="n">
        <x:v>20</x:v>
      </x:c>
      <x:c r="H229" s="25" t="str">
        <x:v>453125479B7D7FE4C224BA0035EF6</x:v>
      </x:c>
      <x:c r="I229" s="22" t="str">
        <x:v>복합일위대가</x:v>
      </x:c>
      <x:c r="J229" s="34" t="n">
        <x:v>412</x:v>
      </x:c>
      <x:c r="K229" s="34" t="n">
        <x:v>0</x:v>
      </x:c>
      <x:c r="L229" s="34" t="n">
        <x:v>0</x:v>
      </x:c>
      <x:c r="M229" s="34" t="n">
        <x:f>SUM(J229:L229)</x:f>
        <x:v>412</x:v>
      </x:c>
      <x:c r="N229" s="34" t="n">
        <x:f>G229*J229</x:f>
        <x:v>8240</x:v>
      </x:c>
      <x:c r="O229" s="34" t="n">
        <x:f>G229*K229</x:f>
        <x:v>0</x:v>
      </x:c>
      <x:c r="P229" s="34" t="n">
        <x:f>G229*L229</x:f>
        <x:v>0</x:v>
      </x:c>
      <x:c r="Q229" s="34" t="n">
        <x:f>SUM(N229:P229)</x:f>
        <x:v>8240</x:v>
      </x:c>
      <x:c r="R229" s="22" t="str">
        <x:f>IF(M229&gt;0,"복원","미복원")</x:f>
        <x:v>복원</x:v>
      </x:c>
      <x:c r="S229" s="37" t="n">
        <x:v>382</x:v>
      </x:c>
      <x:c r="T2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29" s="22" t="str">
        <x:f>A229&amp;"|"&amp;B229</x:f>
        <x:v>병원|C-010111</x:v>
      </x:c>
      <x:c r="V229" s="22" t="n">
        <x:f>IF(M229&gt;0,1,0)</x:f>
        <x:v>1</x:v>
      </x:c>
    </x:row>
    <x:row r="230" ht="28" customHeight="1">
      <x:c r="A230" s="22" t="str">
        <x:v>병원</x:v>
      </x:c>
      <x:c r="B230" s="31" t="str">
        <x:f>"C-010111"</x:f>
        <x:v>C-010111</x:v>
      </x:c>
      <x:c r="C230" s="25" t="str">
        <x:v>010111  DOORS &amp; WINDOWS WORKS-1</x:v>
      </x:c>
      <x:c r="D230" s="25" t="str">
        <x:v>AW06/01. HOSPITAL/60*150 AL</x:v>
      </x:c>
      <x:c r="E230" s="25" t="str">
        <x:v>8.775 x 3.600 = 31.590</x:v>
      </x:c>
      <x:c r="F230" s="22" t="str">
        <x:v>EA</x:v>
      </x:c>
      <x:c r="G230" s="28" t="n">
        <x:v>1</x:v>
      </x:c>
      <x:c r="H230" s="25" t="str">
        <x:v>453125479B7D7FE4C224BA0035EF0</x:v>
      </x:c>
      <x:c r="I230" s="22" t="str">
        <x:v>복합일위대가</x:v>
      </x:c>
      <x:c r="J230" s="34" t="n">
        <x:v>5844.15</x:v>
      </x:c>
      <x:c r="K230" s="34" t="n">
        <x:v>0</x:v>
      </x:c>
      <x:c r="L230" s="34" t="n">
        <x:v>0</x:v>
      </x:c>
      <x:c r="M230" s="34" t="n">
        <x:f>SUM(J230:L230)</x:f>
        <x:v>5844.15</x:v>
      </x:c>
      <x:c r="N230" s="34" t="n">
        <x:f>G230*J230</x:f>
        <x:v>5844.15</x:v>
      </x:c>
      <x:c r="O230" s="34" t="n">
        <x:f>G230*K230</x:f>
        <x:v>0</x:v>
      </x:c>
      <x:c r="P230" s="34" t="n">
        <x:f>G230*L230</x:f>
        <x:v>0</x:v>
      </x:c>
      <x:c r="Q230" s="34" t="n">
        <x:f>SUM(N230:P230)</x:f>
        <x:v>5844.15</x:v>
      </x:c>
      <x:c r="R230" s="22" t="str">
        <x:f>IF(M230&gt;0,"복원","미복원")</x:f>
        <x:v>복원</x:v>
      </x:c>
      <x:c r="S230" s="37" t="n">
        <x:v>383</x:v>
      </x:c>
      <x:c r="T2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0" s="22" t="str">
        <x:f>A230&amp;"|"&amp;B230</x:f>
        <x:v>병원|C-010111</x:v>
      </x:c>
      <x:c r="V230" s="22" t="n">
        <x:f>IF(M230&gt;0,1,0)</x:f>
        <x:v>1</x:v>
      </x:c>
    </x:row>
    <x:row r="231" ht="28" customHeight="1">
      <x:c r="A231" s="22" t="str">
        <x:v>병원</x:v>
      </x:c>
      <x:c r="B231" s="31" t="str">
        <x:f>"C-010111"</x:f>
        <x:v>C-010111</x:v>
      </x:c>
      <x:c r="C231" s="25" t="str">
        <x:v>010111  DOORS &amp; WINDOWS WORKS-1</x:v>
      </x:c>
      <x:c r="D231" s="25" t="str">
        <x:v>AW07/01. HOSPITAL/60*150 AL</x:v>
      </x:c>
      <x:c r="E231" s="25" t="str">
        <x:v>5.330 x 2.700 = 14.391</x:v>
      </x:c>
      <x:c r="F231" s="22" t="str">
        <x:v>EA</x:v>
      </x:c>
      <x:c r="G231" s="28" t="n">
        <x:v>1</x:v>
      </x:c>
      <x:c r="H231" s="25" t="str">
        <x:v>453125479B7D7FE4C224BA0035EF2</x:v>
      </x:c>
      <x:c r="I231" s="22" t="str">
        <x:v>복합일위대가</x:v>
      </x:c>
      <x:c r="J231" s="34" t="n">
        <x:v>2662.34</x:v>
      </x:c>
      <x:c r="K231" s="34" t="n">
        <x:v>0</x:v>
      </x:c>
      <x:c r="L231" s="34" t="n">
        <x:v>0</x:v>
      </x:c>
      <x:c r="M231" s="34" t="n">
        <x:f>SUM(J231:L231)</x:f>
        <x:v>2662.34</x:v>
      </x:c>
      <x:c r="N231" s="34" t="n">
        <x:f>G231*J231</x:f>
        <x:v>2662.34</x:v>
      </x:c>
      <x:c r="O231" s="34" t="n">
        <x:f>G231*K231</x:f>
        <x:v>0</x:v>
      </x:c>
      <x:c r="P231" s="34" t="n">
        <x:f>G231*L231</x:f>
        <x:v>0</x:v>
      </x:c>
      <x:c r="Q231" s="34" t="n">
        <x:f>SUM(N231:P231)</x:f>
        <x:v>2662.34</x:v>
      </x:c>
      <x:c r="R231" s="22" t="str">
        <x:f>IF(M231&gt;0,"복원","미복원")</x:f>
        <x:v>복원</x:v>
      </x:c>
      <x:c r="S231" s="37" t="n">
        <x:v>384</x:v>
      </x:c>
      <x:c r="T2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1" s="22" t="str">
        <x:f>A231&amp;"|"&amp;B231</x:f>
        <x:v>병원|C-010111</x:v>
      </x:c>
      <x:c r="V231" s="22" t="n">
        <x:f>IF(M231&gt;0,1,0)</x:f>
        <x:v>1</x:v>
      </x:c>
    </x:row>
    <x:row r="232" ht="28" customHeight="1">
      <x:c r="A232" s="22" t="str">
        <x:v>병원</x:v>
      </x:c>
      <x:c r="B232" s="31" t="str">
        <x:f>"C-010111"</x:f>
        <x:v>C-010111</x:v>
      </x:c>
      <x:c r="C232" s="25" t="str">
        <x:v>010111  DOORS &amp; WINDOWS WORKS-1</x:v>
      </x:c>
      <x:c r="D232" s="25" t="str">
        <x:v>AW08/01. HOSPITAL/60*150 AL</x:v>
      </x:c>
      <x:c r="E232" s="25" t="str">
        <x:v>1.650 x 1.800 = 2.970</x:v>
      </x:c>
      <x:c r="F232" s="22" t="str">
        <x:v>EA</x:v>
      </x:c>
      <x:c r="G232" s="28" t="n">
        <x:v>1</x:v>
      </x:c>
      <x:c r="H232" s="25" t="str">
        <x:v>453125479B7D7FE4C224BA0035EFC</x:v>
      </x:c>
      <x:c r="I232" s="22" t="str">
        <x:v>복합일위대가</x:v>
      </x:c>
      <x:c r="J232" s="34" t="n">
        <x:v>549.45</x:v>
      </x:c>
      <x:c r="K232" s="34" t="n">
        <x:v>0</x:v>
      </x:c>
      <x:c r="L232" s="34" t="n">
        <x:v>0</x:v>
      </x:c>
      <x:c r="M232" s="34" t="n">
        <x:f>SUM(J232:L232)</x:f>
        <x:v>549.45</x:v>
      </x:c>
      <x:c r="N232" s="34" t="n">
        <x:f>G232*J232</x:f>
        <x:v>549.45</x:v>
      </x:c>
      <x:c r="O232" s="34" t="n">
        <x:f>G232*K232</x:f>
        <x:v>0</x:v>
      </x:c>
      <x:c r="P232" s="34" t="n">
        <x:f>G232*L232</x:f>
        <x:v>0</x:v>
      </x:c>
      <x:c r="Q232" s="34" t="n">
        <x:f>SUM(N232:P232)</x:f>
        <x:v>549.45</x:v>
      </x:c>
      <x:c r="R232" s="22" t="str">
        <x:f>IF(M232&gt;0,"복원","미복원")</x:f>
        <x:v>복원</x:v>
      </x:c>
      <x:c r="S232" s="37" t="n">
        <x:v>385</x:v>
      </x:c>
      <x:c r="T2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2" s="22" t="str">
        <x:f>A232&amp;"|"&amp;B232</x:f>
        <x:v>병원|C-010111</x:v>
      </x:c>
      <x:c r="V232" s="22" t="n">
        <x:f>IF(M232&gt;0,1,0)</x:f>
        <x:v>1</x:v>
      </x:c>
    </x:row>
    <x:row r="233" ht="28" customHeight="1">
      <x:c r="A233" s="22" t="str">
        <x:v>병원</x:v>
      </x:c>
      <x:c r="B233" s="31" t="str">
        <x:f>"C-010111"</x:f>
        <x:v>C-010111</x:v>
      </x:c>
      <x:c r="C233" s="25" t="str">
        <x:v>010111  DOORS &amp; WINDOWS WORKS-1</x:v>
      </x:c>
      <x:c r="D233" s="25" t="str">
        <x:v>AW09/01. HOSPITAL/60*150 AL</x:v>
      </x:c>
      <x:c r="E233" s="25" t="str">
        <x:v>4.125 x 1.800 = 7.425</x:v>
      </x:c>
      <x:c r="F233" s="22" t="str">
        <x:v>EA</x:v>
      </x:c>
      <x:c r="G233" s="28" t="n">
        <x:v>1</x:v>
      </x:c>
      <x:c r="H233" s="25" t="str">
        <x:v>453125479B7D7FE4C224BA0035972</x:v>
      </x:c>
      <x:c r="I233" s="22" t="str">
        <x:v>복합일위대가</x:v>
      </x:c>
      <x:c r="J233" s="34" t="n">
        <x:v>1373.63</x:v>
      </x:c>
      <x:c r="K233" s="34" t="n">
        <x:v>0</x:v>
      </x:c>
      <x:c r="L233" s="34" t="n">
        <x:v>0</x:v>
      </x:c>
      <x:c r="M233" s="34" t="n">
        <x:f>SUM(J233:L233)</x:f>
        <x:v>1373.63</x:v>
      </x:c>
      <x:c r="N233" s="34" t="n">
        <x:f>G233*J233</x:f>
        <x:v>1373.63</x:v>
      </x:c>
      <x:c r="O233" s="34" t="n">
        <x:f>G233*K233</x:f>
        <x:v>0</x:v>
      </x:c>
      <x:c r="P233" s="34" t="n">
        <x:f>G233*L233</x:f>
        <x:v>0</x:v>
      </x:c>
      <x:c r="Q233" s="34" t="n">
        <x:f>SUM(N233:P233)</x:f>
        <x:v>1373.63</x:v>
      </x:c>
      <x:c r="R233" s="22" t="str">
        <x:f>IF(M233&gt;0,"복원","미복원")</x:f>
        <x:v>복원</x:v>
      </x:c>
      <x:c r="S233" s="37" t="n">
        <x:v>386</x:v>
      </x:c>
      <x:c r="T2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3" s="22" t="str">
        <x:f>A233&amp;"|"&amp;B233</x:f>
        <x:v>병원|C-010111</x:v>
      </x:c>
      <x:c r="V233" s="22" t="n">
        <x:f>IF(M233&gt;0,1,0)</x:f>
        <x:v>1</x:v>
      </x:c>
    </x:row>
    <x:row r="234" ht="28" customHeight="1">
      <x:c r="A234" s="22" t="str">
        <x:v>병원</x:v>
      </x:c>
      <x:c r="B234" s="31" t="str">
        <x:f>"C-010111"</x:f>
        <x:v>C-010111</x:v>
      </x:c>
      <x:c r="C234" s="25" t="str">
        <x:v>010111  DOORS &amp; WINDOWS WORKS-1</x:v>
      </x:c>
      <x:c r="D234" s="25" t="str">
        <x:v>AW10/01. HOSPITAL/60*150 AL</x:v>
      </x:c>
      <x:c r="E234" s="25" t="str">
        <x:v>1.520 x 1.200 = 1.824</x:v>
      </x:c>
      <x:c r="F234" s="22" t="str">
        <x:v>EA</x:v>
      </x:c>
      <x:c r="G234" s="28" t="n">
        <x:v>1</x:v>
      </x:c>
      <x:c r="H234" s="25" t="str">
        <x:v>453125479B7D7FE4C224BA0035970</x:v>
      </x:c>
      <x:c r="I234" s="22" t="str">
        <x:v>복합일위대가</x:v>
      </x:c>
      <x:c r="J234" s="34" t="n">
        <x:v>337.44</x:v>
      </x:c>
      <x:c r="K234" s="34" t="n">
        <x:v>0</x:v>
      </x:c>
      <x:c r="L234" s="34" t="n">
        <x:v>0</x:v>
      </x:c>
      <x:c r="M234" s="34" t="n">
        <x:f>SUM(J234:L234)</x:f>
        <x:v>337.44</x:v>
      </x:c>
      <x:c r="N234" s="34" t="n">
        <x:f>G234*J234</x:f>
        <x:v>337.44</x:v>
      </x:c>
      <x:c r="O234" s="34" t="n">
        <x:f>G234*K234</x:f>
        <x:v>0</x:v>
      </x:c>
      <x:c r="P234" s="34" t="n">
        <x:f>G234*L234</x:f>
        <x:v>0</x:v>
      </x:c>
      <x:c r="Q234" s="34" t="n">
        <x:f>SUM(N234:P234)</x:f>
        <x:v>337.44</x:v>
      </x:c>
      <x:c r="R234" s="22" t="str">
        <x:f>IF(M234&gt;0,"복원","미복원")</x:f>
        <x:v>복원</x:v>
      </x:c>
      <x:c r="S234" s="37" t="n">
        <x:v>387</x:v>
      </x:c>
      <x:c r="T2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4" s="22" t="str">
        <x:f>A234&amp;"|"&amp;B234</x:f>
        <x:v>병원|C-010111</x:v>
      </x:c>
      <x:c r="V234" s="22" t="n">
        <x:f>IF(M234&gt;0,1,0)</x:f>
        <x:v>1</x:v>
      </x:c>
    </x:row>
    <x:row r="235" ht="28" customHeight="1">
      <x:c r="A235" s="22" t="str">
        <x:v>병원</x:v>
      </x:c>
      <x:c r="B235" s="31" t="str">
        <x:f>"C-010111"</x:f>
        <x:v>C-010111</x:v>
      </x:c>
      <x:c r="C235" s="25" t="str">
        <x:v>010111  DOORS &amp; WINDOWS WORKS-1</x:v>
      </x:c>
      <x:c r="D235" s="25" t="str">
        <x:v>AW11/01. HOSPITAL/60*150 AL</x:v>
      </x:c>
      <x:c r="E235" s="25" t="str">
        <x:v>7.660 x 3.600 = 27.576</x:v>
      </x:c>
      <x:c r="F235" s="22" t="str">
        <x:v>EA</x:v>
      </x:c>
      <x:c r="G235" s="28" t="n">
        <x:v>1</x:v>
      </x:c>
      <x:c r="H235" s="25" t="str">
        <x:v>453125479B7D7FE4C224BA0035976</x:v>
      </x:c>
      <x:c r="I235" s="22" t="str">
        <x:v>복합일위대가</x:v>
      </x:c>
      <x:c r="J235" s="34" t="n">
        <x:v>5101.56</x:v>
      </x:c>
      <x:c r="K235" s="34" t="n">
        <x:v>0</x:v>
      </x:c>
      <x:c r="L235" s="34" t="n">
        <x:v>0</x:v>
      </x:c>
      <x:c r="M235" s="34" t="n">
        <x:f>SUM(J235:L235)</x:f>
        <x:v>5101.56</x:v>
      </x:c>
      <x:c r="N235" s="34" t="n">
        <x:f>G235*J235</x:f>
        <x:v>5101.56</x:v>
      </x:c>
      <x:c r="O235" s="34" t="n">
        <x:f>G235*K235</x:f>
        <x:v>0</x:v>
      </x:c>
      <x:c r="P235" s="34" t="n">
        <x:f>G235*L235</x:f>
        <x:v>0</x:v>
      </x:c>
      <x:c r="Q235" s="34" t="n">
        <x:f>SUM(N235:P235)</x:f>
        <x:v>5101.56</x:v>
      </x:c>
      <x:c r="R235" s="22" t="str">
        <x:f>IF(M235&gt;0,"복원","미복원")</x:f>
        <x:v>복원</x:v>
      </x:c>
      <x:c r="S235" s="37" t="n">
        <x:v>388</x:v>
      </x:c>
      <x:c r="T2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5" s="22" t="str">
        <x:f>A235&amp;"|"&amp;B235</x:f>
        <x:v>병원|C-010111</x:v>
      </x:c>
      <x:c r="V235" s="22" t="n">
        <x:f>IF(M235&gt;0,1,0)</x:f>
        <x:v>1</x:v>
      </x:c>
    </x:row>
    <x:row r="236" ht="28" customHeight="1">
      <x:c r="A236" s="22" t="str">
        <x:v>병원</x:v>
      </x:c>
      <x:c r="B236" s="31" t="str">
        <x:f>"C-010111"</x:f>
        <x:v>C-010111</x:v>
      </x:c>
      <x:c r="C236" s="25" t="str">
        <x:v>010111  DOORS &amp; WINDOWS WORKS-1</x:v>
      </x:c>
      <x:c r="D236" s="25" t="str">
        <x:v>AW12/01. HOSPITAL/60*150 AL</x:v>
      </x:c>
      <x:c r="E236" s="25" t="str">
        <x:v>2.370 x 1.200 = 2.844</x:v>
      </x:c>
      <x:c r="F236" s="22" t="str">
        <x:v>EA</x:v>
      </x:c>
      <x:c r="G236" s="28" t="n">
        <x:v>6</x:v>
      </x:c>
      <x:c r="H236" s="25" t="str">
        <x:v>453125479B7D7FE4C224BA0035974</x:v>
      </x:c>
      <x:c r="I236" s="22" t="str">
        <x:v>복합일위대가</x:v>
      </x:c>
      <x:c r="J236" s="34" t="n">
        <x:v>526.14</x:v>
      </x:c>
      <x:c r="K236" s="34" t="n">
        <x:v>0</x:v>
      </x:c>
      <x:c r="L236" s="34" t="n">
        <x:v>0</x:v>
      </x:c>
      <x:c r="M236" s="34" t="n">
        <x:f>SUM(J236:L236)</x:f>
        <x:v>526.14</x:v>
      </x:c>
      <x:c r="N236" s="34" t="n">
        <x:f>G236*J236</x:f>
        <x:v>3156.84</x:v>
      </x:c>
      <x:c r="O236" s="34" t="n">
        <x:f>G236*K236</x:f>
        <x:v>0</x:v>
      </x:c>
      <x:c r="P236" s="34" t="n">
        <x:f>G236*L236</x:f>
        <x:v>0</x:v>
      </x:c>
      <x:c r="Q236" s="34" t="n">
        <x:f>SUM(N236:P236)</x:f>
        <x:v>3156.84</x:v>
      </x:c>
      <x:c r="R236" s="22" t="str">
        <x:f>IF(M236&gt;0,"복원","미복원")</x:f>
        <x:v>복원</x:v>
      </x:c>
      <x:c r="S236" s="37" t="n">
        <x:v>389</x:v>
      </x:c>
      <x:c r="T2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6" s="22" t="str">
        <x:f>A236&amp;"|"&amp;B236</x:f>
        <x:v>병원|C-010111</x:v>
      </x:c>
      <x:c r="V236" s="22" t="n">
        <x:f>IF(M236&gt;0,1,0)</x:f>
        <x:v>1</x:v>
      </x:c>
    </x:row>
    <x:row r="237" ht="28" customHeight="1">
      <x:c r="A237" s="22" t="str">
        <x:v>병원</x:v>
      </x:c>
      <x:c r="B237" s="31" t="str">
        <x:f>"C-010111"</x:f>
        <x:v>C-010111</x:v>
      </x:c>
      <x:c r="C237" s="25" t="str">
        <x:v>010111  DOORS &amp; WINDOWS WORKS-1</x:v>
      </x:c>
      <x:c r="D237" s="25" t="str">
        <x:v>AW13/01. HOSPITAL/60*150 AL</x:v>
      </x:c>
      <x:c r="E237" s="25" t="str">
        <x:v>0.825 x 1.200 = 0.990</x:v>
      </x:c>
      <x:c r="F237" s="22" t="str">
        <x:v>EA</x:v>
      </x:c>
      <x:c r="G237" s="28" t="n">
        <x:v>1</x:v>
      </x:c>
      <x:c r="H237" s="25" t="str">
        <x:v>453125479B7D7FE4C224BA003597A</x:v>
      </x:c>
      <x:c r="I237" s="22" t="str">
        <x:v>복합일위대가</x:v>
      </x:c>
      <x:c r="J237" s="34" t="n">
        <x:v>183.15</x:v>
      </x:c>
      <x:c r="K237" s="34" t="n">
        <x:v>0</x:v>
      </x:c>
      <x:c r="L237" s="34" t="n">
        <x:v>0</x:v>
      </x:c>
      <x:c r="M237" s="34" t="n">
        <x:f>SUM(J237:L237)</x:f>
        <x:v>183.15</x:v>
      </x:c>
      <x:c r="N237" s="34" t="n">
        <x:f>G237*J237</x:f>
        <x:v>183.15</x:v>
      </x:c>
      <x:c r="O237" s="34" t="n">
        <x:f>G237*K237</x:f>
        <x:v>0</x:v>
      </x:c>
      <x:c r="P237" s="34" t="n">
        <x:f>G237*L237</x:f>
        <x:v>0</x:v>
      </x:c>
      <x:c r="Q237" s="34" t="n">
        <x:f>SUM(N237:P237)</x:f>
        <x:v>183.15</x:v>
      </x:c>
      <x:c r="R237" s="22" t="str">
        <x:f>IF(M237&gt;0,"복원","미복원")</x:f>
        <x:v>복원</x:v>
      </x:c>
      <x:c r="S237" s="37" t="n">
        <x:v>390</x:v>
      </x:c>
      <x:c r="T2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7" s="22" t="str">
        <x:f>A237&amp;"|"&amp;B237</x:f>
        <x:v>병원|C-010111</x:v>
      </x:c>
      <x:c r="V237" s="22" t="n">
        <x:f>IF(M237&gt;0,1,0)</x:f>
        <x:v>1</x:v>
      </x:c>
    </x:row>
    <x:row r="238" ht="28" customHeight="1">
      <x:c r="A238" s="22" t="str">
        <x:v>병원</x:v>
      </x:c>
      <x:c r="B238" s="31" t="str">
        <x:f>"C-010111"</x:f>
        <x:v>C-010111</x:v>
      </x:c>
      <x:c r="C238" s="25" t="str">
        <x:v>010111  DOORS &amp; WINDOWS WORKS-1</x:v>
      </x:c>
      <x:c r="D238" s="25" t="str">
        <x:v>AW13A/01. HOSPITAL/60*150 AL</x:v>
      </x:c>
      <x:c r="E238" s="25" t="str">
        <x:v>0.825 x 1.500 = 1.237</x:v>
      </x:c>
      <x:c r="F238" s="22" t="str">
        <x:v>EA</x:v>
      </x:c>
      <x:c r="G238" s="28" t="n">
        <x:v>6</x:v>
      </x:c>
      <x:c r="H238" s="25" t="str">
        <x:v>453125479B7D7FE4C224BA003586D</x:v>
      </x:c>
      <x:c r="I238" s="22" t="str">
        <x:v>복합일위대가</x:v>
      </x:c>
      <x:c r="J238" s="34" t="n">
        <x:v>228.85</x:v>
      </x:c>
      <x:c r="K238" s="34" t="n">
        <x:v>0</x:v>
      </x:c>
      <x:c r="L238" s="34" t="n">
        <x:v>0</x:v>
      </x:c>
      <x:c r="M238" s="34" t="n">
        <x:f>SUM(J238:L238)</x:f>
        <x:v>228.85</x:v>
      </x:c>
      <x:c r="N238" s="34" t="n">
        <x:f>G238*J238</x:f>
        <x:v>1373.1</x:v>
      </x:c>
      <x:c r="O238" s="34" t="n">
        <x:f>G238*K238</x:f>
        <x:v>0</x:v>
      </x:c>
      <x:c r="P238" s="34" t="n">
        <x:f>G238*L238</x:f>
        <x:v>0</x:v>
      </x:c>
      <x:c r="Q238" s="34" t="n">
        <x:f>SUM(N238:P238)</x:f>
        <x:v>1373.1</x:v>
      </x:c>
      <x:c r="R238" s="22" t="str">
        <x:f>IF(M238&gt;0,"복원","미복원")</x:f>
        <x:v>복원</x:v>
      </x:c>
      <x:c r="S238" s="37" t="n">
        <x:v>391</x:v>
      </x:c>
      <x:c r="T2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8" s="22" t="str">
        <x:f>A238&amp;"|"&amp;B238</x:f>
        <x:v>병원|C-010111</x:v>
      </x:c>
      <x:c r="V238" s="22" t="n">
        <x:f>IF(M238&gt;0,1,0)</x:f>
        <x:v>1</x:v>
      </x:c>
    </x:row>
    <x:row r="239" ht="28" customHeight="1">
      <x:c r="A239" s="22" t="str">
        <x:v>병원</x:v>
      </x:c>
      <x:c r="B239" s="31" t="str">
        <x:f>"C-010111"</x:f>
        <x:v>C-010111</x:v>
      </x:c>
      <x:c r="C239" s="25" t="str">
        <x:v>010111  DOORS &amp; WINDOWS WORKS-1</x:v>
      </x:c>
      <x:c r="D239" s="25" t="str">
        <x:v>AW14/01. HOSPITAL/60*150 AL</x:v>
      </x:c>
      <x:c r="E239" s="25" t="str">
        <x:v>1.650 x 2.700 = 4.455</x:v>
      </x:c>
      <x:c r="F239" s="22" t="str">
        <x:v>EA</x:v>
      </x:c>
      <x:c r="G239" s="28" t="n">
        <x:v>1</x:v>
      </x:c>
      <x:c r="H239" s="25" t="str">
        <x:v>453125479B7D7FE4C224BA003586F</x:v>
      </x:c>
      <x:c r="I239" s="22" t="str">
        <x:v>복합일위대가</x:v>
      </x:c>
      <x:c r="J239" s="34" t="n">
        <x:v>824.18</x:v>
      </x:c>
      <x:c r="K239" s="34" t="n">
        <x:v>0</x:v>
      </x:c>
      <x:c r="L239" s="34" t="n">
        <x:v>0</x:v>
      </x:c>
      <x:c r="M239" s="34" t="n">
        <x:f>SUM(J239:L239)</x:f>
        <x:v>824.18</x:v>
      </x:c>
      <x:c r="N239" s="34" t="n">
        <x:f>G239*J239</x:f>
        <x:v>824.18</x:v>
      </x:c>
      <x:c r="O239" s="34" t="n">
        <x:f>G239*K239</x:f>
        <x:v>0</x:v>
      </x:c>
      <x:c r="P239" s="34" t="n">
        <x:f>G239*L239</x:f>
        <x:v>0</x:v>
      </x:c>
      <x:c r="Q239" s="34" t="n">
        <x:f>SUM(N239:P239)</x:f>
        <x:v>824.18</x:v>
      </x:c>
      <x:c r="R239" s="22" t="str">
        <x:f>IF(M239&gt;0,"복원","미복원")</x:f>
        <x:v>복원</x:v>
      </x:c>
      <x:c r="S239" s="37" t="n">
        <x:v>392</x:v>
      </x:c>
      <x:c r="T2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39" s="22" t="str">
        <x:f>A239&amp;"|"&amp;B239</x:f>
        <x:v>병원|C-010111</x:v>
      </x:c>
      <x:c r="V239" s="22" t="n">
        <x:f>IF(M239&gt;0,1,0)</x:f>
        <x:v>1</x:v>
      </x:c>
    </x:row>
    <x:row r="240" ht="28" customHeight="1">
      <x:c r="A240" s="22" t="str">
        <x:v>병원</x:v>
      </x:c>
      <x:c r="B240" s="31" t="str">
        <x:f>"C-010111"</x:f>
        <x:v>C-010111</x:v>
      </x:c>
      <x:c r="C240" s="25" t="str">
        <x:v>010111  DOORS &amp; WINDOWS WORKS-1</x:v>
      </x:c>
      <x:c r="D240" s="25" t="str">
        <x:v>AW15/01. HOSPITAL/60*150 AL</x:v>
      </x:c>
      <x:c r="E240" s="25" t="str">
        <x:v>2.370 x 1.200 = 2.844</x:v>
      </x:c>
      <x:c r="F240" s="22" t="str">
        <x:v>EA</x:v>
      </x:c>
      <x:c r="G240" s="28" t="n">
        <x:v>8</x:v>
      </x:c>
      <x:c r="H240" s="25" t="str">
        <x:v>453125479B7D7FE4C224BA0035869</x:v>
      </x:c>
      <x:c r="I240" s="22" t="str">
        <x:v>복합일위대가</x:v>
      </x:c>
      <x:c r="J240" s="34" t="n">
        <x:v>526.14</x:v>
      </x:c>
      <x:c r="K240" s="34" t="n">
        <x:v>0</x:v>
      </x:c>
      <x:c r="L240" s="34" t="n">
        <x:v>0</x:v>
      </x:c>
      <x:c r="M240" s="34" t="n">
        <x:f>SUM(J240:L240)</x:f>
        <x:v>526.14</x:v>
      </x:c>
      <x:c r="N240" s="34" t="n">
        <x:f>G240*J240</x:f>
        <x:v>4209.12</x:v>
      </x:c>
      <x:c r="O240" s="34" t="n">
        <x:f>G240*K240</x:f>
        <x:v>0</x:v>
      </x:c>
      <x:c r="P240" s="34" t="n">
        <x:f>G240*L240</x:f>
        <x:v>0</x:v>
      </x:c>
      <x:c r="Q240" s="34" t="n">
        <x:f>SUM(N240:P240)</x:f>
        <x:v>4209.12</x:v>
      </x:c>
      <x:c r="R240" s="22" t="str">
        <x:f>IF(M240&gt;0,"복원","미복원")</x:f>
        <x:v>복원</x:v>
      </x:c>
      <x:c r="S240" s="37" t="n">
        <x:v>393</x:v>
      </x:c>
      <x:c r="T2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0" s="22" t="str">
        <x:f>A240&amp;"|"&amp;B240</x:f>
        <x:v>병원|C-010111</x:v>
      </x:c>
      <x:c r="V240" s="22" t="n">
        <x:f>IF(M240&gt;0,1,0)</x:f>
        <x:v>1</x:v>
      </x:c>
    </x:row>
    <x:row r="241" ht="28" customHeight="1">
      <x:c r="A241" s="22" t="str">
        <x:v>병원</x:v>
      </x:c>
      <x:c r="B241" s="31" t="str">
        <x:f>"C-010111"</x:f>
        <x:v>C-010111</x:v>
      </x:c>
      <x:c r="C241" s="25" t="str">
        <x:v>010111  DOORS &amp; WINDOWS WORKS-1</x:v>
      </x:c>
      <x:c r="D241" s="25" t="str">
        <x:v>AW16/01. HOSPITAL/60*150 AL</x:v>
      </x:c>
      <x:c r="E241" s="25" t="str">
        <x:v>2.370 x 1.200 = 2.844</x:v>
      </x:c>
      <x:c r="F241" s="22" t="str">
        <x:v>EA</x:v>
      </x:c>
      <x:c r="G241" s="28" t="n">
        <x:v>2</x:v>
      </x:c>
      <x:c r="H241" s="25" t="str">
        <x:v>453125479B7D7FE4C224BA003586B</x:v>
      </x:c>
      <x:c r="I241" s="22" t="str">
        <x:v>복합일위대가</x:v>
      </x:c>
      <x:c r="J241" s="34" t="n">
        <x:v>526.14</x:v>
      </x:c>
      <x:c r="K241" s="34" t="n">
        <x:v>0</x:v>
      </x:c>
      <x:c r="L241" s="34" t="n">
        <x:v>0</x:v>
      </x:c>
      <x:c r="M241" s="34" t="n">
        <x:f>SUM(J241:L241)</x:f>
        <x:v>526.14</x:v>
      </x:c>
      <x:c r="N241" s="34" t="n">
        <x:f>G241*J241</x:f>
        <x:v>1052.28</x:v>
      </x:c>
      <x:c r="O241" s="34" t="n">
        <x:f>G241*K241</x:f>
        <x:v>0</x:v>
      </x:c>
      <x:c r="P241" s="34" t="n">
        <x:f>G241*L241</x:f>
        <x:v>0</x:v>
      </x:c>
      <x:c r="Q241" s="34" t="n">
        <x:f>SUM(N241:P241)</x:f>
        <x:v>1052.28</x:v>
      </x:c>
      <x:c r="R241" s="22" t="str">
        <x:f>IF(M241&gt;0,"복원","미복원")</x:f>
        <x:v>복원</x:v>
      </x:c>
      <x:c r="S241" s="37" t="n">
        <x:v>394</x:v>
      </x:c>
      <x:c r="T2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1" s="22" t="str">
        <x:f>A241&amp;"|"&amp;B241</x:f>
        <x:v>병원|C-010111</x:v>
      </x:c>
      <x:c r="V241" s="22" t="n">
        <x:f>IF(M241&gt;0,1,0)</x:f>
        <x:v>1</x:v>
      </x:c>
    </x:row>
    <x:row r="242" ht="28" customHeight="1">
      <x:c r="A242" s="22" t="str">
        <x:v>병원</x:v>
      </x:c>
      <x:c r="B242" s="31" t="str">
        <x:f>"C-010111"</x:f>
        <x:v>C-010111</x:v>
      </x:c>
      <x:c r="C242" s="25" t="str">
        <x:v>010111  DOORS &amp; WINDOWS WORKS-1</x:v>
      </x:c>
      <x:c r="D242" s="25" t="str">
        <x:v>AW16A/01. HOSPITAL/60*150 AL</x:v>
      </x:c>
      <x:c r="E242" s="25" t="str">
        <x:v>1.770 x 1.200 = 2.124</x:v>
      </x:c>
      <x:c r="F242" s="22" t="str">
        <x:v>EA</x:v>
      </x:c>
      <x:c r="G242" s="28" t="n">
        <x:v>1</x:v>
      </x:c>
      <x:c r="H242" s="25" t="str">
        <x:v>453125479B7D7FE4C224BA0035865</x:v>
      </x:c>
      <x:c r="I242" s="22" t="str">
        <x:v>복합일위대가</x:v>
      </x:c>
      <x:c r="J242" s="34" t="n">
        <x:v>392.94</x:v>
      </x:c>
      <x:c r="K242" s="34" t="n">
        <x:v>0</x:v>
      </x:c>
      <x:c r="L242" s="34" t="n">
        <x:v>0</x:v>
      </x:c>
      <x:c r="M242" s="34" t="n">
        <x:f>SUM(J242:L242)</x:f>
        <x:v>392.94</x:v>
      </x:c>
      <x:c r="N242" s="34" t="n">
        <x:f>G242*J242</x:f>
        <x:v>392.94</x:v>
      </x:c>
      <x:c r="O242" s="34" t="n">
        <x:f>G242*K242</x:f>
        <x:v>0</x:v>
      </x:c>
      <x:c r="P242" s="34" t="n">
        <x:f>G242*L242</x:f>
        <x:v>0</x:v>
      </x:c>
      <x:c r="Q242" s="34" t="n">
        <x:f>SUM(N242:P242)</x:f>
        <x:v>392.94</x:v>
      </x:c>
      <x:c r="R242" s="22" t="str">
        <x:f>IF(M242&gt;0,"복원","미복원")</x:f>
        <x:v>복원</x:v>
      </x:c>
      <x:c r="S242" s="37" t="n">
        <x:v>395</x:v>
      </x:c>
      <x:c r="T2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2" s="22" t="str">
        <x:f>A242&amp;"|"&amp;B242</x:f>
        <x:v>병원|C-010111</x:v>
      </x:c>
      <x:c r="V242" s="22" t="n">
        <x:f>IF(M242&gt;0,1,0)</x:f>
        <x:v>1</x:v>
      </x:c>
    </x:row>
    <x:row r="243" ht="28" customHeight="1">
      <x:c r="A243" s="22" t="str">
        <x:v>병원</x:v>
      </x:c>
      <x:c r="B243" s="31" t="str">
        <x:f>"C-010111"</x:f>
        <x:v>C-010111</x:v>
      </x:c>
      <x:c r="C243" s="25" t="str">
        <x:v>010111  DOORS &amp; WINDOWS WORKS-1</x:v>
      </x:c>
      <x:c r="D243" s="25" t="str">
        <x:v>AW17/01. HOSPITAL/60*150 AL</x:v>
      </x:c>
      <x:c r="E243" s="25" t="str">
        <x:v>2.735 x 2.700 = 7.384</x:v>
      </x:c>
      <x:c r="F243" s="22" t="str">
        <x:v>EA</x:v>
      </x:c>
      <x:c r="G243" s="28" t="n">
        <x:v>1</x:v>
      </x:c>
      <x:c r="H243" s="25" t="str">
        <x:v>453125479B7D7FE4C224BA0035B20</x:v>
      </x:c>
      <x:c r="I243" s="22" t="str">
        <x:v>복합일위대가</x:v>
      </x:c>
      <x:c r="J243" s="34" t="n">
        <x:v>1366.04</x:v>
      </x:c>
      <x:c r="K243" s="34" t="n">
        <x:v>0</x:v>
      </x:c>
      <x:c r="L243" s="34" t="n">
        <x:v>0</x:v>
      </x:c>
      <x:c r="M243" s="34" t="n">
        <x:f>SUM(J243:L243)</x:f>
        <x:v>1366.04</x:v>
      </x:c>
      <x:c r="N243" s="34" t="n">
        <x:f>G243*J243</x:f>
        <x:v>1366.04</x:v>
      </x:c>
      <x:c r="O243" s="34" t="n">
        <x:f>G243*K243</x:f>
        <x:v>0</x:v>
      </x:c>
      <x:c r="P243" s="34" t="n">
        <x:f>G243*L243</x:f>
        <x:v>0</x:v>
      </x:c>
      <x:c r="Q243" s="34" t="n">
        <x:f>SUM(N243:P243)</x:f>
        <x:v>1366.04</x:v>
      </x:c>
      <x:c r="R243" s="22" t="str">
        <x:f>IF(M243&gt;0,"복원","미복원")</x:f>
        <x:v>복원</x:v>
      </x:c>
      <x:c r="S243" s="37" t="n">
        <x:v>396</x:v>
      </x:c>
      <x:c r="T2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3" s="22" t="str">
        <x:f>A243&amp;"|"&amp;B243</x:f>
        <x:v>병원|C-010111</x:v>
      </x:c>
      <x:c r="V243" s="22" t="n">
        <x:f>IF(M243&gt;0,1,0)</x:f>
        <x:v>1</x:v>
      </x:c>
    </x:row>
    <x:row r="244" ht="28" customHeight="1">
      <x:c r="A244" s="22" t="str">
        <x:v>병원</x:v>
      </x:c>
      <x:c r="B244" s="31" t="str">
        <x:f>"C-010111"</x:f>
        <x:v>C-010111</x:v>
      </x:c>
      <x:c r="C244" s="25" t="str">
        <x:v>010111  DOORS &amp; WINDOWS WORKS-1</x:v>
      </x:c>
      <x:c r="D244" s="25" t="str">
        <x:v>AW17A/01. HOSPITAL/60*150 AL</x:v>
      </x:c>
      <x:c r="E244" s="25" t="str">
        <x:v>2.735 x 2.400 = 6.564</x:v>
      </x:c>
      <x:c r="F244" s="22" t="str">
        <x:v>EA</x:v>
      </x:c>
      <x:c r="G244" s="28" t="n">
        <x:v>1</x:v>
      </x:c>
      <x:c r="H244" s="25" t="str">
        <x:v>453125479B7D7FE4C224BA0035B22</x:v>
      </x:c>
      <x:c r="I244" s="22" t="str">
        <x:v>복합일위대가</x:v>
      </x:c>
      <x:c r="J244" s="34" t="n">
        <x:v>1214.34</x:v>
      </x:c>
      <x:c r="K244" s="34" t="n">
        <x:v>0</x:v>
      </x:c>
      <x:c r="L244" s="34" t="n">
        <x:v>0</x:v>
      </x:c>
      <x:c r="M244" s="34" t="n">
        <x:f>SUM(J244:L244)</x:f>
        <x:v>1214.34</x:v>
      </x:c>
      <x:c r="N244" s="34" t="n">
        <x:f>G244*J244</x:f>
        <x:v>1214.34</x:v>
      </x:c>
      <x:c r="O244" s="34" t="n">
        <x:f>G244*K244</x:f>
        <x:v>0</x:v>
      </x:c>
      <x:c r="P244" s="34" t="n">
        <x:f>G244*L244</x:f>
        <x:v>0</x:v>
      </x:c>
      <x:c r="Q244" s="34" t="n">
        <x:f>SUM(N244:P244)</x:f>
        <x:v>1214.34</x:v>
      </x:c>
      <x:c r="R244" s="22" t="str">
        <x:f>IF(M244&gt;0,"복원","미복원")</x:f>
        <x:v>복원</x:v>
      </x:c>
      <x:c r="S244" s="37" t="n">
        <x:v>397</x:v>
      </x:c>
      <x:c r="T2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4" s="22" t="str">
        <x:f>A244&amp;"|"&amp;B244</x:f>
        <x:v>병원|C-010111</x:v>
      </x:c>
      <x:c r="V244" s="22" t="n">
        <x:f>IF(M244&gt;0,1,0)</x:f>
        <x:v>1</x:v>
      </x:c>
    </x:row>
    <x:row r="245" ht="28" customHeight="1">
      <x:c r="A245" s="22" t="str">
        <x:v>병원</x:v>
      </x:c>
      <x:c r="B245" s="31" t="str">
        <x:f>"C-010111"</x:f>
        <x:v>C-010111</x:v>
      </x:c>
      <x:c r="C245" s="25" t="str">
        <x:v>010111  DOORS &amp; WINDOWS WORKS-1</x:v>
      </x:c>
      <x:c r="D245" s="25" t="str">
        <x:v>AW17B/01. HOSPITAL/60*150 AL</x:v>
      </x:c>
      <x:c r="E245" s="25" t="str">
        <x:v>2.945 x 2.700 = 7.951</x:v>
      </x:c>
      <x:c r="F245" s="22" t="str">
        <x:v>EA</x:v>
      </x:c>
      <x:c r="G245" s="28" t="n">
        <x:v>1</x:v>
      </x:c>
      <x:c r="H245" s="25" t="str">
        <x:v>453125479B7D7FE4C224BA0035B24</x:v>
      </x:c>
      <x:c r="I245" s="22" t="str">
        <x:v>복합일위대가</x:v>
      </x:c>
      <x:c r="J245" s="34" t="n">
        <x:v>1470.94</x:v>
      </x:c>
      <x:c r="K245" s="34" t="n">
        <x:v>0</x:v>
      </x:c>
      <x:c r="L245" s="34" t="n">
        <x:v>0</x:v>
      </x:c>
      <x:c r="M245" s="34" t="n">
        <x:f>SUM(J245:L245)</x:f>
        <x:v>1470.94</x:v>
      </x:c>
      <x:c r="N245" s="34" t="n">
        <x:f>G245*J245</x:f>
        <x:v>1470.94</x:v>
      </x:c>
      <x:c r="O245" s="34" t="n">
        <x:f>G245*K245</x:f>
        <x:v>0</x:v>
      </x:c>
      <x:c r="P245" s="34" t="n">
        <x:f>G245*L245</x:f>
        <x:v>0</x:v>
      </x:c>
      <x:c r="Q245" s="34" t="n">
        <x:f>SUM(N245:P245)</x:f>
        <x:v>1470.94</x:v>
      </x:c>
      <x:c r="R245" s="22" t="str">
        <x:f>IF(M245&gt;0,"복원","미복원")</x:f>
        <x:v>복원</x:v>
      </x:c>
      <x:c r="S245" s="37" t="n">
        <x:v>398</x:v>
      </x:c>
      <x:c r="T2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5" s="22" t="str">
        <x:f>A245&amp;"|"&amp;B245</x:f>
        <x:v>병원|C-010111</x:v>
      </x:c>
      <x:c r="V245" s="22" t="n">
        <x:f>IF(M245&gt;0,1,0)</x:f>
        <x:v>1</x:v>
      </x:c>
    </x:row>
    <x:row r="246" ht="28" customHeight="1">
      <x:c r="A246" s="22" t="str">
        <x:v>병원</x:v>
      </x:c>
      <x:c r="B246" s="31" t="str">
        <x:f>"C-010111"</x:f>
        <x:v>C-010111</x:v>
      </x:c>
      <x:c r="C246" s="25" t="str">
        <x:v>010111  DOORS &amp; WINDOWS WORKS-1</x:v>
      </x:c>
      <x:c r="D246" s="25" t="str">
        <x:v>AW18/01. HOSPITAL/60*150 AL</x:v>
      </x:c>
      <x:c r="E246" s="25" t="str">
        <x:v>0.760 x 1.800 = 1.368</x:v>
      </x:c>
      <x:c r="F246" s="22" t="str">
        <x:v>EA</x:v>
      </x:c>
      <x:c r="G246" s="28" t="n">
        <x:v>2</x:v>
      </x:c>
      <x:c r="H246" s="25" t="str">
        <x:v>453125479B7D7FE4C224BA0035B26</x:v>
      </x:c>
      <x:c r="I246" s="22" t="str">
        <x:v>복합일위대가</x:v>
      </x:c>
      <x:c r="J246" s="34" t="n">
        <x:v>253.08</x:v>
      </x:c>
      <x:c r="K246" s="34" t="n">
        <x:v>0</x:v>
      </x:c>
      <x:c r="L246" s="34" t="n">
        <x:v>0</x:v>
      </x:c>
      <x:c r="M246" s="34" t="n">
        <x:f>SUM(J246:L246)</x:f>
        <x:v>253.08</x:v>
      </x:c>
      <x:c r="N246" s="34" t="n">
        <x:f>G246*J246</x:f>
        <x:v>506.16</x:v>
      </x:c>
      <x:c r="O246" s="34" t="n">
        <x:f>G246*K246</x:f>
        <x:v>0</x:v>
      </x:c>
      <x:c r="P246" s="34" t="n">
        <x:f>G246*L246</x:f>
        <x:v>0</x:v>
      </x:c>
      <x:c r="Q246" s="34" t="n">
        <x:f>SUM(N246:P246)</x:f>
        <x:v>506.16</x:v>
      </x:c>
      <x:c r="R246" s="22" t="str">
        <x:f>IF(M246&gt;0,"복원","미복원")</x:f>
        <x:v>복원</x:v>
      </x:c>
      <x:c r="S246" s="37" t="n">
        <x:v>399</x:v>
      </x:c>
      <x:c r="T2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6" s="22" t="str">
        <x:f>A246&amp;"|"&amp;B246</x:f>
        <x:v>병원|C-010111</x:v>
      </x:c>
      <x:c r="V246" s="22" t="n">
        <x:f>IF(M246&gt;0,1,0)</x:f>
        <x:v>1</x:v>
      </x:c>
    </x:row>
    <x:row r="247" ht="28" customHeight="1">
      <x:c r="A247" s="22" t="str">
        <x:v>병원</x:v>
      </x:c>
      <x:c r="B247" s="31" t="str">
        <x:f>"C-010111"</x:f>
        <x:v>C-010111</x:v>
      </x:c>
      <x:c r="C247" s="25" t="str">
        <x:v>010111  DOORS &amp; WINDOWS WORKS-1</x:v>
      </x:c>
      <x:c r="D247" s="25" t="str">
        <x:v>AW18A/01. HOSPITAL/60*150 AL</x:v>
      </x:c>
      <x:c r="E247" s="25" t="str">
        <x:v>0.760 x 2.700 = 2.052</x:v>
      </x:c>
      <x:c r="F247" s="22" t="str">
        <x:v>EA</x:v>
      </x:c>
      <x:c r="G247" s="28" t="n">
        <x:v>1</x:v>
      </x:c>
      <x:c r="H247" s="25" t="str">
        <x:v>453125479B7D7FE4C224BA0035B28</x:v>
      </x:c>
      <x:c r="I247" s="22" t="str">
        <x:v>복합일위대가</x:v>
      </x:c>
      <x:c r="J247" s="34" t="n">
        <x:v>379.62</x:v>
      </x:c>
      <x:c r="K247" s="34" t="n">
        <x:v>0</x:v>
      </x:c>
      <x:c r="L247" s="34" t="n">
        <x:v>0</x:v>
      </x:c>
      <x:c r="M247" s="34" t="n">
        <x:f>SUM(J247:L247)</x:f>
        <x:v>379.62</x:v>
      </x:c>
      <x:c r="N247" s="34" t="n">
        <x:f>G247*J247</x:f>
        <x:v>379.62</x:v>
      </x:c>
      <x:c r="O247" s="34" t="n">
        <x:f>G247*K247</x:f>
        <x:v>0</x:v>
      </x:c>
      <x:c r="P247" s="34" t="n">
        <x:f>G247*L247</x:f>
        <x:v>0</x:v>
      </x:c>
      <x:c r="Q247" s="34" t="n">
        <x:f>SUM(N247:P247)</x:f>
        <x:v>379.62</x:v>
      </x:c>
      <x:c r="R247" s="22" t="str">
        <x:f>IF(M247&gt;0,"복원","미복원")</x:f>
        <x:v>복원</x:v>
      </x:c>
      <x:c r="S247" s="37" t="n">
        <x:v>400</x:v>
      </x:c>
      <x:c r="T2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7" s="22" t="str">
        <x:f>A247&amp;"|"&amp;B247</x:f>
        <x:v>병원|C-010111</x:v>
      </x:c>
      <x:c r="V247" s="22" t="n">
        <x:f>IF(M247&gt;0,1,0)</x:f>
        <x:v>1</x:v>
      </x:c>
    </x:row>
    <x:row r="248" ht="28" customHeight="1">
      <x:c r="A248" s="22" t="str">
        <x:v>병원</x:v>
      </x:c>
      <x:c r="B248" s="31" t="str">
        <x:f>"C-010111"</x:f>
        <x:v>C-010111</x:v>
      </x:c>
      <x:c r="C248" s="25" t="str">
        <x:v>010111  DOORS &amp; WINDOWS WORKS-1</x:v>
      </x:c>
      <x:c r="D248" s="25" t="str">
        <x:v>AW20/01. HOSPITAL/60*150 AL</x:v>
      </x:c>
      <x:c r="E248" s="25" t="str">
        <x:v>2.370 x 1.500 = 3.555</x:v>
      </x:c>
      <x:c r="F248" s="22" t="str">
        <x:v>EA</x:v>
      </x:c>
      <x:c r="G248" s="28" t="n">
        <x:v>33</x:v>
      </x:c>
      <x:c r="H248" s="25" t="str">
        <x:v>453125479B7D7FE4C224BA0035A1D</x:v>
      </x:c>
      <x:c r="I248" s="22" t="str">
        <x:v>복합일위대가</x:v>
      </x:c>
      <x:c r="J248" s="34" t="n">
        <x:v>657.68</x:v>
      </x:c>
      <x:c r="K248" s="34" t="n">
        <x:v>0</x:v>
      </x:c>
      <x:c r="L248" s="34" t="n">
        <x:v>0</x:v>
      </x:c>
      <x:c r="M248" s="34" t="n">
        <x:f>SUM(J248:L248)</x:f>
        <x:v>657.68</x:v>
      </x:c>
      <x:c r="N248" s="34" t="n">
        <x:f>G248*J248</x:f>
        <x:v>21703.44</x:v>
      </x:c>
      <x:c r="O248" s="34" t="n">
        <x:f>G248*K248</x:f>
        <x:v>0</x:v>
      </x:c>
      <x:c r="P248" s="34" t="n">
        <x:f>G248*L248</x:f>
        <x:v>0</x:v>
      </x:c>
      <x:c r="Q248" s="34" t="n">
        <x:f>SUM(N248:P248)</x:f>
        <x:v>21703.44</x:v>
      </x:c>
      <x:c r="R248" s="22" t="str">
        <x:f>IF(M248&gt;0,"복원","미복원")</x:f>
        <x:v>복원</x:v>
      </x:c>
      <x:c r="S248" s="37" t="n">
        <x:v>401</x:v>
      </x:c>
      <x:c r="T2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8" s="22" t="str">
        <x:f>A248&amp;"|"&amp;B248</x:f>
        <x:v>병원|C-010111</x:v>
      </x:c>
      <x:c r="V248" s="22" t="n">
        <x:f>IF(M248&gt;0,1,0)</x:f>
        <x:v>1</x:v>
      </x:c>
    </x:row>
    <x:row r="249" ht="28" customHeight="1">
      <x:c r="A249" s="22" t="str">
        <x:v>병원</x:v>
      </x:c>
      <x:c r="B249" s="31" t="str">
        <x:f>"C-010111"</x:f>
        <x:v>C-010111</x:v>
      </x:c>
      <x:c r="C249" s="25" t="str">
        <x:v>010111  DOORS &amp; WINDOWS WORKS-1</x:v>
      </x:c>
      <x:c r="D249" s="25" t="str">
        <x:v>AW21/01. HOSPITAL/60*150 AL</x:v>
      </x:c>
      <x:c r="E249" s="25" t="str">
        <x:v>0.760 x 1.500 = 1.140</x:v>
      </x:c>
      <x:c r="F249" s="22" t="str">
        <x:v>EA</x:v>
      </x:c>
      <x:c r="G249" s="28" t="n">
        <x:v>14</x:v>
      </x:c>
      <x:c r="H249" s="25" t="str">
        <x:v>453125479B7D7FE4C224BA0035A13</x:v>
      </x:c>
      <x:c r="I249" s="22" t="str">
        <x:v>복합일위대가</x:v>
      </x:c>
      <x:c r="J249" s="34" t="n">
        <x:v>210.9</x:v>
      </x:c>
      <x:c r="K249" s="34" t="n">
        <x:v>0</x:v>
      </x:c>
      <x:c r="L249" s="34" t="n">
        <x:v>0</x:v>
      </x:c>
      <x:c r="M249" s="34" t="n">
        <x:f>SUM(J249:L249)</x:f>
        <x:v>210.9</x:v>
      </x:c>
      <x:c r="N249" s="34" t="n">
        <x:f>G249*J249</x:f>
        <x:v>2952.6</x:v>
      </x:c>
      <x:c r="O249" s="34" t="n">
        <x:f>G249*K249</x:f>
        <x:v>0</x:v>
      </x:c>
      <x:c r="P249" s="34" t="n">
        <x:f>G249*L249</x:f>
        <x:v>0</x:v>
      </x:c>
      <x:c r="Q249" s="34" t="n">
        <x:f>SUM(N249:P249)</x:f>
        <x:v>2952.6</x:v>
      </x:c>
      <x:c r="R249" s="22" t="str">
        <x:f>IF(M249&gt;0,"복원","미복원")</x:f>
        <x:v>복원</x:v>
      </x:c>
      <x:c r="S249" s="37" t="n">
        <x:v>402</x:v>
      </x:c>
      <x:c r="T2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49" s="22" t="str">
        <x:f>A249&amp;"|"&amp;B249</x:f>
        <x:v>병원|C-010111</x:v>
      </x:c>
      <x:c r="V249" s="22" t="n">
        <x:f>IF(M249&gt;0,1,0)</x:f>
        <x:v>1</x:v>
      </x:c>
    </x:row>
    <x:row r="250" ht="28" customHeight="1">
      <x:c r="A250" s="22" t="str">
        <x:v>병원</x:v>
      </x:c>
      <x:c r="B250" s="31" t="str">
        <x:f>"C-010111"</x:f>
        <x:v>C-010111</x:v>
      </x:c>
      <x:c r="C250" s="25" t="str">
        <x:v>010111  DOORS &amp; WINDOWS WORKS-1</x:v>
      </x:c>
      <x:c r="D250" s="25" t="str">
        <x:v>AW21A/01. HOSPITAL/60*150 AL</x:v>
      </x:c>
      <x:c r="E250" s="25" t="str">
        <x:v>0.760 x 2.400 = 1.824</x:v>
      </x:c>
      <x:c r="F250" s="22" t="str">
        <x:v>EA</x:v>
      </x:c>
      <x:c r="G250" s="28" t="n">
        <x:v>6</x:v>
      </x:c>
      <x:c r="H250" s="25" t="str">
        <x:v>453125479B7D7FE4C224BA0035599</x:v>
      </x:c>
      <x:c r="I250" s="22" t="str">
        <x:v>복합일위대가</x:v>
      </x:c>
      <x:c r="J250" s="34" t="n">
        <x:v>337.44</x:v>
      </x:c>
      <x:c r="K250" s="34" t="n">
        <x:v>0</x:v>
      </x:c>
      <x:c r="L250" s="34" t="n">
        <x:v>0</x:v>
      </x:c>
      <x:c r="M250" s="34" t="n">
        <x:f>SUM(J250:L250)</x:f>
        <x:v>337.44</x:v>
      </x:c>
      <x:c r="N250" s="34" t="n">
        <x:f>G250*J250</x:f>
        <x:v>2024.6399999999999</x:v>
      </x:c>
      <x:c r="O250" s="34" t="n">
        <x:f>G250*K250</x:f>
        <x:v>0</x:v>
      </x:c>
      <x:c r="P250" s="34" t="n">
        <x:f>G250*L250</x:f>
        <x:v>0</x:v>
      </x:c>
      <x:c r="Q250" s="34" t="n">
        <x:f>SUM(N250:P250)</x:f>
        <x:v>2024.6399999999999</x:v>
      </x:c>
      <x:c r="R250" s="22" t="str">
        <x:f>IF(M250&gt;0,"복원","미복원")</x:f>
        <x:v>복원</x:v>
      </x:c>
      <x:c r="S250" s="37" t="n">
        <x:v>403</x:v>
      </x:c>
      <x:c r="T2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0" s="22" t="str">
        <x:f>A250&amp;"|"&amp;B250</x:f>
        <x:v>병원|C-010111</x:v>
      </x:c>
      <x:c r="V250" s="22" t="n">
        <x:f>IF(M250&gt;0,1,0)</x:f>
        <x:v>1</x:v>
      </x:c>
    </x:row>
    <x:row r="251" ht="28" customHeight="1">
      <x:c r="A251" s="22" t="str">
        <x:v>병원</x:v>
      </x:c>
      <x:c r="B251" s="31" t="str">
        <x:f>"C-010111"</x:f>
        <x:v>C-010111</x:v>
      </x:c>
      <x:c r="C251" s="25" t="str">
        <x:v>010111  DOORS &amp; WINDOWS WORKS-1</x:v>
      </x:c>
      <x:c r="D251" s="25" t="str">
        <x:v>AW22/01. HOSPITAL/60*150 AL</x:v>
      </x:c>
      <x:c r="E251" s="25" t="str">
        <x:v>0.760 x 0.450 = 0.342</x:v>
      </x:c>
      <x:c r="F251" s="22" t="str">
        <x:v>EA</x:v>
      </x:c>
      <x:c r="G251" s="28" t="n">
        <x:v>2</x:v>
      </x:c>
      <x:c r="H251" s="25" t="str">
        <x:v>453125479B7D7FE4C224BA003559B</x:v>
      </x:c>
      <x:c r="I251" s="22" t="str">
        <x:v>복합일위대가</x:v>
      </x:c>
      <x:c r="J251" s="34" t="n">
        <x:v>63.27</x:v>
      </x:c>
      <x:c r="K251" s="34" t="n">
        <x:v>0</x:v>
      </x:c>
      <x:c r="L251" s="34" t="n">
        <x:v>0</x:v>
      </x:c>
      <x:c r="M251" s="34" t="n">
        <x:f>SUM(J251:L251)</x:f>
        <x:v>63.27</x:v>
      </x:c>
      <x:c r="N251" s="34" t="n">
        <x:f>G251*J251</x:f>
        <x:v>126.54</x:v>
      </x:c>
      <x:c r="O251" s="34" t="n">
        <x:f>G251*K251</x:f>
        <x:v>0</x:v>
      </x:c>
      <x:c r="P251" s="34" t="n">
        <x:f>G251*L251</x:f>
        <x:v>0</x:v>
      </x:c>
      <x:c r="Q251" s="34" t="n">
        <x:f>SUM(N251:P251)</x:f>
        <x:v>126.54</x:v>
      </x:c>
      <x:c r="R251" s="22" t="str">
        <x:f>IF(M251&gt;0,"복원","미복원")</x:f>
        <x:v>복원</x:v>
      </x:c>
      <x:c r="S251" s="37" t="n">
        <x:v>404</x:v>
      </x:c>
      <x:c r="T2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1" s="22" t="str">
        <x:f>A251&amp;"|"&amp;B251</x:f>
        <x:v>병원|C-010111</x:v>
      </x:c>
      <x:c r="V251" s="22" t="n">
        <x:f>IF(M251&gt;0,1,0)</x:f>
        <x:v>1</x:v>
      </x:c>
    </x:row>
    <x:row r="252" ht="28" customHeight="1">
      <x:c r="A252" s="22" t="str">
        <x:v>병원</x:v>
      </x:c>
      <x:c r="B252" s="31" t="str">
        <x:f>"C-010111"</x:f>
        <x:v>C-010111</x:v>
      </x:c>
      <x:c r="C252" s="25" t="str">
        <x:v>010111  DOORS &amp; WINDOWS WORKS-1</x:v>
      </x:c>
      <x:c r="D252" s="25" t="str">
        <x:v>AW22A/01. HOSPITAL/60*150 AL</x:v>
      </x:c>
      <x:c r="E252" s="25" t="str">
        <x:v>0.825 x 0.550 = 0.453</x:v>
      </x:c>
      <x:c r="F252" s="22" t="str">
        <x:v>EA</x:v>
      </x:c>
      <x:c r="G252" s="28" t="n">
        <x:v>1</x:v>
      </x:c>
      <x:c r="H252" s="25" t="str">
        <x:v>453125479B7D7FE4C224BA003559D</x:v>
      </x:c>
      <x:c r="I252" s="22" t="str">
        <x:v>복합일위대가</x:v>
      </x:c>
      <x:c r="J252" s="34" t="n">
        <x:v>83.81</x:v>
      </x:c>
      <x:c r="K252" s="34" t="n">
        <x:v>0</x:v>
      </x:c>
      <x:c r="L252" s="34" t="n">
        <x:v>0</x:v>
      </x:c>
      <x:c r="M252" s="34" t="n">
        <x:f>SUM(J252:L252)</x:f>
        <x:v>83.81</x:v>
      </x:c>
      <x:c r="N252" s="34" t="n">
        <x:f>G252*J252</x:f>
        <x:v>83.81</x:v>
      </x:c>
      <x:c r="O252" s="34" t="n">
        <x:f>G252*K252</x:f>
        <x:v>0</x:v>
      </x:c>
      <x:c r="P252" s="34" t="n">
        <x:f>G252*L252</x:f>
        <x:v>0</x:v>
      </x:c>
      <x:c r="Q252" s="34" t="n">
        <x:f>SUM(N252:P252)</x:f>
        <x:v>83.81</x:v>
      </x:c>
      <x:c r="R252" s="22" t="str">
        <x:f>IF(M252&gt;0,"복원","미복원")</x:f>
        <x:v>복원</x:v>
      </x:c>
      <x:c r="S252" s="37" t="n">
        <x:v>405</x:v>
      </x:c>
      <x:c r="T2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2" s="22" t="str">
        <x:f>A252&amp;"|"&amp;B252</x:f>
        <x:v>병원|C-010111</x:v>
      </x:c>
      <x:c r="V252" s="22" t="n">
        <x:f>IF(M252&gt;0,1,0)</x:f>
        <x:v>1</x:v>
      </x:c>
    </x:row>
    <x:row r="253" ht="28" customHeight="1">
      <x:c r="A253" s="22" t="str">
        <x:v>병원</x:v>
      </x:c>
      <x:c r="B253" s="31" t="str">
        <x:f>"C-010111"</x:f>
        <x:v>C-010111</x:v>
      </x:c>
      <x:c r="C253" s="25" t="str">
        <x:v>010111  DOORS &amp; WINDOWS WORKS-1</x:v>
      </x:c>
      <x:c r="D253" s="25" t="str">
        <x:v>AW23/01. HOSPITAL/60*150 AL</x:v>
      </x:c>
      <x:c r="E253" s="25" t="str">
        <x:v>2.100 x 2.400 = 5.040</x:v>
      </x:c>
      <x:c r="F253" s="22" t="str">
        <x:v>EA</x:v>
      </x:c>
      <x:c r="G253" s="28" t="n">
        <x:v>2</x:v>
      </x:c>
      <x:c r="H253" s="25" t="str">
        <x:v>453125479B7D7FE4C224BA003559F</x:v>
      </x:c>
      <x:c r="I253" s="22" t="str">
        <x:v>복합일위대가</x:v>
      </x:c>
      <x:c r="J253" s="34" t="n">
        <x:v>932.4</x:v>
      </x:c>
      <x:c r="K253" s="34" t="n">
        <x:v>0</x:v>
      </x:c>
      <x:c r="L253" s="34" t="n">
        <x:v>0</x:v>
      </x:c>
      <x:c r="M253" s="34" t="n">
        <x:f>SUM(J253:L253)</x:f>
        <x:v>932.4</x:v>
      </x:c>
      <x:c r="N253" s="34" t="n">
        <x:f>G253*J253</x:f>
        <x:v>1864.8</x:v>
      </x:c>
      <x:c r="O253" s="34" t="n">
        <x:f>G253*K253</x:f>
        <x:v>0</x:v>
      </x:c>
      <x:c r="P253" s="34" t="n">
        <x:f>G253*L253</x:f>
        <x:v>0</x:v>
      </x:c>
      <x:c r="Q253" s="34" t="n">
        <x:f>SUM(N253:P253)</x:f>
        <x:v>1864.8</x:v>
      </x:c>
      <x:c r="R253" s="22" t="str">
        <x:f>IF(M253&gt;0,"복원","미복원")</x:f>
        <x:v>복원</x:v>
      </x:c>
      <x:c r="S253" s="37" t="n">
        <x:v>406</x:v>
      </x:c>
      <x:c r="T2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3" s="22" t="str">
        <x:f>A253&amp;"|"&amp;B253</x:f>
        <x:v>병원|C-010111</x:v>
      </x:c>
      <x:c r="V253" s="22" t="n">
        <x:f>IF(M253&gt;0,1,0)</x:f>
        <x:v>1</x:v>
      </x:c>
    </x:row>
    <x:row r="254" ht="28" customHeight="1">
      <x:c r="A254" s="22" t="str">
        <x:v>병원</x:v>
      </x:c>
      <x:c r="B254" s="31" t="str">
        <x:f>"C-010111"</x:f>
        <x:v>C-010111</x:v>
      </x:c>
      <x:c r="C254" s="25" t="str">
        <x:v>010111  DOORS &amp; WINDOWS WORKS-1</x:v>
      </x:c>
      <x:c r="D254" s="25" t="str">
        <x:v>AW23A/01. HOSPITAL/60*150 AL</x:v>
      </x:c>
      <x:c r="E254" s="25" t="str">
        <x:v>2.100 x 2.700 = 5.670</x:v>
      </x:c>
      <x:c r="F254" s="22" t="str">
        <x:v>EA</x:v>
      </x:c>
      <x:c r="G254" s="28" t="n">
        <x:v>1</x:v>
      </x:c>
      <x:c r="H254" s="25" t="str">
        <x:v>453125479B7D7FE4C224BA0035591</x:v>
      </x:c>
      <x:c r="I254" s="22" t="str">
        <x:v>복합일위대가</x:v>
      </x:c>
      <x:c r="J254" s="34" t="n">
        <x:v>1048.95</x:v>
      </x:c>
      <x:c r="K254" s="34" t="n">
        <x:v>0</x:v>
      </x:c>
      <x:c r="L254" s="34" t="n">
        <x:v>0</x:v>
      </x:c>
      <x:c r="M254" s="34" t="n">
        <x:f>SUM(J254:L254)</x:f>
        <x:v>1048.95</x:v>
      </x:c>
      <x:c r="N254" s="34" t="n">
        <x:f>G254*J254</x:f>
        <x:v>1048.95</x:v>
      </x:c>
      <x:c r="O254" s="34" t="n">
        <x:f>G254*K254</x:f>
        <x:v>0</x:v>
      </x:c>
      <x:c r="P254" s="34" t="n">
        <x:f>G254*L254</x:f>
        <x:v>0</x:v>
      </x:c>
      <x:c r="Q254" s="34" t="n">
        <x:f>SUM(N254:P254)</x:f>
        <x:v>1048.95</x:v>
      </x:c>
      <x:c r="R254" s="22" t="str">
        <x:f>IF(M254&gt;0,"복원","미복원")</x:f>
        <x:v>복원</x:v>
      </x:c>
      <x:c r="S254" s="37" t="n">
        <x:v>407</x:v>
      </x:c>
      <x:c r="T2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4" s="22" t="str">
        <x:f>A254&amp;"|"&amp;B254</x:f>
        <x:v>병원|C-010111</x:v>
      </x:c>
      <x:c r="V254" s="22" t="n">
        <x:f>IF(M254&gt;0,1,0)</x:f>
        <x:v>1</x:v>
      </x:c>
    </x:row>
    <x:row r="255" ht="28" customHeight="1">
      <x:c r="A255" s="22" t="str">
        <x:v>병원</x:v>
      </x:c>
      <x:c r="B255" s="31" t="str">
        <x:f>"C-010111"</x:f>
        <x:v>C-010111</x:v>
      </x:c>
      <x:c r="C255" s="25" t="str">
        <x:v>010111  DOORS &amp; WINDOWS WORKS-1</x:v>
      </x:c>
      <x:c r="D255" s="25" t="str">
        <x:v>AW24/01. HOSPITAL/60*150 AL</x:v>
      </x:c>
      <x:c r="E255" s="25" t="str">
        <x:v>7.660 x 4.440 = 34.010</x:v>
      </x:c>
      <x:c r="F255" s="22" t="str">
        <x:v>EA</x:v>
      </x:c>
      <x:c r="G255" s="28" t="n">
        <x:v>1</x:v>
      </x:c>
      <x:c r="H255" s="25" t="str">
        <x:v>453125479B7D7FE4C224BA00354F0</x:v>
      </x:c>
      <x:c r="I255" s="22" t="str">
        <x:v>복합일위대가</x:v>
      </x:c>
      <x:c r="J255" s="34" t="n">
        <x:v>6291.85</x:v>
      </x:c>
      <x:c r="K255" s="34" t="n">
        <x:v>0</x:v>
      </x:c>
      <x:c r="L255" s="34" t="n">
        <x:v>0</x:v>
      </x:c>
      <x:c r="M255" s="34" t="n">
        <x:f>SUM(J255:L255)</x:f>
        <x:v>6291.85</x:v>
      </x:c>
      <x:c r="N255" s="34" t="n">
        <x:f>G255*J255</x:f>
        <x:v>6291.85</x:v>
      </x:c>
      <x:c r="O255" s="34" t="n">
        <x:f>G255*K255</x:f>
        <x:v>0</x:v>
      </x:c>
      <x:c r="P255" s="34" t="n">
        <x:f>G255*L255</x:f>
        <x:v>0</x:v>
      </x:c>
      <x:c r="Q255" s="34" t="n">
        <x:f>SUM(N255:P255)</x:f>
        <x:v>6291.85</x:v>
      </x:c>
      <x:c r="R255" s="22" t="str">
        <x:f>IF(M255&gt;0,"복원","미복원")</x:f>
        <x:v>복원</x:v>
      </x:c>
      <x:c r="S255" s="37" t="n">
        <x:v>408</x:v>
      </x:c>
      <x:c r="T2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5" s="22" t="str">
        <x:f>A255&amp;"|"&amp;B255</x:f>
        <x:v>병원|C-010111</x:v>
      </x:c>
      <x:c r="V255" s="22" t="n">
        <x:f>IF(M255&gt;0,1,0)</x:f>
        <x:v>1</x:v>
      </x:c>
    </x:row>
    <x:row r="256" ht="28" customHeight="1">
      <x:c r="A256" s="22" t="str">
        <x:v>병원</x:v>
      </x:c>
      <x:c r="B256" s="31" t="str">
        <x:f>"C-010111"</x:f>
        <x:v>C-010111</x:v>
      </x:c>
      <x:c r="C256" s="25" t="str">
        <x:v>010111  DOORS &amp; WINDOWS WORKS-1</x:v>
      </x:c>
      <x:c r="D256" s="25" t="str">
        <x:v>AW25/01. HOSPITAL/60*150 AL</x:v>
      </x:c>
      <x:c r="E256" s="25" t="str">
        <x:v>1.650 x 2.400 = 3.960</x:v>
      </x:c>
      <x:c r="F256" s="22" t="str">
        <x:v>EA</x:v>
      </x:c>
      <x:c r="G256" s="28" t="n">
        <x:v>3</x:v>
      </x:c>
      <x:c r="H256" s="25" t="str">
        <x:v>453125479B7D7FE4C224BA00354F2</x:v>
      </x:c>
      <x:c r="I256" s="22" t="str">
        <x:v>복합일위대가</x:v>
      </x:c>
      <x:c r="J256" s="34" t="n">
        <x:v>732.6</x:v>
      </x:c>
      <x:c r="K256" s="34" t="n">
        <x:v>0</x:v>
      </x:c>
      <x:c r="L256" s="34" t="n">
        <x:v>0</x:v>
      </x:c>
      <x:c r="M256" s="34" t="n">
        <x:f>SUM(J256:L256)</x:f>
        <x:v>732.6</x:v>
      </x:c>
      <x:c r="N256" s="34" t="n">
        <x:f>G256*J256</x:f>
        <x:v>2197.8</x:v>
      </x:c>
      <x:c r="O256" s="34" t="n">
        <x:f>G256*K256</x:f>
        <x:v>0</x:v>
      </x:c>
      <x:c r="P256" s="34" t="n">
        <x:f>G256*L256</x:f>
        <x:v>0</x:v>
      </x:c>
      <x:c r="Q256" s="34" t="n">
        <x:f>SUM(N256:P256)</x:f>
        <x:v>2197.8</x:v>
      </x:c>
      <x:c r="R256" s="22" t="str">
        <x:f>IF(M256&gt;0,"복원","미복원")</x:f>
        <x:v>복원</x:v>
      </x:c>
      <x:c r="S256" s="37" t="n">
        <x:v>409</x:v>
      </x:c>
      <x:c r="T2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6" s="22" t="str">
        <x:f>A256&amp;"|"&amp;B256</x:f>
        <x:v>병원|C-010111</x:v>
      </x:c>
      <x:c r="V256" s="22" t="n">
        <x:f>IF(M256&gt;0,1,0)</x:f>
        <x:v>1</x:v>
      </x:c>
    </x:row>
    <x:row r="257" ht="28" customHeight="1">
      <x:c r="A257" s="22" t="str">
        <x:v>병원</x:v>
      </x:c>
      <x:c r="B257" s="31" t="str">
        <x:f>"C-010111"</x:f>
        <x:v>C-010111</x:v>
      </x:c>
      <x:c r="C257" s="25" t="str">
        <x:v>010111  DOORS &amp; WINDOWS WORKS-1</x:v>
      </x:c>
      <x:c r="D257" s="25" t="str">
        <x:v>AW26/01. HOSPITAL/60*150 AL</x:v>
      </x:c>
      <x:c r="E257" s="25" t="str">
        <x:v>4.450 x 0.900 = 4.005</x:v>
      </x:c>
      <x:c r="F257" s="22" t="str">
        <x:v>EA</x:v>
      </x:c>
      <x:c r="G257" s="28" t="n">
        <x:v>1</x:v>
      </x:c>
      <x:c r="H257" s="25" t="str">
        <x:v>453125479B7D7FE4C224BA00354F4</x:v>
      </x:c>
      <x:c r="I257" s="22" t="str">
        <x:v>복합일위대가</x:v>
      </x:c>
      <x:c r="J257" s="34" t="n">
        <x:v>740.93</x:v>
      </x:c>
      <x:c r="K257" s="34" t="n">
        <x:v>0</x:v>
      </x:c>
      <x:c r="L257" s="34" t="n">
        <x:v>0</x:v>
      </x:c>
      <x:c r="M257" s="34" t="n">
        <x:f>SUM(J257:L257)</x:f>
        <x:v>740.93</x:v>
      </x:c>
      <x:c r="N257" s="34" t="n">
        <x:f>G257*J257</x:f>
        <x:v>740.93</x:v>
      </x:c>
      <x:c r="O257" s="34" t="n">
        <x:f>G257*K257</x:f>
        <x:v>0</x:v>
      </x:c>
      <x:c r="P257" s="34" t="n">
        <x:f>G257*L257</x:f>
        <x:v>0</x:v>
      </x:c>
      <x:c r="Q257" s="34" t="n">
        <x:f>SUM(N257:P257)</x:f>
        <x:v>740.93</x:v>
      </x:c>
      <x:c r="R257" s="22" t="str">
        <x:f>IF(M257&gt;0,"복원","미복원")</x:f>
        <x:v>복원</x:v>
      </x:c>
      <x:c r="S257" s="37" t="n">
        <x:v>410</x:v>
      </x:c>
      <x:c r="T2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7" s="22" t="str">
        <x:f>A257&amp;"|"&amp;B257</x:f>
        <x:v>병원|C-010111</x:v>
      </x:c>
      <x:c r="V257" s="22" t="n">
        <x:f>IF(M257&gt;0,1,0)</x:f>
        <x:v>1</x:v>
      </x:c>
    </x:row>
    <x:row r="258" ht="28" customHeight="1">
      <x:c r="A258" s="22" t="str">
        <x:v>병원</x:v>
      </x:c>
      <x:c r="B258" s="31" t="str">
        <x:f>"C-010111"</x:f>
        <x:v>C-010111</x:v>
      </x:c>
      <x:c r="C258" s="25" t="str">
        <x:v>010111  DOORS &amp; WINDOWS WORKS-1</x:v>
      </x:c>
      <x:c r="D258" s="25" t="str">
        <x:v>AW27/01. HOSPITAL/60*150 AL</x:v>
      </x:c>
      <x:c r="E258" s="25" t="str">
        <x:v>2.250 x 0.900 = 2.025</x:v>
      </x:c>
      <x:c r="F258" s="22" t="str">
        <x:v>EA</x:v>
      </x:c>
      <x:c r="G258" s="28" t="n">
        <x:v>1</x:v>
      </x:c>
      <x:c r="H258" s="25" t="str">
        <x:v>453125479B7D7FE4C224BA00354F6</x:v>
      </x:c>
      <x:c r="I258" s="22" t="str">
        <x:v>복합일위대가</x:v>
      </x:c>
      <x:c r="J258" s="34" t="n">
        <x:v>374.63</x:v>
      </x:c>
      <x:c r="K258" s="34" t="n">
        <x:v>0</x:v>
      </x:c>
      <x:c r="L258" s="34" t="n">
        <x:v>0</x:v>
      </x:c>
      <x:c r="M258" s="34" t="n">
        <x:f>SUM(J258:L258)</x:f>
        <x:v>374.63</x:v>
      </x:c>
      <x:c r="N258" s="34" t="n">
        <x:f>G258*J258</x:f>
        <x:v>374.63</x:v>
      </x:c>
      <x:c r="O258" s="34" t="n">
        <x:f>G258*K258</x:f>
        <x:v>0</x:v>
      </x:c>
      <x:c r="P258" s="34" t="n">
        <x:f>G258*L258</x:f>
        <x:v>0</x:v>
      </x:c>
      <x:c r="Q258" s="34" t="n">
        <x:f>SUM(N258:P258)</x:f>
        <x:v>374.63</x:v>
      </x:c>
      <x:c r="R258" s="22" t="str">
        <x:f>IF(M258&gt;0,"복원","미복원")</x:f>
        <x:v>복원</x:v>
      </x:c>
      <x:c r="S258" s="37" t="n">
        <x:v>411</x:v>
      </x:c>
      <x:c r="T2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8" s="22" t="str">
        <x:f>A258&amp;"|"&amp;B258</x:f>
        <x:v>병원|C-010111</x:v>
      </x:c>
      <x:c r="V258" s="22" t="n">
        <x:f>IF(M258&gt;0,1,0)</x:f>
        <x:v>1</x:v>
      </x:c>
    </x:row>
    <x:row r="259" ht="28" customHeight="1">
      <x:c r="A259" s="22" t="str">
        <x:v>병원</x:v>
      </x:c>
      <x:c r="B259" s="31" t="str">
        <x:f>"C-010111"</x:f>
        <x:v>C-010111</x:v>
      </x:c>
      <x:c r="C259" s="25" t="str">
        <x:v>010111  DOORS &amp; WINDOWS WORKS-1</x:v>
      </x:c>
      <x:c r="D259" s="25" t="str">
        <x:v>AW29/01. HOSPITAL/60*150 AL</x:v>
      </x:c>
      <x:c r="E259" s="25" t="str">
        <x:v>3.350 x 1.750 = 5.862</x:v>
      </x:c>
      <x:c r="F259" s="22" t="str">
        <x:v>EA</x:v>
      </x:c>
      <x:c r="G259" s="28" t="n">
        <x:v>1</x:v>
      </x:c>
      <x:c r="H259" s="25" t="str">
        <x:v>453125479B7D7FE4C224BA002B665</x:v>
      </x:c>
      <x:c r="I259" s="22" t="str">
        <x:v>복합일위대가</x:v>
      </x:c>
      <x:c r="J259" s="34" t="n">
        <x:v>1084.47</x:v>
      </x:c>
      <x:c r="K259" s="34" t="n">
        <x:v>0</x:v>
      </x:c>
      <x:c r="L259" s="34" t="n">
        <x:v>0</x:v>
      </x:c>
      <x:c r="M259" s="34" t="n">
        <x:f>SUM(J259:L259)</x:f>
        <x:v>1084.47</x:v>
      </x:c>
      <x:c r="N259" s="34" t="n">
        <x:f>G259*J259</x:f>
        <x:v>1084.47</x:v>
      </x:c>
      <x:c r="O259" s="34" t="n">
        <x:f>G259*K259</x:f>
        <x:v>0</x:v>
      </x:c>
      <x:c r="P259" s="34" t="n">
        <x:f>G259*L259</x:f>
        <x:v>0</x:v>
      </x:c>
      <x:c r="Q259" s="34" t="n">
        <x:f>SUM(N259:P259)</x:f>
        <x:v>1084.47</x:v>
      </x:c>
      <x:c r="R259" s="22" t="str">
        <x:f>IF(M259&gt;0,"복원","미복원")</x:f>
        <x:v>복원</x:v>
      </x:c>
      <x:c r="S259" s="37" t="n">
        <x:v>412</x:v>
      </x:c>
      <x:c r="T2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59" s="22" t="str">
        <x:f>A259&amp;"|"&amp;B259</x:f>
        <x:v>병원|C-010111</x:v>
      </x:c>
      <x:c r="V259" s="22" t="n">
        <x:f>IF(M259&gt;0,1,0)</x:f>
        <x:v>1</x:v>
      </x:c>
    </x:row>
    <x:row r="260" ht="28" customHeight="1">
      <x:c r="A260" s="22" t="str">
        <x:v>병원</x:v>
      </x:c>
      <x:c r="B260" s="31" t="str">
        <x:f>"C-010111"</x:f>
        <x:v>C-010111</x:v>
      </x:c>
      <x:c r="C260" s="25" t="str">
        <x:v>010111  DOORS &amp; WINDOWS WORKS-1</x:v>
      </x:c>
      <x:c r="D260" s="25" t="str">
        <x:v>AW30/01. HOSPITAL/60*150 AL</x:v>
      </x:c>
      <x:c r="E260" s="25" t="str">
        <x:v>6.085 x 2.100 = 12.778</x:v>
      </x:c>
      <x:c r="F260" s="22" t="str">
        <x:v>EA</x:v>
      </x:c>
      <x:c r="G260" s="28" t="n">
        <x:v>1</x:v>
      </x:c>
      <x:c r="H260" s="25" t="str">
        <x:v>453125479B7D7FE4C224BA002B667</x:v>
      </x:c>
      <x:c r="I260" s="22" t="str">
        <x:v>복합일위대가</x:v>
      </x:c>
      <x:c r="J260" s="34" t="n">
        <x:v>2363.93</x:v>
      </x:c>
      <x:c r="K260" s="34" t="n">
        <x:v>0</x:v>
      </x:c>
      <x:c r="L260" s="34" t="n">
        <x:v>0</x:v>
      </x:c>
      <x:c r="M260" s="34" t="n">
        <x:f>SUM(J260:L260)</x:f>
        <x:v>2363.93</x:v>
      </x:c>
      <x:c r="N260" s="34" t="n">
        <x:f>G260*J260</x:f>
        <x:v>2363.93</x:v>
      </x:c>
      <x:c r="O260" s="34" t="n">
        <x:f>G260*K260</x:f>
        <x:v>0</x:v>
      </x:c>
      <x:c r="P260" s="34" t="n">
        <x:f>G260*L260</x:f>
        <x:v>0</x:v>
      </x:c>
      <x:c r="Q260" s="34" t="n">
        <x:f>SUM(N260:P260)</x:f>
        <x:v>2363.93</x:v>
      </x:c>
      <x:c r="R260" s="22" t="str">
        <x:f>IF(M260&gt;0,"복원","미복원")</x:f>
        <x:v>복원</x:v>
      </x:c>
      <x:c r="S260" s="37" t="n">
        <x:v>413</x:v>
      </x:c>
      <x:c r="T2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0" s="22" t="str">
        <x:f>A260&amp;"|"&amp;B260</x:f>
        <x:v>병원|C-010111</x:v>
      </x:c>
      <x:c r="V260" s="22" t="n">
        <x:f>IF(M260&gt;0,1,0)</x:f>
        <x:v>1</x:v>
      </x:c>
    </x:row>
    <x:row r="261" ht="28" customHeight="1">
      <x:c r="A261" s="22" t="str">
        <x:v>병원</x:v>
      </x:c>
      <x:c r="B261" s="31" t="str">
        <x:f>"C-010111"</x:f>
        <x:v>C-010111</x:v>
      </x:c>
      <x:c r="C261" s="25" t="str">
        <x:v>010111  DOORS &amp; WINDOWS WORKS-1</x:v>
      </x:c>
      <x:c r="D261" s="25" t="str">
        <x:v>AW31/01. HOSPITAL/60*150 AL</x:v>
      </x:c>
      <x:c r="E261" s="25" t="str">
        <x:v>1.200 x 1.500 = 1.800</x:v>
      </x:c>
      <x:c r="F261" s="22" t="str">
        <x:v>EA</x:v>
      </x:c>
      <x:c r="G261" s="28" t="n">
        <x:v>1</x:v>
      </x:c>
      <x:c r="H261" s="25" t="str">
        <x:v>453125479B7D7FE4C224BA002B661</x:v>
      </x:c>
      <x:c r="I261" s="22" t="str">
        <x:v>복합일위대가</x:v>
      </x:c>
      <x:c r="J261" s="34" t="n">
        <x:v>333</x:v>
      </x:c>
      <x:c r="K261" s="34" t="n">
        <x:v>0</x:v>
      </x:c>
      <x:c r="L261" s="34" t="n">
        <x:v>0</x:v>
      </x:c>
      <x:c r="M261" s="34" t="n">
        <x:f>SUM(J261:L261)</x:f>
        <x:v>333</x:v>
      </x:c>
      <x:c r="N261" s="34" t="n">
        <x:f>G261*J261</x:f>
        <x:v>333</x:v>
      </x:c>
      <x:c r="O261" s="34" t="n">
        <x:f>G261*K261</x:f>
        <x:v>0</x:v>
      </x:c>
      <x:c r="P261" s="34" t="n">
        <x:f>G261*L261</x:f>
        <x:v>0</x:v>
      </x:c>
      <x:c r="Q261" s="34" t="n">
        <x:f>SUM(N261:P261)</x:f>
        <x:v>333</x:v>
      </x:c>
      <x:c r="R261" s="22" t="str">
        <x:f>IF(M261&gt;0,"복원","미복원")</x:f>
        <x:v>복원</x:v>
      </x:c>
      <x:c r="S261" s="37" t="n">
        <x:v>414</x:v>
      </x:c>
      <x:c r="T2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1" s="22" t="str">
        <x:f>A261&amp;"|"&amp;B261</x:f>
        <x:v>병원|C-010111</x:v>
      </x:c>
      <x:c r="V261" s="22" t="n">
        <x:f>IF(M261&gt;0,1,0)</x:f>
        <x:v>1</x:v>
      </x:c>
    </x:row>
    <x:row r="262" ht="28" customHeight="1">
      <x:c r="A262" s="22" t="str">
        <x:v>병원</x:v>
      </x:c>
      <x:c r="B262" s="31" t="str">
        <x:f>"C-010111"</x:f>
        <x:v>C-010111</x:v>
      </x:c>
      <x:c r="C262" s="25" t="str">
        <x:v>010111  DOORS &amp; WINDOWS WORKS-1</x:v>
      </x:c>
      <x:c r="D262" s="25" t="str">
        <x:v>AW32/01. HOSPITAL/60*150 AL</x:v>
      </x:c>
      <x:c r="E262" s="25" t="str">
        <x:v>3.250 x 0.450 = 1.462</x:v>
      </x:c>
      <x:c r="F262" s="22" t="str">
        <x:v>EA</x:v>
      </x:c>
      <x:c r="G262" s="28" t="n">
        <x:v>1</x:v>
      </x:c>
      <x:c r="H262" s="25" t="str">
        <x:v>453125479B7D7FE4C224BA002B663</x:v>
      </x:c>
      <x:c r="I262" s="22" t="str">
        <x:v>복합일위대가</x:v>
      </x:c>
      <x:c r="J262" s="34" t="n">
        <x:v>270.47</x:v>
      </x:c>
      <x:c r="K262" s="34" t="n">
        <x:v>0</x:v>
      </x:c>
      <x:c r="L262" s="34" t="n">
        <x:v>0</x:v>
      </x:c>
      <x:c r="M262" s="34" t="n">
        <x:f>SUM(J262:L262)</x:f>
        <x:v>270.47</x:v>
      </x:c>
      <x:c r="N262" s="34" t="n">
        <x:f>G262*J262</x:f>
        <x:v>270.47</x:v>
      </x:c>
      <x:c r="O262" s="34" t="n">
        <x:f>G262*K262</x:f>
        <x:v>0</x:v>
      </x:c>
      <x:c r="P262" s="34" t="n">
        <x:f>G262*L262</x:f>
        <x:v>0</x:v>
      </x:c>
      <x:c r="Q262" s="34" t="n">
        <x:f>SUM(N262:P262)</x:f>
        <x:v>270.47</x:v>
      </x:c>
      <x:c r="R262" s="22" t="str">
        <x:f>IF(M262&gt;0,"복원","미복원")</x:f>
        <x:v>복원</x:v>
      </x:c>
      <x:c r="S262" s="37" t="n">
        <x:v>415</x:v>
      </x:c>
      <x:c r="T2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2" s="22" t="str">
        <x:f>A262&amp;"|"&amp;B262</x:f>
        <x:v>병원|C-010111</x:v>
      </x:c>
      <x:c r="V262" s="22" t="n">
        <x:f>IF(M262&gt;0,1,0)</x:f>
        <x:v>1</x:v>
      </x:c>
    </x:row>
    <x:row r="263" ht="28" customHeight="1">
      <x:c r="A263" s="22" t="str">
        <x:v>병원</x:v>
      </x:c>
      <x:c r="B263" s="31" t="str">
        <x:f>"C-010111"</x:f>
        <x:v>C-010111</x:v>
      </x:c>
      <x:c r="C263" s="25" t="str">
        <x:v>010111  DOORS &amp; WINDOWS WORKS-1</x:v>
      </x:c>
      <x:c r="D263" s="25" t="str">
        <x:v>CAW01/01. HOSPITAL/60*150 AL</x:v>
      </x:c>
      <x:c r="E263" s="25" t="str">
        <x:v>0.825 x 7.200 = 5.940</x:v>
      </x:c>
      <x:c r="F263" s="22" t="str">
        <x:v>EA</x:v>
      </x:c>
      <x:c r="G263" s="28" t="n">
        <x:v>4</x:v>
      </x:c>
      <x:c r="H263" s="25" t="str">
        <x:v>453125479B7D7FE4C224BA002B66D</x:v>
      </x:c>
      <x:c r="I263" s="22" t="str">
        <x:v>복합일위대가</x:v>
      </x:c>
      <x:c r="J263" s="34" t="n">
        <x:v>1098.9</x:v>
      </x:c>
      <x:c r="K263" s="34" t="n">
        <x:v>0</x:v>
      </x:c>
      <x:c r="L263" s="34" t="n">
        <x:v>0</x:v>
      </x:c>
      <x:c r="M263" s="34" t="n">
        <x:f>SUM(J263:L263)</x:f>
        <x:v>1098.9</x:v>
      </x:c>
      <x:c r="N263" s="34" t="n">
        <x:f>G263*J263</x:f>
        <x:v>4395.6</x:v>
      </x:c>
      <x:c r="O263" s="34" t="n">
        <x:f>G263*K263</x:f>
        <x:v>0</x:v>
      </x:c>
      <x:c r="P263" s="34" t="n">
        <x:f>G263*L263</x:f>
        <x:v>0</x:v>
      </x:c>
      <x:c r="Q263" s="34" t="n">
        <x:f>SUM(N263:P263)</x:f>
        <x:v>4395.6</x:v>
      </x:c>
      <x:c r="R263" s="22" t="str">
        <x:f>IF(M263&gt;0,"복원","미복원")</x:f>
        <x:v>복원</x:v>
      </x:c>
      <x:c r="S263" s="37" t="n">
        <x:v>416</x:v>
      </x:c>
      <x:c r="T2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3" s="22" t="str">
        <x:f>A263&amp;"|"&amp;B263</x:f>
        <x:v>병원|C-010111</x:v>
      </x:c>
      <x:c r="V263" s="22" t="n">
        <x:f>IF(M263&gt;0,1,0)</x:f>
        <x:v>1</x:v>
      </x:c>
    </x:row>
    <x:row r="264" ht="28" customHeight="1">
      <x:c r="A264" s="22" t="str">
        <x:v>병원</x:v>
      </x:c>
      <x:c r="B264" s="31" t="str">
        <x:f>"C-010111"</x:f>
        <x:v>C-010111</x:v>
      </x:c>
      <x:c r="C264" s="25" t="str">
        <x:v>010111  DOORS &amp; WINDOWS WORKS-1</x:v>
      </x:c>
      <x:c r="D264" s="25" t="str">
        <x:v>CAW02/01. HOSPITAL/60*150 AL</x:v>
      </x:c>
      <x:c r="E264" s="25" t="str">
        <x:v>0.825 x 9.240 = 7.623</x:v>
      </x:c>
      <x:c r="F264" s="22" t="str">
        <x:v>EA</x:v>
      </x:c>
      <x:c r="G264" s="28" t="n">
        <x:v>1</x:v>
      </x:c>
      <x:c r="H264" s="25" t="str">
        <x:v>453125479B7D7FE4C224BA002B70A</x:v>
      </x:c>
      <x:c r="I264" s="22" t="str">
        <x:v>복합일위대가</x:v>
      </x:c>
      <x:c r="J264" s="34" t="n">
        <x:v>1410.26</x:v>
      </x:c>
      <x:c r="K264" s="34" t="n">
        <x:v>0</x:v>
      </x:c>
      <x:c r="L264" s="34" t="n">
        <x:v>0</x:v>
      </x:c>
      <x:c r="M264" s="34" t="n">
        <x:f>SUM(J264:L264)</x:f>
        <x:v>1410.26</x:v>
      </x:c>
      <x:c r="N264" s="34" t="n">
        <x:f>G264*J264</x:f>
        <x:v>1410.26</x:v>
      </x:c>
      <x:c r="O264" s="34" t="n">
        <x:f>G264*K264</x:f>
        <x:v>0</x:v>
      </x:c>
      <x:c r="P264" s="34" t="n">
        <x:f>G264*L264</x:f>
        <x:v>0</x:v>
      </x:c>
      <x:c r="Q264" s="34" t="n">
        <x:f>SUM(N264:P264)</x:f>
        <x:v>1410.26</x:v>
      </x:c>
      <x:c r="R264" s="22" t="str">
        <x:f>IF(M264&gt;0,"복원","미복원")</x:f>
        <x:v>복원</x:v>
      </x:c>
      <x:c r="S264" s="37" t="n">
        <x:v>417</x:v>
      </x:c>
      <x:c r="T2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4" s="22" t="str">
        <x:f>A264&amp;"|"&amp;B264</x:f>
        <x:v>병원|C-010111</x:v>
      </x:c>
      <x:c r="V264" s="22" t="n">
        <x:f>IF(M264&gt;0,1,0)</x:f>
        <x:v>1</x:v>
      </x:c>
    </x:row>
    <x:row r="265" ht="28" customHeight="1">
      <x:c r="A265" s="22" t="str">
        <x:v>병원</x:v>
      </x:c>
      <x:c r="B265" s="31" t="str">
        <x:f>"C-010111"</x:f>
        <x:v>C-010111</x:v>
      </x:c>
      <x:c r="C265" s="25" t="str">
        <x:v>010111  DOORS &amp; WINDOWS WORKS-1</x:v>
      </x:c>
      <x:c r="D265" s="25" t="str">
        <x:v>CAW03/01. HOSPITAL/60*150 AL</x:v>
      </x:c>
      <x:c r="E265" s="25" t="str">
        <x:v>0.825 x 11.850 = 9.776</x:v>
      </x:c>
      <x:c r="F265" s="22" t="str">
        <x:v>EA</x:v>
      </x:c>
      <x:c r="G265" s="28" t="n">
        <x:v>1</x:v>
      </x:c>
      <x:c r="H265" s="25" t="str">
        <x:v>453125479B7D7FE4C224BA002B708</x:v>
      </x:c>
      <x:c r="I265" s="22" t="str">
        <x:v>복합일위대가</x:v>
      </x:c>
      <x:c r="J265" s="34" t="n">
        <x:v>1808.56</x:v>
      </x:c>
      <x:c r="K265" s="34" t="n">
        <x:v>0</x:v>
      </x:c>
      <x:c r="L265" s="34" t="n">
        <x:v>0</x:v>
      </x:c>
      <x:c r="M265" s="34" t="n">
        <x:f>SUM(J265:L265)</x:f>
        <x:v>1808.56</x:v>
      </x:c>
      <x:c r="N265" s="34" t="n">
        <x:f>G265*J265</x:f>
        <x:v>1808.56</x:v>
      </x:c>
      <x:c r="O265" s="34" t="n">
        <x:f>G265*K265</x:f>
        <x:v>0</x:v>
      </x:c>
      <x:c r="P265" s="34" t="n">
        <x:f>G265*L265</x:f>
        <x:v>0</x:v>
      </x:c>
      <x:c r="Q265" s="34" t="n">
        <x:f>SUM(N265:P265)</x:f>
        <x:v>1808.56</x:v>
      </x:c>
      <x:c r="R265" s="22" t="str">
        <x:f>IF(M265&gt;0,"복원","미복원")</x:f>
        <x:v>복원</x:v>
      </x:c>
      <x:c r="S265" s="37" t="n">
        <x:v>418</x:v>
      </x:c>
      <x:c r="T2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5" s="22" t="str">
        <x:f>A265&amp;"|"&amp;B265</x:f>
        <x:v>병원|C-010111</x:v>
      </x:c>
      <x:c r="V265" s="22" t="n">
        <x:f>IF(M265&gt;0,1,0)</x:f>
        <x:v>1</x:v>
      </x:c>
    </x:row>
    <x:row r="266" ht="28" customHeight="1">
      <x:c r="A266" s="22" t="str">
        <x:v>병원</x:v>
      </x:c>
      <x:c r="B266" s="31" t="str">
        <x:f>"C-010111"</x:f>
        <x:v>C-010111</x:v>
      </x:c>
      <x:c r="C266" s="25" t="str">
        <x:v>010111  DOORS &amp; WINDOWS WORKS-1</x:v>
      </x:c>
      <x:c r="D266" s="25" t="str">
        <x:v>CAW04/01. HOSPITAL/60*150 AL</x:v>
      </x:c>
      <x:c r="E266" s="25" t="str">
        <x:v>0.825 x 9.300 = 7.672</x:v>
      </x:c>
      <x:c r="F266" s="22" t="str">
        <x:v>EA</x:v>
      </x:c>
      <x:c r="G266" s="28" t="n">
        <x:v>1</x:v>
      </x:c>
      <x:c r="H266" s="25" t="str">
        <x:v>453125479B7D7FE4C224BA002B70E</x:v>
      </x:c>
      <x:c r="I266" s="22" t="str">
        <x:v>복합일위대가</x:v>
      </x:c>
      <x:c r="J266" s="34" t="n">
        <x:v>1419.32</x:v>
      </x:c>
      <x:c r="K266" s="34" t="n">
        <x:v>0</x:v>
      </x:c>
      <x:c r="L266" s="34" t="n">
        <x:v>0</x:v>
      </x:c>
      <x:c r="M266" s="34" t="n">
        <x:f>SUM(J266:L266)</x:f>
        <x:v>1419.32</x:v>
      </x:c>
      <x:c r="N266" s="34" t="n">
        <x:f>G266*J266</x:f>
        <x:v>1419.32</x:v>
      </x:c>
      <x:c r="O266" s="34" t="n">
        <x:f>G266*K266</x:f>
        <x:v>0</x:v>
      </x:c>
      <x:c r="P266" s="34" t="n">
        <x:f>G266*L266</x:f>
        <x:v>0</x:v>
      </x:c>
      <x:c r="Q266" s="34" t="n">
        <x:f>SUM(N266:P266)</x:f>
        <x:v>1419.32</x:v>
      </x:c>
      <x:c r="R266" s="22" t="str">
        <x:f>IF(M266&gt;0,"복원","미복원")</x:f>
        <x:v>복원</x:v>
      </x:c>
      <x:c r="S266" s="37" t="n">
        <x:v>419</x:v>
      </x:c>
      <x:c r="T2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6" s="22" t="str">
        <x:f>A266&amp;"|"&amp;B266</x:f>
        <x:v>병원|C-010111</x:v>
      </x:c>
      <x:c r="V266" s="22" t="n">
        <x:f>IF(M266&gt;0,1,0)</x:f>
        <x:v>1</x:v>
      </x:c>
    </x:row>
    <x:row r="267" ht="28" customHeight="1">
      <x:c r="A267" s="22" t="str">
        <x:v>병원</x:v>
      </x:c>
      <x:c r="B267" s="31" t="str">
        <x:f>"C-010111"</x:f>
        <x:v>C-010111</x:v>
      </x:c>
      <x:c r="C267" s="25" t="str">
        <x:v>010111  DOORS &amp; WINDOWS WORKS-1</x:v>
      </x:c>
      <x:c r="D267" s="25" t="str">
        <x:v>CAW05/01. HOSPITAL/60*150 AL HIDDEN</x:v>
      </x:c>
      <x:c r="E267" s="25" t="str">
        <x:v>12.100 x 7.200 = 59.740</x:v>
      </x:c>
      <x:c r="F267" s="22" t="str">
        <x:v>EA</x:v>
      </x:c>
      <x:c r="G267" s="28" t="n">
        <x:v>1</x:v>
      </x:c>
      <x:c r="H267" s="25" t="str">
        <x:v>453125479B7D7FE4C224BA002B70C</x:v>
      </x:c>
      <x:c r="I267" s="22" t="str">
        <x:v>복합일위대가</x:v>
      </x:c>
      <x:c r="J267" s="34" t="n">
        <x:v>11051.9</x:v>
      </x:c>
      <x:c r="K267" s="34" t="n">
        <x:v>0</x:v>
      </x:c>
      <x:c r="L267" s="34" t="n">
        <x:v>0</x:v>
      </x:c>
      <x:c r="M267" s="34" t="n">
        <x:f>SUM(J267:L267)</x:f>
        <x:v>11051.9</x:v>
      </x:c>
      <x:c r="N267" s="34" t="n">
        <x:f>G267*J267</x:f>
        <x:v>11051.9</x:v>
      </x:c>
      <x:c r="O267" s="34" t="n">
        <x:f>G267*K267</x:f>
        <x:v>0</x:v>
      </x:c>
      <x:c r="P267" s="34" t="n">
        <x:f>G267*L267</x:f>
        <x:v>0</x:v>
      </x:c>
      <x:c r="Q267" s="34" t="n">
        <x:f>SUM(N267:P267)</x:f>
        <x:v>11051.9</x:v>
      </x:c>
      <x:c r="R267" s="22" t="str">
        <x:f>IF(M267&gt;0,"복원","미복원")</x:f>
        <x:v>복원</x:v>
      </x:c>
      <x:c r="S267" s="37" t="n">
        <x:v>420</x:v>
      </x:c>
      <x:c r="T2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7" s="22" t="str">
        <x:f>A267&amp;"|"&amp;B267</x:f>
        <x:v>병원|C-010111</x:v>
      </x:c>
      <x:c r="V267" s="22" t="n">
        <x:f>IF(M267&gt;0,1,0)</x:f>
        <x:v>1</x:v>
      </x:c>
    </x:row>
    <x:row r="268" ht="28" customHeight="1">
      <x:c r="A268" s="22" t="str">
        <x:v>병원</x:v>
      </x:c>
      <x:c r="B268" s="31" t="str">
        <x:f>"C-010111"</x:f>
        <x:v>C-010111</x:v>
      </x:c>
      <x:c r="C268" s="25" t="str">
        <x:v>010111  DOORS &amp; WINDOWS WORKS-1</x:v>
      </x:c>
      <x:c r="D268" s="25" t="str">
        <x:v>FSD01/01. HOSPITAL/STL SINGLE DOOR</x:v>
      </x:c>
      <x:c r="E268" s="25" t="str">
        <x:v>1.050 x 2.200 = 2.310</x:v>
      </x:c>
      <x:c r="F268" s="22" t="str">
        <x:v>EA</x:v>
      </x:c>
      <x:c r="G268" s="28" t="n">
        <x:v>12</x:v>
      </x:c>
      <x:c r="H268" s="25" t="str">
        <x:v>453125479B7D7FE4C224BA002B702</x:v>
      </x:c>
      <x:c r="I268" s="22" t="str">
        <x:v>복합일위대가</x:v>
      </x:c>
      <x:c r="J268" s="34" t="n">
        <x:v>392.55</x:v>
      </x:c>
      <x:c r="K268" s="34" t="n">
        <x:v>37.47</x:v>
      </x:c>
      <x:c r="L268" s="34" t="n">
        <x:v>0.97</x:v>
      </x:c>
      <x:c r="M268" s="34" t="n">
        <x:f>SUM(J268:L268)</x:f>
        <x:v>430.99</x:v>
      </x:c>
      <x:c r="N268" s="34" t="n">
        <x:f>G268*J268</x:f>
        <x:v>4710.6</x:v>
      </x:c>
      <x:c r="O268" s="34" t="n">
        <x:f>G268*K268</x:f>
        <x:v>449.64</x:v>
      </x:c>
      <x:c r="P268" s="34" t="n">
        <x:f>G268*L268</x:f>
        <x:v>11.64</x:v>
      </x:c>
      <x:c r="Q268" s="34" t="n">
        <x:f>SUM(N268:P268)</x:f>
        <x:v>5171.880000000001</x:v>
      </x:c>
      <x:c r="R268" s="22" t="str">
        <x:f>IF(M268&gt;0,"복원","미복원")</x:f>
        <x:v>복원</x:v>
      </x:c>
      <x:c r="S268" s="37" t="n">
        <x:v>421</x:v>
      </x:c>
      <x:c r="T2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8" s="22" t="str">
        <x:f>A268&amp;"|"&amp;B268</x:f>
        <x:v>병원|C-010111</x:v>
      </x:c>
      <x:c r="V268" s="22" t="n">
        <x:f>IF(M268&gt;0,1,0)</x:f>
        <x:v>1</x:v>
      </x:c>
    </x:row>
    <x:row r="269" ht="28" customHeight="1">
      <x:c r="A269" s="22" t="str">
        <x:v>병원</x:v>
      </x:c>
      <x:c r="B269" s="31" t="str">
        <x:f>"C-010111"</x:f>
        <x:v>C-010111</x:v>
      </x:c>
      <x:c r="C269" s="25" t="str">
        <x:v>010111  DOORS &amp; WINDOWS WORKS-1</x:v>
      </x:c>
      <x:c r="D269" s="25" t="str">
        <x:v>FSD02/01. HOSPITAL/STL DOUBLE DOOR</x:v>
      </x:c>
      <x:c r="E269" s="25" t="str">
        <x:v>1.800 x 2.200 = 3.960</x:v>
      </x:c>
      <x:c r="F269" s="22" t="str">
        <x:v>EA</x:v>
      </x:c>
      <x:c r="G269" s="28" t="n">
        <x:v>2</x:v>
      </x:c>
      <x:c r="H269" s="25" t="str">
        <x:v>453125479B7D7FE4C224BA002B4B6</x:v>
      </x:c>
      <x:c r="I269" s="22" t="str">
        <x:v>복합일위대가</x:v>
      </x:c>
      <x:c r="J269" s="34" t="n">
        <x:v>646.81</x:v>
      </x:c>
      <x:c r="K269" s="34" t="n">
        <x:v>48.6</x:v>
      </x:c>
      <x:c r="L269" s="34" t="n">
        <x:v>1.26</x:v>
      </x:c>
      <x:c r="M269" s="34" t="n">
        <x:f>SUM(J269:L269)</x:f>
        <x:v>696.67</x:v>
      </x:c>
      <x:c r="N269" s="34" t="n">
        <x:f>G269*J269</x:f>
        <x:v>1293.62</x:v>
      </x:c>
      <x:c r="O269" s="34" t="n">
        <x:f>G269*K269</x:f>
        <x:v>97.2</x:v>
      </x:c>
      <x:c r="P269" s="34" t="n">
        <x:f>G269*L269</x:f>
        <x:v>2.52</x:v>
      </x:c>
      <x:c r="Q269" s="34" t="n">
        <x:f>SUM(N269:P269)</x:f>
        <x:v>1393.34</x:v>
      </x:c>
      <x:c r="R269" s="22" t="str">
        <x:f>IF(M269&gt;0,"복원","미복원")</x:f>
        <x:v>복원</x:v>
      </x:c>
      <x:c r="S269" s="37" t="n">
        <x:v>422</x:v>
      </x:c>
      <x:c r="T2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69" s="22" t="str">
        <x:f>A269&amp;"|"&amp;B269</x:f>
        <x:v>병원|C-010111</x:v>
      </x:c>
      <x:c r="V269" s="22" t="n">
        <x:f>IF(M269&gt;0,1,0)</x:f>
        <x:v>1</x:v>
      </x:c>
    </x:row>
    <x:row r="270" ht="28" customHeight="1">
      <x:c r="A270" s="22" t="str">
        <x:v>병원</x:v>
      </x:c>
      <x:c r="B270" s="31" t="str">
        <x:f>"C-010111"</x:f>
        <x:v>C-010111</x:v>
      </x:c>
      <x:c r="C270" s="25" t="str">
        <x:v>010111  DOORS &amp; WINDOWS WORKS-1</x:v>
      </x:c>
      <x:c r="D270" s="25" t="str">
        <x:v>FSD03/01. HOSPITAL/STL SINGLE DOOR</x:v>
      </x:c>
      <x:c r="E270" s="25" t="str">
        <x:v>0.750 x 1.900 = 1.425</x:v>
      </x:c>
      <x:c r="F270" s="22" t="str">
        <x:v>EA</x:v>
      </x:c>
      <x:c r="G270" s="28" t="n">
        <x:v>13</x:v>
      </x:c>
      <x:c r="H270" s="25" t="str">
        <x:v>453125479B7D7FE4C224BA002B4B4</x:v>
      </x:c>
      <x:c r="I270" s="22" t="str">
        <x:v>복합일위대가</x:v>
      </x:c>
      <x:c r="J270" s="34" t="n">
        <x:v>242.16</x:v>
      </x:c>
      <x:c r="K270" s="34" t="n">
        <x:v>37.47</x:v>
      </x:c>
      <x:c r="L270" s="34" t="n">
        <x:v>0.97</x:v>
      </x:c>
      <x:c r="M270" s="34" t="n">
        <x:f>SUM(J270:L270)</x:f>
        <x:v>280.6</x:v>
      </x:c>
      <x:c r="N270" s="34" t="n">
        <x:f>G270*J270</x:f>
        <x:v>3148.08</x:v>
      </x:c>
      <x:c r="O270" s="34" t="n">
        <x:f>G270*K270</x:f>
        <x:v>487.11</x:v>
      </x:c>
      <x:c r="P270" s="34" t="n">
        <x:f>G270*L270</x:f>
        <x:v>12.61</x:v>
      </x:c>
      <x:c r="Q270" s="34" t="n">
        <x:f>SUM(N270:P270)</x:f>
        <x:v>3647.8</x:v>
      </x:c>
      <x:c r="R270" s="22" t="str">
        <x:f>IF(M270&gt;0,"복원","미복원")</x:f>
        <x:v>복원</x:v>
      </x:c>
      <x:c r="S270" s="37" t="n">
        <x:v>423</x:v>
      </x:c>
      <x:c r="T2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0" s="22" t="str">
        <x:f>A270&amp;"|"&amp;B270</x:f>
        <x:v>병원|C-010111</x:v>
      </x:c>
      <x:c r="V270" s="22" t="n">
        <x:f>IF(M270&gt;0,1,0)</x:f>
        <x:v>1</x:v>
      </x:c>
    </x:row>
    <x:row r="271" ht="28" customHeight="1">
      <x:c r="A271" s="22" t="str">
        <x:v>병원</x:v>
      </x:c>
      <x:c r="B271" s="31" t="str">
        <x:f>"C-010111"</x:f>
        <x:v>C-010111</x:v>
      </x:c>
      <x:c r="C271" s="25" t="str">
        <x:v>010111  DOORS &amp; WINDOWS WORKS-1</x:v>
      </x:c>
      <x:c r="D271" s="25" t="str">
        <x:v>FSST01/01. HOSPITAL/SHUTTER</x:v>
      </x:c>
      <x:c r="E271" s="25" t="str">
        <x:v>12.750 x 2.700 = 34.425</x:v>
      </x:c>
      <x:c r="F271" s="22" t="str">
        <x:v>EA</x:v>
      </x:c>
      <x:c r="G271" s="28" t="n">
        <x:v>1</x:v>
      </x:c>
      <x:c r="H271" s="25" t="str">
        <x:v>453125479B7D7FE4C224BA002B4B2</x:v>
      </x:c>
      <x:c r="I271" s="22" t="str">
        <x:v>복합일위대가</x:v>
      </x:c>
      <x:c r="J271" s="34" t="n">
        <x:v>9879.94</x:v>
      </x:c>
      <x:c r="K271" s="34" t="n">
        <x:v>0</x:v>
      </x:c>
      <x:c r="L271" s="34" t="n">
        <x:v>0</x:v>
      </x:c>
      <x:c r="M271" s="34" t="n">
        <x:f>SUM(J271:L271)</x:f>
        <x:v>9879.94</x:v>
      </x:c>
      <x:c r="N271" s="34" t="n">
        <x:f>G271*J271</x:f>
        <x:v>9879.94</x:v>
      </x:c>
      <x:c r="O271" s="34" t="n">
        <x:f>G271*K271</x:f>
        <x:v>0</x:v>
      </x:c>
      <x:c r="P271" s="34" t="n">
        <x:f>G271*L271</x:f>
        <x:v>0</x:v>
      </x:c>
      <x:c r="Q271" s="34" t="n">
        <x:f>SUM(N271:P271)</x:f>
        <x:v>9879.94</x:v>
      </x:c>
      <x:c r="R271" s="22" t="str">
        <x:f>IF(M271&gt;0,"복원","미복원")</x:f>
        <x:v>복원</x:v>
      </x:c>
      <x:c r="S271" s="37" t="n">
        <x:v>424</x:v>
      </x:c>
      <x:c r="T2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1" s="22" t="str">
        <x:f>A271&amp;"|"&amp;B271</x:f>
        <x:v>병원|C-010111</x:v>
      </x:c>
      <x:c r="V271" s="22" t="n">
        <x:f>IF(M271&gt;0,1,0)</x:f>
        <x:v>1</x:v>
      </x:c>
    </x:row>
    <x:row r="272" ht="28" customHeight="1">
      <x:c r="A272" s="22" t="str">
        <x:v>병원</x:v>
      </x:c>
      <x:c r="B272" s="31" t="str">
        <x:f>"C-010111"</x:f>
        <x:v>C-010111</x:v>
      </x:c>
      <x:c r="C272" s="25" t="str">
        <x:v>010111  DOORS &amp; WINDOWS WORKS-1</x:v>
      </x:c>
      <x:c r="D272" s="25" t="str">
        <x:v>FSST02/01. HOSPITAL/SHUTTER</x:v>
      </x:c>
      <x:c r="E272" s="25" t="str">
        <x:v>3.050 x 2.700 = 8.235</x:v>
      </x:c>
      <x:c r="F272" s="22" t="str">
        <x:v>EA</x:v>
      </x:c>
      <x:c r="G272" s="28" t="n">
        <x:v>1</x:v>
      </x:c>
      <x:c r="H272" s="25" t="str">
        <x:v>453125479B7D7FE4C224BA002B4B1</x:v>
      </x:c>
      <x:c r="I272" s="22" t="str">
        <x:v>복합일위대가</x:v>
      </x:c>
      <x:c r="J272" s="34" t="n">
        <x:v>3212.67</x:v>
      </x:c>
      <x:c r="K272" s="34" t="n">
        <x:v>0</x:v>
      </x:c>
      <x:c r="L272" s="34" t="n">
        <x:v>0</x:v>
      </x:c>
      <x:c r="M272" s="34" t="n">
        <x:f>SUM(J272:L272)</x:f>
        <x:v>3212.67</x:v>
      </x:c>
      <x:c r="N272" s="34" t="n">
        <x:f>G272*J272</x:f>
        <x:v>3212.67</x:v>
      </x:c>
      <x:c r="O272" s="34" t="n">
        <x:f>G272*K272</x:f>
        <x:v>0</x:v>
      </x:c>
      <x:c r="P272" s="34" t="n">
        <x:f>G272*L272</x:f>
        <x:v>0</x:v>
      </x:c>
      <x:c r="Q272" s="34" t="n">
        <x:f>SUM(N272:P272)</x:f>
        <x:v>3212.67</x:v>
      </x:c>
      <x:c r="R272" s="22" t="str">
        <x:f>IF(M272&gt;0,"복원","미복원")</x:f>
        <x:v>복원</x:v>
      </x:c>
      <x:c r="S272" s="37" t="n">
        <x:v>425</x:v>
      </x:c>
      <x:c r="T2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2" s="22" t="str">
        <x:f>A272&amp;"|"&amp;B272</x:f>
        <x:v>병원|C-010111</x:v>
      </x:c>
      <x:c r="V272" s="22" t="n">
        <x:f>IF(M272&gt;0,1,0)</x:f>
        <x:v>1</x:v>
      </x:c>
    </x:row>
    <x:row r="273" ht="28" customHeight="1">
      <x:c r="A273" s="22" t="str">
        <x:v>병원</x:v>
      </x:c>
      <x:c r="B273" s="31" t="str">
        <x:f>"C-010111"</x:f>
        <x:v>C-010111</x:v>
      </x:c>
      <x:c r="C273" s="25" t="str">
        <x:v>010111  DOORS &amp; WINDOWS WORKS-1</x:v>
      </x:c>
      <x:c r="D273" s="25" t="str">
        <x:v>LASD01/01. HOSPITAL/LEAD SHIELDING DOOR</x:v>
      </x:c>
      <x:c r="E273" s="25" t="str">
        <x:v>3.000 x 2.400 = 7.200</x:v>
      </x:c>
      <x:c r="F273" s="22" t="str">
        <x:v>EA</x:v>
      </x:c>
      <x:c r="G273" s="28" t="n">
        <x:v>1</x:v>
      </x:c>
      <x:c r="H273" s="25" t="str">
        <x:v>453125479B7D7FE4C224BA002B4B0</x:v>
      </x:c>
      <x:c r="I273" s="22" t="str">
        <x:v>복합일위대가</x:v>
      </x:c>
      <x:c r="J273" s="34" t="n">
        <x:v>3971.34</x:v>
      </x:c>
      <x:c r="K273" s="34" t="n">
        <x:v>678.19</x:v>
      </x:c>
      <x:c r="L273" s="34" t="n">
        <x:v>305.49</x:v>
      </x:c>
      <x:c r="M273" s="34" t="n">
        <x:f>SUM(J273:L273)</x:f>
        <x:v>4955.02</x:v>
      </x:c>
      <x:c r="N273" s="34" t="n">
        <x:f>G273*J273</x:f>
        <x:v>3971.34</x:v>
      </x:c>
      <x:c r="O273" s="34" t="n">
        <x:f>G273*K273</x:f>
        <x:v>678.19</x:v>
      </x:c>
      <x:c r="P273" s="34" t="n">
        <x:f>G273*L273</x:f>
        <x:v>305.49</x:v>
      </x:c>
      <x:c r="Q273" s="34" t="n">
        <x:f>SUM(N273:P273)</x:f>
        <x:v>4955.02</x:v>
      </x:c>
      <x:c r="R273" s="22" t="str">
        <x:f>IF(M273&gt;0,"복원","미복원")</x:f>
        <x:v>복원</x:v>
      </x:c>
      <x:c r="S273" s="37" t="n">
        <x:v>426</x:v>
      </x:c>
      <x:c r="T2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3" s="22" t="str">
        <x:f>A273&amp;"|"&amp;B273</x:f>
        <x:v>병원|C-010111</x:v>
      </x:c>
      <x:c r="V273" s="22" t="n">
        <x:f>IF(M273&gt;0,1,0)</x:f>
        <x:v>1</x:v>
      </x:c>
    </x:row>
    <x:row r="274" ht="28" customHeight="1">
      <x:c r="A274" s="22" t="str">
        <x:v>병원</x:v>
      </x:c>
      <x:c r="B274" s="31" t="str">
        <x:f>"C-010111"</x:f>
        <x:v>C-010111</x:v>
      </x:c>
      <x:c r="C274" s="25" t="str">
        <x:v>010111  DOORS &amp; WINDOWS WORKS-1</x:v>
      </x:c>
      <x:c r="D274" s="25" t="str">
        <x:v>LSD01/01. HOSPITAL/STL SINGLE DOOR</x:v>
      </x:c>
      <x:c r="E274" s="25" t="str">
        <x:v>1.000 x 2.200 = 2.200</x:v>
      </x:c>
      <x:c r="F274" s="22" t="str">
        <x:v>EA</x:v>
      </x:c>
      <x:c r="G274" s="28" t="n">
        <x:v>3</x:v>
      </x:c>
      <x:c r="H274" s="25" t="str">
        <x:v>453125479B7D7FE4C224BA002B4BE</x:v>
      </x:c>
      <x:c r="I274" s="22" t="str">
        <x:v>복합일위대가</x:v>
      </x:c>
      <x:c r="J274" s="34" t="n">
        <x:v>373.86</x:v>
      </x:c>
      <x:c r="K274" s="34" t="n">
        <x:v>37.47</x:v>
      </x:c>
      <x:c r="L274" s="34" t="n">
        <x:v>0.97</x:v>
      </x:c>
      <x:c r="M274" s="34" t="n">
        <x:f>SUM(J274:L274)</x:f>
        <x:v>412.30000000000007</x:v>
      </x:c>
      <x:c r="N274" s="34" t="n">
        <x:f>G274*J274</x:f>
        <x:v>1121.58</x:v>
      </x:c>
      <x:c r="O274" s="34" t="n">
        <x:f>G274*K274</x:f>
        <x:v>112.41</x:v>
      </x:c>
      <x:c r="P274" s="34" t="n">
        <x:f>G274*L274</x:f>
        <x:v>2.91</x:v>
      </x:c>
      <x:c r="Q274" s="34" t="n">
        <x:f>SUM(N274:P274)</x:f>
        <x:v>1236.9</x:v>
      </x:c>
      <x:c r="R274" s="22" t="str">
        <x:f>IF(M274&gt;0,"복원","미복원")</x:f>
        <x:v>복원</x:v>
      </x:c>
      <x:c r="S274" s="37" t="n">
        <x:v>427</x:v>
      </x:c>
      <x:c r="T2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4" s="22" t="str">
        <x:f>A274&amp;"|"&amp;B274</x:f>
        <x:v>병원|C-010111</x:v>
      </x:c>
      <x:c r="V274" s="22" t="n">
        <x:f>IF(M274&gt;0,1,0)</x:f>
        <x:v>1</x:v>
      </x:c>
    </x:row>
    <x:row r="275" ht="28" customHeight="1">
      <x:c r="A275" s="22" t="str">
        <x:v>병원</x:v>
      </x:c>
      <x:c r="B275" s="31" t="str">
        <x:f>"C-010111"</x:f>
        <x:v>C-010111</x:v>
      </x:c>
      <x:c r="C275" s="25" t="str">
        <x:v>010111  DOORS &amp; WINDOWS WORKS-1</x:v>
      </x:c>
      <x:c r="D275" s="25" t="str">
        <x:v>LSD02/01. HOSPITAL/STL SINGLE DOOR</x:v>
      </x:c>
      <x:c r="E275" s="25" t="str">
        <x:v>1.200 x 2.200 = 2.640</x:v>
      </x:c>
      <x:c r="F275" s="22" t="str">
        <x:v>EA</x:v>
      </x:c>
      <x:c r="G275" s="28" t="n">
        <x:v>1</x:v>
      </x:c>
      <x:c r="H275" s="25" t="str">
        <x:v>453125479B7D7FE4C224BA002B55C</x:v>
      </x:c>
      <x:c r="I275" s="22" t="str">
        <x:v>복합일위대가</x:v>
      </x:c>
      <x:c r="J275" s="34" t="n">
        <x:v>448.63</x:v>
      </x:c>
      <x:c r="K275" s="34" t="n">
        <x:v>37.47</x:v>
      </x:c>
      <x:c r="L275" s="34" t="n">
        <x:v>0.97</x:v>
      </x:c>
      <x:c r="M275" s="34" t="n">
        <x:f>SUM(J275:L275)</x:f>
        <x:v>487.07000000000005</x:v>
      </x:c>
      <x:c r="N275" s="34" t="n">
        <x:f>G275*J275</x:f>
        <x:v>448.63</x:v>
      </x:c>
      <x:c r="O275" s="34" t="n">
        <x:f>G275*K275</x:f>
        <x:v>37.47</x:v>
      </x:c>
      <x:c r="P275" s="34" t="n">
        <x:f>G275*L275</x:f>
        <x:v>0.97</x:v>
      </x:c>
      <x:c r="Q275" s="34" t="n">
        <x:f>SUM(N275:P275)</x:f>
        <x:v>487.07000000000005</x:v>
      </x:c>
      <x:c r="R275" s="22" t="str">
        <x:f>IF(M275&gt;0,"복원","미복원")</x:f>
        <x:v>복원</x:v>
      </x:c>
      <x:c r="S275" s="37" t="n">
        <x:v>428</x:v>
      </x:c>
      <x:c r="T2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5" s="22" t="str">
        <x:f>A275&amp;"|"&amp;B275</x:f>
        <x:v>병원|C-010111</x:v>
      </x:c>
      <x:c r="V275" s="22" t="n">
        <x:f>IF(M275&gt;0,1,0)</x:f>
        <x:v>1</x:v>
      </x:c>
    </x:row>
    <x:row r="276" ht="28" customHeight="1">
      <x:c r="A276" s="22" t="str">
        <x:v>병원</x:v>
      </x:c>
      <x:c r="B276" s="31" t="str">
        <x:f>"C-010111"</x:f>
        <x:v>C-010111</x:v>
      </x:c>
      <x:c r="C276" s="25" t="str">
        <x:v>010111  DOORS &amp; WINDOWS WORKS-1</x:v>
      </x:c>
      <x:c r="D276" s="25" t="str">
        <x:v>LSW01/01. HOSPITAL/LEADSHIELDINGWINDOW</x:v>
      </x:c>
      <x:c r="E276" s="25" t="str">
        <x:v>1.850 x 0.850 = 1.572</x:v>
      </x:c>
      <x:c r="F276" s="22" t="str">
        <x:v>EA</x:v>
      </x:c>
      <x:c r="G276" s="28" t="n">
        <x:v>2</x:v>
      </x:c>
      <x:c r="H276" s="25" t="str">
        <x:v>453125479B7D7FE4C224BA002B55E</x:v>
      </x:c>
      <x:c r="I276" s="22" t="str">
        <x:v>복합일위대가</x:v>
      </x:c>
      <x:c r="J276" s="34" t="n">
        <x:v>247.18</x:v>
      </x:c>
      <x:c r="K276" s="34" t="n">
        <x:v>38.16</x:v>
      </x:c>
      <x:c r="L276" s="34" t="n">
        <x:v>0</x:v>
      </x:c>
      <x:c r="M276" s="34" t="n">
        <x:f>SUM(J276:L276)</x:f>
        <x:v>285.34000000000003</x:v>
      </x:c>
      <x:c r="N276" s="34" t="n">
        <x:f>G276*J276</x:f>
        <x:v>494.36</x:v>
      </x:c>
      <x:c r="O276" s="34" t="n">
        <x:f>G276*K276</x:f>
        <x:v>76.32</x:v>
      </x:c>
      <x:c r="P276" s="34" t="n">
        <x:f>G276*L276</x:f>
        <x:v>0</x:v>
      </x:c>
      <x:c r="Q276" s="34" t="n">
        <x:f>SUM(N276:P276)</x:f>
        <x:v>570.6800000000001</x:v>
      </x:c>
      <x:c r="R276" s="22" t="str">
        <x:f>IF(M276&gt;0,"복원","미복원")</x:f>
        <x:v>복원</x:v>
      </x:c>
      <x:c r="S276" s="37" t="n">
        <x:v>429</x:v>
      </x:c>
      <x:c r="T2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6" s="22" t="str">
        <x:f>A276&amp;"|"&amp;B276</x:f>
        <x:v>병원|C-010111</x:v>
      </x:c>
      <x:c r="V276" s="22" t="n">
        <x:f>IF(M276&gt;0,1,0)</x:f>
        <x:v>1</x:v>
      </x:c>
    </x:row>
    <x:row r="277" ht="28" customHeight="1">
      <x:c r="A277" s="22" t="str">
        <x:v>병원</x:v>
      </x:c>
      <x:c r="B277" s="31" t="str">
        <x:f>"C-010111"</x:f>
        <x:v>C-010111</x:v>
      </x:c>
      <x:c r="C277" s="25" t="str">
        <x:v>010111  DOORS &amp; WINDOWS WORKS-1</x:v>
      </x:c>
      <x:c r="D277" s="25" t="str">
        <x:v>SD01/01. HOSPITAL/STL SINGLE DOOR</x:v>
      </x:c>
      <x:c r="E277" s="25" t="str">
        <x:v>1.000 x 2.200 = 2.200</x:v>
      </x:c>
      <x:c r="F277" s="22" t="str">
        <x:v>EA</x:v>
      </x:c>
      <x:c r="G277" s="28" t="n">
        <x:v>25</x:v>
      </x:c>
      <x:c r="H277" s="25" t="str">
        <x:v>453125479B7D7FE4C224BA002B558</x:v>
      </x:c>
      <x:c r="I277" s="22" t="str">
        <x:v>복합일위대가</x:v>
      </x:c>
      <x:c r="J277" s="34" t="n">
        <x:v>241.06</x:v>
      </x:c>
      <x:c r="K277" s="34" t="n">
        <x:v>37.47</x:v>
      </x:c>
      <x:c r="L277" s="34" t="n">
        <x:v>0.97</x:v>
      </x:c>
      <x:c r="M277" s="34" t="n">
        <x:f>SUM(J277:L277)</x:f>
        <x:v>279.5</x:v>
      </x:c>
      <x:c r="N277" s="34" t="n">
        <x:f>G277*J277</x:f>
        <x:v>6026.5</x:v>
      </x:c>
      <x:c r="O277" s="34" t="n">
        <x:f>G277*K277</x:f>
        <x:v>936.75</x:v>
      </x:c>
      <x:c r="P277" s="34" t="n">
        <x:f>G277*L277</x:f>
        <x:v>24.25</x:v>
      </x:c>
      <x:c r="Q277" s="34" t="n">
        <x:f>SUM(N277:P277)</x:f>
        <x:v>6987.5</x:v>
      </x:c>
      <x:c r="R277" s="22" t="str">
        <x:f>IF(M277&gt;0,"복원","미복원")</x:f>
        <x:v>복원</x:v>
      </x:c>
      <x:c r="S277" s="37" t="n">
        <x:v>430</x:v>
      </x:c>
      <x:c r="T2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7" s="22" t="str">
        <x:f>A277&amp;"|"&amp;B277</x:f>
        <x:v>병원|C-010111</x:v>
      </x:c>
      <x:c r="V277" s="22" t="n">
        <x:f>IF(M277&gt;0,1,0)</x:f>
        <x:v>1</x:v>
      </x:c>
    </x:row>
    <x:row r="278" ht="28" customHeight="1">
      <x:c r="A278" s="22" t="str">
        <x:v>병원</x:v>
      </x:c>
      <x:c r="B278" s="31" t="str">
        <x:f>"C-010111"</x:f>
        <x:v>C-010111</x:v>
      </x:c>
      <x:c r="C278" s="25" t="str">
        <x:v>010111  DOORS &amp; WINDOWS WORKS-1</x:v>
      </x:c>
      <x:c r="D278" s="25" t="str">
        <x:v>SD02/01. HOSPITAL/STL SINGLE DOOR</x:v>
      </x:c>
      <x:c r="E278" s="25" t="str">
        <x:v>0.900 x 2.200 = 1.980</x:v>
      </x:c>
      <x:c r="F278" s="22" t="str">
        <x:v>EA</x:v>
      </x:c>
      <x:c r="G278" s="28" t="n">
        <x:v>8</x:v>
      </x:c>
      <x:c r="H278" s="25" t="str">
        <x:v>453125479B7D7FE4C224BA002B55A</x:v>
      </x:c>
      <x:c r="I278" s="22" t="str">
        <x:v>복합일위대가</x:v>
      </x:c>
      <x:c r="J278" s="34" t="n">
        <x:v>216.95</x:v>
      </x:c>
      <x:c r="K278" s="34" t="n">
        <x:v>37.47</x:v>
      </x:c>
      <x:c r="L278" s="34" t="n">
        <x:v>0.97</x:v>
      </x:c>
      <x:c r="M278" s="34" t="n">
        <x:f>SUM(J278:L278)</x:f>
        <x:v>255.39</x:v>
      </x:c>
      <x:c r="N278" s="34" t="n">
        <x:f>G278*J278</x:f>
        <x:v>1735.6</x:v>
      </x:c>
      <x:c r="O278" s="34" t="n">
        <x:f>G278*K278</x:f>
        <x:v>299.76</x:v>
      </x:c>
      <x:c r="P278" s="34" t="n">
        <x:f>G278*L278</x:f>
        <x:v>7.76</x:v>
      </x:c>
      <x:c r="Q278" s="34" t="n">
        <x:f>SUM(N278:P278)</x:f>
        <x:v>2043.12</x:v>
      </x:c>
      <x:c r="R278" s="22" t="str">
        <x:f>IF(M278&gt;0,"복원","미복원")</x:f>
        <x:v>복원</x:v>
      </x:c>
      <x:c r="S278" s="37" t="n">
        <x:v>431</x:v>
      </x:c>
      <x:c r="T2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8" s="22" t="str">
        <x:f>A278&amp;"|"&amp;B278</x:f>
        <x:v>병원|C-010111</x:v>
      </x:c>
      <x:c r="V278" s="22" t="n">
        <x:f>IF(M278&gt;0,1,0)</x:f>
        <x:v>1</x:v>
      </x:c>
    </x:row>
    <x:row r="279" ht="28" customHeight="1">
      <x:c r="A279" s="22" t="str">
        <x:v>병원</x:v>
      </x:c>
      <x:c r="B279" s="31" t="str">
        <x:f>"C-010111"</x:f>
        <x:v>C-010111</x:v>
      </x:c>
      <x:c r="C279" s="25" t="str">
        <x:v>010111  DOORS &amp; WINDOWS WORKS-1</x:v>
      </x:c>
      <x:c r="D279" s="25" t="str">
        <x:v>SD03/01. HOSPITAL/STL DOUBLE DOOR</x:v>
      </x:c>
      <x:c r="E279" s="25" t="str">
        <x:v>1.500 x 2.200 = 3.300</x:v>
      </x:c>
      <x:c r="F279" s="22" t="str">
        <x:v>EA</x:v>
      </x:c>
      <x:c r="G279" s="28" t="n">
        <x:v>1</x:v>
      </x:c>
      <x:c r="H279" s="25" t="str">
        <x:v>453125479B7D7FE4C224BA002B554</x:v>
      </x:c>
      <x:c r="I279" s="22" t="str">
        <x:v>복합일위대가</x:v>
      </x:c>
      <x:c r="J279" s="34" t="n">
        <x:v>341.15</x:v>
      </x:c>
      <x:c r="K279" s="34" t="n">
        <x:v>48.6</x:v>
      </x:c>
      <x:c r="L279" s="34" t="n">
        <x:v>1.26</x:v>
      </x:c>
      <x:c r="M279" s="34" t="n">
        <x:f>SUM(J279:L279)</x:f>
        <x:v>391.01</x:v>
      </x:c>
      <x:c r="N279" s="34" t="n">
        <x:f>G279*J279</x:f>
        <x:v>341.15</x:v>
      </x:c>
      <x:c r="O279" s="34" t="n">
        <x:f>G279*K279</x:f>
        <x:v>48.6</x:v>
      </x:c>
      <x:c r="P279" s="34" t="n">
        <x:f>G279*L279</x:f>
        <x:v>1.26</x:v>
      </x:c>
      <x:c r="Q279" s="34" t="n">
        <x:f>SUM(N279:P279)</x:f>
        <x:v>391.01</x:v>
      </x:c>
      <x:c r="R279" s="22" t="str">
        <x:f>IF(M279&gt;0,"복원","미복원")</x:f>
        <x:v>복원</x:v>
      </x:c>
      <x:c r="S279" s="37" t="n">
        <x:v>432</x:v>
      </x:c>
      <x:c r="T2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79" s="22" t="str">
        <x:f>A279&amp;"|"&amp;B279</x:f>
        <x:v>병원|C-010111</x:v>
      </x:c>
      <x:c r="V279" s="22" t="n">
        <x:f>IF(M279&gt;0,1,0)</x:f>
        <x:v>1</x:v>
      </x:c>
    </x:row>
    <x:row r="280" ht="28" customHeight="1">
      <x:c r="A280" s="22" t="str">
        <x:v>병원</x:v>
      </x:c>
      <x:c r="B280" s="31" t="str">
        <x:f>"C-010111"</x:f>
        <x:v>C-010111</x:v>
      </x:c>
      <x:c r="C280" s="25" t="str">
        <x:v>010111  DOORS &amp; WINDOWS WORKS-1</x:v>
      </x:c>
      <x:c r="D280" s="25" t="str">
        <x:v>SD04/01. HOSPITAL/STL DOUBLE DOOR</x:v>
      </x:c>
      <x:c r="E280" s="25" t="str">
        <x:v>1.800 x 2.200 = 3.960</x:v>
      </x:c>
      <x:c r="F280" s="22" t="str">
        <x:v>EA</x:v>
      </x:c>
      <x:c r="G280" s="28" t="n">
        <x:v>3</x:v>
      </x:c>
      <x:c r="H280" s="25" t="str">
        <x:v>453125479B7D7FE4C224BA002B288</x:v>
      </x:c>
      <x:c r="I280" s="22" t="str">
        <x:v>복합일위대가</x:v>
      </x:c>
      <x:c r="J280" s="34" t="n">
        <x:v>409.38</x:v>
      </x:c>
      <x:c r="K280" s="34" t="n">
        <x:v>48.6</x:v>
      </x:c>
      <x:c r="L280" s="34" t="n">
        <x:v>1.26</x:v>
      </x:c>
      <x:c r="M280" s="34" t="n">
        <x:f>SUM(J280:L280)</x:f>
        <x:v>459.24</x:v>
      </x:c>
      <x:c r="N280" s="34" t="n">
        <x:f>G280*J280</x:f>
        <x:v>1228.1399999999999</x:v>
      </x:c>
      <x:c r="O280" s="34" t="n">
        <x:f>G280*K280</x:f>
        <x:v>145.8</x:v>
      </x:c>
      <x:c r="P280" s="34" t="n">
        <x:f>G280*L280</x:f>
        <x:v>3.7800000000000002</x:v>
      </x:c>
      <x:c r="Q280" s="34" t="n">
        <x:f>SUM(N280:P280)</x:f>
        <x:v>1377.7199999999998</x:v>
      </x:c>
      <x:c r="R280" s="22" t="str">
        <x:f>IF(M280&gt;0,"복원","미복원")</x:f>
        <x:v>복원</x:v>
      </x:c>
      <x:c r="S280" s="37" t="n">
        <x:v>433</x:v>
      </x:c>
      <x:c r="T2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0" s="22" t="str">
        <x:f>A280&amp;"|"&amp;B280</x:f>
        <x:v>병원|C-010111</x:v>
      </x:c>
      <x:c r="V280" s="22" t="n">
        <x:f>IF(M280&gt;0,1,0)</x:f>
        <x:v>1</x:v>
      </x:c>
    </x:row>
    <x:row r="281" ht="28" customHeight="1">
      <x:c r="A281" s="22" t="str">
        <x:v>병원</x:v>
      </x:c>
      <x:c r="B281" s="31" t="str">
        <x:f>"C-010111"</x:f>
        <x:v>C-010111</x:v>
      </x:c>
      <x:c r="C281" s="25" t="str">
        <x:v>010111  DOORS &amp; WINDOWS WORKS-1</x:v>
      </x:c>
      <x:c r="D281" s="25" t="str">
        <x:v>SD05/01. HOSPITAL/STL SINGLE DOOR</x:v>
      </x:c>
      <x:c r="E281" s="25" t="str">
        <x:v>1.100 x 2.100 = 2.310</x:v>
      </x:c>
      <x:c r="F281" s="22" t="str">
        <x:v>EA</x:v>
      </x:c>
      <x:c r="G281" s="28" t="n">
        <x:v>1</x:v>
      </x:c>
      <x:c r="H281" s="25" t="str">
        <x:v>453125479B7D7FE4C224BA002B28A</x:v>
      </x:c>
      <x:c r="I281" s="22" t="str">
        <x:v>복합일위대가</x:v>
      </x:c>
      <x:c r="J281" s="34" t="n">
        <x:v>253.11</x:v>
      </x:c>
      <x:c r="K281" s="34" t="n">
        <x:v>37.47</x:v>
      </x:c>
      <x:c r="L281" s="34" t="n">
        <x:v>0.97</x:v>
      </x:c>
      <x:c r="M281" s="34" t="n">
        <x:f>SUM(J281:L281)</x:f>
        <x:v>291.55000000000007</x:v>
      </x:c>
      <x:c r="N281" s="34" t="n">
        <x:f>G281*J281</x:f>
        <x:v>253.11</x:v>
      </x:c>
      <x:c r="O281" s="34" t="n">
        <x:f>G281*K281</x:f>
        <x:v>37.47</x:v>
      </x:c>
      <x:c r="P281" s="34" t="n">
        <x:f>G281*L281</x:f>
        <x:v>0.97</x:v>
      </x:c>
      <x:c r="Q281" s="34" t="n">
        <x:f>SUM(N281:P281)</x:f>
        <x:v>291.55000000000007</x:v>
      </x:c>
      <x:c r="R281" s="22" t="str">
        <x:f>IF(M281&gt;0,"복원","미복원")</x:f>
        <x:v>복원</x:v>
      </x:c>
      <x:c r="S281" s="37" t="n">
        <x:v>434</x:v>
      </x:c>
      <x:c r="T2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1" s="22" t="str">
        <x:f>A281&amp;"|"&amp;B281</x:f>
        <x:v>병원|C-010111</x:v>
      </x:c>
      <x:c r="V281" s="22" t="n">
        <x:f>IF(M281&gt;0,1,0)</x:f>
        <x:v>1</x:v>
      </x:c>
    </x:row>
    <x:row r="282" ht="28" customHeight="1">
      <x:c r="A282" s="22" t="str">
        <x:v>병원</x:v>
      </x:c>
      <x:c r="B282" s="31" t="str">
        <x:f>"C-010111"</x:f>
        <x:v>C-010111</x:v>
      </x:c>
      <x:c r="C282" s="25" t="str">
        <x:v>010111  DOORS &amp; WINDOWS WORKS-1</x:v>
      </x:c>
      <x:c r="D282" s="25" t="str">
        <x:v>SSD01/01. HOSPITAL/60*150 ST</x:v>
      </x:c>
      <x:c r="E282" s="25" t="str">
        <x:v>11.300 x 3.250 = 29.825</x:v>
      </x:c>
      <x:c r="F282" s="22" t="str">
        <x:v>EA</x:v>
      </x:c>
      <x:c r="G282" s="28" t="n">
        <x:v>1</x:v>
      </x:c>
      <x:c r="H282" s="25" t="str">
        <x:v>453125479B7D7FE4C224BA002B28C</x:v>
      </x:c>
      <x:c r="I282" s="22" t="str">
        <x:v>복합일위대가</x:v>
      </x:c>
      <x:c r="J282" s="34" t="n">
        <x:v>3767.3</x:v>
      </x:c>
      <x:c r="K282" s="34" t="n">
        <x:v>586.98</x:v>
      </x:c>
      <x:c r="L282" s="34" t="n">
        <x:v>0</x:v>
      </x:c>
      <x:c r="M282" s="34" t="n">
        <x:f>SUM(J282:L282)</x:f>
        <x:v>4354.280000000001</x:v>
      </x:c>
      <x:c r="N282" s="34" t="n">
        <x:f>G282*J282</x:f>
        <x:v>3767.3</x:v>
      </x:c>
      <x:c r="O282" s="34" t="n">
        <x:f>G282*K282</x:f>
        <x:v>586.98</x:v>
      </x:c>
      <x:c r="P282" s="34" t="n">
        <x:f>G282*L282</x:f>
        <x:v>0</x:v>
      </x:c>
      <x:c r="Q282" s="34" t="n">
        <x:f>SUM(N282:P282)</x:f>
        <x:v>4354.280000000001</x:v>
      </x:c>
      <x:c r="R282" s="22" t="str">
        <x:f>IF(M282&gt;0,"복원","미복원")</x:f>
        <x:v>복원</x:v>
      </x:c>
      <x:c r="S282" s="37" t="n">
        <x:v>435</x:v>
      </x:c>
      <x:c r="T2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2" s="22" t="str">
        <x:f>A282&amp;"|"&amp;B282</x:f>
        <x:v>병원|C-010111</x:v>
      </x:c>
      <x:c r="V282" s="22" t="n">
        <x:f>IF(M282&gt;0,1,0)</x:f>
        <x:v>1</x:v>
      </x:c>
    </x:row>
    <x:row r="283" ht="28" customHeight="1">
      <x:c r="A283" s="22" t="str">
        <x:v>병원</x:v>
      </x:c>
      <x:c r="B283" s="31" t="str">
        <x:f>"C-010111"</x:f>
        <x:v>C-010111</x:v>
      </x:c>
      <x:c r="C283" s="25" t="str">
        <x:v>010111  DOORS &amp; WINDOWS WORKS-1</x:v>
      </x:c>
      <x:c r="D283" s="25" t="str">
        <x:v>SSD01A/01. HOSPITAL/60*150 ST</x:v>
      </x:c>
      <x:c r="E283" s="25" t="str">
        <x:v>5.980 x 2.700 = 9.246</x:v>
      </x:c>
      <x:c r="F283" s="22" t="str">
        <x:v>EA</x:v>
      </x:c>
      <x:c r="G283" s="28" t="n">
        <x:v>1</x:v>
      </x:c>
      <x:c r="H283" s="25" t="str">
        <x:v>453125479B7D7FE4C224BA002B28E</x:v>
      </x:c>
      <x:c r="I283" s="22" t="str">
        <x:v>복합일위대가</x:v>
      </x:c>
      <x:c r="J283" s="34" t="n">
        <x:v>1283.82</x:v>
      </x:c>
      <x:c r="K283" s="34" t="n">
        <x:v>198.38</x:v>
      </x:c>
      <x:c r="L283" s="34" t="n">
        <x:v>0</x:v>
      </x:c>
      <x:c r="M283" s="34" t="n">
        <x:f>SUM(J283:L283)</x:f>
        <x:v>1482.1999999999998</x:v>
      </x:c>
      <x:c r="N283" s="34" t="n">
        <x:f>G283*J283</x:f>
        <x:v>1283.82</x:v>
      </x:c>
      <x:c r="O283" s="34" t="n">
        <x:f>G283*K283</x:f>
        <x:v>198.38</x:v>
      </x:c>
      <x:c r="P283" s="34" t="n">
        <x:f>G283*L283</x:f>
        <x:v>0</x:v>
      </x:c>
      <x:c r="Q283" s="34" t="n">
        <x:f>SUM(N283:P283)</x:f>
        <x:v>1482.1999999999998</x:v>
      </x:c>
      <x:c r="R283" s="22" t="str">
        <x:f>IF(M283&gt;0,"복원","미복원")</x:f>
        <x:v>복원</x:v>
      </x:c>
      <x:c r="S283" s="37" t="n">
        <x:v>436</x:v>
      </x:c>
      <x:c r="T2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3" s="22" t="str">
        <x:f>A283&amp;"|"&amp;B283</x:f>
        <x:v>병원|C-010111</x:v>
      </x:c>
      <x:c r="V283" s="22" t="n">
        <x:f>IF(M283&gt;0,1,0)</x:f>
        <x:v>1</x:v>
      </x:c>
    </x:row>
    <x:row r="284" ht="28" customHeight="1">
      <x:c r="A284" s="22" t="str">
        <x:v>병원</x:v>
      </x:c>
      <x:c r="B284" s="31" t="str">
        <x:f>"C-010111"</x:f>
        <x:v>C-010111</x:v>
      </x:c>
      <x:c r="C284" s="25" t="str">
        <x:v>010111  DOORS &amp; WINDOWS WORKS-1</x:v>
      </x:c>
      <x:c r="D284" s="25" t="str">
        <x:v>SSD02/01. HOSPITAL/60*150 ST</x:v>
      </x:c>
      <x:c r="E284" s="25" t="str">
        <x:v>8.050 x 2.700 = 21.735</x:v>
      </x:c>
      <x:c r="F284" s="22" t="str">
        <x:v>EA</x:v>
      </x:c>
      <x:c r="G284" s="28" t="n">
        <x:v>1</x:v>
      </x:c>
      <x:c r="H284" s="25" t="str">
        <x:v>453125479B7D7FE4C224BA002B280</x:v>
      </x:c>
      <x:c r="I284" s="22" t="str">
        <x:v>복합일위대가</x:v>
      </x:c>
      <x:c r="J284" s="34" t="n">
        <x:v>3074.34</x:v>
      </x:c>
      <x:c r="K284" s="34" t="n">
        <x:v>479.85</x:v>
      </x:c>
      <x:c r="L284" s="34" t="n">
        <x:v>0</x:v>
      </x:c>
      <x:c r="M284" s="34" t="n">
        <x:f>SUM(J284:L284)</x:f>
        <x:v>3554.19</x:v>
      </x:c>
      <x:c r="N284" s="34" t="n">
        <x:f>G284*J284</x:f>
        <x:v>3074.34</x:v>
      </x:c>
      <x:c r="O284" s="34" t="n">
        <x:f>G284*K284</x:f>
        <x:v>479.85</x:v>
      </x:c>
      <x:c r="P284" s="34" t="n">
        <x:f>G284*L284</x:f>
        <x:v>0</x:v>
      </x:c>
      <x:c r="Q284" s="34" t="n">
        <x:f>SUM(N284:P284)</x:f>
        <x:v>3554.19</x:v>
      </x:c>
      <x:c r="R284" s="22" t="str">
        <x:f>IF(M284&gt;0,"복원","미복원")</x:f>
        <x:v>복원</x:v>
      </x:c>
      <x:c r="S284" s="37" t="n">
        <x:v>437</x:v>
      </x:c>
      <x:c r="T2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4" s="22" t="str">
        <x:f>A284&amp;"|"&amp;B284</x:f>
        <x:v>병원|C-010111</x:v>
      </x:c>
      <x:c r="V284" s="22" t="n">
        <x:f>IF(M284&gt;0,1,0)</x:f>
        <x:v>1</x:v>
      </x:c>
    </x:row>
    <x:row r="285" ht="28" customHeight="1">
      <x:c r="A285" s="22" t="str">
        <x:v>병원</x:v>
      </x:c>
      <x:c r="B285" s="31" t="str">
        <x:f>"C-010111"</x:f>
        <x:v>C-010111</x:v>
      </x:c>
      <x:c r="C285" s="25" t="str">
        <x:v>010111  DOORS &amp; WINDOWS WORKS-1</x:v>
      </x:c>
      <x:c r="D285" s="25" t="str">
        <x:v>SSD02A/01. HOSPITAL/60*150 ST</x:v>
      </x:c>
      <x:c r="E285" s="25" t="str">
        <x:v>1.800 x 2.700 = 4.860</x:v>
      </x:c>
      <x:c r="F285" s="22" t="str">
        <x:v>EA</x:v>
      </x:c>
      <x:c r="G285" s="28" t="n">
        <x:v>1</x:v>
      </x:c>
      <x:c r="H285" s="25" t="str">
        <x:v>453125479B7D7FE4C224BA002B391</x:v>
      </x:c>
      <x:c r="I285" s="22" t="str">
        <x:v>복합일위대가</x:v>
      </x:c>
      <x:c r="J285" s="34" t="n">
        <x:v>418.81</x:v>
      </x:c>
      <x:c r="K285" s="34" t="n">
        <x:v>62.86</x:v>
      </x:c>
      <x:c r="L285" s="34" t="n">
        <x:v>0</x:v>
      </x:c>
      <x:c r="M285" s="34" t="n">
        <x:f>SUM(J285:L285)</x:f>
        <x:v>481.67</x:v>
      </x:c>
      <x:c r="N285" s="34" t="n">
        <x:f>G285*J285</x:f>
        <x:v>418.81</x:v>
      </x:c>
      <x:c r="O285" s="34" t="n">
        <x:f>G285*K285</x:f>
        <x:v>62.86</x:v>
      </x:c>
      <x:c r="P285" s="34" t="n">
        <x:f>G285*L285</x:f>
        <x:v>0</x:v>
      </x:c>
      <x:c r="Q285" s="34" t="n">
        <x:f>SUM(N285:P285)</x:f>
        <x:v>481.67</x:v>
      </x:c>
      <x:c r="R285" s="22" t="str">
        <x:f>IF(M285&gt;0,"복원","미복원")</x:f>
        <x:v>복원</x:v>
      </x:c>
      <x:c r="S285" s="37" t="n">
        <x:v>438</x:v>
      </x:c>
      <x:c r="T2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5" s="22" t="str">
        <x:f>A285&amp;"|"&amp;B285</x:f>
        <x:v>병원|C-010111</x:v>
      </x:c>
      <x:c r="V285" s="22" t="n">
        <x:f>IF(M285&gt;0,1,0)</x:f>
        <x:v>1</x:v>
      </x:c>
    </x:row>
    <x:row r="286" ht="28" customHeight="1">
      <x:c r="A286" s="22" t="str">
        <x:v>병원</x:v>
      </x:c>
      <x:c r="B286" s="31" t="str">
        <x:f>"C-010111"</x:f>
        <x:v>C-010111</x:v>
      </x:c>
      <x:c r="C286" s="25" t="str">
        <x:v>010111  DOORS &amp; WINDOWS WORKS-1</x:v>
      </x:c>
      <x:c r="D286" s="25" t="str">
        <x:v>SSD03/01. HOSPITAL/60*150 ST</x:v>
      </x:c>
      <x:c r="E286" s="25" t="str">
        <x:v>2.065 x 2.700 = 5.575</x:v>
      </x:c>
      <x:c r="F286" s="22" t="str">
        <x:v>EA</x:v>
      </x:c>
      <x:c r="G286" s="28" t="n">
        <x:v>1</x:v>
      </x:c>
      <x:c r="H286" s="25" t="str">
        <x:v>453125479B7D7FE4C224BA002B393</x:v>
      </x:c>
      <x:c r="I286" s="22" t="str">
        <x:v>복합일위대가</x:v>
      </x:c>
      <x:c r="J286" s="34" t="n">
        <x:v>747.81</x:v>
      </x:c>
      <x:c r="K286" s="34" t="n">
        <x:v>114.51</x:v>
      </x:c>
      <x:c r="L286" s="34" t="n">
        <x:v>0</x:v>
      </x:c>
      <x:c r="M286" s="34" t="n">
        <x:f>SUM(J286:L286)</x:f>
        <x:v>862.3199999999999</x:v>
      </x:c>
      <x:c r="N286" s="34" t="n">
        <x:f>G286*J286</x:f>
        <x:v>747.81</x:v>
      </x:c>
      <x:c r="O286" s="34" t="n">
        <x:f>G286*K286</x:f>
        <x:v>114.51</x:v>
      </x:c>
      <x:c r="P286" s="34" t="n">
        <x:f>G286*L286</x:f>
        <x:v>0</x:v>
      </x:c>
      <x:c r="Q286" s="34" t="n">
        <x:f>SUM(N286:P286)</x:f>
        <x:v>862.3199999999999</x:v>
      </x:c>
      <x:c r="R286" s="22" t="str">
        <x:f>IF(M286&gt;0,"복원","미복원")</x:f>
        <x:v>복원</x:v>
      </x:c>
      <x:c r="S286" s="37" t="n">
        <x:v>439</x:v>
      </x:c>
      <x:c r="T2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6" s="22" t="str">
        <x:f>A286&amp;"|"&amp;B286</x:f>
        <x:v>병원|C-010111</x:v>
      </x:c>
      <x:c r="V286" s="22" t="n">
        <x:f>IF(M286&gt;0,1,0)</x:f>
        <x:v>1</x:v>
      </x:c>
    </x:row>
    <x:row r="287" ht="28" customHeight="1">
      <x:c r="A287" s="22" t="str">
        <x:v>병원</x:v>
      </x:c>
      <x:c r="B287" s="31" t="str">
        <x:f>"C-010111"</x:f>
        <x:v>C-010111</x:v>
      </x:c>
      <x:c r="C287" s="25" t="str">
        <x:v>010111  DOORS &amp; WINDOWS WORKS-1</x:v>
      </x:c>
      <x:c r="D287" s="25" t="str">
        <x:v>SSD03A/01. HOSPITAL/60*150 ST</x:v>
      </x:c>
      <x:c r="E287" s="25" t="str">
        <x:v>5.010 x 2.700 = 13.527</x:v>
      </x:c>
      <x:c r="F287" s="22" t="str">
        <x:v>EA</x:v>
      </x:c>
      <x:c r="G287" s="28" t="n">
        <x:v>1</x:v>
      </x:c>
      <x:c r="H287" s="25" t="str">
        <x:v>453125479B7D7FE4C224BA002B395</x:v>
      </x:c>
      <x:c r="I287" s="22" t="str">
        <x:v>복합일위대가</x:v>
      </x:c>
      <x:c r="J287" s="34" t="n">
        <x:v>1613.88</x:v>
      </x:c>
      <x:c r="K287" s="34" t="n">
        <x:v>250.53</x:v>
      </x:c>
      <x:c r="L287" s="34" t="n">
        <x:v>0</x:v>
      </x:c>
      <x:c r="M287" s="34" t="n">
        <x:f>SUM(J287:L287)</x:f>
        <x:v>1864.41</x:v>
      </x:c>
      <x:c r="N287" s="34" t="n">
        <x:f>G287*J287</x:f>
        <x:v>1613.88</x:v>
      </x:c>
      <x:c r="O287" s="34" t="n">
        <x:f>G287*K287</x:f>
        <x:v>250.53</x:v>
      </x:c>
      <x:c r="P287" s="34" t="n">
        <x:f>G287*L287</x:f>
        <x:v>0</x:v>
      </x:c>
      <x:c r="Q287" s="34" t="n">
        <x:f>SUM(N287:P287)</x:f>
        <x:v>1864.41</x:v>
      </x:c>
      <x:c r="R287" s="22" t="str">
        <x:f>IF(M287&gt;0,"복원","미복원")</x:f>
        <x:v>복원</x:v>
      </x:c>
      <x:c r="S287" s="37" t="n">
        <x:v>440</x:v>
      </x:c>
      <x:c r="T2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7" s="22" t="str">
        <x:f>A287&amp;"|"&amp;B287</x:f>
        <x:v>병원|C-010111</x:v>
      </x:c>
      <x:c r="V287" s="22" t="n">
        <x:f>IF(M287&gt;0,1,0)</x:f>
        <x:v>1</x:v>
      </x:c>
    </x:row>
    <x:row r="288" ht="28" customHeight="1">
      <x:c r="A288" s="22" t="str">
        <x:v>병원</x:v>
      </x:c>
      <x:c r="B288" s="31" t="str">
        <x:f>"C-010111"</x:f>
        <x:v>C-010111</x:v>
      </x:c>
      <x:c r="C288" s="25" t="str">
        <x:v>010111  DOORS &amp; WINDOWS WORKS-1</x:v>
      </x:c>
      <x:c r="D288" s="25" t="str">
        <x:v>SSD04/01. HOSPITAL/60*150 ST</x:v>
      </x:c>
      <x:c r="E288" s="25" t="str">
        <x:v>1.800 x 2.700 = 4.860</x:v>
      </x:c>
      <x:c r="F288" s="22" t="str">
        <x:v>EA</x:v>
      </x:c>
      <x:c r="G288" s="28" t="n">
        <x:v>2</x:v>
      </x:c>
      <x:c r="H288" s="25" t="str">
        <x:v>453125479B7D7FE4C224BA002B397</x:v>
      </x:c>
      <x:c r="I288" s="22" t="str">
        <x:v>복합일위대가</x:v>
      </x:c>
      <x:c r="J288" s="34" t="n">
        <x:v>418.81</x:v>
      </x:c>
      <x:c r="K288" s="34" t="n">
        <x:v>62.86</x:v>
      </x:c>
      <x:c r="L288" s="34" t="n">
        <x:v>0</x:v>
      </x:c>
      <x:c r="M288" s="34" t="n">
        <x:f>SUM(J288:L288)</x:f>
        <x:v>481.67</x:v>
      </x:c>
      <x:c r="N288" s="34" t="n">
        <x:f>G288*J288</x:f>
        <x:v>837.62</x:v>
      </x:c>
      <x:c r="O288" s="34" t="n">
        <x:f>G288*K288</x:f>
        <x:v>125.72</x:v>
      </x:c>
      <x:c r="P288" s="34" t="n">
        <x:f>G288*L288</x:f>
        <x:v>0</x:v>
      </x:c>
      <x:c r="Q288" s="34" t="n">
        <x:f>SUM(N288:P288)</x:f>
        <x:v>963.34</x:v>
      </x:c>
      <x:c r="R288" s="22" t="str">
        <x:f>IF(M288&gt;0,"복원","미복원")</x:f>
        <x:v>복원</x:v>
      </x:c>
      <x:c r="S288" s="37" t="n">
        <x:v>441</x:v>
      </x:c>
      <x:c r="T2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8" s="22" t="str">
        <x:f>A288&amp;"|"&amp;B288</x:f>
        <x:v>병원|C-010111</x:v>
      </x:c>
      <x:c r="V288" s="22" t="n">
        <x:f>IF(M288&gt;0,1,0)</x:f>
        <x:v>1</x:v>
      </x:c>
    </x:row>
    <x:row r="289" ht="28" customHeight="1">
      <x:c r="A289" s="22" t="str">
        <x:v>병원</x:v>
      </x:c>
      <x:c r="B289" s="31" t="str">
        <x:f>"C-010111"</x:f>
        <x:v>C-010111</x:v>
      </x:c>
      <x:c r="C289" s="25" t="str">
        <x:v>010111  DOORS &amp; WINDOWS WORKS-1</x:v>
      </x:c>
      <x:c r="D289" s="25" t="str">
        <x:v>SSD05/01. HOSPITAL/60*260 ST</x:v>
      </x:c>
      <x:c r="E289" s="25" t="str">
        <x:v>1.000 x 2.200 = 2.200</x:v>
      </x:c>
      <x:c r="F289" s="22" t="str">
        <x:v>EA</x:v>
      </x:c>
      <x:c r="G289" s="28" t="n">
        <x:v>2</x:v>
      </x:c>
      <x:c r="H289" s="25" t="str">
        <x:v>453125479B7D7FE4C224BA002B399</x:v>
      </x:c>
      <x:c r="I289" s="22" t="str">
        <x:v>복합일위대가</x:v>
      </x:c>
      <x:c r="J289" s="34" t="n">
        <x:v>241.55</x:v>
      </x:c>
      <x:c r="K289" s="34" t="n">
        <x:v>35.75</x:v>
      </x:c>
      <x:c r="L289" s="34" t="n">
        <x:v>0</x:v>
      </x:c>
      <x:c r="M289" s="34" t="n">
        <x:f>SUM(J289:L289)</x:f>
        <x:v>277.3</x:v>
      </x:c>
      <x:c r="N289" s="34" t="n">
        <x:f>G289*J289</x:f>
        <x:v>483.1</x:v>
      </x:c>
      <x:c r="O289" s="34" t="n">
        <x:f>G289*K289</x:f>
        <x:v>71.5</x:v>
      </x:c>
      <x:c r="P289" s="34" t="n">
        <x:f>G289*L289</x:f>
        <x:v>0</x:v>
      </x:c>
      <x:c r="Q289" s="34" t="n">
        <x:f>SUM(N289:P289)</x:f>
        <x:v>554.6</x:v>
      </x:c>
      <x:c r="R289" s="22" t="str">
        <x:f>IF(M289&gt;0,"복원","미복원")</x:f>
        <x:v>복원</x:v>
      </x:c>
      <x:c r="S289" s="37" t="n">
        <x:v>442</x:v>
      </x:c>
      <x:c r="T2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89" s="22" t="str">
        <x:f>A289&amp;"|"&amp;B289</x:f>
        <x:v>병원|C-010111</x:v>
      </x:c>
      <x:c r="V289" s="22" t="n">
        <x:f>IF(M289&gt;0,1,0)</x:f>
        <x:v>1</x:v>
      </x:c>
    </x:row>
    <x:row r="290" ht="28" customHeight="1">
      <x:c r="A290" s="22" t="str">
        <x:v>병원</x:v>
      </x:c>
      <x:c r="B290" s="31" t="str">
        <x:f>"C-010111"</x:f>
        <x:v>C-010111</x:v>
      </x:c>
      <x:c r="C290" s="25" t="str">
        <x:v>010111  DOORS &amp; WINDOWS WORKS-1</x:v>
      </x:c>
      <x:c r="D290" s="25" t="str">
        <x:v>SSD06/01. HOSPITAL/60*260 ST</x:v>
      </x:c>
      <x:c r="E290" s="25" t="str">
        <x:v>0.900 x 2.200 = 1.980</x:v>
      </x:c>
      <x:c r="F290" s="22" t="str">
        <x:v>EA</x:v>
      </x:c>
      <x:c r="G290" s="28" t="n">
        <x:v>6</x:v>
      </x:c>
      <x:c r="H290" s="25" t="str">
        <x:v>453125479B7D7FE4C224BA002B0DD</x:v>
      </x:c>
      <x:c r="I290" s="22" t="str">
        <x:v>복합일위대가</x:v>
      </x:c>
      <x:c r="J290" s="34" t="n">
        <x:v>237.07</x:v>
      </x:c>
      <x:c r="K290" s="34" t="n">
        <x:v>35.09</x:v>
      </x:c>
      <x:c r="L290" s="34" t="n">
        <x:v>0</x:v>
      </x:c>
      <x:c r="M290" s="34" t="n">
        <x:f>SUM(J290:L290)</x:f>
        <x:v>272.15999999999997</x:v>
      </x:c>
      <x:c r="N290" s="34" t="n">
        <x:f>G290*J290</x:f>
        <x:v>1422.42</x:v>
      </x:c>
      <x:c r="O290" s="34" t="n">
        <x:f>G290*K290</x:f>
        <x:v>210.54000000000002</x:v>
      </x:c>
      <x:c r="P290" s="34" t="n">
        <x:f>G290*L290</x:f>
        <x:v>0</x:v>
      </x:c>
      <x:c r="Q290" s="34" t="n">
        <x:f>SUM(N290:P290)</x:f>
        <x:v>1632.96</x:v>
      </x:c>
      <x:c r="R290" s="22" t="str">
        <x:f>IF(M290&gt;0,"복원","미복원")</x:f>
        <x:v>복원</x:v>
      </x:c>
      <x:c r="S290" s="37" t="n">
        <x:v>443</x:v>
      </x:c>
      <x:c r="T2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0" s="22" t="str">
        <x:f>A290&amp;"|"&amp;B290</x:f>
        <x:v>병원|C-010111</x:v>
      </x:c>
      <x:c r="V290" s="22" t="n">
        <x:f>IF(M290&gt;0,1,0)</x:f>
        <x:v>1</x:v>
      </x:c>
    </x:row>
    <x:row r="291" ht="28" customHeight="1">
      <x:c r="A291" s="22" t="str">
        <x:v>병원</x:v>
      </x:c>
      <x:c r="B291" s="31" t="str">
        <x:f>"C-010111"</x:f>
        <x:v>C-010111</x:v>
      </x:c>
      <x:c r="C291" s="25" t="str">
        <x:v>010111  DOORS &amp; WINDOWS WORKS-1</x:v>
      </x:c>
      <x:c r="D291" s="25" t="str">
        <x:v>SSD07/01. HOSPITAL/60*260 ST</x:v>
      </x:c>
      <x:c r="E291" s="25" t="str">
        <x:v>2.240 x 2.200 = 4.928</x:v>
      </x:c>
      <x:c r="F291" s="22" t="str">
        <x:v>EA</x:v>
      </x:c>
      <x:c r="G291" s="28" t="n">
        <x:v>3</x:v>
      </x:c>
      <x:c r="H291" s="25" t="str">
        <x:v>453125479B7D7FE4C224BA002B0DF</x:v>
      </x:c>
      <x:c r="I291" s="22" t="str">
        <x:v>복합일위대가</x:v>
      </x:c>
      <x:c r="J291" s="34" t="n">
        <x:v>1323.78</x:v>
      </x:c>
      <x:c r="K291" s="34" t="n">
        <x:v>226.07</x:v>
      </x:c>
      <x:c r="L291" s="34" t="n">
        <x:v>101.83</x:v>
      </x:c>
      <x:c r="M291" s="34" t="n">
        <x:f>SUM(J291:L291)</x:f>
        <x:v>1651.6799999999998</x:v>
      </x:c>
      <x:c r="N291" s="34" t="n">
        <x:f>G291*J291</x:f>
        <x:v>3971.34</x:v>
      </x:c>
      <x:c r="O291" s="34" t="n">
        <x:f>G291*K291</x:f>
        <x:v>678.21</x:v>
      </x:c>
      <x:c r="P291" s="34" t="n">
        <x:f>G291*L291</x:f>
        <x:v>305.49</x:v>
      </x:c>
      <x:c r="Q291" s="34" t="n">
        <x:f>SUM(N291:P291)</x:f>
        <x:v>4955.04</x:v>
      </x:c>
      <x:c r="R291" s="22" t="str">
        <x:f>IF(M291&gt;0,"복원","미복원")</x:f>
        <x:v>복원</x:v>
      </x:c>
      <x:c r="S291" s="37" t="n">
        <x:v>444</x:v>
      </x:c>
      <x:c r="T2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1" s="22" t="str">
        <x:f>A291&amp;"|"&amp;B291</x:f>
        <x:v>병원|C-010111</x:v>
      </x:c>
      <x:c r="V291" s="22" t="n">
        <x:f>IF(M291&gt;0,1,0)</x:f>
        <x:v>1</x:v>
      </x:c>
    </x:row>
    <x:row r="292" ht="28" customHeight="1">
      <x:c r="A292" s="22" t="str">
        <x:v>병원</x:v>
      </x:c>
      <x:c r="B292" s="31" t="str">
        <x:f>"C-010111"</x:f>
        <x:v>C-010111</x:v>
      </x:c>
      <x:c r="C292" s="25" t="str">
        <x:v>010111  DOORS &amp; WINDOWS WORKS-1</x:v>
      </x:c>
      <x:c r="D292" s="25" t="str">
        <x:v>SSW01/01. HOSPITAL/50*145 ST</x:v>
      </x:c>
      <x:c r="E292" s="25" t="str">
        <x:v>3.840 x 1.350 = 5.184</x:v>
      </x:c>
      <x:c r="F292" s="22" t="str">
        <x:v>EA</x:v>
      </x:c>
      <x:c r="G292" s="28" t="n">
        <x:v>1</x:v>
      </x:c>
      <x:c r="H292" s="25" t="str">
        <x:v>453125479B7D7FE4C224A493677E2</x:v>
      </x:c>
      <x:c r="I292" s="22" t="str">
        <x:v>복합일위대가</x:v>
      </x:c>
      <x:c r="J292" s="34" t="n">
        <x:v>644.06</x:v>
      </x:c>
      <x:c r="K292" s="34" t="n">
        <x:v>98.48</x:v>
      </x:c>
      <x:c r="L292" s="34" t="n">
        <x:v>0</x:v>
      </x:c>
      <x:c r="M292" s="34" t="n">
        <x:f>SUM(J292:L292)</x:f>
        <x:v>742.54</x:v>
      </x:c>
      <x:c r="N292" s="34" t="n">
        <x:f>G292*J292</x:f>
        <x:v>644.06</x:v>
      </x:c>
      <x:c r="O292" s="34" t="n">
        <x:f>G292*K292</x:f>
        <x:v>98.48</x:v>
      </x:c>
      <x:c r="P292" s="34" t="n">
        <x:f>G292*L292</x:f>
        <x:v>0</x:v>
      </x:c>
      <x:c r="Q292" s="34" t="n">
        <x:f>SUM(N292:P292)</x:f>
        <x:v>742.54</x:v>
      </x:c>
      <x:c r="R292" s="22" t="str">
        <x:f>IF(M292&gt;0,"복원","미복원")</x:f>
        <x:v>복원</x:v>
      </x:c>
      <x:c r="S292" s="37" t="n">
        <x:v>445</x:v>
      </x:c>
      <x:c r="T2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2" s="22" t="str">
        <x:f>A292&amp;"|"&amp;B292</x:f>
        <x:v>병원|C-010111</x:v>
      </x:c>
      <x:c r="V292" s="22" t="n">
        <x:f>IF(M292&gt;0,1,0)</x:f>
        <x:v>1</x:v>
      </x:c>
    </x:row>
    <x:row r="293" ht="28" customHeight="1">
      <x:c r="A293" s="22" t="str">
        <x:v>병원</x:v>
      </x:c>
      <x:c r="B293" s="31" t="str">
        <x:f>"C-010111"</x:f>
        <x:v>C-010111</x:v>
      </x:c>
      <x:c r="C293" s="25" t="str">
        <x:v>010111  DOORS &amp; WINDOWS WORKS-1</x:v>
      </x:c>
      <x:c r="D293" s="25" t="str">
        <x:v>SSW02/01. HOSPITAL/50*145 ST</x:v>
      </x:c>
      <x:c r="E293" s="25" t="str">
        <x:v>2.100 x 1.350 = 2.835</x:v>
      </x:c>
      <x:c r="F293" s="22" t="str">
        <x:v>EA</x:v>
      </x:c>
      <x:c r="G293" s="28" t="n">
        <x:v>1</x:v>
      </x:c>
      <x:c r="H293" s="25" t="str">
        <x:v>453125479B7D7FE4C224A493677E0</x:v>
      </x:c>
      <x:c r="I293" s="22" t="str">
        <x:v>복합일위대가</x:v>
      </x:c>
      <x:c r="J293" s="34" t="n">
        <x:v>400.15</x:v>
      </x:c>
      <x:c r="K293" s="34" t="n">
        <x:v>60.89</x:v>
      </x:c>
      <x:c r="L293" s="34" t="n">
        <x:v>0</x:v>
      </x:c>
      <x:c r="M293" s="34" t="n">
        <x:f>SUM(J293:L293)</x:f>
        <x:v>461.03999999999996</x:v>
      </x:c>
      <x:c r="N293" s="34" t="n">
        <x:f>G293*J293</x:f>
        <x:v>400.15</x:v>
      </x:c>
      <x:c r="O293" s="34" t="n">
        <x:f>G293*K293</x:f>
        <x:v>60.89</x:v>
      </x:c>
      <x:c r="P293" s="34" t="n">
        <x:f>G293*L293</x:f>
        <x:v>0</x:v>
      </x:c>
      <x:c r="Q293" s="34" t="n">
        <x:f>SUM(N293:P293)</x:f>
        <x:v>461.03999999999996</x:v>
      </x:c>
      <x:c r="R293" s="22" t="str">
        <x:f>IF(M293&gt;0,"복원","미복원")</x:f>
        <x:v>복원</x:v>
      </x:c>
      <x:c r="S293" s="37" t="n">
        <x:v>446</x:v>
      </x:c>
      <x:c r="T2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3" s="22" t="str">
        <x:f>A293&amp;"|"&amp;B293</x:f>
        <x:v>병원|C-010111</x:v>
      </x:c>
      <x:c r="V293" s="22" t="n">
        <x:f>IF(M293&gt;0,1,0)</x:f>
        <x:v>1</x:v>
      </x:c>
    </x:row>
    <x:row r="294" ht="28" customHeight="1">
      <x:c r="A294" s="22" t="str">
        <x:v>병원</x:v>
      </x:c>
      <x:c r="B294" s="31" t="str">
        <x:f>"C-010111"</x:f>
        <x:v>C-010111</x:v>
      </x:c>
      <x:c r="C294" s="25" t="str">
        <x:v>010111  DOORS &amp; WINDOWS WORKS-1</x:v>
      </x:c>
      <x:c r="D294" s="25" t="str">
        <x:v>SSW03/01. HOSPITAL/50*145 ST</x:v>
      </x:c>
      <x:c r="E294" s="25" t="str">
        <x:v>2.100 x 0.400 = 0.840</x:v>
      </x:c>
      <x:c r="F294" s="22" t="str">
        <x:v>EA</x:v>
      </x:c>
      <x:c r="G294" s="28" t="n">
        <x:v>1</x:v>
      </x:c>
      <x:c r="H294" s="25" t="str">
        <x:v>453125479B7D7FE4C224A493677EE</x:v>
      </x:c>
      <x:c r="I294" s="22" t="str">
        <x:v>복합일위대가</x:v>
      </x:c>
      <x:c r="J294" s="34" t="n">
        <x:v>266.65</x:v>
      </x:c>
      <x:c r="K294" s="34" t="n">
        <x:v>39.85</x:v>
      </x:c>
      <x:c r="L294" s="34" t="n">
        <x:v>0</x:v>
      </x:c>
      <x:c r="M294" s="34" t="n">
        <x:f>SUM(J294:L294)</x:f>
        <x:v>306.5</x:v>
      </x:c>
      <x:c r="N294" s="34" t="n">
        <x:f>G294*J294</x:f>
        <x:v>266.65</x:v>
      </x:c>
      <x:c r="O294" s="34" t="n">
        <x:f>G294*K294</x:f>
        <x:v>39.85</x:v>
      </x:c>
      <x:c r="P294" s="34" t="n">
        <x:f>G294*L294</x:f>
        <x:v>0</x:v>
      </x:c>
      <x:c r="Q294" s="34" t="n">
        <x:f>SUM(N294:P294)</x:f>
        <x:v>306.5</x:v>
      </x:c>
      <x:c r="R294" s="22" t="str">
        <x:f>IF(M294&gt;0,"복원","미복원")</x:f>
        <x:v>복원</x:v>
      </x:c>
      <x:c r="S294" s="37" t="n">
        <x:v>447</x:v>
      </x:c>
      <x:c r="T2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4" s="22" t="str">
        <x:f>A294&amp;"|"&amp;B294</x:f>
        <x:v>병원|C-010111</x:v>
      </x:c>
      <x:c r="V294" s="22" t="n">
        <x:f>IF(M294&gt;0,1,0)</x:f>
        <x:v>1</x:v>
      </x:c>
    </x:row>
    <x:row r="295" ht="28" customHeight="1">
      <x:c r="A295" s="22" t="str">
        <x:v>병원</x:v>
      </x:c>
      <x:c r="B295" s="31" t="str">
        <x:f>"C-010111"</x:f>
        <x:v>C-010111</x:v>
      </x:c>
      <x:c r="C295" s="25" t="str">
        <x:v>010111  DOORS &amp; WINDOWS WORKS-1</x:v>
      </x:c>
      <x:c r="D295" s="25" t="str">
        <x:v>WD01/01. HOSPITAL/WOOD SINGLE DOOR</x:v>
      </x:c>
      <x:c r="E295" s="25" t="str">
        <x:v>1.000 x 2.200 = 2.200</x:v>
      </x:c>
      <x:c r="F295" s="22" t="str">
        <x:v>EA</x:v>
      </x:c>
      <x:c r="G295" s="28" t="n">
        <x:v>42</x:v>
      </x:c>
      <x:c r="H295" s="25" t="str">
        <x:v>453125479B7D7FE4C224BA002B0D9</x:v>
      </x:c>
      <x:c r="I295" s="22" t="str">
        <x:v>복합일위대가</x:v>
      </x:c>
      <x:c r="J295" s="34" t="n">
        <x:v>350</x:v>
      </x:c>
      <x:c r="K295" s="34" t="n">
        <x:v>0</x:v>
      </x:c>
      <x:c r="L295" s="34" t="n">
        <x:v>0</x:v>
      </x:c>
      <x:c r="M295" s="34" t="n">
        <x:f>SUM(J295:L295)</x:f>
        <x:v>350</x:v>
      </x:c>
      <x:c r="N295" s="34" t="n">
        <x:f>G295*J295</x:f>
        <x:v>14700</x:v>
      </x:c>
      <x:c r="O295" s="34" t="n">
        <x:f>G295*K295</x:f>
        <x:v>0</x:v>
      </x:c>
      <x:c r="P295" s="34" t="n">
        <x:f>G295*L295</x:f>
        <x:v>0</x:v>
      </x:c>
      <x:c r="Q295" s="34" t="n">
        <x:f>SUM(N295:P295)</x:f>
        <x:v>14700</x:v>
      </x:c>
      <x:c r="R295" s="22" t="str">
        <x:f>IF(M295&gt;0,"복원","미복원")</x:f>
        <x:v>복원</x:v>
      </x:c>
      <x:c r="S295" s="37" t="n">
        <x:v>448</x:v>
      </x:c>
      <x:c r="T2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5" s="22" t="str">
        <x:f>A295&amp;"|"&amp;B295</x:f>
        <x:v>병원|C-010111</x:v>
      </x:c>
      <x:c r="V295" s="22" t="n">
        <x:f>IF(M295&gt;0,1,0)</x:f>
        <x:v>1</x:v>
      </x:c>
    </x:row>
    <x:row r="296" ht="28" customHeight="1">
      <x:c r="A296" s="22" t="str">
        <x:v>병원</x:v>
      </x:c>
      <x:c r="B296" s="31" t="str">
        <x:f>"C-010111"</x:f>
        <x:v>C-010111</x:v>
      </x:c>
      <x:c r="C296" s="25" t="str">
        <x:v>010111  DOORS &amp; WINDOWS WORKS-1</x:v>
      </x:c>
      <x:c r="D296" s="25" t="str">
        <x:v>WD02/01. HOSPITAL/WOOD SINGLE DOOR</x:v>
      </x:c>
      <x:c r="E296" s="25" t="str">
        <x:v>0.900 x 2.200 = 1.980</x:v>
      </x:c>
      <x:c r="F296" s="22" t="str">
        <x:v>EA</x:v>
      </x:c>
      <x:c r="G296" s="28" t="n">
        <x:v>78</x:v>
      </x:c>
      <x:c r="H296" s="25" t="str">
        <x:v>453125479B7D7FE4C224BA002B0DB</x:v>
      </x:c>
      <x:c r="I296" s="22" t="str">
        <x:v>복합일위대가</x:v>
      </x:c>
      <x:c r="J296" s="34" t="n">
        <x:v>350</x:v>
      </x:c>
      <x:c r="K296" s="34" t="n">
        <x:v>0</x:v>
      </x:c>
      <x:c r="L296" s="34" t="n">
        <x:v>0</x:v>
      </x:c>
      <x:c r="M296" s="34" t="n">
        <x:f>SUM(J296:L296)</x:f>
        <x:v>350</x:v>
      </x:c>
      <x:c r="N296" s="34" t="n">
        <x:f>G296*J296</x:f>
        <x:v>27300</x:v>
      </x:c>
      <x:c r="O296" s="34" t="n">
        <x:f>G296*K296</x:f>
        <x:v>0</x:v>
      </x:c>
      <x:c r="P296" s="34" t="n">
        <x:f>G296*L296</x:f>
        <x:v>0</x:v>
      </x:c>
      <x:c r="Q296" s="34" t="n">
        <x:f>SUM(N296:P296)</x:f>
        <x:v>27300</x:v>
      </x:c>
      <x:c r="R296" s="22" t="str">
        <x:f>IF(M296&gt;0,"복원","미복원")</x:f>
        <x:v>복원</x:v>
      </x:c>
      <x:c r="S296" s="37" t="n">
        <x:v>449</x:v>
      </x:c>
      <x:c r="T2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6" s="22" t="str">
        <x:f>A296&amp;"|"&amp;B296</x:f>
        <x:v>병원|C-010111</x:v>
      </x:c>
      <x:c r="V296" s="22" t="n">
        <x:f>IF(M296&gt;0,1,0)</x:f>
        <x:v>1</x:v>
      </x:c>
    </x:row>
    <x:row r="297" ht="28" customHeight="1">
      <x:c r="A297" s="22" t="str">
        <x:v>병원</x:v>
      </x:c>
      <x:c r="B297" s="31" t="str">
        <x:f>"C-010111"</x:f>
        <x:v>C-010111</x:v>
      </x:c>
      <x:c r="C297" s="25" t="str">
        <x:v>010111  DOORS &amp; WINDOWS WORKS-1</x:v>
      </x:c>
      <x:c r="D297" s="25" t="str">
        <x:v>WD03/01. HOSPITAL/WOOD SINGLE DOOR</x:v>
      </x:c>
      <x:c r="E297" s="25" t="str">
        <x:v>0.750 x 2.200 = 1.650</x:v>
      </x:c>
      <x:c r="F297" s="22" t="str">
        <x:v>EA</x:v>
      </x:c>
      <x:c r="G297" s="28" t="n">
        <x:v>3</x:v>
      </x:c>
      <x:c r="H297" s="25" t="str">
        <x:v>453125479B7D7FE4C224BA002B0D5</x:v>
      </x:c>
      <x:c r="I297" s="22" t="str">
        <x:v>복합일위대가</x:v>
      </x:c>
      <x:c r="J297" s="34" t="n">
        <x:v>350</x:v>
      </x:c>
      <x:c r="K297" s="34" t="n">
        <x:v>0</x:v>
      </x:c>
      <x:c r="L297" s="34" t="n">
        <x:v>0</x:v>
      </x:c>
      <x:c r="M297" s="34" t="n">
        <x:f>SUM(J297:L297)</x:f>
        <x:v>350</x:v>
      </x:c>
      <x:c r="N297" s="34" t="n">
        <x:f>G297*J297</x:f>
        <x:v>1050</x:v>
      </x:c>
      <x:c r="O297" s="34" t="n">
        <x:f>G297*K297</x:f>
        <x:v>0</x:v>
      </x:c>
      <x:c r="P297" s="34" t="n">
        <x:f>G297*L297</x:f>
        <x:v>0</x:v>
      </x:c>
      <x:c r="Q297" s="34" t="n">
        <x:f>SUM(N297:P297)</x:f>
        <x:v>1050</x:v>
      </x:c>
      <x:c r="R297" s="22" t="str">
        <x:f>IF(M297&gt;0,"복원","미복원")</x:f>
        <x:v>복원</x:v>
      </x:c>
      <x:c r="S297" s="37" t="n">
        <x:v>450</x:v>
      </x:c>
      <x:c r="T2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7" s="22" t="str">
        <x:f>A297&amp;"|"&amp;B297</x:f>
        <x:v>병원|C-010111</x:v>
      </x:c>
      <x:c r="V297" s="22" t="n">
        <x:f>IF(M297&gt;0,1,0)</x:f>
        <x:v>1</x:v>
      </x:c>
    </x:row>
    <x:row r="298" ht="28" customHeight="1">
      <x:c r="A298" s="22" t="str">
        <x:v>병원</x:v>
      </x:c>
      <x:c r="B298" s="31" t="str">
        <x:f>"C-010111"</x:f>
        <x:v>C-010111</x:v>
      </x:c>
      <x:c r="C298" s="25" t="str">
        <x:v>010111  DOORS &amp; WINDOWS WORKS-1</x:v>
      </x:c>
      <x:c r="D298" s="25" t="str">
        <x:v>WD04/01. HOSPITAL/WOOD DOUBLE DOOR</x:v>
      </x:c>
      <x:c r="E298" s="25" t="str">
        <x:v>1.800 x 2.200 = 3.960</x:v>
      </x:c>
      <x:c r="F298" s="22" t="str">
        <x:v>EA</x:v>
      </x:c>
      <x:c r="G298" s="28" t="n">
        <x:v>1</x:v>
      </x:c>
      <x:c r="H298" s="25" t="str">
        <x:v>453125479B7D7FE4C224BA002B1E3</x:v>
      </x:c>
      <x:c r="I298" s="22" t="str">
        <x:v>복합일위대가</x:v>
      </x:c>
      <x:c r="J298" s="34" t="n">
        <x:v>430</x:v>
      </x:c>
      <x:c r="K298" s="34" t="n">
        <x:v>0</x:v>
      </x:c>
      <x:c r="L298" s="34" t="n">
        <x:v>0</x:v>
      </x:c>
      <x:c r="M298" s="34" t="n">
        <x:f>SUM(J298:L298)</x:f>
        <x:v>430</x:v>
      </x:c>
      <x:c r="N298" s="34" t="n">
        <x:f>G298*J298</x:f>
        <x:v>430</x:v>
      </x:c>
      <x:c r="O298" s="34" t="n">
        <x:f>G298*K298</x:f>
        <x:v>0</x:v>
      </x:c>
      <x:c r="P298" s="34" t="n">
        <x:f>G298*L298</x:f>
        <x:v>0</x:v>
      </x:c>
      <x:c r="Q298" s="34" t="n">
        <x:f>SUM(N298:P298)</x:f>
        <x:v>430</x:v>
      </x:c>
      <x:c r="R298" s="22" t="str">
        <x:f>IF(M298&gt;0,"복원","미복원")</x:f>
        <x:v>복원</x:v>
      </x:c>
      <x:c r="S298" s="37" t="n">
        <x:v>451</x:v>
      </x:c>
      <x:c r="T2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8" s="22" t="str">
        <x:f>A298&amp;"|"&amp;B298</x:f>
        <x:v>병원|C-010111</x:v>
      </x:c>
      <x:c r="V298" s="22" t="n">
        <x:f>IF(M298&gt;0,1,0)</x:f>
        <x:v>1</x:v>
      </x:c>
    </x:row>
    <x:row r="299" ht="28" customHeight="1">
      <x:c r="A299" s="22" t="str">
        <x:v>병원</x:v>
      </x:c>
      <x:c r="B299" s="31" t="str">
        <x:f>"C-010111"</x:f>
        <x:v>C-010111</x:v>
      </x:c>
      <x:c r="C299" s="25" t="str">
        <x:v>010111  DOORS &amp; WINDOWS WORKS-1</x:v>
      </x:c>
      <x:c r="D299" s="25" t="str">
        <x:v>WD06/01. HOSPITAL/WOOD SINGLE DOOR</x:v>
      </x:c>
      <x:c r="E299" s="25" t="str">
        <x:v>1.100 x 2.200 = 2.420</x:v>
      </x:c>
      <x:c r="F299" s="22" t="str">
        <x:v>EA</x:v>
      </x:c>
      <x:c r="G299" s="28" t="n">
        <x:v>29</x:v>
      </x:c>
      <x:c r="H299" s="25" t="str">
        <x:v>453125479B7D7FE4C224BA002B1E1</x:v>
      </x:c>
      <x:c r="I299" s="22" t="str">
        <x:v>복합일위대가</x:v>
      </x:c>
      <x:c r="J299" s="34" t="n">
        <x:v>350</x:v>
      </x:c>
      <x:c r="K299" s="34" t="n">
        <x:v>0</x:v>
      </x:c>
      <x:c r="L299" s="34" t="n">
        <x:v>0</x:v>
      </x:c>
      <x:c r="M299" s="34" t="n">
        <x:f>SUM(J299:L299)</x:f>
        <x:v>350</x:v>
      </x:c>
      <x:c r="N299" s="34" t="n">
        <x:f>G299*J299</x:f>
        <x:v>10150</x:v>
      </x:c>
      <x:c r="O299" s="34" t="n">
        <x:f>G299*K299</x:f>
        <x:v>0</x:v>
      </x:c>
      <x:c r="P299" s="34" t="n">
        <x:f>G299*L299</x:f>
        <x:v>0</x:v>
      </x:c>
      <x:c r="Q299" s="34" t="n">
        <x:f>SUM(N299:P299)</x:f>
        <x:v>10150</x:v>
      </x:c>
      <x:c r="R299" s="22" t="str">
        <x:f>IF(M299&gt;0,"복원","미복원")</x:f>
        <x:v>복원</x:v>
      </x:c>
      <x:c r="S299" s="37" t="n">
        <x:v>452</x:v>
      </x:c>
      <x:c r="T2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299" s="22" t="str">
        <x:f>A299&amp;"|"&amp;B299</x:f>
        <x:v>병원|C-010111</x:v>
      </x:c>
      <x:c r="V299" s="22" t="n">
        <x:f>IF(M299&gt;0,1,0)</x:f>
        <x:v>1</x:v>
      </x:c>
    </x:row>
    <x:row r="300" ht="28" customHeight="1">
      <x:c r="A300" s="22" t="str">
        <x:v>병원</x:v>
      </x:c>
      <x:c r="B300" s="31" t="str">
        <x:f>"C-010111"</x:f>
        <x:v>C-010111</x:v>
      </x:c>
      <x:c r="C300" s="25" t="str">
        <x:v>010111  DOORS &amp; WINDOWS WORKS-1</x:v>
      </x:c>
      <x:c r="D300" s="25" t="str">
        <x:v>BOTTOM RAIL DEADLOCK</x:v>
      </x:c>
      <x:c r="E300" s="25" t="str">
        <x:v>EZ-800 * T/T * GMK</x:v>
      </x:c>
      <x:c r="F300" s="22" t="str">
        <x:v>ea</x:v>
      </x:c>
      <x:c r="G300" s="28" t="n">
        <x:v>25</x:v>
      </x:c>
      <x:c r="H300" s="25" t="str">
        <x:v>4530234CF57486DF6239DCDF666</x:v>
      </x:c>
      <x:c r="I300" s="22" t="str">
        <x:v>직접자원단가</x:v>
      </x:c>
      <x:c r="J300" s="34" t="n">
        <x:v>71.68777308746205</x:v>
      </x:c>
      <x:c r="K300" s="34" t="n">
        <x:v>0</x:v>
      </x:c>
      <x:c r="L300" s="34" t="n">
        <x:v>0</x:v>
      </x:c>
      <x:c r="M300" s="34" t="n">
        <x:f>SUM(J300:L300)</x:f>
        <x:v>71.68777308746205</x:v>
      </x:c>
      <x:c r="N300" s="34" t="n">
        <x:f>G300*J300</x:f>
        <x:v>1792.1943271865512</x:v>
      </x:c>
      <x:c r="O300" s="34" t="n">
        <x:f>G300*K300</x:f>
        <x:v>0</x:v>
      </x:c>
      <x:c r="P300" s="34" t="n">
        <x:f>G300*L300</x:f>
        <x:v>0</x:v>
      </x:c>
      <x:c r="Q300" s="34" t="n">
        <x:f>SUM(N300:P300)</x:f>
        <x:v>1792.1943271865512</x:v>
      </x:c>
      <x:c r="R300" s="22" t="str">
        <x:f>IF(M300&gt;0,"복원","미복원")</x:f>
        <x:v>복원</x:v>
      </x:c>
      <x:c r="S300" s="37" t="n">
        <x:v>453</x:v>
      </x:c>
      <x:c r="T3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0" s="22" t="str">
        <x:f>A300&amp;"|"&amp;B300</x:f>
        <x:v>병원|C-010111</x:v>
      </x:c>
      <x:c r="V300" s="22" t="n">
        <x:f>IF(M300&gt;0,1,0)</x:f>
        <x:v>1</x:v>
      </x:c>
    </x:row>
    <x:row r="301" ht="28" customHeight="1">
      <x:c r="A301" s="22" t="str">
        <x:v>병원</x:v>
      </x:c>
      <x:c r="B301" s="31" t="str">
        <x:f>"C-010111"</x:f>
        <x:v>C-010111</x:v>
      </x:c>
      <x:c r="C301" s="25" t="str">
        <x:v>010111  DOORS &amp; WINDOWS WORKS-1</x:v>
      </x:c>
      <x:c r="D301" s="25" t="str">
        <x:v>SPRING HINGE(SST'L) 4.5"X4"</x:v>
      </x:c>
      <x:c r="E301" s="25" t="str">
        <x:v>SP4540</x:v>
      </x:c>
      <x:c r="F301" s="22" t="str">
        <x:v>ea</x:v>
      </x:c>
      <x:c r="G301" s="28" t="n">
        <x:v>26</x:v>
      </x:c>
      <x:c r="H301" s="25" t="str">
        <x:v>4530234CF57486DF6239DCDF665</x:v>
      </x:c>
      <x:c r="I301" s="22" t="str">
        <x:v>직접자원단가</x:v>
      </x:c>
      <x:c r="J301" s="34" t="n">
        <x:v>7.739020958305562</x:v>
      </x:c>
      <x:c r="K301" s="34" t="n">
        <x:v>0</x:v>
      </x:c>
      <x:c r="L301" s="34" t="n">
        <x:v>0</x:v>
      </x:c>
      <x:c r="M301" s="34" t="n">
        <x:f>SUM(J301:L301)</x:f>
        <x:v>7.739020958305562</x:v>
      </x:c>
      <x:c r="N301" s="34" t="n">
        <x:f>G301*J301</x:f>
        <x:v>201.2145449159446</x:v>
      </x:c>
      <x:c r="O301" s="34" t="n">
        <x:f>G301*K301</x:f>
        <x:v>0</x:v>
      </x:c>
      <x:c r="P301" s="34" t="n">
        <x:f>G301*L301</x:f>
        <x:v>0</x:v>
      </x:c>
      <x:c r="Q301" s="34" t="n">
        <x:f>SUM(N301:P301)</x:f>
        <x:v>201.2145449159446</x:v>
      </x:c>
      <x:c r="R301" s="22" t="str">
        <x:f>IF(M301&gt;0,"복원","미복원")</x:f>
        <x:v>복원</x:v>
      </x:c>
      <x:c r="S301" s="37" t="n">
        <x:v>454</x:v>
      </x:c>
      <x:c r="T3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1" s="22" t="str">
        <x:f>A301&amp;"|"&amp;B301</x:f>
        <x:v>병원|C-010111</x:v>
      </x:c>
      <x:c r="V301" s="22" t="n">
        <x:f>IF(M301&gt;0,1,0)</x:f>
        <x:v>1</x:v>
      </x:c>
    </x:row>
    <x:row r="302" ht="28" customHeight="1">
      <x:c r="A302" s="22" t="str">
        <x:v>병원</x:v>
      </x:c>
      <x:c r="B302" s="31" t="str">
        <x:f>"C-010111"</x:f>
        <x:v>C-010111</x:v>
      </x:c>
      <x:c r="C302" s="25" t="str">
        <x:v>010111  DOORS &amp; WINDOWS WORKS-1</x:v>
      </x:c>
      <x:c r="D302" s="25" t="str">
        <x:v>BUTT HINGE(SST'L) 4.5"X4"</x:v>
      </x:c>
      <x:c r="E302" s="25" t="str">
        <x:v>BB4540</x:v>
      </x:c>
      <x:c r="F302" s="22" t="str">
        <x:v>ea</x:v>
      </x:c>
      <x:c r="G302" s="28" t="n">
        <x:v>13</x:v>
      </x:c>
      <x:c r="H302" s="25" t="str">
        <x:v>4530234CF57486DF6239DCDF664</x:v>
      </x:c>
      <x:c r="I302" s="22" t="str">
        <x:v>직접자원단가</x:v>
      </x:c>
      <x:c r="J302" s="34" t="n">
        <x:v>6.354143523661409</x:v>
      </x:c>
      <x:c r="K302" s="34" t="n">
        <x:v>0</x:v>
      </x:c>
      <x:c r="L302" s="34" t="n">
        <x:v>0</x:v>
      </x:c>
      <x:c r="M302" s="34" t="n">
        <x:f>SUM(J302:L302)</x:f>
        <x:v>6.354143523661409</x:v>
      </x:c>
      <x:c r="N302" s="34" t="n">
        <x:f>G302*J302</x:f>
        <x:v>82.60386580759831</x:v>
      </x:c>
      <x:c r="O302" s="34" t="n">
        <x:f>G302*K302</x:f>
        <x:v>0</x:v>
      </x:c>
      <x:c r="P302" s="34" t="n">
        <x:f>G302*L302</x:f>
        <x:v>0</x:v>
      </x:c>
      <x:c r="Q302" s="34" t="n">
        <x:f>SUM(N302:P302)</x:f>
        <x:v>82.60386580759831</x:v>
      </x:c>
      <x:c r="R302" s="22" t="str">
        <x:f>IF(M302&gt;0,"복원","미복원")</x:f>
        <x:v>복원</x:v>
      </x:c>
      <x:c r="S302" s="37" t="n">
        <x:v>455</x:v>
      </x:c>
      <x:c r="T3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2" s="22" t="str">
        <x:f>A302&amp;"|"&amp;B302</x:f>
        <x:v>병원|C-010111</x:v>
      </x:c>
      <x:c r="V302" s="22" t="n">
        <x:f>IF(M302&gt;0,1,0)</x:f>
        <x:v>1</x:v>
      </x:c>
    </x:row>
    <x:row r="303" ht="28" customHeight="1">
      <x:c r="A303" s="22" t="str">
        <x:v>병원</x:v>
      </x:c>
      <x:c r="B303" s="31" t="str">
        <x:f>"C-010111"</x:f>
        <x:v>C-010111</x:v>
      </x:c>
      <x:c r="C303" s="25" t="str">
        <x:v>010111  DOORS &amp; WINDOWS WORKS-1</x:v>
      </x:c>
      <x:c r="D303" s="25" t="str">
        <x:v>BUTT HINGE(SST'L) 5"X4"</x:v>
      </x:c>
      <x:c r="E303" s="25" t="str">
        <x:v>BB5040</x:v>
      </x:c>
      <x:c r="F303" s="22" t="str">
        <x:v>ea</x:v>
      </x:c>
      <x:c r="G303" s="28" t="n">
        <x:v>189</x:v>
      </x:c>
      <x:c r="H303" s="25" t="str">
        <x:v>4530234CF57486DF6239DCDF663</x:v>
      </x:c>
      <x:c r="I303" s="22" t="str">
        <x:v>직접자원단가</x:v>
      </x:c>
      <x:c r="J303" s="34" t="n">
        <x:v>6.924387173220766</x:v>
      </x:c>
      <x:c r="K303" s="34" t="n">
        <x:v>0</x:v>
      </x:c>
      <x:c r="L303" s="34" t="n">
        <x:v>0</x:v>
      </x:c>
      <x:c r="M303" s="34" t="n">
        <x:f>SUM(J303:L303)</x:f>
        <x:v>6.924387173220766</x:v>
      </x:c>
      <x:c r="N303" s="34" t="n">
        <x:f>G303*J303</x:f>
        <x:v>1308.7091757387248</x:v>
      </x:c>
      <x:c r="O303" s="34" t="n">
        <x:f>G303*K303</x:f>
        <x:v>0</x:v>
      </x:c>
      <x:c r="P303" s="34" t="n">
        <x:f>G303*L303</x:f>
        <x:v>0</x:v>
      </x:c>
      <x:c r="Q303" s="34" t="n">
        <x:f>SUM(N303:P303)</x:f>
        <x:v>1308.7091757387248</x:v>
      </x:c>
      <x:c r="R303" s="22" t="str">
        <x:f>IF(M303&gt;0,"복원","미복원")</x:f>
        <x:v>복원</x:v>
      </x:c>
      <x:c r="S303" s="37" t="n">
        <x:v>456</x:v>
      </x:c>
      <x:c r="T3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3" s="22" t="str">
        <x:f>A303&amp;"|"&amp;B303</x:f>
        <x:v>병원|C-010111</x:v>
      </x:c>
      <x:c r="V303" s="22" t="n">
        <x:f>IF(M303&gt;0,1,0)</x:f>
        <x:v>1</x:v>
      </x:c>
    </x:row>
    <x:row r="304" ht="28" customHeight="1">
      <x:c r="A304" s="22" t="str">
        <x:v>병원</x:v>
      </x:c>
      <x:c r="B304" s="31" t="str">
        <x:f>"C-010111"</x:f>
        <x:v>C-010111</x:v>
      </x:c>
      <x:c r="C304" s="25" t="str">
        <x:v>010111  DOORS &amp; WINDOWS WORKS-1</x:v>
      </x:c>
      <x:c r="D304" s="25" t="str">
        <x:v>AUTO HINGE</x:v>
      </x:c>
      <x:c r="E304" s="25" t="str">
        <x:v>ZL-1001</x:v>
      </x:c>
      <x:c r="F304" s="22" t="str">
        <x:v>ea</x:v>
      </x:c>
      <x:c r="G304" s="28" t="n">
        <x:v>309</x:v>
      </x:c>
      <x:c r="H304" s="25" t="str">
        <x:v>4530234CF57486DF6239DCDF662</x:v>
      </x:c>
      <x:c r="I304" s="22" t="str">
        <x:v>직접자원단가</x:v>
      </x:c>
      <x:c r="J304" s="34" t="n">
        <x:v>61.912167666444496</x:v>
      </x:c>
      <x:c r="K304" s="34" t="n">
        <x:v>0</x:v>
      </x:c>
      <x:c r="L304" s="34" t="n">
        <x:v>0</x:v>
      </x:c>
      <x:c r="M304" s="34" t="n">
        <x:f>SUM(J304:L304)</x:f>
        <x:v>61.912167666444496</x:v>
      </x:c>
      <x:c r="N304" s="34" t="n">
        <x:f>G304*J304</x:f>
        <x:v>19130.85980893135</x:v>
      </x:c>
      <x:c r="O304" s="34" t="n">
        <x:f>G304*K304</x:f>
        <x:v>0</x:v>
      </x:c>
      <x:c r="P304" s="34" t="n">
        <x:f>G304*L304</x:f>
        <x:v>0</x:v>
      </x:c>
      <x:c r="Q304" s="34" t="n">
        <x:f>SUM(N304:P304)</x:f>
        <x:v>19130.85980893135</x:v>
      </x:c>
      <x:c r="R304" s="22" t="str">
        <x:f>IF(M304&gt;0,"복원","미복원")</x:f>
        <x:v>복원</x:v>
      </x:c>
      <x:c r="S304" s="37" t="n">
        <x:v>457</x:v>
      </x:c>
      <x:c r="T3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4" s="22" t="str">
        <x:f>A304&amp;"|"&amp;B304</x:f>
        <x:v>병원|C-010111</x:v>
      </x:c>
      <x:c r="V304" s="22" t="n">
        <x:f>IF(M304&gt;0,1,0)</x:f>
        <x:v>1</x:v>
      </x:c>
    </x:row>
    <x:row r="305" ht="28" customHeight="1">
      <x:c r="A305" s="22" t="str">
        <x:v>병원</x:v>
      </x:c>
      <x:c r="B305" s="31" t="str">
        <x:f>"C-010111"</x:f>
        <x:v>C-010111</x:v>
      </x:c>
      <x:c r="C305" s="25" t="str">
        <x:v>010111  DOORS &amp; WINDOWS WORKS-1</x:v>
      </x:c>
      <x:c r="D305" s="25" t="str">
        <x:v>BUTT HINGE(SST'L) 4"X4"</x:v>
      </x:c>
      <x:c r="E305" s="25" t="str">
        <x:v>BB4040</x:v>
      </x:c>
      <x:c r="F305" s="22" t="str">
        <x:v>ea</x:v>
      </x:c>
      <x:c r="G305" s="28" t="n">
        <x:v>156</x:v>
      </x:c>
      <x:c r="H305" s="25" t="str">
        <x:v>4530234CF57486DF6239DCDF661</x:v>
      </x:c>
      <x:c r="I305" s="22" t="str">
        <x:v>직접자원단가</x:v>
      </x:c>
      <x:c r="J305" s="34" t="n">
        <x:v>5.865363252610531</x:v>
      </x:c>
      <x:c r="K305" s="34" t="n">
        <x:v>0</x:v>
      </x:c>
      <x:c r="L305" s="34" t="n">
        <x:v>0</x:v>
      </x:c>
      <x:c r="M305" s="34" t="n">
        <x:f>SUM(J305:L305)</x:f>
        <x:v>5.865363252610531</x:v>
      </x:c>
      <x:c r="N305" s="34" t="n">
        <x:f>G305*J305</x:f>
        <x:v>914.9966674072429</x:v>
      </x:c>
      <x:c r="O305" s="34" t="n">
        <x:f>G305*K305</x:f>
        <x:v>0</x:v>
      </x:c>
      <x:c r="P305" s="34" t="n">
        <x:f>G305*L305</x:f>
        <x:v>0</x:v>
      </x:c>
      <x:c r="Q305" s="34" t="n">
        <x:f>SUM(N305:P305)</x:f>
        <x:v>914.9966674072429</x:v>
      </x:c>
      <x:c r="R305" s="22" t="str">
        <x:f>IF(M305&gt;0,"복원","미복원")</x:f>
        <x:v>복원</x:v>
      </x:c>
      <x:c r="S305" s="37" t="n">
        <x:v>458</x:v>
      </x:c>
      <x:c r="T3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5" s="22" t="str">
        <x:f>A305&amp;"|"&amp;B305</x:f>
        <x:v>병원|C-010111</x:v>
      </x:c>
      <x:c r="V305" s="22" t="n">
        <x:f>IF(M305&gt;0,1,0)</x:f>
        <x:v>1</x:v>
      </x:c>
    </x:row>
    <x:row r="306" ht="28" customHeight="1">
      <x:c r="A306" s="22" t="str">
        <x:v>병원</x:v>
      </x:c>
      <x:c r="B306" s="31" t="str">
        <x:f>"C-010111"</x:f>
        <x:v>C-010111</x:v>
      </x:c>
      <x:c r="C306" s="25" t="str">
        <x:v>010111  DOORS &amp; WINDOWS WORKS-1</x:v>
      </x:c>
      <x:c r="D306" s="25" t="str">
        <x:v>DOOR COORDINATOR</x:v>
      </x:c>
      <x:c r="E306" s="25" t="str">
        <x:v>DC002A</x:v>
      </x:c>
      <x:c r="F306" s="22" t="str">
        <x:v>ea</x:v>
      </x:c>
      <x:c r="G306" s="28" t="n">
        <x:v>4</x:v>
      </x:c>
      <x:c r="H306" s="25" t="str">
        <x:v>4530234CF57486DF6239DCDF660</x:v>
      </x:c>
      <x:c r="I306" s="22" t="str">
        <x:v>직접자원단가</x:v>
      </x:c>
      <x:c r="J306" s="34" t="n">
        <x:v>37.47315411390062</x:v>
      </x:c>
      <x:c r="K306" s="34" t="n">
        <x:v>0</x:v>
      </x:c>
      <x:c r="L306" s="34" t="n">
        <x:v>0</x:v>
      </x:c>
      <x:c r="M306" s="34" t="n">
        <x:f>SUM(J306:L306)</x:f>
        <x:v>37.47315411390062</x:v>
      </x:c>
      <x:c r="N306" s="34" t="n">
        <x:f>G306*J306</x:f>
        <x:v>149.89261645560248</x:v>
      </x:c>
      <x:c r="O306" s="34" t="n">
        <x:f>G306*K306</x:f>
        <x:v>0</x:v>
      </x:c>
      <x:c r="P306" s="34" t="n">
        <x:f>G306*L306</x:f>
        <x:v>0</x:v>
      </x:c>
      <x:c r="Q306" s="34" t="n">
        <x:f>SUM(N306:P306)</x:f>
        <x:v>149.89261645560248</x:v>
      </x:c>
      <x:c r="R306" s="22" t="str">
        <x:f>IF(M306&gt;0,"복원","미복원")</x:f>
        <x:v>복원</x:v>
      </x:c>
      <x:c r="S306" s="37" t="n">
        <x:v>459</x:v>
      </x:c>
      <x:c r="T3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6" s="22" t="str">
        <x:f>A306&amp;"|"&amp;B306</x:f>
        <x:v>병원|C-010111</x:v>
      </x:c>
      <x:c r="V306" s="22" t="n">
        <x:f>IF(M306&gt;0,1,0)</x:f>
        <x:v>1</x:v>
      </x:c>
    </x:row>
    <x:row r="307" ht="28" customHeight="1">
      <x:c r="A307" s="22" t="str">
        <x:v>병원</x:v>
      </x:c>
      <x:c r="B307" s="31" t="str">
        <x:f>"C-010111"</x:f>
        <x:v>C-010111</x:v>
      </x:c>
      <x:c r="C307" s="25" t="str">
        <x:v>010111  DOORS &amp; WINDOWS WORKS-1</x:v>
      </x:c>
      <x:c r="D307" s="25" t="str">
        <x:v>DOOR CLOSER NHO</x:v>
      </x:c>
      <x:c r="E307" s="25" t="str">
        <x:v>9016BC/DA</x:v>
      </x:c>
      <x:c r="F307" s="22" t="str">
        <x:v>ea</x:v>
      </x:c>
      <x:c r="G307" s="28" t="n">
        <x:v>59</x:v>
      </x:c>
      <x:c r="H307" s="25" t="str">
        <x:v>4530234CF57486DF6239DCDF66F</x:v>
      </x:c>
      <x:c r="I307" s="22" t="str">
        <x:v>직접자원단가</x:v>
      </x:c>
      <x:c r="J307" s="34" t="n">
        <x:v>97.75605421017552</x:v>
      </x:c>
      <x:c r="K307" s="34" t="n">
        <x:v>0</x:v>
      </x:c>
      <x:c r="L307" s="34" t="n">
        <x:v>0</x:v>
      </x:c>
      <x:c r="M307" s="34" t="n">
        <x:f>SUM(J307:L307)</x:f>
        <x:v>97.75605421017552</x:v>
      </x:c>
      <x:c r="N307" s="34" t="n">
        <x:f>G307*J307</x:f>
        <x:v>5767.607198400356</x:v>
      </x:c>
      <x:c r="O307" s="34" t="n">
        <x:f>G307*K307</x:f>
        <x:v>0</x:v>
      </x:c>
      <x:c r="P307" s="34" t="n">
        <x:f>G307*L307</x:f>
        <x:v>0</x:v>
      </x:c>
      <x:c r="Q307" s="34" t="n">
        <x:f>SUM(N307:P307)</x:f>
        <x:v>5767.607198400356</x:v>
      </x:c>
      <x:c r="R307" s="22" t="str">
        <x:f>IF(M307&gt;0,"복원","미복원")</x:f>
        <x:v>복원</x:v>
      </x:c>
      <x:c r="S307" s="37" t="n">
        <x:v>460</x:v>
      </x:c>
      <x:c r="T3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7" s="22" t="str">
        <x:f>A307&amp;"|"&amp;B307</x:f>
        <x:v>병원|C-010111</x:v>
      </x:c>
      <x:c r="V307" s="22" t="n">
        <x:f>IF(M307&gt;0,1,0)</x:f>
        <x:v>1</x:v>
      </x:c>
    </x:row>
    <x:row r="308" ht="28" customHeight="1">
      <x:c r="A308" s="22" t="str">
        <x:v>병원</x:v>
      </x:c>
      <x:c r="B308" s="31" t="str">
        <x:f>"C-010111"</x:f>
        <x:v>C-010111</x:v>
      </x:c>
      <x:c r="C308" s="25" t="str">
        <x:v>010111  DOORS &amp; WINDOWS WORKS-1</x:v>
      </x:c>
      <x:c r="D308" s="25" t="str">
        <x:v>PUSH PULL HANDLE</x:v>
      </x:c>
      <x:c r="E308" s="25" t="str">
        <x:v>T5955-01-024</x:v>
      </x:c>
      <x:c r="F308" s="22" t="str">
        <x:v>ea</x:v>
      </x:c>
      <x:c r="G308" s="28" t="n">
        <x:v>25</x:v>
      </x:c>
      <x:c r="H308" s="25" t="str">
        <x:v>4531284DDC776A4702EA22A0C0638FB35014A</x:v>
      </x:c>
      <x:c r="I308" s="22" t="str">
        <x:v>직접자원단가</x:v>
      </x:c>
      <x:c r="J308" s="34" t="n">
        <x:v>50</x:v>
      </x:c>
      <x:c r="K308" s="34" t="n">
        <x:v>0</x:v>
      </x:c>
      <x:c r="L308" s="34" t="n">
        <x:v>0</x:v>
      </x:c>
      <x:c r="M308" s="34" t="n">
        <x:f>SUM(J308:L308)</x:f>
        <x:v>50</x:v>
      </x:c>
      <x:c r="N308" s="34" t="n">
        <x:f>G308*J308</x:f>
        <x:v>1250</x:v>
      </x:c>
      <x:c r="O308" s="34" t="n">
        <x:f>G308*K308</x:f>
        <x:v>0</x:v>
      </x:c>
      <x:c r="P308" s="34" t="n">
        <x:f>G308*L308</x:f>
        <x:v>0</x:v>
      </x:c>
      <x:c r="Q308" s="34" t="n">
        <x:f>SUM(N308:P308)</x:f>
        <x:v>1250</x:v>
      </x:c>
      <x:c r="R308" s="22" t="str">
        <x:f>IF(M308&gt;0,"복원","미복원")</x:f>
        <x:v>복원</x:v>
      </x:c>
      <x:c r="S308" s="37" t="n">
        <x:v>461</x:v>
      </x:c>
      <x:c r="T3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8" s="22" t="str">
        <x:f>A308&amp;"|"&amp;B308</x:f>
        <x:v>병원|C-010111</x:v>
      </x:c>
      <x:c r="V308" s="22" t="n">
        <x:f>IF(M308&gt;0,1,0)</x:f>
        <x:v>1</x:v>
      </x:c>
    </x:row>
    <x:row r="309" ht="28" customHeight="1">
      <x:c r="A309" s="22" t="str">
        <x:v>병원</x:v>
      </x:c>
      <x:c r="B309" s="31" t="str">
        <x:f>"C-010111"</x:f>
        <x:v>C-010111</x:v>
      </x:c>
      <x:c r="C309" s="25" t="str">
        <x:v>010111  DOORS &amp; WINDOWS WORKS-1</x:v>
      </x:c>
      <x:c r="D309" s="25" t="str">
        <x:v>PUSH PULL HANDLE</x:v>
      </x:c>
      <x:c r="E309" s="25" t="str">
        <x:v>G5955-01-024</x:v>
      </x:c>
      <x:c r="F309" s="22" t="str">
        <x:v>ea</x:v>
      </x:c>
      <x:c r="G309" s="28" t="n">
        <x:v>8</x:v>
      </x:c>
      <x:c r="H309" s="25" t="str">
        <x:v>4531284DDC776A4702EA22A0C0638FB35014B</x:v>
      </x:c>
      <x:c r="I309" s="22" t="str">
        <x:v>직접자원단가</x:v>
      </x:c>
      <x:c r="J309" s="34" t="n">
        <x:v>50</x:v>
      </x:c>
      <x:c r="K309" s="34" t="n">
        <x:v>0</x:v>
      </x:c>
      <x:c r="L309" s="34" t="n">
        <x:v>0</x:v>
      </x:c>
      <x:c r="M309" s="34" t="n">
        <x:f>SUM(J309:L309)</x:f>
        <x:v>50</x:v>
      </x:c>
      <x:c r="N309" s="34" t="n">
        <x:f>G309*J309</x:f>
        <x:v>400</x:v>
      </x:c>
      <x:c r="O309" s="34" t="n">
        <x:f>G309*K309</x:f>
        <x:v>0</x:v>
      </x:c>
      <x:c r="P309" s="34" t="n">
        <x:f>G309*L309</x:f>
        <x:v>0</x:v>
      </x:c>
      <x:c r="Q309" s="34" t="n">
        <x:f>SUM(N309:P309)</x:f>
        <x:v>400</x:v>
      </x:c>
      <x:c r="R309" s="22" t="str">
        <x:f>IF(M309&gt;0,"복원","미복원")</x:f>
        <x:v>복원</x:v>
      </x:c>
      <x:c r="S309" s="37" t="n">
        <x:v>462</x:v>
      </x:c>
      <x:c r="T3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09" s="22" t="str">
        <x:f>A309&amp;"|"&amp;B309</x:f>
        <x:v>병원|C-010111</x:v>
      </x:c>
      <x:c r="V309" s="22" t="n">
        <x:f>IF(M309&gt;0,1,0)</x:f>
        <x:v>1</x:v>
      </x:c>
    </x:row>
    <x:row r="310" ht="28" customHeight="1">
      <x:c r="A310" s="22" t="str">
        <x:v>병원</x:v>
      </x:c>
      <x:c r="B310" s="31" t="str">
        <x:f>"C-010111"</x:f>
        <x:v>C-010111</x:v>
      </x:c>
      <x:c r="C310" s="25" t="str">
        <x:v>010111  DOORS &amp; WINDOWS WORKS-1</x:v>
      </x:c>
      <x:c r="D310" s="25" t="str">
        <x:v>DUST PROOF STRIKE</x:v>
      </x:c>
      <x:c r="E310" s="25" t="str">
        <x:v>489B</x:v>
      </x:c>
      <x:c r="F310" s="22" t="str">
        <x:v>ea</x:v>
      </x:c>
      <x:c r="G310" s="28" t="n">
        <x:v>34</x:v>
      </x:c>
      <x:c r="H310" s="25" t="str">
        <x:v>4530234CF57486DF6239DCDF541</x:v>
      </x:c>
      <x:c r="I310" s="22" t="str">
        <x:v>직접자원단가</x:v>
      </x:c>
      <x:c r="J310" s="34" t="n">
        <x:v>5.295119603051174</x:v>
      </x:c>
      <x:c r="K310" s="34" t="n">
        <x:v>0</x:v>
      </x:c>
      <x:c r="L310" s="34" t="n">
        <x:v>0</x:v>
      </x:c>
      <x:c r="M310" s="34" t="n">
        <x:f>SUM(J310:L310)</x:f>
        <x:v>5.295119603051174</x:v>
      </x:c>
      <x:c r="N310" s="34" t="n">
        <x:f>G310*J310</x:f>
        <x:v>180.03406650373992</x:v>
      </x:c>
      <x:c r="O310" s="34" t="n">
        <x:f>G310*K310</x:f>
        <x:v>0</x:v>
      </x:c>
      <x:c r="P310" s="34" t="n">
        <x:f>G310*L310</x:f>
        <x:v>0</x:v>
      </x:c>
      <x:c r="Q310" s="34" t="n">
        <x:f>SUM(N310:P310)</x:f>
        <x:v>180.03406650373992</x:v>
      </x:c>
      <x:c r="R310" s="22" t="str">
        <x:f>IF(M310&gt;0,"복원","미복원")</x:f>
        <x:v>복원</x:v>
      </x:c>
      <x:c r="S310" s="37" t="n">
        <x:v>463</x:v>
      </x:c>
      <x:c r="T3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0" s="22" t="str">
        <x:f>A310&amp;"|"&amp;B310</x:f>
        <x:v>병원|C-010111</x:v>
      </x:c>
      <x:c r="V310" s="22" t="n">
        <x:f>IF(M310&gt;0,1,0)</x:f>
        <x:v>1</x:v>
      </x:c>
    </x:row>
    <x:row r="311" ht="28" customHeight="1">
      <x:c r="A311" s="22" t="str">
        <x:v>병원</x:v>
      </x:c>
      <x:c r="B311" s="31" t="str">
        <x:f>"C-010111"</x:f>
        <x:v>C-010111</x:v>
      </x:c>
      <x:c r="C311" s="25" t="str">
        <x:v>010111  DOORS &amp; WINDOWS WORKS-1</x:v>
      </x:c>
      <x:c r="D311" s="25" t="str">
        <x:v>FLOOR STOP</x:v>
      </x:c>
      <x:c r="E311" s="25" t="str">
        <x:v>436B</x:v>
      </x:c>
      <x:c r="F311" s="22" t="str">
        <x:v>ea</x:v>
      </x:c>
      <x:c r="G311" s="28" t="n">
        <x:v>147</x:v>
      </x:c>
      <x:c r="H311" s="25" t="str">
        <x:v>4531284DDC776A4702EA22A0C0638FB350148</x:v>
      </x:c>
      <x:c r="I311" s="22" t="str">
        <x:v>직접자원단가</x:v>
      </x:c>
      <x:c r="J311" s="34" t="n">
        <x:v>1</x:v>
      </x:c>
      <x:c r="K311" s="34" t="n">
        <x:v>0</x:v>
      </x:c>
      <x:c r="L311" s="34" t="n">
        <x:v>0</x:v>
      </x:c>
      <x:c r="M311" s="34" t="n">
        <x:f>SUM(J311:L311)</x:f>
        <x:v>1</x:v>
      </x:c>
      <x:c r="N311" s="34" t="n">
        <x:f>G311*J311</x:f>
        <x:v>147</x:v>
      </x:c>
      <x:c r="O311" s="34" t="n">
        <x:f>G311*K311</x:f>
        <x:v>0</x:v>
      </x:c>
      <x:c r="P311" s="34" t="n">
        <x:f>G311*L311</x:f>
        <x:v>0</x:v>
      </x:c>
      <x:c r="Q311" s="34" t="n">
        <x:f>SUM(N311:P311)</x:f>
        <x:v>147</x:v>
      </x:c>
      <x:c r="R311" s="22" t="str">
        <x:f>IF(M311&gt;0,"복원","미복원")</x:f>
        <x:v>복원</x:v>
      </x:c>
      <x:c r="S311" s="37" t="n">
        <x:v>464</x:v>
      </x:c>
      <x:c r="T3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1" s="22" t="str">
        <x:f>A311&amp;"|"&amp;B311</x:f>
        <x:v>병원|C-010111</x:v>
      </x:c>
      <x:c r="V311" s="22" t="n">
        <x:f>IF(M311&gt;0,1,0)</x:f>
        <x:v>1</x:v>
      </x:c>
    </x:row>
    <x:row r="312" ht="28" customHeight="1">
      <x:c r="A312" s="22" t="str">
        <x:v>병원</x:v>
      </x:c>
      <x:c r="B312" s="31" t="str">
        <x:f>"C-010111"</x:f>
        <x:v>C-010111</x:v>
      </x:c>
      <x:c r="C312" s="25" t="str">
        <x:v>010111  DOORS &amp; WINDOWS WORKS-1</x:v>
      </x:c>
      <x:c r="D312" s="25" t="str">
        <x:v>WALL BUMPER</x:v>
      </x:c>
      <x:c r="E312" s="25" t="str">
        <x:v>436B</x:v>
      </x:c>
      <x:c r="F312" s="22" t="str">
        <x:v>ea</x:v>
      </x:c>
      <x:c r="G312" s="28" t="n">
        <x:v>66</x:v>
      </x:c>
      <x:c r="H312" s="25" t="str">
        <x:v>4531284DDC776A4702EA22A0C0638FB350149</x:v>
      </x:c>
      <x:c r="I312" s="22" t="str">
        <x:v>직접자원단가</x:v>
      </x:c>
      <x:c r="J312" s="34" t="n">
        <x:v>1</x:v>
      </x:c>
      <x:c r="K312" s="34" t="n">
        <x:v>0</x:v>
      </x:c>
      <x:c r="L312" s="34" t="n">
        <x:v>0</x:v>
      </x:c>
      <x:c r="M312" s="34" t="n">
        <x:f>SUM(J312:L312)</x:f>
        <x:v>1</x:v>
      </x:c>
      <x:c r="N312" s="34" t="n">
        <x:f>G312*J312</x:f>
        <x:v>66</x:v>
      </x:c>
      <x:c r="O312" s="34" t="n">
        <x:f>G312*K312</x:f>
        <x:v>0</x:v>
      </x:c>
      <x:c r="P312" s="34" t="n">
        <x:f>G312*L312</x:f>
        <x:v>0</x:v>
      </x:c>
      <x:c r="Q312" s="34" t="n">
        <x:f>SUM(N312:P312)</x:f>
        <x:v>66</x:v>
      </x:c>
      <x:c r="R312" s="22" t="str">
        <x:f>IF(M312&gt;0,"복원","미복원")</x:f>
        <x:v>복원</x:v>
      </x:c>
      <x:c r="S312" s="37" t="n">
        <x:v>465</x:v>
      </x:c>
      <x:c r="T3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2" s="22" t="str">
        <x:f>A312&amp;"|"&amp;B312</x:f>
        <x:v>병원|C-010111</x:v>
      </x:c>
      <x:c r="V312" s="22" t="n">
        <x:f>IF(M312&gt;0,1,0)</x:f>
        <x:v>1</x:v>
      </x:c>
    </x:row>
    <x:row r="313" ht="28" customHeight="1">
      <x:c r="A313" s="22" t="str">
        <x:v>병원</x:v>
      </x:c>
      <x:c r="B313" s="31" t="str">
        <x:f>"C-010111"</x:f>
        <x:v>C-010111</x:v>
      </x:c>
      <x:c r="C313" s="25" t="str">
        <x:v>010111  DOORS &amp; WINDOWS WORKS-1</x:v>
      </x:c>
      <x:c r="D313" s="25" t="str">
        <x:v>EXIT DEVICE-RIM TYPE</x:v>
      </x:c>
      <x:c r="E313" s="25" t="str">
        <x:v>F8000</x:v>
      </x:c>
      <x:c r="F313" s="22" t="str">
        <x:v>ea</x:v>
      </x:c>
      <x:c r="G313" s="28" t="n">
        <x:v>12</x:v>
      </x:c>
      <x:c r="H313" s="25" t="str">
        <x:v>4531284DDC776A4702EA22A0C0638FB350146</x:v>
      </x:c>
      <x:c r="I313" s="22" t="str">
        <x:v>직접자원단가</x:v>
      </x:c>
      <x:c r="J313" s="34" t="n">
        <x:v>150</x:v>
      </x:c>
      <x:c r="K313" s="34" t="n">
        <x:v>0</x:v>
      </x:c>
      <x:c r="L313" s="34" t="n">
        <x:v>0</x:v>
      </x:c>
      <x:c r="M313" s="34" t="n">
        <x:f>SUM(J313:L313)</x:f>
        <x:v>150</x:v>
      </x:c>
      <x:c r="N313" s="34" t="n">
        <x:f>G313*J313</x:f>
        <x:v>1800</x:v>
      </x:c>
      <x:c r="O313" s="34" t="n">
        <x:f>G313*K313</x:f>
        <x:v>0</x:v>
      </x:c>
      <x:c r="P313" s="34" t="n">
        <x:f>G313*L313</x:f>
        <x:v>0</x:v>
      </x:c>
      <x:c r="Q313" s="34" t="n">
        <x:f>SUM(N313:P313)</x:f>
        <x:v>1800</x:v>
      </x:c>
      <x:c r="R313" s="22" t="str">
        <x:f>IF(M313&gt;0,"복원","미복원")</x:f>
        <x:v>복원</x:v>
      </x:c>
      <x:c r="S313" s="37" t="n">
        <x:v>466</x:v>
      </x:c>
      <x:c r="T3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3" s="22" t="str">
        <x:f>A313&amp;"|"&amp;B313</x:f>
        <x:v>병원|C-010111</x:v>
      </x:c>
      <x:c r="V313" s="22" t="n">
        <x:f>IF(M313&gt;0,1,0)</x:f>
        <x:v>1</x:v>
      </x:c>
    </x:row>
    <x:row r="314" ht="28" customHeight="1">
      <x:c r="A314" s="22" t="str">
        <x:v>병원</x:v>
      </x:c>
      <x:c r="B314" s="31" t="str">
        <x:f>"C-010111"</x:f>
        <x:v>C-010111</x:v>
      </x:c>
      <x:c r="C314" s="25" t="str">
        <x:v>010111  DOORS &amp; WINDOWS WORKS-1</x:v>
      </x:c>
      <x:c r="D314" s="25" t="str">
        <x:v>FLUSH BOLT-WOOD DOOR</x:v>
      </x:c>
      <x:c r="E314" s="25" t="str">
        <x:v>358B</x:v>
      </x:c>
      <x:c r="F314" s="22" t="str">
        <x:v>ea</x:v>
      </x:c>
      <x:c r="G314" s="28" t="n">
        <x:v>2</x:v>
      </x:c>
      <x:c r="H314" s="25" t="str">
        <x:v>4530234CF57486DF6239DCDF545</x:v>
      </x:c>
      <x:c r="I314" s="22" t="str">
        <x:v>직접자원단가</x:v>
      </x:c>
      <x:c r="J314" s="34" t="n">
        <x:v>17.921943271865512</x:v>
      </x:c>
      <x:c r="K314" s="34" t="n">
        <x:v>0</x:v>
      </x:c>
      <x:c r="L314" s="34" t="n">
        <x:v>0</x:v>
      </x:c>
      <x:c r="M314" s="34" t="n">
        <x:f>SUM(J314:L314)</x:f>
        <x:v>17.921943271865512</x:v>
      </x:c>
      <x:c r="N314" s="34" t="n">
        <x:f>G314*J314</x:f>
        <x:v>35.843886543731024</x:v>
      </x:c>
      <x:c r="O314" s="34" t="n">
        <x:f>G314*K314</x:f>
        <x:v>0</x:v>
      </x:c>
      <x:c r="P314" s="34" t="n">
        <x:f>G314*L314</x:f>
        <x:v>0</x:v>
      </x:c>
      <x:c r="Q314" s="34" t="n">
        <x:f>SUM(N314:P314)</x:f>
        <x:v>35.843886543731024</x:v>
      </x:c>
      <x:c r="R314" s="22" t="str">
        <x:f>IF(M314&gt;0,"복원","미복원")</x:f>
        <x:v>복원</x:v>
      </x:c>
      <x:c r="S314" s="37" t="n">
        <x:v>467</x:v>
      </x:c>
      <x:c r="T3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4" s="22" t="str">
        <x:f>A314&amp;"|"&amp;B314</x:f>
        <x:v>병원|C-010111</x:v>
      </x:c>
      <x:c r="V314" s="22" t="n">
        <x:f>IF(M314&gt;0,1,0)</x:f>
        <x:v>1</x:v>
      </x:c>
    </x:row>
    <x:row r="315" ht="28" customHeight="1">
      <x:c r="A315" s="22" t="str">
        <x:v>병원</x:v>
      </x:c>
      <x:c r="B315" s="31" t="str">
        <x:f>"C-010111"</x:f>
        <x:v>C-010111</x:v>
      </x:c>
      <x:c r="C315" s="25" t="str">
        <x:v>010111  DOORS &amp; WINDOWS WORKS-1</x:v>
      </x:c>
      <x:c r="D315" s="25" t="str">
        <x:v>FLUSH BOLT-12"</x:v>
      </x:c>
      <x:c r="E315" s="25" t="str">
        <x:v>458B</x:v>
      </x:c>
      <x:c r="F315" s="22" t="str">
        <x:v>ea</x:v>
      </x:c>
      <x:c r="G315" s="28" t="n">
        <x:v>16</x:v>
      </x:c>
      <x:c r="H315" s="25" t="str">
        <x:v>4530234CF57486DF6239DCDF546</x:v>
      </x:c>
      <x:c r="I315" s="22" t="str">
        <x:v>직접자원단가</x:v>
      </x:c>
      <x:c r="J315" s="34" t="n">
        <x:v>17.107309486780718</x:v>
      </x:c>
      <x:c r="K315" s="34" t="n">
        <x:v>0</x:v>
      </x:c>
      <x:c r="L315" s="34" t="n">
        <x:v>0</x:v>
      </x:c>
      <x:c r="M315" s="34" t="n">
        <x:f>SUM(J315:L315)</x:f>
        <x:v>17.107309486780718</x:v>
      </x:c>
      <x:c r="N315" s="34" t="n">
        <x:f>G315*J315</x:f>
        <x:v>273.7169517884915</x:v>
      </x:c>
      <x:c r="O315" s="34" t="n">
        <x:f>G315*K315</x:f>
        <x:v>0</x:v>
      </x:c>
      <x:c r="P315" s="34" t="n">
        <x:f>G315*L315</x:f>
        <x:v>0</x:v>
      </x:c>
      <x:c r="Q315" s="34" t="n">
        <x:f>SUM(N315:P315)</x:f>
        <x:v>273.7169517884915</x:v>
      </x:c>
      <x:c r="R315" s="22" t="str">
        <x:f>IF(M315&gt;0,"복원","미복원")</x:f>
        <x:v>복원</x:v>
      </x:c>
      <x:c r="S315" s="37" t="n">
        <x:v>468</x:v>
      </x:c>
      <x:c r="T3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5" s="22" t="str">
        <x:f>A315&amp;"|"&amp;B315</x:f>
        <x:v>병원|C-010111</x:v>
      </x:c>
      <x:c r="V315" s="22" t="n">
        <x:f>IF(M315&gt;0,1,0)</x:f>
        <x:v>1</x:v>
      </x:c>
    </x:row>
    <x:row r="316" ht="28" customHeight="1">
      <x:c r="A316" s="22" t="str">
        <x:v>병원</x:v>
      </x:c>
      <x:c r="B316" s="31" t="str">
        <x:f>"C-010111"</x:f>
        <x:v>C-010111</x:v>
      </x:c>
      <x:c r="C316" s="25" t="str">
        <x:v>010111  DOORS &amp; WINDOWS WORKS-1</x:v>
      </x:c>
      <x:c r="D316" s="25" t="str">
        <x:v>FLOOR HINGE</x:v>
      </x:c>
      <x:c r="E316" s="25" t="str">
        <x:v>HD80</x:v>
      </x:c>
      <x:c r="F316" s="22" t="str">
        <x:v>ea</x:v>
      </x:c>
      <x:c r="G316" s="28" t="n">
        <x:v>16</x:v>
      </x:c>
      <x:c r="H316" s="25" t="str">
        <x:v>4531284DDC776A4702EA22A0C0638FB350147</x:v>
      </x:c>
      <x:c r="I316" s="22" t="str">
        <x:v>직접자원단가</x:v>
      </x:c>
      <x:c r="J316" s="34" t="n">
        <x:v>150</x:v>
      </x:c>
      <x:c r="K316" s="34" t="n">
        <x:v>0</x:v>
      </x:c>
      <x:c r="L316" s="34" t="n">
        <x:v>0</x:v>
      </x:c>
      <x:c r="M316" s="34" t="n">
        <x:f>SUM(J316:L316)</x:f>
        <x:v>150</x:v>
      </x:c>
      <x:c r="N316" s="34" t="n">
        <x:f>G316*J316</x:f>
        <x:v>2400</x:v>
      </x:c>
      <x:c r="O316" s="34" t="n">
        <x:f>G316*K316</x:f>
        <x:v>0</x:v>
      </x:c>
      <x:c r="P316" s="34" t="n">
        <x:f>G316*L316</x:f>
        <x:v>0</x:v>
      </x:c>
      <x:c r="Q316" s="34" t="n">
        <x:f>SUM(N316:P316)</x:f>
        <x:v>2400</x:v>
      </x:c>
      <x:c r="R316" s="22" t="str">
        <x:f>IF(M316&gt;0,"복원","미복원")</x:f>
        <x:v>복원</x:v>
      </x:c>
      <x:c r="S316" s="37" t="n">
        <x:v>469</x:v>
      </x:c>
      <x:c r="T3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6" s="22" t="str">
        <x:f>A316&amp;"|"&amp;B316</x:f>
        <x:v>병원|C-010111</x:v>
      </x:c>
      <x:c r="V316" s="22" t="n">
        <x:f>IF(M316&gt;0,1,0)</x:f>
        <x:v>1</x:v>
      </x:c>
    </x:row>
    <x:row r="317" ht="28" customHeight="1">
      <x:c r="A317" s="22" t="str">
        <x:v>병원</x:v>
      </x:c>
      <x:c r="B317" s="31" t="str">
        <x:f>"C-010111"</x:f>
        <x:v>C-010111</x:v>
      </x:c>
      <x:c r="C317" s="25" t="str">
        <x:v>010111  DOORS &amp; WINDOWS WORKS-1</x:v>
      </x:c>
      <x:c r="D317" s="25" t="str">
        <x:v>FLOOR HINGE</x:v>
      </x:c>
      <x:c r="E317" s="25" t="str">
        <x:v>HD850</x:v>
      </x:c>
      <x:c r="F317" s="22" t="str">
        <x:v>ea</x:v>
      </x:c>
      <x:c r="G317" s="28" t="n">
        <x:v>17</x:v>
      </x:c>
      <x:c r="H317" s="25" t="str">
        <x:v>4530234CF57486DF6239DCDF548</x:v>
      </x:c>
      <x:c r="I317" s="22" t="str">
        <x:v>직접자원단가</x:v>
      </x:c>
      <x:c r="J317" s="34" t="n">
        <x:v>123.00970154780421</x:v>
      </x:c>
      <x:c r="K317" s="34" t="n">
        <x:v>0</x:v>
      </x:c>
      <x:c r="L317" s="34" t="n">
        <x:v>0</x:v>
      </x:c>
      <x:c r="M317" s="34" t="n">
        <x:f>SUM(J317:L317)</x:f>
        <x:v>123.00970154780421</x:v>
      </x:c>
      <x:c r="N317" s="34" t="n">
        <x:f>G317*J317</x:f>
        <x:v>2091.1649263126715</x:v>
      </x:c>
      <x:c r="O317" s="34" t="n">
        <x:f>G317*K317</x:f>
        <x:v>0</x:v>
      </x:c>
      <x:c r="P317" s="34" t="n">
        <x:f>G317*L317</x:f>
        <x:v>0</x:v>
      </x:c>
      <x:c r="Q317" s="34" t="n">
        <x:f>SUM(N317:P317)</x:f>
        <x:v>2091.1649263126715</x:v>
      </x:c>
      <x:c r="R317" s="22" t="str">
        <x:f>IF(M317&gt;0,"복원","미복원")</x:f>
        <x:v>복원</x:v>
      </x:c>
      <x:c r="S317" s="37" t="n">
        <x:v>470</x:v>
      </x:c>
      <x:c r="T3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7" s="22" t="str">
        <x:f>A317&amp;"|"&amp;B317</x:f>
        <x:v>병원|C-010111</x:v>
      </x:c>
      <x:c r="V317" s="22" t="n">
        <x:f>IF(M317&gt;0,1,0)</x:f>
        <x:v>1</x:v>
      </x:c>
    </x:row>
    <x:row r="318" ht="28" customHeight="1">
      <x:c r="A318" s="22" t="str">
        <x:v>병원</x:v>
      </x:c>
      <x:c r="B318" s="31" t="str">
        <x:f>"C-010111"</x:f>
        <x:v>C-010111</x:v>
      </x:c>
      <x:c r="C318" s="25" t="str">
        <x:v>010111  DOORS &amp; WINDOWS WORKS-1</x:v>
      </x:c>
      <x:c r="D318" s="25" t="str">
        <x:v>FLUSH RING W/INTERGRAL LATCH</x:v>
      </x:c>
      <x:c r="E318" s="25" t="str">
        <x:v>5014P</x:v>
      </x:c>
      <x:c r="F318" s="22" t="str">
        <x:v>ea</x:v>
      </x:c>
      <x:c r="G318" s="28" t="n">
        <x:v>13</x:v>
      </x:c>
      <x:c r="H318" s="25" t="str">
        <x:v>4530234CF57486DF6239DCDF549</x:v>
      </x:c>
      <x:c r="I318" s="22" t="str">
        <x:v>직접자원단가</x:v>
      </x:c>
      <x:c r="J318" s="34" t="n">
        <x:v>41.5463230393246</x:v>
      </x:c>
      <x:c r="K318" s="34" t="n">
        <x:v>0</x:v>
      </x:c>
      <x:c r="L318" s="34" t="n">
        <x:v>0</x:v>
      </x:c>
      <x:c r="M318" s="34" t="n">
        <x:f>SUM(J318:L318)</x:f>
        <x:v>41.5463230393246</x:v>
      </x:c>
      <x:c r="N318" s="34" t="n">
        <x:f>G318*J318</x:f>
        <x:v>540.1021995112197</x:v>
      </x:c>
      <x:c r="O318" s="34" t="n">
        <x:f>G318*K318</x:f>
        <x:v>0</x:v>
      </x:c>
      <x:c r="P318" s="34" t="n">
        <x:f>G318*L318</x:f>
        <x:v>0</x:v>
      </x:c>
      <x:c r="Q318" s="34" t="n">
        <x:f>SUM(N318:P318)</x:f>
        <x:v>540.1021995112197</x:v>
      </x:c>
      <x:c r="R318" s="22" t="str">
        <x:f>IF(M318&gt;0,"복원","미복원")</x:f>
        <x:v>복원</x:v>
      </x:c>
      <x:c r="S318" s="37" t="n">
        <x:v>471</x:v>
      </x:c>
      <x:c r="T3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8" s="22" t="str">
        <x:f>A318&amp;"|"&amp;B318</x:f>
        <x:v>병원|C-010111</x:v>
      </x:c>
      <x:c r="V318" s="22" t="n">
        <x:f>IF(M318&gt;0,1,0)</x:f>
        <x:v>1</x:v>
      </x:c>
    </x:row>
    <x:row r="319" ht="28" customHeight="1">
      <x:c r="A319" s="22" t="str">
        <x:v>병원</x:v>
      </x:c>
      <x:c r="B319" s="31" t="str">
        <x:f>"C-010111"</x:f>
        <x:v>C-010111</x:v>
      </x:c>
      <x:c r="C319" s="25" t="str">
        <x:v>010111  DOORS &amp; WINDOWS WORKS-1</x:v>
      </x:c>
      <x:c r="D319" s="25" t="str">
        <x:v>LEVER SET</x:v>
      </x:c>
      <x:c r="E319" s="25" t="str">
        <x:v>LH001</x:v>
      </x:c>
      <x:c r="F319" s="22" t="str">
        <x:v>ea</x:v>
      </x:c>
      <x:c r="G319" s="28" t="n">
        <x:v>197</x:v>
      </x:c>
      <x:c r="H319" s="25" t="str">
        <x:v>4531284DDC776A4702EA22A0C0638FB3500A7</x:v>
      </x:c>
      <x:c r="I319" s="22" t="str">
        <x:v>직접자원단가</x:v>
      </x:c>
      <x:c r="J319" s="34" t="n">
        <x:v>25</x:v>
      </x:c>
      <x:c r="K319" s="34" t="n">
        <x:v>0</x:v>
      </x:c>
      <x:c r="L319" s="34" t="n">
        <x:v>0</x:v>
      </x:c>
      <x:c r="M319" s="34" t="n">
        <x:f>SUM(J319:L319)</x:f>
        <x:v>25</x:v>
      </x:c>
      <x:c r="N319" s="34" t="n">
        <x:f>G319*J319</x:f>
        <x:v>4925</x:v>
      </x:c>
      <x:c r="O319" s="34" t="n">
        <x:f>G319*K319</x:f>
        <x:v>0</x:v>
      </x:c>
      <x:c r="P319" s="34" t="n">
        <x:f>G319*L319</x:f>
        <x:v>0</x:v>
      </x:c>
      <x:c r="Q319" s="34" t="n">
        <x:f>SUM(N319:P319)</x:f>
        <x:v>4925</x:v>
      </x:c>
      <x:c r="R319" s="22" t="str">
        <x:f>IF(M319&gt;0,"복원","미복원")</x:f>
        <x:v>복원</x:v>
      </x:c>
      <x:c r="S319" s="37" t="n">
        <x:v>472</x:v>
      </x:c>
      <x:c r="T3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19" s="22" t="str">
        <x:f>A319&amp;"|"&amp;B319</x:f>
        <x:v>병원|C-010111</x:v>
      </x:c>
      <x:c r="V319" s="22" t="n">
        <x:f>IF(M319&gt;0,1,0)</x:f>
        <x:v>1</x:v>
      </x:c>
    </x:row>
    <x:row r="320" ht="28" customHeight="1">
      <x:c r="A320" s="22" t="str">
        <x:v>병원</x:v>
      </x:c>
      <x:c r="B320" s="31" t="str">
        <x:f>"C-010111"</x:f>
        <x:v>C-010111</x:v>
      </x:c>
      <x:c r="C320" s="25" t="str">
        <x:v>010111  DOORS &amp; WINDOWS WORKS-1</x:v>
      </x:c>
      <x:c r="D320" s="25" t="str">
        <x:v>DUMMY LEVER SET</x:v>
      </x:c>
      <x:c r="E320" s="25" t="str">
        <x:v>LH001DT</x:v>
      </x:c>
      <x:c r="F320" s="22" t="str">
        <x:v>ea</x:v>
      </x:c>
      <x:c r="G320" s="28" t="n">
        <x:v>9</x:v>
      </x:c>
      <x:c r="H320" s="25" t="str">
        <x:v>4531284DDC776A4702EA22A0C0638FB3500A6</x:v>
      </x:c>
      <x:c r="I320" s="22" t="str">
        <x:v>직접자원단가</x:v>
      </x:c>
      <x:c r="J320" s="34" t="n">
        <x:v>25</x:v>
      </x:c>
      <x:c r="K320" s="34" t="n">
        <x:v>0</x:v>
      </x:c>
      <x:c r="L320" s="34" t="n">
        <x:v>0</x:v>
      </x:c>
      <x:c r="M320" s="34" t="n">
        <x:f>SUM(J320:L320)</x:f>
        <x:v>25</x:v>
      </x:c>
      <x:c r="N320" s="34" t="n">
        <x:f>G320*J320</x:f>
        <x:v>225</x:v>
      </x:c>
      <x:c r="O320" s="34" t="n">
        <x:f>G320*K320</x:f>
        <x:v>0</x:v>
      </x:c>
      <x:c r="P320" s="34" t="n">
        <x:f>G320*L320</x:f>
        <x:v>0</x:v>
      </x:c>
      <x:c r="Q320" s="34" t="n">
        <x:f>SUM(N320:P320)</x:f>
        <x:v>225</x:v>
      </x:c>
      <x:c r="R320" s="22" t="str">
        <x:f>IF(M320&gt;0,"복원","미복원")</x:f>
        <x:v>복원</x:v>
      </x:c>
      <x:c r="S320" s="37" t="n">
        <x:v>473</x:v>
      </x:c>
      <x:c r="T3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0" s="22" t="str">
        <x:f>A320&amp;"|"&amp;B320</x:f>
        <x:v>병원|C-010111</x:v>
      </x:c>
      <x:c r="V320" s="22" t="n">
        <x:f>IF(M320&gt;0,1,0)</x:f>
        <x:v>1</x:v>
      </x:c>
    </x:row>
    <x:row r="321" ht="28" customHeight="1">
      <x:c r="A321" s="22" t="str">
        <x:v>병원</x:v>
      </x:c>
      <x:c r="B321" s="31" t="str">
        <x:f>"C-010111"</x:f>
        <x:v>C-010111</x:v>
      </x:c>
      <x:c r="C321" s="25" t="str">
        <x:v>010111  DOORS &amp; WINDOWS WORKS-1</x:v>
      </x:c>
      <x:c r="D321" s="25" t="str">
        <x:v>MORTISE DEADLOCK</x:v>
      </x:c>
      <x:c r="E321" s="25" t="str">
        <x:v>EZ-300 * T/T * GMK</x:v>
      </x:c>
      <x:c r="F321" s="22" t="str">
        <x:v>ea</x:v>
      </x:c>
      <x:c r="G321" s="28" t="n">
        <x:v>13</x:v>
      </x:c>
      <x:c r="H321" s="25" t="str">
        <x:v>4530234CF57486DF6239DCDF4B9</x:v>
      </x:c>
      <x:c r="I321" s="22" t="str">
        <x:v>직접자원단가</x:v>
      </x:c>
      <x:c r="J321" s="34" t="n">
        <x:v>71.68777308746205</x:v>
      </x:c>
      <x:c r="K321" s="34" t="n">
        <x:v>0</x:v>
      </x:c>
      <x:c r="L321" s="34" t="n">
        <x:v>0</x:v>
      </x:c>
      <x:c r="M321" s="34" t="n">
        <x:f>SUM(J321:L321)</x:f>
        <x:v>71.68777308746205</x:v>
      </x:c>
      <x:c r="N321" s="34" t="n">
        <x:f>G321*J321</x:f>
        <x:v>931.9410501370066</x:v>
      </x:c>
      <x:c r="O321" s="34" t="n">
        <x:f>G321*K321</x:f>
        <x:v>0</x:v>
      </x:c>
      <x:c r="P321" s="34" t="n">
        <x:f>G321*L321</x:f>
        <x:v>0</x:v>
      </x:c>
      <x:c r="Q321" s="34" t="n">
        <x:f>SUM(N321:P321)</x:f>
        <x:v>931.9410501370066</x:v>
      </x:c>
      <x:c r="R321" s="22" t="str">
        <x:f>IF(M321&gt;0,"복원","미복원")</x:f>
        <x:v>복원</x:v>
      </x:c>
      <x:c r="S321" s="37" t="n">
        <x:v>474</x:v>
      </x:c>
      <x:c r="T3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1" s="22" t="str">
        <x:f>A321&amp;"|"&amp;B321</x:f>
        <x:v>병원|C-010111</x:v>
      </x:c>
      <x:c r="V321" s="22" t="n">
        <x:f>IF(M321&gt;0,1,0)</x:f>
        <x:v>1</x:v>
      </x:c>
    </x:row>
    <x:row r="322" ht="28" customHeight="1">
      <x:c r="A322" s="22" t="str">
        <x:v>병원</x:v>
      </x:c>
      <x:c r="B322" s="31" t="str">
        <x:f>"C-010111"</x:f>
        <x:v>C-010111</x:v>
      </x:c>
      <x:c r="C322" s="25" t="str">
        <x:v>010111  DOORS &amp; WINDOWS WORKS-1</x:v>
      </x:c>
      <x:c r="D322" s="25" t="str">
        <x:v>EUROPEAN MORTISE LOCK - ENTRANCE</x:v>
      </x:c>
      <x:c r="E322" s="25" t="str">
        <x:v>ML01 * GMK</x:v>
      </x:c>
      <x:c r="F322" s="22" t="str">
        <x:v>ea</x:v>
      </x:c>
      <x:c r="G322" s="28" t="n">
        <x:v>147</x:v>
      </x:c>
      <x:c r="H322" s="25" t="str">
        <x:v>4531284DDC776A4702EA22A0C0638FB3500A5</x:v>
      </x:c>
      <x:c r="I322" s="22" t="str">
        <x:v>직접자원단가</x:v>
      </x:c>
      <x:c r="J322" s="34" t="n">
        <x:v>30</x:v>
      </x:c>
      <x:c r="K322" s="34" t="n">
        <x:v>0</x:v>
      </x:c>
      <x:c r="L322" s="34" t="n">
        <x:v>0</x:v>
      </x:c>
      <x:c r="M322" s="34" t="n">
        <x:f>SUM(J322:L322)</x:f>
        <x:v>30</x:v>
      </x:c>
      <x:c r="N322" s="34" t="n">
        <x:f>G322*J322</x:f>
        <x:v>4410</x:v>
      </x:c>
      <x:c r="O322" s="34" t="n">
        <x:f>G322*K322</x:f>
        <x:v>0</x:v>
      </x:c>
      <x:c r="P322" s="34" t="n">
        <x:f>G322*L322</x:f>
        <x:v>0</x:v>
      </x:c>
      <x:c r="Q322" s="34" t="n">
        <x:f>SUM(N322:P322)</x:f>
        <x:v>4410</x:v>
      </x:c>
      <x:c r="R322" s="22" t="str">
        <x:f>IF(M322&gt;0,"복원","미복원")</x:f>
        <x:v>복원</x:v>
      </x:c>
      <x:c r="S322" s="37" t="n">
        <x:v>475</x:v>
      </x:c>
      <x:c r="T3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2" s="22" t="str">
        <x:f>A322&amp;"|"&amp;B322</x:f>
        <x:v>병원|C-010111</x:v>
      </x:c>
      <x:c r="V322" s="22" t="n">
        <x:f>IF(M322&gt;0,1,0)</x:f>
        <x:v>1</x:v>
      </x:c>
    </x:row>
    <x:row r="323" ht="28" customHeight="1">
      <x:c r="A323" s="22" t="str">
        <x:v>병원</x:v>
      </x:c>
      <x:c r="B323" s="31" t="str">
        <x:f>"C-010111"</x:f>
        <x:v>C-010111</x:v>
      </x:c>
      <x:c r="C323" s="25" t="str">
        <x:v>010111  DOORS &amp; WINDOWS WORKS-1</x:v>
      </x:c>
      <x:c r="D323" s="25" t="str">
        <x:v>EUROPEAN MORTISE LOCK - INDICATOR</x:v>
      </x:c>
      <x:c r="E323" s="25" t="str">
        <x:v>ML07 * DDIK002</x:v>
      </x:c>
      <x:c r="F323" s="22" t="str">
        <x:v>ea</x:v>
      </x:c>
      <x:c r="G323" s="28" t="n">
        <x:v>48</x:v>
      </x:c>
      <x:c r="H323" s="25" t="str">
        <x:v>4531284DDC776A4702EA22A0C0638FB3500A4</x:v>
      </x:c>
      <x:c r="I323" s="22" t="str">
        <x:v>직접자원단가</x:v>
      </x:c>
      <x:c r="J323" s="34" t="n">
        <x:v>30</x:v>
      </x:c>
      <x:c r="K323" s="34" t="n">
        <x:v>0</x:v>
      </x:c>
      <x:c r="L323" s="34" t="n">
        <x:v>0</x:v>
      </x:c>
      <x:c r="M323" s="34" t="n">
        <x:f>SUM(J323:L323)</x:f>
        <x:v>30</x:v>
      </x:c>
      <x:c r="N323" s="34" t="n">
        <x:f>G323*J323</x:f>
        <x:v>1440</x:v>
      </x:c>
      <x:c r="O323" s="34" t="n">
        <x:f>G323*K323</x:f>
        <x:v>0</x:v>
      </x:c>
      <x:c r="P323" s="34" t="n">
        <x:f>G323*L323</x:f>
        <x:v>0</x:v>
      </x:c>
      <x:c r="Q323" s="34" t="n">
        <x:f>SUM(N323:P323)</x:f>
        <x:v>1440</x:v>
      </x:c>
      <x:c r="R323" s="22" t="str">
        <x:f>IF(M323&gt;0,"복원","미복원")</x:f>
        <x:v>복원</x:v>
      </x:c>
      <x:c r="S323" s="37" t="n">
        <x:v>476</x:v>
      </x:c>
      <x:c r="T3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3" s="22" t="str">
        <x:f>A323&amp;"|"&amp;B323</x:f>
        <x:v>병원|C-010111</x:v>
      </x:c>
      <x:c r="V323" s="22" t="n">
        <x:f>IF(M323&gt;0,1,0)</x:f>
        <x:v>1</x:v>
      </x:c>
    </x:row>
    <x:row r="324" ht="28" customHeight="1">
      <x:c r="A324" s="22" t="str">
        <x:v>병원</x:v>
      </x:c>
      <x:c r="B324" s="31" t="str">
        <x:f>"C-010111"</x:f>
        <x:v>C-010111</x:v>
      </x:c>
      <x:c r="C324" s="25" t="str">
        <x:v>010111  DOORS &amp; WINDOWS WORKS-1</x:v>
      </x:c>
      <x:c r="D324" s="25" t="str">
        <x:v>EUROPEAN MORTISE LOCK - PASSAGE</x:v>
      </x:c>
      <x:c r="E324" s="25" t="str">
        <x:v>ML04</x:v>
      </x:c>
      <x:c r="F324" s="22" t="str">
        <x:v>ea</x:v>
      </x:c>
      <x:c r="G324" s="28" t="n">
        <x:v>2</x:v>
      </x:c>
      <x:c r="H324" s="25" t="str">
        <x:v>4531284DDC776A4702EA22A0C0638FB3500A3</x:v>
      </x:c>
      <x:c r="I324" s="22" t="str">
        <x:v>직접자원단가</x:v>
      </x:c>
      <x:c r="J324" s="34" t="n">
        <x:v>30</x:v>
      </x:c>
      <x:c r="K324" s="34" t="n">
        <x:v>0</x:v>
      </x:c>
      <x:c r="L324" s="34" t="n">
        <x:v>0</x:v>
      </x:c>
      <x:c r="M324" s="34" t="n">
        <x:f>SUM(J324:L324)</x:f>
        <x:v>30</x:v>
      </x:c>
      <x:c r="N324" s="34" t="n">
        <x:f>G324*J324</x:f>
        <x:v>60</x:v>
      </x:c>
      <x:c r="O324" s="34" t="n">
        <x:f>G324*K324</x:f>
        <x:v>0</x:v>
      </x:c>
      <x:c r="P324" s="34" t="n">
        <x:f>G324*L324</x:f>
        <x:v>0</x:v>
      </x:c>
      <x:c r="Q324" s="34" t="n">
        <x:f>SUM(N324:P324)</x:f>
        <x:v>60</x:v>
      </x:c>
      <x:c r="R324" s="22" t="str">
        <x:f>IF(M324&gt;0,"복원","미복원")</x:f>
        <x:v>복원</x:v>
      </x:c>
      <x:c r="S324" s="37" t="n">
        <x:v>477</x:v>
      </x:c>
      <x:c r="T3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4" s="22" t="str">
        <x:f>A324&amp;"|"&amp;B324</x:f>
        <x:v>병원|C-010111</x:v>
      </x:c>
      <x:c r="V324" s="22" t="n">
        <x:f>IF(M324&gt;0,1,0)</x:f>
        <x:v>1</x:v>
      </x:c>
    </x:row>
    <x:row r="325" ht="28" customHeight="1">
      <x:c r="A325" s="22" t="str">
        <x:v>병원</x:v>
      </x:c>
      <x:c r="B325" s="31" t="str">
        <x:f>"C-010111"</x:f>
        <x:v>C-010111</x:v>
      </x:c>
      <x:c r="C325" s="25" t="str">
        <x:v>010111  DOORS &amp; WINDOWS WORKS-1</x:v>
      </x:c>
      <x:c r="D325" s="25" t="str">
        <x:v>OUTSIDE TRIM-F08</x:v>
      </x:c>
      <x:c r="E325" s="25" t="str">
        <x:v>TO-009-00 * GMK</x:v>
      </x:c>
      <x:c r="F325" s="22" t="str">
        <x:v>ea</x:v>
      </x:c>
      <x:c r="G325" s="28" t="n">
        <x:v>12</x:v>
      </x:c>
      <x:c r="H325" s="25" t="str">
        <x:v>4530234CF57486DF6239DCDF4BD</x:v>
      </x:c>
      <x:c r="I325" s="22" t="str">
        <x:v>직접자원단가</x:v>
      </x:c>
      <x:c r="J325" s="34" t="n">
        <x:v>208.5462489817078</x:v>
      </x:c>
      <x:c r="K325" s="34" t="n">
        <x:v>0</x:v>
      </x:c>
      <x:c r="L325" s="34" t="n">
        <x:v>0</x:v>
      </x:c>
      <x:c r="M325" s="34" t="n">
        <x:f>SUM(J325:L325)</x:f>
        <x:v>208.5462489817078</x:v>
      </x:c>
      <x:c r="N325" s="34" t="n">
        <x:f>G325*J325</x:f>
        <x:v>2502.554987780494</x:v>
      </x:c>
      <x:c r="O325" s="34" t="n">
        <x:f>G325*K325</x:f>
        <x:v>0</x:v>
      </x:c>
      <x:c r="P325" s="34" t="n">
        <x:f>G325*L325</x:f>
        <x:v>0</x:v>
      </x:c>
      <x:c r="Q325" s="34" t="n">
        <x:f>SUM(N325:P325)</x:f>
        <x:v>2502.554987780494</x:v>
      </x:c>
      <x:c r="R325" s="22" t="str">
        <x:f>IF(M325&gt;0,"복원","미복원")</x:f>
        <x:v>복원</x:v>
      </x:c>
      <x:c r="S325" s="37" t="n">
        <x:v>478</x:v>
      </x:c>
      <x:c r="T3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5" s="22" t="str">
        <x:f>A325&amp;"|"&amp;B325</x:f>
        <x:v>병원|C-010111</x:v>
      </x:c>
      <x:c r="V325" s="22" t="n">
        <x:f>IF(M325&gt;0,1,0)</x:f>
        <x:v>1</x:v>
      </x:c>
    </x:row>
    <x:row r="326" ht="28" customHeight="1">
      <x:c r="A326" s="22" t="str">
        <x:v>병원</x:v>
      </x:c>
      <x:c r="B326" s="31" t="str">
        <x:f>"C-010111"</x:f>
        <x:v>C-010111</x:v>
      </x:c>
      <x:c r="C326" s="25" t="str">
        <x:v>010111  DOORS &amp; WINDOWS WORKS-1</x:v>
      </x:c>
      <x:c r="D326" s="25" t="str">
        <x:v>KEY CABINET BOX</x:v>
      </x:c>
      <x:c r="E326" s="25" t="str">
        <x:v>ST-200</x:v>
      </x:c>
      <x:c r="F326" s="22" t="str">
        <x:v>ea</x:v>
      </x:c>
      <x:c r="G326" s="28" t="n">
        <x:v>1</x:v>
      </x:c>
      <x:c r="H326" s="25" t="str">
        <x:v>4530234CF57486DF6239DCDF4B2</x:v>
      </x:c>
      <x:c r="I326" s="22" t="str">
        <x:v>직접자원단가</x:v>
      </x:c>
      <x:c r="J326" s="34" t="n">
        <x:v>309.5608383322225</x:v>
      </x:c>
      <x:c r="K326" s="34" t="n">
        <x:v>0</x:v>
      </x:c>
      <x:c r="L326" s="34" t="n">
        <x:v>0</x:v>
      </x:c>
      <x:c r="M326" s="34" t="n">
        <x:f>SUM(J326:L326)</x:f>
        <x:v>309.5608383322225</x:v>
      </x:c>
      <x:c r="N326" s="34" t="n">
        <x:f>G326*J326</x:f>
        <x:v>309.5608383322225</x:v>
      </x:c>
      <x:c r="O326" s="34" t="n">
        <x:f>G326*K326</x:f>
        <x:v>0</x:v>
      </x:c>
      <x:c r="P326" s="34" t="n">
        <x:f>G326*L326</x:f>
        <x:v>0</x:v>
      </x:c>
      <x:c r="Q326" s="34" t="n">
        <x:f>SUM(N326:P326)</x:f>
        <x:v>309.5608383322225</x:v>
      </x:c>
      <x:c r="R326" s="22" t="str">
        <x:f>IF(M326&gt;0,"복원","미복원")</x:f>
        <x:v>복원</x:v>
      </x:c>
      <x:c r="S326" s="37" t="n">
        <x:v>479</x:v>
      </x:c>
      <x:c r="T3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6" s="22" t="str">
        <x:f>A326&amp;"|"&amp;B326</x:f>
        <x:v>병원|C-010111</x:v>
      </x:c>
      <x:c r="V326" s="22" t="n">
        <x:f>IF(M326&gt;0,1,0)</x:f>
        <x:v>1</x:v>
      </x:c>
    </x:row>
    <x:row r="327" ht="28" customHeight="1">
      <x:c r="A327" s="22" t="str">
        <x:v>병원</x:v>
      </x:c>
      <x:c r="B327" s="31" t="str">
        <x:f>"C-010111"</x:f>
        <x:v>C-010111</x:v>
      </x:c>
      <x:c r="C327" s="25" t="str">
        <x:v>010111  DOORS &amp; WINDOWS WORKS-1</x:v>
      </x:c>
      <x:c r="D327" s="25" t="str">
        <x:v>2. LEAD SHIELD DOOR(SINGLE)</x:v>
      </x:c>
      <x:c r="E327" s="25" t="str">
        <x:v>1000*2200*2.0T</x:v>
      </x:c>
      <x:c r="F327" s="22" t="str">
        <x:v>SET</x:v>
      </x:c>
      <x:c r="G327" s="28" t="n">
        <x:v>3</x:v>
      </x:c>
      <x:c r="H327" s="25" t="str">
        <x:v>4531284DDC776A4702EA22A0C0638FB3500A1</x:v>
      </x:c>
      <x:c r="I327" s="22" t="str">
        <x:v>직접자원단가</x:v>
      </x:c>
      <x:c r="J327" s="34" t="n">
        <x:v>800</x:v>
      </x:c>
      <x:c r="K327" s="34" t="n">
        <x:v>0</x:v>
      </x:c>
      <x:c r="L327" s="34" t="n">
        <x:v>0</x:v>
      </x:c>
      <x:c r="M327" s="34" t="n">
        <x:f>SUM(J327:L327)</x:f>
        <x:v>800</x:v>
      </x:c>
      <x:c r="N327" s="34" t="n">
        <x:f>G327*J327</x:f>
        <x:v>2400</x:v>
      </x:c>
      <x:c r="O327" s="34" t="n">
        <x:f>G327*K327</x:f>
        <x:v>0</x:v>
      </x:c>
      <x:c r="P327" s="34" t="n">
        <x:f>G327*L327</x:f>
        <x:v>0</x:v>
      </x:c>
      <x:c r="Q327" s="34" t="n">
        <x:f>SUM(N327:P327)</x:f>
        <x:v>2400</x:v>
      </x:c>
      <x:c r="R327" s="22" t="str">
        <x:f>IF(M327&gt;0,"복원","미복원")</x:f>
        <x:v>복원</x:v>
      </x:c>
      <x:c r="S327" s="37" t="n">
        <x:v>480</x:v>
      </x:c>
      <x:c r="T3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7" s="22" t="str">
        <x:f>A327&amp;"|"&amp;B327</x:f>
        <x:v>병원|C-010111</x:v>
      </x:c>
      <x:c r="V327" s="22" t="n">
        <x:f>IF(M327&gt;0,1,0)</x:f>
        <x:v>1</x:v>
      </x:c>
    </x:row>
    <x:row r="328" ht="28" customHeight="1">
      <x:c r="A328" s="22" t="str">
        <x:v>병원</x:v>
      </x:c>
      <x:c r="B328" s="31" t="str">
        <x:f>"C-010111"</x:f>
        <x:v>C-010111</x:v>
      </x:c>
      <x:c r="C328" s="25" t="str">
        <x:v>010111  DOORS &amp; WINDOWS WORKS-1</x:v>
      </x:c>
      <x:c r="D328" s="25" t="str">
        <x:v>3. LEAD SHIELD DOOR(SINGLE)</x:v>
      </x:c>
      <x:c r="E328" s="25" t="str">
        <x:v>1200*2200*2.0T</x:v>
      </x:c>
      <x:c r="F328" s="22" t="str">
        <x:v>SET</x:v>
      </x:c>
      <x:c r="G328" s="28" t="n">
        <x:v>1</x:v>
      </x:c>
      <x:c r="H328" s="25" t="str">
        <x:v>4531284DDC776A4702EA22A0C0638FB3500A0</x:v>
      </x:c>
      <x:c r="I328" s="22" t="str">
        <x:v>직접자원단가</x:v>
      </x:c>
      <x:c r="J328" s="34" t="n">
        <x:v>1000</x:v>
      </x:c>
      <x:c r="K328" s="34" t="n">
        <x:v>0</x:v>
      </x:c>
      <x:c r="L328" s="34" t="n">
        <x:v>0</x:v>
      </x:c>
      <x:c r="M328" s="34" t="n">
        <x:f>SUM(J328:L328)</x:f>
        <x:v>1000</x:v>
      </x:c>
      <x:c r="N328" s="34" t="n">
        <x:f>G328*J328</x:f>
        <x:v>1000</x:v>
      </x:c>
      <x:c r="O328" s="34" t="n">
        <x:f>G328*K328</x:f>
        <x:v>0</x:v>
      </x:c>
      <x:c r="P328" s="34" t="n">
        <x:f>G328*L328</x:f>
        <x:v>0</x:v>
      </x:c>
      <x:c r="Q328" s="34" t="n">
        <x:f>SUM(N328:P328)</x:f>
        <x:v>1000</x:v>
      </x:c>
      <x:c r="R328" s="22" t="str">
        <x:f>IF(M328&gt;0,"복원","미복원")</x:f>
        <x:v>복원</x:v>
      </x:c>
      <x:c r="S328" s="37" t="n">
        <x:v>481</x:v>
      </x:c>
      <x:c r="T3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8" s="22" t="str">
        <x:f>A328&amp;"|"&amp;B328</x:f>
        <x:v>병원|C-010111</x:v>
      </x:c>
      <x:c r="V328" s="22" t="n">
        <x:f>IF(M328&gt;0,1,0)</x:f>
        <x:v>1</x:v>
      </x:c>
    </x:row>
    <x:row r="329" ht="28" customHeight="1">
      <x:c r="A329" s="22" t="str">
        <x:v>병원</x:v>
      </x:c>
      <x:c r="B329" s="31" t="str">
        <x:f>"C-010111"</x:f>
        <x:v>C-010111</x:v>
      </x:c>
      <x:c r="C329" s="25" t="str">
        <x:v>010111  DOORS &amp; WINDOWS WORKS-1</x:v>
      </x:c>
      <x:c r="D329" s="25" t="str">
        <x:v>4. LEAD GLASS</x:v>
      </x:c>
      <x:c r="E329" s="25" t="str">
        <x:v>1800*800</x:v>
      </x:c>
      <x:c r="F329" s="22" t="str">
        <x:v>EA</x:v>
      </x:c>
      <x:c r="G329" s="28" t="n">
        <x:v>2</x:v>
      </x:c>
      <x:c r="H329" s="25" t="str">
        <x:v>4531284DDC776A4702EA22A0C0638FB3500AF</x:v>
      </x:c>
      <x:c r="I329" s="22" t="str">
        <x:v>직접자원단가</x:v>
      </x:c>
      <x:c r="J329" s="34" t="n">
        <x:v>1300</x:v>
      </x:c>
      <x:c r="K329" s="34" t="n">
        <x:v>0</x:v>
      </x:c>
      <x:c r="L329" s="34" t="n">
        <x:v>0</x:v>
      </x:c>
      <x:c r="M329" s="34" t="n">
        <x:f>SUM(J329:L329)</x:f>
        <x:v>1300</x:v>
      </x:c>
      <x:c r="N329" s="34" t="n">
        <x:f>G329*J329</x:f>
        <x:v>2600</x:v>
      </x:c>
      <x:c r="O329" s="34" t="n">
        <x:f>G329*K329</x:f>
        <x:v>0</x:v>
      </x:c>
      <x:c r="P329" s="34" t="n">
        <x:f>G329*L329</x:f>
        <x:v>0</x:v>
      </x:c>
      <x:c r="Q329" s="34" t="n">
        <x:f>SUM(N329:P329)</x:f>
        <x:v>2600</x:v>
      </x:c>
      <x:c r="R329" s="22" t="str">
        <x:f>IF(M329&gt;0,"복원","미복원")</x:f>
        <x:v>복원</x:v>
      </x:c>
      <x:c r="S329" s="37" t="n">
        <x:v>482</x:v>
      </x:c>
      <x:c r="T3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29" s="22" t="str">
        <x:f>A329&amp;"|"&amp;B329</x:f>
        <x:v>병원|C-010111</x:v>
      </x:c>
      <x:c r="V329" s="22" t="n">
        <x:f>IF(M329&gt;0,1,0)</x:f>
        <x:v>1</x:v>
      </x:c>
    </x:row>
    <x:row r="330" ht="28" customHeight="1">
      <x:c r="A330" s="22" t="str">
        <x:v>병원</x:v>
      </x:c>
      <x:c r="B330" s="31" t="str">
        <x:f>"C-010111"</x:f>
        <x:v>C-010111</x:v>
      </x:c>
      <x:c r="C330" s="25" t="str">
        <x:v>010111  DOORS &amp; WINDOWS WORKS-1</x:v>
      </x:c>
      <x:c r="D330" s="25" t="str">
        <x:v>5. LEAD GLASS FRAME</x:v>
      </x:c>
      <x:c r="E330" s="25" t="str">
        <x:v>1850*850</x:v>
      </x:c>
      <x:c r="F330" s="22" t="str">
        <x:v>EA</x:v>
      </x:c>
      <x:c r="G330" s="28" t="n">
        <x:v>2</x:v>
      </x:c>
      <x:c r="H330" s="25" t="str">
        <x:v>4531284DDC776A4702EA22A0C0638FB3500AE</x:v>
      </x:c>
      <x:c r="I330" s="22" t="str">
        <x:v>직접자원단가</x:v>
      </x:c>
      <x:c r="J330" s="34" t="n">
        <x:v>200</x:v>
      </x:c>
      <x:c r="K330" s="34" t="n">
        <x:v>0</x:v>
      </x:c>
      <x:c r="L330" s="34" t="n">
        <x:v>0</x:v>
      </x:c>
      <x:c r="M330" s="34" t="n">
        <x:f>SUM(J330:L330)</x:f>
        <x:v>200</x:v>
      </x:c>
      <x:c r="N330" s="34" t="n">
        <x:f>G330*J330</x:f>
        <x:v>400</x:v>
      </x:c>
      <x:c r="O330" s="34" t="n">
        <x:f>G330*K330</x:f>
        <x:v>0</x:v>
      </x:c>
      <x:c r="P330" s="34" t="n">
        <x:f>G330*L330</x:f>
        <x:v>0</x:v>
      </x:c>
      <x:c r="Q330" s="34" t="n">
        <x:f>SUM(N330:P330)</x:f>
        <x:v>400</x:v>
      </x:c>
      <x:c r="R330" s="22" t="str">
        <x:f>IF(M330&gt;0,"복원","미복원")</x:f>
        <x:v>복원</x:v>
      </x:c>
      <x:c r="S330" s="37" t="n">
        <x:v>483</x:v>
      </x:c>
      <x:c r="T3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0" s="22" t="str">
        <x:f>A330&amp;"|"&amp;B330</x:f>
        <x:v>병원|C-010111</x:v>
      </x:c>
      <x:c r="V330" s="22" t="n">
        <x:f>IF(M330&gt;0,1,0)</x:f>
        <x:v>1</x:v>
      </x:c>
    </x:row>
    <x:row r="331" ht="28" customHeight="1">
      <x:c r="A331" s="22" t="str">
        <x:v>병원</x:v>
      </x:c>
      <x:c r="B331" s="31" t="str">
        <x:f>"C-010112"</x:f>
        <x:v>C-010112</x:v>
      </x:c>
      <x:c r="C331" s="25" t="str">
        <x:v>010112  GLASS WORKS</x:v>
      </x:c>
      <x:c r="D331" s="25" t="str">
        <x:v>opacity sheet</x:v>
      </x:c>
      <x:c r="E331" s="25" t="str"/>
      <x:c r="F331" s="22" t="str">
        <x:v>M2</x:v>
      </x:c>
      <x:c r="G331" s="28" t="n">
        <x:v>5</x:v>
      </x:c>
      <x:c r="H331" s="25" t="str">
        <x:v>43AE2142BE773DD372E74EE2E1A955D5C7A4A</x:v>
      </x:c>
      <x:c r="I331" s="22" t="str">
        <x:v>직접자원단가</x:v>
      </x:c>
      <x:c r="J331" s="34" t="n">
        <x:v>16.29267570169592</x:v>
      </x:c>
      <x:c r="K331" s="34" t="n">
        <x:v>2.4113160038509966</x:v>
      </x:c>
      <x:c r="L331" s="34" t="n">
        <x:v>0</x:v>
      </x:c>
      <x:c r="M331" s="34" t="n">
        <x:f>SUM(J331:L331)</x:f>
        <x:v>18.703991705546915</x:v>
      </x:c>
      <x:c r="N331" s="34" t="n">
        <x:f>G331*J331</x:f>
        <x:v>81.4633785084796</x:v>
      </x:c>
      <x:c r="O331" s="34" t="n">
        <x:f>G331*K331</x:f>
        <x:v>12.056580019254984</x:v>
      </x:c>
      <x:c r="P331" s="34" t="n">
        <x:f>G331*L331</x:f>
        <x:v>0</x:v>
      </x:c>
      <x:c r="Q331" s="34" t="n">
        <x:f>SUM(N331:P331)</x:f>
        <x:v>93.51995852773457</x:v>
      </x:c>
      <x:c r="R331" s="22" t="str">
        <x:f>IF(M331&gt;0,"복원","미복원")</x:f>
        <x:v>복원</x:v>
      </x:c>
      <x:c r="S331" s="37" t="n">
        <x:v>509</x:v>
      </x:c>
      <x:c r="T3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1" s="22" t="str">
        <x:f>A331&amp;"|"&amp;B331</x:f>
        <x:v>병원|C-010112</x:v>
      </x:c>
      <x:c r="V331" s="22" t="n">
        <x:f>IF(M331&gt;0,1,0)</x:f>
        <x:v>1</x:v>
      </x:c>
    </x:row>
    <x:row r="332" ht="28" customHeight="1">
      <x:c r="A332" s="22" t="str">
        <x:v>병원</x:v>
      </x:c>
      <x:c r="B332" s="31" t="str">
        <x:f>"C-010112"</x:f>
        <x:v>C-010112</x:v>
      </x:c>
      <x:c r="C332" s="25" t="str">
        <x:v>010112  GLASS WORKS</x:v>
      </x:c>
      <x:c r="D332" s="25" t="str">
        <x:v>Tempered glass</x:v>
      </x:c>
      <x:c r="E332" s="25" t="str">
        <x:v>Tempered glass, Transparent, 5mm</x:v>
      </x:c>
      <x:c r="F332" s="22" t="str">
        <x:v>M2</x:v>
      </x:c>
      <x:c r="G332" s="28" t="n">
        <x:v>6</x:v>
      </x:c>
      <x:c r="H332" s="25" t="str">
        <x:v>43AE2142BE746970424045853B7FD2C14EBD8</x:v>
      </x:c>
      <x:c r="I332" s="22" t="str">
        <x:v>직접자원단가</x:v>
      </x:c>
      <x:c r="J332" s="34" t="n">
        <x:v>30.54876694067985</x:v>
      </x:c>
      <x:c r="K332" s="34" t="n">
        <x:v>0</x:v>
      </x:c>
      <x:c r="L332" s="34" t="n">
        <x:v>0</x:v>
      </x:c>
      <x:c r="M332" s="34" t="n">
        <x:f>SUM(J332:L332)</x:f>
        <x:v>30.54876694067985</x:v>
      </x:c>
      <x:c r="N332" s="34" t="n">
        <x:f>G332*J332</x:f>
        <x:v>183.2926016440791</x:v>
      </x:c>
      <x:c r="O332" s="34" t="n">
        <x:f>G332*K332</x:f>
        <x:v>0</x:v>
      </x:c>
      <x:c r="P332" s="34" t="n">
        <x:f>G332*L332</x:f>
        <x:v>0</x:v>
      </x:c>
      <x:c r="Q332" s="34" t="n">
        <x:f>SUM(N332:P332)</x:f>
        <x:v>183.2926016440791</x:v>
      </x:c>
      <x:c r="R332" s="22" t="str">
        <x:f>IF(M332&gt;0,"복원","미복원")</x:f>
        <x:v>복원</x:v>
      </x:c>
      <x:c r="S332" s="37" t="n">
        <x:v>510</x:v>
      </x:c>
      <x:c r="T3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2" s="22" t="str">
        <x:f>A332&amp;"|"&amp;B332</x:f>
        <x:v>병원|C-010112</x:v>
      </x:c>
      <x:c r="V332" s="22" t="n">
        <x:f>IF(M332&gt;0,1,0)</x:f>
        <x:v>1</x:v>
      </x:c>
    </x:row>
    <x:row r="333" ht="28" customHeight="1">
      <x:c r="A333" s="22" t="str">
        <x:v>병원</x:v>
      </x:c>
      <x:c r="B333" s="31" t="str">
        <x:f>"C-010112"</x:f>
        <x:v>C-010112</x:v>
      </x:c>
      <x:c r="C333" s="25" t="str">
        <x:v>010112  GLASS WORKS</x:v>
      </x:c>
      <x:c r="D333" s="25" t="str">
        <x:v>Tempered glass</x:v>
      </x:c>
      <x:c r="E333" s="25" t="str">
        <x:v>Tempered glass, Transparent, 10mm</x:v>
      </x:c>
      <x:c r="F333" s="22" t="str">
        <x:v>M2</x:v>
      </x:c>
      <x:c r="G333" s="28" t="n">
        <x:v>136</x:v>
      </x:c>
      <x:c r="H333" s="25" t="str">
        <x:v>43AE2142BE746970424045853B7FD2C14EA36</x:v>
      </x:c>
      <x:c r="I333" s="22" t="str">
        <x:v>직접자원단가</x:v>
      </x:c>
      <x:c r="J333" s="34" t="n">
        <x:v>30.54876694067985</x:v>
      </x:c>
      <x:c r="K333" s="34" t="n">
        <x:v>0</x:v>
      </x:c>
      <x:c r="L333" s="34" t="n">
        <x:v>0</x:v>
      </x:c>
      <x:c r="M333" s="34" t="n">
        <x:f>SUM(J333:L333)</x:f>
        <x:v>30.54876694067985</x:v>
      </x:c>
      <x:c r="N333" s="34" t="n">
        <x:f>G333*J333</x:f>
        <x:v>4154.63230393246</x:v>
      </x:c>
      <x:c r="O333" s="34" t="n">
        <x:f>G333*K333</x:f>
        <x:v>0</x:v>
      </x:c>
      <x:c r="P333" s="34" t="n">
        <x:f>G333*L333</x:f>
        <x:v>0</x:v>
      </x:c>
      <x:c r="Q333" s="34" t="n">
        <x:f>SUM(N333:P333)</x:f>
        <x:v>4154.63230393246</x:v>
      </x:c>
      <x:c r="R333" s="22" t="str">
        <x:f>IF(M333&gt;0,"복원","미복원")</x:f>
        <x:v>복원</x:v>
      </x:c>
      <x:c r="S333" s="37" t="n">
        <x:v>511</x:v>
      </x:c>
      <x:c r="T3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3" s="22" t="str">
        <x:f>A333&amp;"|"&amp;B333</x:f>
        <x:v>병원|C-010112</x:v>
      </x:c>
      <x:c r="V333" s="22" t="n">
        <x:f>IF(M333&gt;0,1,0)</x:f>
        <x:v>1</x:v>
      </x:c>
    </x:row>
    <x:row r="334" ht="28" customHeight="1">
      <x:c r="A334" s="22" t="str">
        <x:v>병원</x:v>
      </x:c>
      <x:c r="B334" s="31" t="str">
        <x:f>"C-010112"</x:f>
        <x:v>C-010112</x:v>
      </x:c>
      <x:c r="C334" s="25" t="str">
        <x:v>010112  GLASS WORKS</x:v>
      </x:c>
      <x:c r="D334" s="25" t="str">
        <x:v>Double Glazing</x:v>
      </x:c>
      <x:c r="E334" s="25" t="str">
        <x:v>Double glazing, Transparent, 24 mm</x:v>
      </x:c>
      <x:c r="F334" s="22" t="str">
        <x:v>M2</x:v>
      </x:c>
      <x:c r="G334" s="28" t="n">
        <x:v>594</x:v>
      </x:c>
      <x:c r="H334" s="25" t="str">
        <x:v>4531284DDC776A4702EA22A0C0638FB35037B</x:v>
      </x:c>
      <x:c r="I334" s="22" t="str">
        <x:v>직접자원단가</x:v>
      </x:c>
      <x:c r="J334" s="34" t="n">
        <x:v>60</x:v>
      </x:c>
      <x:c r="K334" s="34" t="n">
        <x:v>0</x:v>
      </x:c>
      <x:c r="L334" s="34" t="n">
        <x:v>0</x:v>
      </x:c>
      <x:c r="M334" s="34" t="n">
        <x:f>SUM(J334:L334)</x:f>
        <x:v>60</x:v>
      </x:c>
      <x:c r="N334" s="34" t="n">
        <x:f>G334*J334</x:f>
        <x:v>35640</x:v>
      </x:c>
      <x:c r="O334" s="34" t="n">
        <x:f>G334*K334</x:f>
        <x:v>0</x:v>
      </x:c>
      <x:c r="P334" s="34" t="n">
        <x:f>G334*L334</x:f>
        <x:v>0</x:v>
      </x:c>
      <x:c r="Q334" s="34" t="n">
        <x:f>SUM(N334:P334)</x:f>
        <x:v>35640</x:v>
      </x:c>
      <x:c r="R334" s="22" t="str">
        <x:f>IF(M334&gt;0,"복원","미복원")</x:f>
        <x:v>복원</x:v>
      </x:c>
      <x:c r="S334" s="37" t="n">
        <x:v>512</x:v>
      </x:c>
      <x:c r="T3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4" s="22" t="str">
        <x:f>A334&amp;"|"&amp;B334</x:f>
        <x:v>병원|C-010112</x:v>
      </x:c>
      <x:c r="V334" s="22" t="n">
        <x:f>IF(M334&gt;0,1,0)</x:f>
        <x:v>1</x:v>
      </x:c>
    </x:row>
    <x:row r="335" ht="28" customHeight="1">
      <x:c r="A335" s="22" t="str">
        <x:v>병원</x:v>
      </x:c>
      <x:c r="B335" s="31" t="str">
        <x:f>"C-010112"</x:f>
        <x:v>C-010112</x:v>
      </x:c>
      <x:c r="C335" s="25" t="str">
        <x:v>010112  GLASS WORKS</x:v>
      </x:c>
      <x:c r="D335" s="25" t="str">
        <x:v>Caulking around Pain glazing</x:v>
      </x:c>
      <x:c r="E335" s="25" t="str">
        <x:v>5*5, silicone</x:v>
      </x:c>
      <x:c r="F335" s="22" t="str">
        <x:v>M</x:v>
      </x:c>
      <x:c r="G335" s="28" t="n">
        <x:v>1215</x:v>
      </x:c>
      <x:c r="H335" s="25" t="str">
        <x:v>448227450275CD2FB281D8393CD64</x:v>
      </x:c>
      <x:c r="I335" s="22" t="str">
        <x:v>복합일위대가</x:v>
      </x:c>
      <x:c r="J335" s="34" t="n">
        <x:v>0.32</x:v>
      </x:c>
      <x:c r="K335" s="34" t="n">
        <x:v>0</x:v>
      </x:c>
      <x:c r="L335" s="34" t="n">
        <x:v>0</x:v>
      </x:c>
      <x:c r="M335" s="34" t="n">
        <x:f>SUM(J335:L335)</x:f>
        <x:v>0.32</x:v>
      </x:c>
      <x:c r="N335" s="34" t="n">
        <x:f>G335*J335</x:f>
        <x:v>388.8</x:v>
      </x:c>
      <x:c r="O335" s="34" t="n">
        <x:f>G335*K335</x:f>
        <x:v>0</x:v>
      </x:c>
      <x:c r="P335" s="34" t="n">
        <x:f>G335*L335</x:f>
        <x:v>0</x:v>
      </x:c>
      <x:c r="Q335" s="34" t="n">
        <x:f>SUM(N335:P335)</x:f>
        <x:v>388.8</x:v>
      </x:c>
      <x:c r="R335" s="22" t="str">
        <x:f>IF(M335&gt;0,"복원","미복원")</x:f>
        <x:v>복원</x:v>
      </x:c>
      <x:c r="S335" s="37" t="n">
        <x:v>513</x:v>
      </x:c>
      <x:c r="T3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5" s="22" t="str">
        <x:f>A335&amp;"|"&amp;B335</x:f>
        <x:v>병원|C-010112</x:v>
      </x:c>
      <x:c r="V335" s="22" t="n">
        <x:f>IF(M335&gt;0,1,0)</x:f>
        <x:v>1</x:v>
      </x:c>
    </x:row>
    <x:row r="336" ht="28" customHeight="1">
      <x:c r="A336" s="22" t="str">
        <x:v>병원</x:v>
      </x:c>
      <x:c r="B336" s="31" t="str">
        <x:f>"C-010112"</x:f>
        <x:v>C-010112</x:v>
      </x:c>
      <x:c r="C336" s="25" t="str">
        <x:v>010112  GLASS WORKS</x:v>
      </x:c>
      <x:c r="D336" s="25" t="str">
        <x:v>Structural Silicone</x:v>
      </x:c>
      <x:c r="E336" s="25" t="str">
        <x:v>5*16, silicone</x:v>
      </x:c>
      <x:c r="F336" s="22" t="str">
        <x:v>M</x:v>
      </x:c>
      <x:c r="G336" s="28" t="n">
        <x:v>59</x:v>
      </x:c>
      <x:c r="H336" s="25" t="str">
        <x:v>448227450275C8AE02615B1D5192C</x:v>
      </x:c>
      <x:c r="I336" s="22" t="str">
        <x:v>복합일위대가</x:v>
      </x:c>
      <x:c r="J336" s="34" t="n">
        <x:v>1.66</x:v>
      </x:c>
      <x:c r="K336" s="34" t="n">
        <x:v>0</x:v>
      </x:c>
      <x:c r="L336" s="34" t="n">
        <x:v>0</x:v>
      </x:c>
      <x:c r="M336" s="34" t="n">
        <x:f>SUM(J336:L336)</x:f>
        <x:v>1.66</x:v>
      </x:c>
      <x:c r="N336" s="34" t="n">
        <x:f>G336*J336</x:f>
        <x:v>97.94</x:v>
      </x:c>
      <x:c r="O336" s="34" t="n">
        <x:f>G336*K336</x:f>
        <x:v>0</x:v>
      </x:c>
      <x:c r="P336" s="34" t="n">
        <x:f>G336*L336</x:f>
        <x:v>0</x:v>
      </x:c>
      <x:c r="Q336" s="34" t="n">
        <x:f>SUM(N336:P336)</x:f>
        <x:v>97.94</x:v>
      </x:c>
      <x:c r="R336" s="22" t="str">
        <x:f>IF(M336&gt;0,"복원","미복원")</x:f>
        <x:v>복원</x:v>
      </x:c>
      <x:c r="S336" s="37" t="n">
        <x:v>514</x:v>
      </x:c>
      <x:c r="T3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6" s="22" t="str">
        <x:f>A336&amp;"|"&amp;B336</x:f>
        <x:v>병원|C-010112</x:v>
      </x:c>
      <x:c r="V336" s="22" t="n">
        <x:f>IF(M336&gt;0,1,0)</x:f>
        <x:v>1</x:v>
      </x:c>
    </x:row>
    <x:row r="337" ht="28" customHeight="1">
      <x:c r="A337" s="22" t="str">
        <x:v>병원</x:v>
      </x:c>
      <x:c r="B337" s="31" t="str">
        <x:f>"C-010112"</x:f>
        <x:v>C-010112</x:v>
      </x:c>
      <x:c r="C337" s="25" t="str">
        <x:v>010112  GLASS WORKS</x:v>
      </x:c>
      <x:c r="D337" s="25" t="str">
        <x:v>Norton Thermalbond</x:v>
      </x:c>
      <x:c r="E337" s="25" t="str"/>
      <x:c r="F337" s="22" t="str">
        <x:v>M</x:v>
      </x:c>
      <x:c r="G337" s="28" t="n">
        <x:v>59</x:v>
      </x:c>
      <x:c r="H337" s="25" t="str">
        <x:v>448227450275C8AE02615B1D51A33</x:v>
      </x:c>
      <x:c r="I337" s="22" t="str">
        <x:v>복합일위대가</x:v>
      </x:c>
      <x:c r="J337" s="34" t="n">
        <x:v>1.39</x:v>
      </x:c>
      <x:c r="K337" s="34" t="n">
        <x:v>0</x:v>
      </x:c>
      <x:c r="L337" s="34" t="n">
        <x:v>0</x:v>
      </x:c>
      <x:c r="M337" s="34" t="n">
        <x:f>SUM(J337:L337)</x:f>
        <x:v>1.39</x:v>
      </x:c>
      <x:c r="N337" s="34" t="n">
        <x:f>G337*J337</x:f>
        <x:v>82.00999999999999</x:v>
      </x:c>
      <x:c r="O337" s="34" t="n">
        <x:f>G337*K337</x:f>
        <x:v>0</x:v>
      </x:c>
      <x:c r="P337" s="34" t="n">
        <x:f>G337*L337</x:f>
        <x:v>0</x:v>
      </x:c>
      <x:c r="Q337" s="34" t="n">
        <x:f>SUM(N337:P337)</x:f>
        <x:v>82.00999999999999</x:v>
      </x:c>
      <x:c r="R337" s="22" t="str">
        <x:f>IF(M337&gt;0,"복원","미복원")</x:f>
        <x:v>복원</x:v>
      </x:c>
      <x:c r="S337" s="37" t="n">
        <x:v>515</x:v>
      </x:c>
      <x:c r="T3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7" s="22" t="str">
        <x:f>A337&amp;"|"&amp;B337</x:f>
        <x:v>병원|C-010112</x:v>
      </x:c>
      <x:c r="V337" s="22" t="n">
        <x:f>IF(M337&gt;0,1,0)</x:f>
        <x:v>1</x:v>
      </x:c>
    </x:row>
    <x:row r="338" ht="28" customHeight="1">
      <x:c r="A338" s="22" t="str">
        <x:v>병원</x:v>
      </x:c>
      <x:c r="B338" s="31" t="str">
        <x:f>"C-010112"</x:f>
        <x:v>C-010112</x:v>
      </x:c>
      <x:c r="C338" s="25" t="str">
        <x:v>010112  GLASS WORKS</x:v>
      </x:c>
      <x:c r="D338" s="25" t="str">
        <x:v>Weather Caulking</x:v>
      </x:c>
      <x:c r="E338" s="25" t="str"/>
      <x:c r="F338" s="22" t="str">
        <x:v>M</x:v>
      </x:c>
      <x:c r="G338" s="28" t="n">
        <x:v>342</x:v>
      </x:c>
      <x:c r="H338" s="25" t="str">
        <x:v>448227450275C8AE02615B1D51BD9</x:v>
      </x:c>
      <x:c r="I338" s="22" t="str">
        <x:v>복합일위대가</x:v>
      </x:c>
      <x:c r="J338" s="34" t="n">
        <x:v>1.02</x:v>
      </x:c>
      <x:c r="K338" s="34" t="n">
        <x:v>0</x:v>
      </x:c>
      <x:c r="L338" s="34" t="n">
        <x:v>0</x:v>
      </x:c>
      <x:c r="M338" s="34" t="n">
        <x:f>SUM(J338:L338)</x:f>
        <x:v>1.02</x:v>
      </x:c>
      <x:c r="N338" s="34" t="n">
        <x:f>G338*J338</x:f>
        <x:v>348.84000000000003</x:v>
      </x:c>
      <x:c r="O338" s="34" t="n">
        <x:f>G338*K338</x:f>
        <x:v>0</x:v>
      </x:c>
      <x:c r="P338" s="34" t="n">
        <x:f>G338*L338</x:f>
        <x:v>0</x:v>
      </x:c>
      <x:c r="Q338" s="34" t="n">
        <x:f>SUM(N338:P338)</x:f>
        <x:v>348.84000000000003</x:v>
      </x:c>
      <x:c r="R338" s="22" t="str">
        <x:f>IF(M338&gt;0,"복원","미복원")</x:f>
        <x:v>복원</x:v>
      </x:c>
      <x:c r="S338" s="37" t="n">
        <x:v>516</x:v>
      </x:c>
      <x:c r="T3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8" s="22" t="str">
        <x:f>A338&amp;"|"&amp;B338</x:f>
        <x:v>병원|C-010112</x:v>
      </x:c>
      <x:c r="V338" s="22" t="n">
        <x:f>IF(M338&gt;0,1,0)</x:f>
        <x:v>1</x:v>
      </x:c>
    </x:row>
    <x:row r="339" ht="28" customHeight="1">
      <x:c r="A339" s="22" t="str">
        <x:v>병원</x:v>
      </x:c>
      <x:c r="B339" s="31" t="str">
        <x:f>"C-010112"</x:f>
        <x:v>C-010112</x:v>
      </x:c>
      <x:c r="C339" s="25" t="str">
        <x:v>010112  GLASS WORKS</x:v>
      </x:c>
      <x:c r="D339" s="25" t="str">
        <x:v>Window glass installation / Pan glass</x:v>
      </x:c>
      <x:c r="E339" s="25" t="str">
        <x:v>Glass thickness less than 5mm</x:v>
      </x:c>
      <x:c r="F339" s="22" t="str">
        <x:v>M2</x:v>
      </x:c>
      <x:c r="G339" s="28" t="n">
        <x:v>6</x:v>
      </x:c>
      <x:c r="H339" s="25" t="str">
        <x:v>44822343C377C36F323EA2A4272DE</x:v>
      </x:c>
      <x:c r="I339" s="22" t="str">
        <x:v>복합일위대가</x:v>
      </x:c>
      <x:c r="J339" s="34" t="n">
        <x:v>0</x:v>
      </x:c>
      <x:c r="K339" s="34" t="n">
        <x:v>10.11</x:v>
      </x:c>
      <x:c r="L339" s="34" t="n">
        <x:v>0</x:v>
      </x:c>
      <x:c r="M339" s="34" t="n">
        <x:f>SUM(J339:L339)</x:f>
        <x:v>10.11</x:v>
      </x:c>
      <x:c r="N339" s="34" t="n">
        <x:f>G339*J339</x:f>
        <x:v>0</x:v>
      </x:c>
      <x:c r="O339" s="34" t="n">
        <x:f>G339*K339</x:f>
        <x:v>60.66</x:v>
      </x:c>
      <x:c r="P339" s="34" t="n">
        <x:f>G339*L339</x:f>
        <x:v>0</x:v>
      </x:c>
      <x:c r="Q339" s="34" t="n">
        <x:f>SUM(N339:P339)</x:f>
        <x:v>60.66</x:v>
      </x:c>
      <x:c r="R339" s="22" t="str">
        <x:f>IF(M339&gt;0,"복원","미복원")</x:f>
        <x:v>복원</x:v>
      </x:c>
      <x:c r="S339" s="37" t="n">
        <x:v>517</x:v>
      </x:c>
      <x:c r="T3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39" s="22" t="str">
        <x:f>A339&amp;"|"&amp;B339</x:f>
        <x:v>병원|C-010112</x:v>
      </x:c>
      <x:c r="V339" s="22" t="n">
        <x:f>IF(M339&gt;0,1,0)</x:f>
        <x:v>1</x:v>
      </x:c>
    </x:row>
    <x:row r="340" ht="28" customHeight="1">
      <x:c r="A340" s="22" t="str">
        <x:v>병원</x:v>
      </x:c>
      <x:c r="B340" s="31" t="str">
        <x:f>"C-010112"</x:f>
        <x:v>C-010112</x:v>
      </x:c>
      <x:c r="C340" s="25" t="str">
        <x:v>010112  GLASS WORKS</x:v>
      </x:c>
      <x:c r="D340" s="25" t="str">
        <x:v>Window glass installation / Pan glass</x:v>
      </x:c>
      <x:c r="E340" s="25" t="str">
        <x:v>Glass thickness less than 12mm</x:v>
      </x:c>
      <x:c r="F340" s="22" t="str">
        <x:v>M2</x:v>
      </x:c>
      <x:c r="G340" s="28" t="n">
        <x:v>136</x:v>
      </x:c>
      <x:c r="H340" s="25" t="str">
        <x:v>44822343C377C36F323EA2A427137</x:v>
      </x:c>
      <x:c r="I340" s="22" t="str">
        <x:v>복합일위대가</x:v>
      </x:c>
      <x:c r="J340" s="34" t="n">
        <x:v>0</x:v>
      </x:c>
      <x:c r="K340" s="34" t="n">
        <x:v>10.11</x:v>
      </x:c>
      <x:c r="L340" s="34" t="n">
        <x:v>0</x:v>
      </x:c>
      <x:c r="M340" s="34" t="n">
        <x:f>SUM(J340:L340)</x:f>
        <x:v>10.11</x:v>
      </x:c>
      <x:c r="N340" s="34" t="n">
        <x:f>G340*J340</x:f>
        <x:v>0</x:v>
      </x:c>
      <x:c r="O340" s="34" t="n">
        <x:f>G340*K340</x:f>
        <x:v>1374.96</x:v>
      </x:c>
      <x:c r="P340" s="34" t="n">
        <x:f>G340*L340</x:f>
        <x:v>0</x:v>
      </x:c>
      <x:c r="Q340" s="34" t="n">
        <x:f>SUM(N340:P340)</x:f>
        <x:v>1374.96</x:v>
      </x:c>
      <x:c r="R340" s="22" t="str">
        <x:f>IF(M340&gt;0,"복원","미복원")</x:f>
        <x:v>복원</x:v>
      </x:c>
      <x:c r="S340" s="37" t="n">
        <x:v>518</x:v>
      </x:c>
      <x:c r="T3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0" s="22" t="str">
        <x:f>A340&amp;"|"&amp;B340</x:f>
        <x:v>병원|C-010112</x:v>
      </x:c>
      <x:c r="V340" s="22" t="n">
        <x:f>IF(M340&gt;0,1,0)</x:f>
        <x:v>1</x:v>
      </x:c>
    </x:row>
    <x:row r="341" ht="28" customHeight="1">
      <x:c r="A341" s="22" t="str">
        <x:v>병원</x:v>
      </x:c>
      <x:c r="B341" s="31" t="str">
        <x:f>"C-010112"</x:f>
        <x:v>C-010112</x:v>
      </x:c>
      <x:c r="C341" s="25" t="str">
        <x:v>010112  GLASS WORKS</x:v>
      </x:c>
      <x:c r="D341" s="25" t="str">
        <x:v>Window Glass Installation / Double Glazing</x:v>
      </x:c>
      <x:c r="E341" s="25" t="str">
        <x:v>Glass thickness less than 24mm</x:v>
      </x:c>
      <x:c r="F341" s="22" t="str">
        <x:v>M2</x:v>
      </x:c>
      <x:c r="G341" s="28" t="n">
        <x:v>594</x:v>
      </x:c>
      <x:c r="H341" s="25" t="str">
        <x:v>448223433D7911ED22A70309B9BA2</x:v>
      </x:c>
      <x:c r="I341" s="22" t="str">
        <x:v>복합일위대가</x:v>
      </x:c>
      <x:c r="J341" s="34" t="n">
        <x:v>0</x:v>
      </x:c>
      <x:c r="K341" s="34" t="n">
        <x:v>10.26</x:v>
      </x:c>
      <x:c r="L341" s="34" t="n">
        <x:v>0</x:v>
      </x:c>
      <x:c r="M341" s="34" t="n">
        <x:f>SUM(J341:L341)</x:f>
        <x:v>10.26</x:v>
      </x:c>
      <x:c r="N341" s="34" t="n">
        <x:f>G341*J341</x:f>
        <x:v>0</x:v>
      </x:c>
      <x:c r="O341" s="34" t="n">
        <x:f>G341*K341</x:f>
        <x:v>6094.44</x:v>
      </x:c>
      <x:c r="P341" s="34" t="n">
        <x:f>G341*L341</x:f>
        <x:v>0</x:v>
      </x:c>
      <x:c r="Q341" s="34" t="n">
        <x:f>SUM(N341:P341)</x:f>
        <x:v>6094.44</x:v>
      </x:c>
      <x:c r="R341" s="22" t="str">
        <x:f>IF(M341&gt;0,"복원","미복원")</x:f>
        <x:v>복원</x:v>
      </x:c>
      <x:c r="S341" s="37" t="n">
        <x:v>519</x:v>
      </x:c>
      <x:c r="T3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1" s="22" t="str">
        <x:f>A341&amp;"|"&amp;B341</x:f>
        <x:v>병원|C-010112</x:v>
      </x:c>
      <x:c r="V341" s="22" t="n">
        <x:f>IF(M341&gt;0,1,0)</x:f>
        <x:v>1</x:v>
      </x:c>
    </x:row>
    <x:row r="342" ht="28" customHeight="1">
      <x:c r="A342" s="22" t="str">
        <x:v>병원</x:v>
      </x:c>
      <x:c r="B342" s="31" t="str">
        <x:f>"C-010112"</x:f>
        <x:v>C-010112</x:v>
      </x:c>
      <x:c r="C342" s="25" t="str">
        <x:v>010112  GLASS WORKS</x:v>
      </x:c>
      <x:c r="D342" s="25" t="str">
        <x:v>Caulking around double glazing</x:v>
      </x:c>
      <x:c r="E342" s="25" t="str">
        <x:v>5*5, silicone</x:v>
      </x:c>
      <x:c r="F342" s="22" t="str">
        <x:v>M</x:v>
      </x:c>
      <x:c r="G342" s="28" t="n">
        <x:v>4545</x:v>
      </x:c>
      <x:c r="H342" s="25" t="str">
        <x:v>448223433D703D80122AB3ECE4AAB</x:v>
      </x:c>
      <x:c r="I342" s="22" t="str">
        <x:v>복합일위대가</x:v>
      </x:c>
      <x:c r="J342" s="34" t="n">
        <x:v>0.32</x:v>
      </x:c>
      <x:c r="K342" s="34" t="n">
        <x:v>0</x:v>
      </x:c>
      <x:c r="L342" s="34" t="n">
        <x:v>0</x:v>
      </x:c>
      <x:c r="M342" s="34" t="n">
        <x:f>SUM(J342:L342)</x:f>
        <x:v>0.32</x:v>
      </x:c>
      <x:c r="N342" s="34" t="n">
        <x:f>G342*J342</x:f>
        <x:v>1454.4</x:v>
      </x:c>
      <x:c r="O342" s="34" t="n">
        <x:f>G342*K342</x:f>
        <x:v>0</x:v>
      </x:c>
      <x:c r="P342" s="34" t="n">
        <x:f>G342*L342</x:f>
        <x:v>0</x:v>
      </x:c>
      <x:c r="Q342" s="34" t="n">
        <x:f>SUM(N342:P342)</x:f>
        <x:v>1454.4</x:v>
      </x:c>
      <x:c r="R342" s="22" t="str">
        <x:f>IF(M342&gt;0,"복원","미복원")</x:f>
        <x:v>복원</x:v>
      </x:c>
      <x:c r="S342" s="37" t="n">
        <x:v>520</x:v>
      </x:c>
      <x:c r="T3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2" s="22" t="str">
        <x:f>A342&amp;"|"&amp;B342</x:f>
        <x:v>병원|C-010112</x:v>
      </x:c>
      <x:c r="V342" s="22" t="n">
        <x:f>IF(M342&gt;0,1,0)</x:f>
        <x:v>1</x:v>
      </x:c>
    </x:row>
    <x:row r="343" ht="28" customHeight="1">
      <x:c r="A343" s="22" t="str">
        <x:v>병원</x:v>
      </x:c>
      <x:c r="B343" s="31" t="str">
        <x:f>"C-010112"</x:f>
        <x:v>C-010112</x:v>
      </x:c>
      <x:c r="C343" s="25" t="str">
        <x:v>010112  GLASS WORKS</x:v>
      </x:c>
      <x:c r="D343" s="25" t="str">
        <x:v>Moisture-Proof Mirror</x:v>
      </x:c>
      <x:c r="E343" s="25" t="str">
        <x:v>5mm</x:v>
      </x:c>
      <x:c r="F343" s="22" t="str">
        <x:v>M2</x:v>
      </x:c>
      <x:c r="G343" s="28" t="n">
        <x:v>35</x:v>
      </x:c>
      <x:c r="H343" s="25" t="str">
        <x:v>448223432376421D520C7F991B12F</x:v>
      </x:c>
      <x:c r="I343" s="22" t="str">
        <x:v>복합일위대가</x:v>
      </x:c>
      <x:c r="J343" s="34" t="n">
        <x:v>39.44</x:v>
      </x:c>
      <x:c r="K343" s="34" t="n">
        <x:v>18.78</x:v>
      </x:c>
      <x:c r="L343" s="34" t="n">
        <x:v>0.11</x:v>
      </x:c>
      <x:c r="M343" s="34" t="n">
        <x:f>SUM(J343:L343)</x:f>
        <x:v>58.33</x:v>
      </x:c>
      <x:c r="N343" s="34" t="n">
        <x:f>G343*J343</x:f>
        <x:v>1380.3999999999999</x:v>
      </x:c>
      <x:c r="O343" s="34" t="n">
        <x:f>G343*K343</x:f>
        <x:v>657.3000000000001</x:v>
      </x:c>
      <x:c r="P343" s="34" t="n">
        <x:f>G343*L343</x:f>
        <x:v>3.85</x:v>
      </x:c>
      <x:c r="Q343" s="34" t="n">
        <x:f>SUM(N343:P343)</x:f>
        <x:v>2041.5499999999997</x:v>
      </x:c>
      <x:c r="R343" s="22" t="str">
        <x:f>IF(M343&gt;0,"복원","미복원")</x:f>
        <x:v>복원</x:v>
      </x:c>
      <x:c r="S343" s="37" t="n">
        <x:v>521</x:v>
      </x:c>
      <x:c r="T3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3" s="22" t="str">
        <x:f>A343&amp;"|"&amp;B343</x:f>
        <x:v>병원|C-010112</x:v>
      </x:c>
      <x:c r="V343" s="22" t="n">
        <x:f>IF(M343&gt;0,1,0)</x:f>
        <x:v>1</x:v>
      </x:c>
    </x:row>
    <x:row r="344" ht="28" customHeight="1">
      <x:c r="A344" s="22" t="str">
        <x:v>병원</x:v>
      </x:c>
      <x:c r="B344" s="31" t="str">
        <x:f>"C-010112"</x:f>
        <x:v>C-010112</x:v>
      </x:c>
      <x:c r="C344" s="25" t="str">
        <x:v>010112  GLASS WORKS</x:v>
      </x:c>
      <x:c r="D344" s="25" t="str">
        <x:v>BACKPAINTERD GLASS</x:v>
      </x:c>
      <x:c r="E344" s="25" t="str"/>
      <x:c r="F344" s="22" t="str">
        <x:v>M2</x:v>
      </x:c>
      <x:c r="G344" s="28" t="n">
        <x:v>16</x:v>
      </x:c>
      <x:c r="H344" s="25" t="str">
        <x:v>448223432376421D520C7F991B009</x:v>
      </x:c>
      <x:c r="I344" s="22" t="str">
        <x:v>복합일위대가</x:v>
      </x:c>
      <x:c r="J344" s="34" t="n">
        <x:v>60.53</x:v>
      </x:c>
      <x:c r="K344" s="34" t="n">
        <x:v>25.49</x:v>
      </x:c>
      <x:c r="L344" s="34" t="n">
        <x:v>0.11</x:v>
      </x:c>
      <x:c r="M344" s="34" t="n">
        <x:f>SUM(J344:L344)</x:f>
        <x:v>86.13</x:v>
      </x:c>
      <x:c r="N344" s="34" t="n">
        <x:f>G344*J344</x:f>
        <x:v>968.48</x:v>
      </x:c>
      <x:c r="O344" s="34" t="n">
        <x:f>G344*K344</x:f>
        <x:v>407.84</x:v>
      </x:c>
      <x:c r="P344" s="34" t="n">
        <x:f>G344*L344</x:f>
        <x:v>1.76</x:v>
      </x:c>
      <x:c r="Q344" s="34" t="n">
        <x:f>SUM(N344:P344)</x:f>
        <x:v>1378.08</x:v>
      </x:c>
      <x:c r="R344" s="22" t="str">
        <x:f>IF(M344&gt;0,"복원","미복원")</x:f>
        <x:v>복원</x:v>
      </x:c>
      <x:c r="S344" s="37" t="n">
        <x:v>522</x:v>
      </x:c>
      <x:c r="T3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4" s="22" t="str">
        <x:f>A344&amp;"|"&amp;B344</x:f>
        <x:v>병원|C-010112</x:v>
      </x:c>
      <x:c r="V344" s="22" t="n">
        <x:f>IF(M344&gt;0,1,0)</x:f>
        <x:v>1</x:v>
      </x:c>
    </x:row>
    <x:row r="345" ht="28" customHeight="1">
      <x:c r="A345" s="22" t="str">
        <x:v>병원</x:v>
      </x:c>
      <x:c r="B345" s="31" t="str">
        <x:f>"C-010113"</x:f>
        <x:v>C-010113</x:v>
      </x:c>
      <x:c r="C345" s="25" t="str">
        <x:v>010113  PAINTERS WORKS</x:v>
      </x:c>
      <x:c r="D345" s="25" t="str">
        <x:v>Rust Resisting Paint</x:v>
      </x:c>
      <x:c r="E345" s="25" t="str">
        <x:v>Steel Frame Face</x:v>
      </x:c>
      <x:c r="F345" s="22" t="str">
        <x:v>M2</x:v>
      </x:c>
      <x:c r="G345" s="28" t="n">
        <x:v>235</x:v>
      </x:c>
      <x:c r="H345" s="25" t="str">
        <x:v>4531284DDC776A4702EA22A0C0638FB35037A</x:v>
      </x:c>
      <x:c r="I345" s="22" t="str">
        <x:v>직접자원단가</x:v>
      </x:c>
      <x:c r="J345" s="34" t="n">
        <x:v>0.06</x:v>
      </x:c>
      <x:c r="K345" s="34" t="n">
        <x:v>0.75</x:v>
      </x:c>
      <x:c r="L345" s="34" t="n">
        <x:v>0</x:v>
      </x:c>
      <x:c r="M345" s="34" t="n">
        <x:f>SUM(J345:L345)</x:f>
        <x:v>0.81</x:v>
      </x:c>
      <x:c r="N345" s="34" t="n">
        <x:f>G345*J345</x:f>
        <x:v>14.1</x:v>
      </x:c>
      <x:c r="O345" s="34" t="n">
        <x:f>G345*K345</x:f>
        <x:v>176.25</x:v>
      </x:c>
      <x:c r="P345" s="34" t="n">
        <x:f>G345*L345</x:f>
        <x:v>0</x:v>
      </x:c>
      <x:c r="Q345" s="34" t="n">
        <x:f>SUM(N345:P345)</x:f>
        <x:v>190.35</x:v>
      </x:c>
      <x:c r="R345" s="22" t="str">
        <x:f>IF(M345&gt;0,"복원","미복원")</x:f>
        <x:v>복원</x:v>
      </x:c>
      <x:c r="S345" s="37" t="n">
        <x:v>533</x:v>
      </x:c>
      <x:c r="T3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5" s="22" t="str">
        <x:f>A345&amp;"|"&amp;B345</x:f>
        <x:v>병원|C-010113</x:v>
      </x:c>
      <x:c r="V345" s="22" t="n">
        <x:f>IF(M345&gt;0,1,0)</x:f>
        <x:v>1</x:v>
      </x:c>
    </x:row>
    <x:row r="346" ht="28" customHeight="1">
      <x:c r="A346" s="22" t="str">
        <x:v>병원</x:v>
      </x:c>
      <x:c r="B346" s="31" t="str">
        <x:f>"C-010113"</x:f>
        <x:v>C-010113</x:v>
      </x:c>
      <x:c r="C346" s="25" t="str">
        <x:v>010113  PAINTERS WORKS</x:v>
      </x:c>
      <x:c r="D346" s="25" t="str">
        <x:v>Ready Mixed Paint</x:v>
      </x:c>
      <x:c r="E346" s="25" t="str">
        <x:v>Steel Frame Face</x:v>
      </x:c>
      <x:c r="F346" s="22" t="str">
        <x:v>M2</x:v>
      </x:c>
      <x:c r="G346" s="28" t="n">
        <x:v>235</x:v>
      </x:c>
      <x:c r="H346" s="25" t="str">
        <x:v>4531284DDC776A4702EA22A0C0638FB350379</x:v>
      </x:c>
      <x:c r="I346" s="22" t="str">
        <x:v>직접자원단가</x:v>
      </x:c>
      <x:c r="J346" s="34" t="n">
        <x:v>0.93</x:v>
      </x:c>
      <x:c r="K346" s="34" t="n">
        <x:v>0.75</x:v>
      </x:c>
      <x:c r="L346" s="34" t="n">
        <x:v>0</x:v>
      </x:c>
      <x:c r="M346" s="34" t="n">
        <x:f>SUM(J346:L346)</x:f>
        <x:v>1.6800000000000002</x:v>
      </x:c>
      <x:c r="N346" s="34" t="n">
        <x:f>G346*J346</x:f>
        <x:v>218.55</x:v>
      </x:c>
      <x:c r="O346" s="34" t="n">
        <x:f>G346*K346</x:f>
        <x:v>176.25</x:v>
      </x:c>
      <x:c r="P346" s="34" t="n">
        <x:f>G346*L346</x:f>
        <x:v>0</x:v>
      </x:c>
      <x:c r="Q346" s="34" t="n">
        <x:f>SUM(N346:P346)</x:f>
        <x:v>394.8</x:v>
      </x:c>
      <x:c r="R346" s="22" t="str">
        <x:f>IF(M346&gt;0,"복원","미복원")</x:f>
        <x:v>복원</x:v>
      </x:c>
      <x:c r="S346" s="37" t="n">
        <x:v>534</x:v>
      </x:c>
      <x:c r="T3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6" s="22" t="str">
        <x:f>A346&amp;"|"&amp;B346</x:f>
        <x:v>병원|C-010113</x:v>
      </x:c>
      <x:c r="V346" s="22" t="n">
        <x:f>IF(M346&gt;0,1,0)</x:f>
        <x:v>1</x:v>
      </x:c>
    </x:row>
    <x:row r="347" ht="28" customHeight="1">
      <x:c r="A347" s="22" t="str">
        <x:v>병원</x:v>
      </x:c>
      <x:c r="B347" s="31" t="str">
        <x:f>"C-010113"</x:f>
        <x:v>C-010113</x:v>
      </x:c>
      <x:c r="C347" s="25" t="str">
        <x:v>010113  PAINTERS WORKS</x:v>
      </x:c>
      <x:c r="D347" s="25" t="str">
        <x:v>Painting on plastered surfaces including Emulsion Paint as per drawing and as specified. (Plastering measured seperately</x:v>
      </x:c>
      <x:c r="E347" s="25" t="str"/>
      <x:c r="F347" s="22" t="str">
        <x:v>M2</x:v>
      </x:c>
      <x:c r="G347" s="28" t="n">
        <x:v>82</x:v>
      </x:c>
      <x:c r="H347" s="25" t="str">
        <x:v>4531284DDC776A4702EA22A0C0638FB350378</x:v>
      </x:c>
      <x:c r="I347" s="22" t="str">
        <x:v>직접자원단가</x:v>
      </x:c>
      <x:c r="J347" s="34" t="n">
        <x:v>1.5</x:v>
      </x:c>
      <x:c r="K347" s="34" t="n">
        <x:v>0</x:v>
      </x:c>
      <x:c r="L347" s="34" t="n">
        <x:v>0</x:v>
      </x:c>
      <x:c r="M347" s="34" t="n">
        <x:f>SUM(J347:L347)</x:f>
        <x:v>1.5</x:v>
      </x:c>
      <x:c r="N347" s="34" t="n">
        <x:f>G347*J347</x:f>
        <x:v>123</x:v>
      </x:c>
      <x:c r="O347" s="34" t="n">
        <x:f>G347*K347</x:f>
        <x:v>0</x:v>
      </x:c>
      <x:c r="P347" s="34" t="n">
        <x:f>G347*L347</x:f>
        <x:v>0</x:v>
      </x:c>
      <x:c r="Q347" s="34" t="n">
        <x:f>SUM(N347:P347)</x:f>
        <x:v>123</x:v>
      </x:c>
      <x:c r="R347" s="22" t="str">
        <x:f>IF(M347&gt;0,"복원","미복원")</x:f>
        <x:v>복원</x:v>
      </x:c>
      <x:c r="S347" s="37" t="n">
        <x:v>535</x:v>
      </x:c>
      <x:c r="T3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7" s="22" t="str">
        <x:f>A347&amp;"|"&amp;B347</x:f>
        <x:v>병원|C-010113</x:v>
      </x:c>
      <x:c r="V347" s="22" t="n">
        <x:f>IF(M347&gt;0,1,0)</x:f>
        <x:v>1</x:v>
      </x:c>
    </x:row>
    <x:row r="348" ht="28" customHeight="1">
      <x:c r="A348" s="22" t="str">
        <x:v>병원</x:v>
      </x:c>
      <x:c r="B348" s="31" t="str">
        <x:f>"C-010113"</x:f>
        <x:v>C-010113</x:v>
      </x:c>
      <x:c r="C348" s="25" t="str">
        <x:v>010113  PAINTERS WORKS</x:v>
      </x:c>
      <x:c r="D348" s="25" t="str">
        <x:v>Painting on Concrete surfaces including Anti-bacterial Paint as per drawing and as specified.</x:v>
      </x:c>
      <x:c r="E348" s="25" t="str"/>
      <x:c r="F348" s="22" t="str">
        <x:v>M2</x:v>
      </x:c>
      <x:c r="G348" s="28" t="n">
        <x:v>703</x:v>
      </x:c>
      <x:c r="H348" s="25" t="str">
        <x:v>4482214ED37A290E2245BBE3D5C8D</x:v>
      </x:c>
      <x:c r="I348" s="22" t="str">
        <x:v>복합일위대가</x:v>
      </x:c>
      <x:c r="J348" s="34" t="n">
        <x:v>3</x:v>
      </x:c>
      <x:c r="K348" s="34" t="n">
        <x:v>0</x:v>
      </x:c>
      <x:c r="L348" s="34" t="n">
        <x:v>0</x:v>
      </x:c>
      <x:c r="M348" s="34" t="n">
        <x:f>SUM(J348:L348)</x:f>
        <x:v>3</x:v>
      </x:c>
      <x:c r="N348" s="34" t="n">
        <x:f>G348*J348</x:f>
        <x:v>2109</x:v>
      </x:c>
      <x:c r="O348" s="34" t="n">
        <x:f>G348*K348</x:f>
        <x:v>0</x:v>
      </x:c>
      <x:c r="P348" s="34" t="n">
        <x:f>G348*L348</x:f>
        <x:v>0</x:v>
      </x:c>
      <x:c r="Q348" s="34" t="n">
        <x:f>SUM(N348:P348)</x:f>
        <x:v>2109</x:v>
      </x:c>
      <x:c r="R348" s="22" t="str">
        <x:f>IF(M348&gt;0,"복원","미복원")</x:f>
        <x:v>복원</x:v>
      </x:c>
      <x:c r="S348" s="37" t="n">
        <x:v>536</x:v>
      </x:c>
      <x:c r="T3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8" s="22" t="str">
        <x:f>A348&amp;"|"&amp;B348</x:f>
        <x:v>병원|C-010113</x:v>
      </x:c>
      <x:c r="V348" s="22" t="n">
        <x:f>IF(M348&gt;0,1,0)</x:f>
        <x:v>1</x:v>
      </x:c>
    </x:row>
    <x:row r="349" ht="28" customHeight="1">
      <x:c r="A349" s="22" t="str">
        <x:v>병원</x:v>
      </x:c>
      <x:c r="B349" s="31" t="str">
        <x:f>"C-010113"</x:f>
        <x:v>C-010113</x:v>
      </x:c>
      <x:c r="C349" s="25" t="str">
        <x:v>010113  PAINTERS WORKS</x:v>
      </x:c>
      <x:c r="D349" s="25" t="str">
        <x:v>Painting on Concrete Surface Treatment surfaces including Emulsion Paint as per drawing and as specified.</x:v>
      </x:c>
      <x:c r="E349" s="25" t="str"/>
      <x:c r="F349" s="22" t="str">
        <x:v>M2</x:v>
      </x:c>
      <x:c r="G349" s="28" t="n">
        <x:v>172</x:v>
      </x:c>
      <x:c r="H349" s="25" t="str">
        <x:v>4482214ED37A290E2245BBE3D5D93</x:v>
      </x:c>
      <x:c r="I349" s="22" t="str">
        <x:v>복합일위대가</x:v>
      </x:c>
      <x:c r="J349" s="34" t="n">
        <x:v>2</x:v>
      </x:c>
      <x:c r="K349" s="34" t="n">
        <x:v>0</x:v>
      </x:c>
      <x:c r="L349" s="34" t="n">
        <x:v>0</x:v>
      </x:c>
      <x:c r="M349" s="34" t="n">
        <x:f>SUM(J349:L349)</x:f>
        <x:v>2</x:v>
      </x:c>
      <x:c r="N349" s="34" t="n">
        <x:f>G349*J349</x:f>
        <x:v>344</x:v>
      </x:c>
      <x:c r="O349" s="34" t="n">
        <x:f>G349*K349</x:f>
        <x:v>0</x:v>
      </x:c>
      <x:c r="P349" s="34" t="n">
        <x:f>G349*L349</x:f>
        <x:v>0</x:v>
      </x:c>
      <x:c r="Q349" s="34" t="n">
        <x:f>SUM(N349:P349)</x:f>
        <x:v>344</x:v>
      </x:c>
      <x:c r="R349" s="22" t="str">
        <x:f>IF(M349&gt;0,"복원","미복원")</x:f>
        <x:v>복원</x:v>
      </x:c>
      <x:c r="S349" s="37" t="n">
        <x:v>537</x:v>
      </x:c>
      <x:c r="T3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49" s="22" t="str">
        <x:f>A349&amp;"|"&amp;B349</x:f>
        <x:v>병원|C-010113</x:v>
      </x:c>
      <x:c r="V349" s="22" t="n">
        <x:f>IF(M349&gt;0,1,0)</x:f>
        <x:v>1</x:v>
      </x:c>
    </x:row>
    <x:row r="350" ht="28" customHeight="1">
      <x:c r="A350" s="22" t="str">
        <x:v>병원</x:v>
      </x:c>
      <x:c r="B350" s="31" t="str">
        <x:f>"C-010113"</x:f>
        <x:v>C-010113</x:v>
      </x:c>
      <x:c r="C350" s="25" t="str">
        <x:v>010113  PAINTERS WORKS</x:v>
      </x:c>
      <x:c r="D350" s="25" t="str">
        <x:v>Painting on gypsum board surfaces including Anti-bacterial Paint as per drawing and as specified.</x:v>
      </x:c>
      <x:c r="E350" s="25" t="str"/>
      <x:c r="F350" s="22" t="str">
        <x:v>M2</x:v>
      </x:c>
      <x:c r="G350" s="28" t="n">
        <x:v>1762</x:v>
      </x:c>
      <x:c r="H350" s="25" t="str">
        <x:v>4531284DDC776A4702EA22A0C0638FB35037F</x:v>
      </x:c>
      <x:c r="I350" s="22" t="str">
        <x:v>직접자원단가</x:v>
      </x:c>
      <x:c r="J350" s="34" t="n">
        <x:v>2.5</x:v>
      </x:c>
      <x:c r="K350" s="34" t="n">
        <x:v>0</x:v>
      </x:c>
      <x:c r="L350" s="34" t="n">
        <x:v>0</x:v>
      </x:c>
      <x:c r="M350" s="34" t="n">
        <x:f>SUM(J350:L350)</x:f>
        <x:v>2.5</x:v>
      </x:c>
      <x:c r="N350" s="34" t="n">
        <x:f>G350*J350</x:f>
        <x:v>4405</x:v>
      </x:c>
      <x:c r="O350" s="34" t="n">
        <x:f>G350*K350</x:f>
        <x:v>0</x:v>
      </x:c>
      <x:c r="P350" s="34" t="n">
        <x:f>G350*L350</x:f>
        <x:v>0</x:v>
      </x:c>
      <x:c r="Q350" s="34" t="n">
        <x:f>SUM(N350:P350)</x:f>
        <x:v>4405</x:v>
      </x:c>
      <x:c r="R350" s="22" t="str">
        <x:f>IF(M350&gt;0,"복원","미복원")</x:f>
        <x:v>복원</x:v>
      </x:c>
      <x:c r="S350" s="37" t="n">
        <x:v>538</x:v>
      </x:c>
      <x:c r="T3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0" s="22" t="str">
        <x:f>A350&amp;"|"&amp;B350</x:f>
        <x:v>병원|C-010113</x:v>
      </x:c>
      <x:c r="V350" s="22" t="n">
        <x:f>IF(M350&gt;0,1,0)</x:f>
        <x:v>1</x:v>
      </x:c>
    </x:row>
    <x:row r="351" ht="28" customHeight="1">
      <x:c r="A351" s="22" t="str">
        <x:v>병원</x:v>
      </x:c>
      <x:c r="B351" s="31" t="str">
        <x:f>"C-010113"</x:f>
        <x:v>C-010113</x:v>
      </x:c>
      <x:c r="C351" s="25" t="str">
        <x:v>010113  PAINTERS WORKS</x:v>
      </x:c>
      <x:c r="D351" s="25" t="str">
        <x:v>Painting on gypsum board surfaces including Emulsion Paint as per drawing and as specified.</x:v>
      </x:c>
      <x:c r="E351" s="25" t="str"/>
      <x:c r="F351" s="22" t="str">
        <x:v>M2</x:v>
      </x:c>
      <x:c r="G351" s="28" t="n">
        <x:v>313</x:v>
      </x:c>
      <x:c r="H351" s="25" t="str">
        <x:v>4531284DDC776A4702EA22A0C0638FB35037E</x:v>
      </x:c>
      <x:c r="I351" s="22" t="str">
        <x:v>직접자원단가</x:v>
      </x:c>
      <x:c r="J351" s="34" t="n">
        <x:v>1.5</x:v>
      </x:c>
      <x:c r="K351" s="34" t="n">
        <x:v>0</x:v>
      </x:c>
      <x:c r="L351" s="34" t="n">
        <x:v>0</x:v>
      </x:c>
      <x:c r="M351" s="34" t="n">
        <x:f>SUM(J351:L351)</x:f>
        <x:v>1.5</x:v>
      </x:c>
      <x:c r="N351" s="34" t="n">
        <x:f>G351*J351</x:f>
        <x:v>469.5</x:v>
      </x:c>
      <x:c r="O351" s="34" t="n">
        <x:f>G351*K351</x:f>
        <x:v>0</x:v>
      </x:c>
      <x:c r="P351" s="34" t="n">
        <x:f>G351*L351</x:f>
        <x:v>0</x:v>
      </x:c>
      <x:c r="Q351" s="34" t="n">
        <x:f>SUM(N351:P351)</x:f>
        <x:v>469.5</x:v>
      </x:c>
      <x:c r="R351" s="22" t="str">
        <x:f>IF(M351&gt;0,"복원","미복원")</x:f>
        <x:v>복원</x:v>
      </x:c>
      <x:c r="S351" s="37" t="n">
        <x:v>539</x:v>
      </x:c>
      <x:c r="T3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1" s="22" t="str">
        <x:f>A351&amp;"|"&amp;B351</x:f>
        <x:v>병원|C-010113</x:v>
      </x:c>
      <x:c r="V351" s="22" t="n">
        <x:f>IF(M351&gt;0,1,0)</x:f>
        <x:v>1</x:v>
      </x:c>
    </x:row>
    <x:row r="352" ht="28" customHeight="1">
      <x:c r="A352" s="22" t="str">
        <x:v>병원</x:v>
      </x:c>
      <x:c r="B352" s="31" t="str">
        <x:f>"C-010113"</x:f>
        <x:v>C-010113</x:v>
      </x:c>
      <x:c r="C352" s="25" t="str">
        <x:v>010113  PAINTERS WORKS</x:v>
      </x:c>
      <x:c r="D352" s="25" t="str">
        <x:v>Painting on plastered surfaces including Epoxy paint as per drawing and as specified. (Plastering measured seperately)</x:v>
      </x:c>
      <x:c r="E352" s="25" t="str"/>
      <x:c r="F352" s="22" t="str">
        <x:v>M2</x:v>
      </x:c>
      <x:c r="G352" s="28" t="n">
        <x:v>196</x:v>
      </x:c>
      <x:c r="H352" s="25" t="str">
        <x:v>4482214ED37A290E22AE6206AEC6C</x:v>
      </x:c>
      <x:c r="I352" s="22" t="str">
        <x:v>복합일위대가</x:v>
      </x:c>
      <x:c r="J352" s="34" t="n">
        <x:v>4.25</x:v>
      </x:c>
      <x:c r="K352" s="34" t="n">
        <x:v>0</x:v>
      </x:c>
      <x:c r="L352" s="34" t="n">
        <x:v>0</x:v>
      </x:c>
      <x:c r="M352" s="34" t="n">
        <x:f>SUM(J352:L352)</x:f>
        <x:v>4.25</x:v>
      </x:c>
      <x:c r="N352" s="34" t="n">
        <x:f>G352*J352</x:f>
        <x:v>833</x:v>
      </x:c>
      <x:c r="O352" s="34" t="n">
        <x:f>G352*K352</x:f>
        <x:v>0</x:v>
      </x:c>
      <x:c r="P352" s="34" t="n">
        <x:f>G352*L352</x:f>
        <x:v>0</x:v>
      </x:c>
      <x:c r="Q352" s="34" t="n">
        <x:f>SUM(N352:P352)</x:f>
        <x:v>833</x:v>
      </x:c>
      <x:c r="R352" s="22" t="str">
        <x:f>IF(M352&gt;0,"복원","미복원")</x:f>
        <x:v>복원</x:v>
      </x:c>
      <x:c r="S352" s="37" t="n">
        <x:v>540</x:v>
      </x:c>
      <x:c r="T3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2" s="22" t="str">
        <x:f>A352&amp;"|"&amp;B352</x:f>
        <x:v>병원|C-010113</x:v>
      </x:c>
      <x:c r="V352" s="22" t="n">
        <x:f>IF(M352&gt;0,1,0)</x:f>
        <x:v>1</x:v>
      </x:c>
    </x:row>
    <x:row r="353" ht="28" customHeight="1">
      <x:c r="A353" s="22" t="str">
        <x:v>병원</x:v>
      </x:c>
      <x:c r="B353" s="31" t="str">
        <x:f>"C-010113"</x:f>
        <x:v>C-010113</x:v>
      </x:c>
      <x:c r="C353" s="25" t="str">
        <x:v>010113  PAINTERS WORKS</x:v>
      </x:c>
      <x:c r="D353" s="25" t="str">
        <x:v>Painting on plastered surfaces including Emulsion Paint as per drawing and as specified. (Plastering measured seperately</x:v>
      </x:c>
      <x:c r="E353" s="25" t="str"/>
      <x:c r="F353" s="22" t="str">
        <x:v>M2</x:v>
      </x:c>
      <x:c r="G353" s="28" t="n">
        <x:v>2361</x:v>
      </x:c>
      <x:c r="H353" s="25" t="str">
        <x:v>4531284DDC776A4702EA22A0C0638FB35037D</x:v>
      </x:c>
      <x:c r="I353" s="22" t="str">
        <x:v>직접자원단가</x:v>
      </x:c>
      <x:c r="J353" s="34" t="n">
        <x:v>1.5</x:v>
      </x:c>
      <x:c r="K353" s="34" t="n">
        <x:v>0</x:v>
      </x:c>
      <x:c r="L353" s="34" t="n">
        <x:v>0</x:v>
      </x:c>
      <x:c r="M353" s="34" t="n">
        <x:f>SUM(J353:L353)</x:f>
        <x:v>1.5</x:v>
      </x:c>
      <x:c r="N353" s="34" t="n">
        <x:f>G353*J353</x:f>
        <x:v>3541.5</x:v>
      </x:c>
      <x:c r="O353" s="34" t="n">
        <x:f>G353*K353</x:f>
        <x:v>0</x:v>
      </x:c>
      <x:c r="P353" s="34" t="n">
        <x:f>G353*L353</x:f>
        <x:v>0</x:v>
      </x:c>
      <x:c r="Q353" s="34" t="n">
        <x:f>SUM(N353:P353)</x:f>
        <x:v>3541.5</x:v>
      </x:c>
      <x:c r="R353" s="22" t="str">
        <x:f>IF(M353&gt;0,"복원","미복원")</x:f>
        <x:v>복원</x:v>
      </x:c>
      <x:c r="S353" s="37" t="n">
        <x:v>541</x:v>
      </x:c>
      <x:c r="T3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3" s="22" t="str">
        <x:f>A353&amp;"|"&amp;B353</x:f>
        <x:v>병원|C-010113</x:v>
      </x:c>
      <x:c r="V353" s="22" t="n">
        <x:f>IF(M353&gt;0,1,0)</x:f>
        <x:v>1</x:v>
      </x:c>
    </x:row>
    <x:row r="354" ht="28" customHeight="1">
      <x:c r="A354" s="22" t="str">
        <x:v>병원</x:v>
      </x:c>
      <x:c r="B354" s="31" t="str">
        <x:f>"C-010113"</x:f>
        <x:v>C-010113</x:v>
      </x:c>
      <x:c r="C354" s="25" t="str">
        <x:v>010113  PAINTERS WORKS</x:v>
      </x:c>
      <x:c r="D354" s="25" t="str">
        <x:v>Painting on plastered surfaces including Anti-bacterial Paint as per drawing and as specified. (Plastering measured sepe</x:v>
      </x:c>
      <x:c r="E354" s="25" t="str"/>
      <x:c r="F354" s="22" t="str">
        <x:v>M2</x:v>
      </x:c>
      <x:c r="G354" s="28" t="n">
        <x:v>395</x:v>
      </x:c>
      <x:c r="H354" s="25" t="str">
        <x:v>4482214ED37A290E22AE6206AE8F1</x:v>
      </x:c>
      <x:c r="I354" s="22" t="str">
        <x:v>복합일위대가</x:v>
      </x:c>
      <x:c r="J354" s="34" t="n">
        <x:v>3</x:v>
      </x:c>
      <x:c r="K354" s="34" t="n">
        <x:v>0</x:v>
      </x:c>
      <x:c r="L354" s="34" t="n">
        <x:v>0</x:v>
      </x:c>
      <x:c r="M354" s="34" t="n">
        <x:f>SUM(J354:L354)</x:f>
        <x:v>3</x:v>
      </x:c>
      <x:c r="N354" s="34" t="n">
        <x:f>G354*J354</x:f>
        <x:v>1185</x:v>
      </x:c>
      <x:c r="O354" s="34" t="n">
        <x:f>G354*K354</x:f>
        <x:v>0</x:v>
      </x:c>
      <x:c r="P354" s="34" t="n">
        <x:f>G354*L354</x:f>
        <x:v>0</x:v>
      </x:c>
      <x:c r="Q354" s="34" t="n">
        <x:f>SUM(N354:P354)</x:f>
        <x:v>1185</x:v>
      </x:c>
      <x:c r="R354" s="22" t="str">
        <x:f>IF(M354&gt;0,"복원","미복원")</x:f>
        <x:v>복원</x:v>
      </x:c>
      <x:c r="S354" s="37" t="n">
        <x:v>542</x:v>
      </x:c>
      <x:c r="T3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4" s="22" t="str">
        <x:f>A354&amp;"|"&amp;B354</x:f>
        <x:v>병원|C-010113</x:v>
      </x:c>
      <x:c r="V354" s="22" t="n">
        <x:f>IF(M354&gt;0,1,0)</x:f>
        <x:v>1</x:v>
      </x:c>
    </x:row>
    <x:row r="355" ht="28" customHeight="1">
      <x:c r="A355" s="22" t="str">
        <x:v>병원</x:v>
      </x:c>
      <x:c r="B355" s="31" t="str">
        <x:f>"C-010113"</x:f>
        <x:v>C-010113</x:v>
      </x:c>
      <x:c r="C355" s="25" t="str">
        <x:v>010113  PAINTERS WORKS</x:v>
      </x:c>
      <x:c r="D355" s="25" t="str">
        <x:v>Painting on Concrete Surface Treatment surfaces including Emulsion Paint as per drawing and as specified. (Plastering me</x:v>
      </x:c>
      <x:c r="E355" s="25" t="str"/>
      <x:c r="F355" s="22" t="str">
        <x:v>M2</x:v>
      </x:c>
      <x:c r="G355" s="28" t="n">
        <x:v>1228</x:v>
      </x:c>
      <x:c r="H355" s="25" t="str">
        <x:v>4482214ED37A290E22AE6206AEABE</x:v>
      </x:c>
      <x:c r="I355" s="22" t="str">
        <x:v>복합일위대가</x:v>
      </x:c>
      <x:c r="J355" s="34" t="n">
        <x:v>2</x:v>
      </x:c>
      <x:c r="K355" s="34" t="n">
        <x:v>0</x:v>
      </x:c>
      <x:c r="L355" s="34" t="n">
        <x:v>0</x:v>
      </x:c>
      <x:c r="M355" s="34" t="n">
        <x:f>SUM(J355:L355)</x:f>
        <x:v>2</x:v>
      </x:c>
      <x:c r="N355" s="34" t="n">
        <x:f>G355*J355</x:f>
        <x:v>2456</x:v>
      </x:c>
      <x:c r="O355" s="34" t="n">
        <x:f>G355*K355</x:f>
        <x:v>0</x:v>
      </x:c>
      <x:c r="P355" s="34" t="n">
        <x:f>G355*L355</x:f>
        <x:v>0</x:v>
      </x:c>
      <x:c r="Q355" s="34" t="n">
        <x:f>SUM(N355:P355)</x:f>
        <x:v>2456</x:v>
      </x:c>
      <x:c r="R355" s="22" t="str">
        <x:f>IF(M355&gt;0,"복원","미복원")</x:f>
        <x:v>복원</x:v>
      </x:c>
      <x:c r="S355" s="37" t="n">
        <x:v>543</x:v>
      </x:c>
      <x:c r="T3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5" s="22" t="str">
        <x:f>A355&amp;"|"&amp;B355</x:f>
        <x:v>병원|C-010113</x:v>
      </x:c>
      <x:c r="V355" s="22" t="n">
        <x:f>IF(M355&gt;0,1,0)</x:f>
        <x:v>1</x:v>
      </x:c>
    </x:row>
    <x:row r="356" ht="28" customHeight="1">
      <x:c r="A356" s="22" t="str">
        <x:v>병원</x:v>
      </x:c>
      <x:c r="B356" s="31" t="str">
        <x:f>"C-010113"</x:f>
        <x:v>C-010113</x:v>
      </x:c>
      <x:c r="C356" s="25" t="str">
        <x:v>010113  PAINTERS WORKS</x:v>
      </x:c>
      <x:c r="D356" s="25" t="str">
        <x:v>Painting on gypsum board surfaces including Emulsion Paint as per drawing and as specified.</x:v>
      </x:c>
      <x:c r="E356" s="25" t="str"/>
      <x:c r="F356" s="22" t="str">
        <x:v>M2</x:v>
      </x:c>
      <x:c r="G356" s="28" t="n">
        <x:v>1135</x:v>
      </x:c>
      <x:c r="H356" s="25" t="str">
        <x:v>4482214ED37A290E22AE6206AE53D</x:v>
      </x:c>
      <x:c r="I356" s="22" t="str">
        <x:v>복합일위대가</x:v>
      </x:c>
      <x:c r="J356" s="34" t="n">
        <x:v>2</x:v>
      </x:c>
      <x:c r="K356" s="34" t="n">
        <x:v>0</x:v>
      </x:c>
      <x:c r="L356" s="34" t="n">
        <x:v>0</x:v>
      </x:c>
      <x:c r="M356" s="34" t="n">
        <x:f>SUM(J356:L356)</x:f>
        <x:v>2</x:v>
      </x:c>
      <x:c r="N356" s="34" t="n">
        <x:f>G356*J356</x:f>
        <x:v>2270</x:v>
      </x:c>
      <x:c r="O356" s="34" t="n">
        <x:f>G356*K356</x:f>
        <x:v>0</x:v>
      </x:c>
      <x:c r="P356" s="34" t="n">
        <x:f>G356*L356</x:f>
        <x:v>0</x:v>
      </x:c>
      <x:c r="Q356" s="34" t="n">
        <x:f>SUM(N356:P356)</x:f>
        <x:v>2270</x:v>
      </x:c>
      <x:c r="R356" s="22" t="str">
        <x:f>IF(M356&gt;0,"복원","미복원")</x:f>
        <x:v>복원</x:v>
      </x:c>
      <x:c r="S356" s="37" t="n">
        <x:v>544</x:v>
      </x:c>
      <x:c r="T3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6" s="22" t="str">
        <x:f>A356&amp;"|"&amp;B356</x:f>
        <x:v>병원|C-010113</x:v>
      </x:c>
      <x:c r="V356" s="22" t="n">
        <x:f>IF(M356&gt;0,1,0)</x:f>
        <x:v>1</x:v>
      </x:c>
    </x:row>
    <x:row r="357" ht="28" customHeight="1">
      <x:c r="A357" s="22" t="str">
        <x:v>병원</x:v>
      </x:c>
      <x:c r="B357" s="31" t="str">
        <x:f>"C-010113"</x:f>
        <x:v>C-010113</x:v>
      </x:c>
      <x:c r="C357" s="25" t="str">
        <x:v>010113  PAINTERS WORKS</x:v>
      </x:c>
      <x:c r="D357" s="25" t="str">
        <x:v>Painting on gypsum board surfaces including Anti-bacterial Paint as per drawing and as specified.</x:v>
      </x:c>
      <x:c r="E357" s="25" t="str"/>
      <x:c r="F357" s="22" t="str">
        <x:v>M2</x:v>
      </x:c>
      <x:c r="G357" s="28" t="n">
        <x:v>1693</x:v>
      </x:c>
      <x:c r="H357" s="25" t="str">
        <x:v>4482214ED37A290E22AE62069C542</x:v>
      </x:c>
      <x:c r="I357" s="22" t="str">
        <x:v>복합일위대가</x:v>
      </x:c>
      <x:c r="J357" s="34" t="n">
        <x:v>3</x:v>
      </x:c>
      <x:c r="K357" s="34" t="n">
        <x:v>0</x:v>
      </x:c>
      <x:c r="L357" s="34" t="n">
        <x:v>0</x:v>
      </x:c>
      <x:c r="M357" s="34" t="n">
        <x:f>SUM(J357:L357)</x:f>
        <x:v>3</x:v>
      </x:c>
      <x:c r="N357" s="34" t="n">
        <x:f>G357*J357</x:f>
        <x:v>5079</x:v>
      </x:c>
      <x:c r="O357" s="34" t="n">
        <x:f>G357*K357</x:f>
        <x:v>0</x:v>
      </x:c>
      <x:c r="P357" s="34" t="n">
        <x:f>G357*L357</x:f>
        <x:v>0</x:v>
      </x:c>
      <x:c r="Q357" s="34" t="n">
        <x:f>SUM(N357:P357)</x:f>
        <x:v>5079</x:v>
      </x:c>
      <x:c r="R357" s="22" t="str">
        <x:f>IF(M357&gt;0,"복원","미복원")</x:f>
        <x:v>복원</x:v>
      </x:c>
      <x:c r="S357" s="37" t="n">
        <x:v>545</x:v>
      </x:c>
      <x:c r="T3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7" s="22" t="str">
        <x:f>A357&amp;"|"&amp;B357</x:f>
        <x:v>병원|C-010113</x:v>
      </x:c>
      <x:c r="V357" s="22" t="n">
        <x:f>IF(M357&gt;0,1,0)</x:f>
        <x:v>1</x:v>
      </x:c>
    </x:row>
    <x:row r="358" ht="28" customHeight="1">
      <x:c r="A358" s="22" t="str">
        <x:v>병원</x:v>
      </x:c>
      <x:c r="B358" s="31" t="str">
        <x:f>"C-010113"</x:f>
        <x:v>C-010113</x:v>
      </x:c>
      <x:c r="C358" s="25" t="str">
        <x:v>010113  PAINTERS WORKS</x:v>
      </x:c>
      <x:c r="D358" s="25" t="str">
        <x:v>Steel Trowelled with Epoxy coating</x:v>
      </x:c>
      <x:c r="E358" s="25" t="str">
        <x:v>Floor</x:v>
      </x:c>
      <x:c r="F358" s="22" t="str">
        <x:v>M2</x:v>
      </x:c>
      <x:c r="G358" s="28" t="n">
        <x:v>268</x:v>
      </x:c>
      <x:c r="H358" s="25" t="str">
        <x:v>4482214E4D7E26CCE26EA35651C33</x:v>
      </x:c>
      <x:c r="I358" s="22" t="str">
        <x:v>복합일위대가</x:v>
      </x:c>
      <x:c r="J358" s="34" t="n">
        <x:v>20</x:v>
      </x:c>
      <x:c r="K358" s="34" t="n">
        <x:v>0</x:v>
      </x:c>
      <x:c r="L358" s="34" t="n">
        <x:v>0</x:v>
      </x:c>
      <x:c r="M358" s="34" t="n">
        <x:f>SUM(J358:L358)</x:f>
        <x:v>20</x:v>
      </x:c>
      <x:c r="N358" s="34" t="n">
        <x:f>G358*J358</x:f>
        <x:v>5360</x:v>
      </x:c>
      <x:c r="O358" s="34" t="n">
        <x:f>G358*K358</x:f>
        <x:v>0</x:v>
      </x:c>
      <x:c r="P358" s="34" t="n">
        <x:f>G358*L358</x:f>
        <x:v>0</x:v>
      </x:c>
      <x:c r="Q358" s="34" t="n">
        <x:f>SUM(N358:P358)</x:f>
        <x:v>5360</x:v>
      </x:c>
      <x:c r="R358" s="22" t="str">
        <x:f>IF(M358&gt;0,"복원","미복원")</x:f>
        <x:v>복원</x:v>
      </x:c>
      <x:c r="S358" s="37" t="n">
        <x:v>546</x:v>
      </x:c>
      <x:c r="T3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8" s="22" t="str">
        <x:f>A358&amp;"|"&amp;B358</x:f>
        <x:v>병원|C-010113</x:v>
      </x:c>
      <x:c r="V358" s="22" t="n">
        <x:f>IF(M358&gt;0,1,0)</x:f>
        <x:v>1</x:v>
      </x:c>
    </x:row>
    <x:row r="359" ht="28" customHeight="1">
      <x:c r="A359" s="22" t="str">
        <x:v>병원</x:v>
      </x:c>
      <x:c r="B359" s="31" t="str">
        <x:f>"C-010113"</x:f>
        <x:v>C-010113</x:v>
      </x:c>
      <x:c r="C359" s="25" t="str">
        <x:v>010113  PAINTERS WORKS</x:v>
      </x:c>
      <x:c r="D359" s="25" t="str">
        <x:v>Steel Trowelled with Epoxy coating</x:v>
      </x:c>
      <x:c r="E359" s="25" t="str">
        <x:v>CEILING</x:v>
      </x:c>
      <x:c r="F359" s="22" t="str">
        <x:v>M2</x:v>
      </x:c>
      <x:c r="G359" s="28" t="n">
        <x:v>46</x:v>
      </x:c>
      <x:c r="H359" s="25" t="str">
        <x:v>4482214E4D7E26CCE26EA35647549</x:v>
      </x:c>
      <x:c r="I359" s="22" t="str">
        <x:v>복합일위대가</x:v>
      </x:c>
      <x:c r="J359" s="34" t="n">
        <x:v>4.25</x:v>
      </x:c>
      <x:c r="K359" s="34" t="n">
        <x:v>0</x:v>
      </x:c>
      <x:c r="L359" s="34" t="n">
        <x:v>0</x:v>
      </x:c>
      <x:c r="M359" s="34" t="n">
        <x:f>SUM(J359:L359)</x:f>
        <x:v>4.25</x:v>
      </x:c>
      <x:c r="N359" s="34" t="n">
        <x:f>G359*J359</x:f>
        <x:v>195.5</x:v>
      </x:c>
      <x:c r="O359" s="34" t="n">
        <x:f>G359*K359</x:f>
        <x:v>0</x:v>
      </x:c>
      <x:c r="P359" s="34" t="n">
        <x:f>G359*L359</x:f>
        <x:v>0</x:v>
      </x:c>
      <x:c r="Q359" s="34" t="n">
        <x:f>SUM(N359:P359)</x:f>
        <x:v>195.5</x:v>
      </x:c>
      <x:c r="R359" s="22" t="str">
        <x:f>IF(M359&gt;0,"복원","미복원")</x:f>
        <x:v>복원</x:v>
      </x:c>
      <x:c r="S359" s="37" t="n">
        <x:v>547</x:v>
      </x:c>
      <x:c r="T3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59" s="22" t="str">
        <x:f>A359&amp;"|"&amp;B359</x:f>
        <x:v>병원|C-010113</x:v>
      </x:c>
      <x:c r="V359" s="22" t="n">
        <x:f>IF(M359&gt;0,1,0)</x:f>
        <x:v>1</x:v>
      </x:c>
    </x:row>
    <x:row r="360" ht="28" customHeight="1">
      <x:c r="A360" s="22" t="str">
        <x:v>병원</x:v>
      </x:c>
      <x:c r="B360" s="31" t="str">
        <x:f>"C-010113"</x:f>
        <x:v>C-010113</x:v>
      </x:c>
      <x:c r="C360" s="25" t="str">
        <x:v>010113  PAINTERS WORKS</x:v>
      </x:c>
      <x:c r="D360" s="25" t="str">
        <x:v>Steel Trowelled with Epoxy coating(Raised access flooring under)</x:v>
      </x:c>
      <x:c r="E360" s="25" t="str">
        <x:v>Floor</x:v>
      </x:c>
      <x:c r="F360" s="22" t="str">
        <x:v>M2</x:v>
      </x:c>
      <x:c r="G360" s="28" t="n">
        <x:v>49</x:v>
      </x:c>
      <x:c r="H360" s="25" t="str">
        <x:v>4482214E4D7E26CCE26EA5352E73C</x:v>
      </x:c>
      <x:c r="I360" s="22" t="str">
        <x:v>복합일위대가</x:v>
      </x:c>
      <x:c r="J360" s="34" t="n">
        <x:v>4.25</x:v>
      </x:c>
      <x:c r="K360" s="34" t="n">
        <x:v>0</x:v>
      </x:c>
      <x:c r="L360" s="34" t="n">
        <x:v>0</x:v>
      </x:c>
      <x:c r="M360" s="34" t="n">
        <x:f>SUM(J360:L360)</x:f>
        <x:v>4.25</x:v>
      </x:c>
      <x:c r="N360" s="34" t="n">
        <x:f>G360*J360</x:f>
        <x:v>208.25</x:v>
      </x:c>
      <x:c r="O360" s="34" t="n">
        <x:f>G360*K360</x:f>
        <x:v>0</x:v>
      </x:c>
      <x:c r="P360" s="34" t="n">
        <x:f>G360*L360</x:f>
        <x:v>0</x:v>
      </x:c>
      <x:c r="Q360" s="34" t="n">
        <x:f>SUM(N360:P360)</x:f>
        <x:v>208.25</x:v>
      </x:c>
      <x:c r="R360" s="22" t="str">
        <x:f>IF(M360&gt;0,"복원","미복원")</x:f>
        <x:v>복원</x:v>
      </x:c>
      <x:c r="S360" s="37" t="n">
        <x:v>548</x:v>
      </x:c>
      <x:c r="T3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0" s="22" t="str">
        <x:f>A360&amp;"|"&amp;B360</x:f>
        <x:v>병원|C-010113</x:v>
      </x:c>
      <x:c r="V360" s="22" t="n">
        <x:f>IF(M360&gt;0,1,0)</x:f>
        <x:v>1</x:v>
      </x:c>
    </x:row>
    <x:row r="361" ht="28" customHeight="1">
      <x:c r="A361" s="22" t="str">
        <x:v>병원</x:v>
      </x:c>
      <x:c r="B361" s="31" t="str">
        <x:f>"C-010113"</x:f>
        <x:v>C-010113</x:v>
      </x:c>
      <x:c r="C361" s="25" t="str">
        <x:v>010113  PAINTERS WORKS</x:v>
      </x:c>
      <x:c r="D361" s="25" t="str">
        <x:v>Supplying and laying of 100mm (h) Acrylic Paint skirting.</x:v>
      </x:c>
      <x:c r="E361" s="25" t="str"/>
      <x:c r="F361" s="22" t="str">
        <x:v>M2</x:v>
      </x:c>
      <x:c r="G361" s="28" t="n">
        <x:v>44</x:v>
      </x:c>
      <x:c r="H361" s="25" t="str">
        <x:v>448220486474E5E5829F2A85CA533</x:v>
      </x:c>
      <x:c r="I361" s="22" t="str">
        <x:v>복합일위대가</x:v>
      </x:c>
      <x:c r="J361" s="34" t="n">
        <x:v>5</x:v>
      </x:c>
      <x:c r="K361" s="34" t="n">
        <x:v>0</x:v>
      </x:c>
      <x:c r="L361" s="34" t="n">
        <x:v>0</x:v>
      </x:c>
      <x:c r="M361" s="34" t="n">
        <x:f>SUM(J361:L361)</x:f>
        <x:v>5</x:v>
      </x:c>
      <x:c r="N361" s="34" t="n">
        <x:f>G361*J361</x:f>
        <x:v>220</x:v>
      </x:c>
      <x:c r="O361" s="34" t="n">
        <x:f>G361*K361</x:f>
        <x:v>0</x:v>
      </x:c>
      <x:c r="P361" s="34" t="n">
        <x:f>G361*L361</x:f>
        <x:v>0</x:v>
      </x:c>
      <x:c r="Q361" s="34" t="n">
        <x:f>SUM(N361:P361)</x:f>
        <x:v>220</x:v>
      </x:c>
      <x:c r="R361" s="22" t="str">
        <x:f>IF(M361&gt;0,"복원","미복원")</x:f>
        <x:v>복원</x:v>
      </x:c>
      <x:c r="S361" s="37" t="n">
        <x:v>549</x:v>
      </x:c>
      <x:c r="T3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1" s="22" t="str">
        <x:f>A361&amp;"|"&amp;B361</x:f>
        <x:v>병원|C-010113</x:v>
      </x:c>
      <x:c r="V361" s="22" t="n">
        <x:f>IF(M361&gt;0,1,0)</x:f>
        <x:v>1</x:v>
      </x:c>
    </x:row>
    <x:row r="362" ht="28" customHeight="1">
      <x:c r="A362" s="22" t="str">
        <x:v>병원</x:v>
      </x:c>
      <x:c r="B362" s="31" t="str">
        <x:f>"C-010113"</x:f>
        <x:v>C-010113</x:v>
      </x:c>
      <x:c r="C362" s="25" t="str">
        <x:v>010113  PAINTERS WORKS</x:v>
      </x:c>
      <x:c r="D362" s="25" t="str">
        <x:v>Supplying and laying of 100mm (h) 15T Marble skirting.</x:v>
      </x:c>
      <x:c r="E362" s="25" t="str"/>
      <x:c r="F362" s="22" t="str">
        <x:v>M2</x:v>
      </x:c>
      <x:c r="G362" s="28" t="n">
        <x:v>2</x:v>
      </x:c>
      <x:c r="H362" s="25" t="str">
        <x:v>448220486474E5E5829F2A85CA6DA</x:v>
      </x:c>
      <x:c r="I362" s="22" t="str">
        <x:v>복합일위대가</x:v>
      </x:c>
      <x:c r="J362" s="34" t="n">
        <x:v>4.24</x:v>
      </x:c>
      <x:c r="K362" s="34" t="n">
        <x:v>3.12</x:v>
      </x:c>
      <x:c r="L362" s="34" t="n">
        <x:v>0.03</x:v>
      </x:c>
      <x:c r="M362" s="34" t="n">
        <x:f>SUM(J362:L362)</x:f>
        <x:v>7.390000000000001</x:v>
      </x:c>
      <x:c r="N362" s="34" t="n">
        <x:f>G362*J362</x:f>
        <x:v>8.48</x:v>
      </x:c>
      <x:c r="O362" s="34" t="n">
        <x:f>G362*K362</x:f>
        <x:v>6.24</x:v>
      </x:c>
      <x:c r="P362" s="34" t="n">
        <x:f>G362*L362</x:f>
        <x:v>0.06</x:v>
      </x:c>
      <x:c r="Q362" s="34" t="n">
        <x:f>SUM(N362:P362)</x:f>
        <x:v>14.780000000000001</x:v>
      </x:c>
      <x:c r="R362" s="22" t="str">
        <x:f>IF(M362&gt;0,"복원","미복원")</x:f>
        <x:v>복원</x:v>
      </x:c>
      <x:c r="S362" s="37" t="n">
        <x:v>550</x:v>
      </x:c>
      <x:c r="T3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2" s="22" t="str">
        <x:f>A362&amp;"|"&amp;B362</x:f>
        <x:v>병원|C-010113</x:v>
      </x:c>
      <x:c r="V362" s="22" t="n">
        <x:f>IF(M362&gt;0,1,0)</x:f>
        <x:v>1</x:v>
      </x:c>
    </x:row>
    <x:row r="363" ht="28" customHeight="1">
      <x:c r="A363" s="22" t="str">
        <x:v>병원</x:v>
      </x:c>
      <x:c r="B363" s="31" t="str">
        <x:f>"C-010114"</x:f>
        <x:v>C-010114</x:v>
      </x:c>
      <x:c r="C363" s="25" t="str">
        <x:v>010114  ETC WORKS</x:v>
      </x:c>
      <x:c r="D363" s="25" t="str">
        <x:v>Paper Holder</x:v>
      </x:c>
      <x:c r="E363" s="25" t="str"/>
      <x:c r="F363" s="22" t="str">
        <x:v>no</x:v>
      </x:c>
      <x:c r="G363" s="28" t="n">
        <x:v>61</x:v>
      </x:c>
      <x:c r="H363" s="25" t="str">
        <x:v>43AE2040227AB42452B29C82F0968C772EFD5</x:v>
      </x:c>
      <x:c r="I363" s="22" t="str">
        <x:v>직접자원단가</x:v>
      </x:c>
      <x:c r="J363" s="34" t="n">
        <x:v>23.624379767459086</x:v>
      </x:c>
      <x:c r="K363" s="34" t="n">
        <x:v>0</x:v>
      </x:c>
      <x:c r="L363" s="34" t="n">
        <x:v>0</x:v>
      </x:c>
      <x:c r="M363" s="34" t="n">
        <x:f>SUM(J363:L363)</x:f>
        <x:v>23.624379767459086</x:v>
      </x:c>
      <x:c r="N363" s="34" t="n">
        <x:f>G363*J363</x:f>
        <x:v>1441.0871658150043</x:v>
      </x:c>
      <x:c r="O363" s="34" t="n">
        <x:f>G363*K363</x:f>
        <x:v>0</x:v>
      </x:c>
      <x:c r="P363" s="34" t="n">
        <x:f>G363*L363</x:f>
        <x:v>0</x:v>
      </x:c>
      <x:c r="Q363" s="34" t="n">
        <x:f>SUM(N363:P363)</x:f>
        <x:v>1441.0871658150043</x:v>
      </x:c>
      <x:c r="R363" s="22" t="str">
        <x:f>IF(M363&gt;0,"복원","미복원")</x:f>
        <x:v>복원</x:v>
      </x:c>
      <x:c r="S363" s="37" t="n">
        <x:v>557</x:v>
      </x:c>
      <x:c r="T3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3" s="22" t="str">
        <x:f>A363&amp;"|"&amp;B363</x:f>
        <x:v>병원|C-010114</x:v>
      </x:c>
      <x:c r="V363" s="22" t="n">
        <x:f>IF(M363&gt;0,1,0)</x:f>
        <x:v>1</x:v>
      </x:c>
    </x:row>
    <x:row r="364" ht="28" customHeight="1">
      <x:c r="A364" s="22" t="str">
        <x:v>병원</x:v>
      </x:c>
      <x:c r="B364" s="31" t="str">
        <x:f>"C-010114"</x:f>
        <x:v>C-010114</x:v>
      </x:c>
      <x:c r="C364" s="25" t="str">
        <x:v>010114  ETC WORKS</x:v>
      </x:c>
      <x:c r="D364" s="25" t="str">
        <x:v>Soap Dispenser</x:v>
      </x:c>
      <x:c r="E364" s="25" t="str"/>
      <x:c r="F364" s="22" t="str">
        <x:v>no</x:v>
      </x:c>
      <x:c r="G364" s="28" t="n">
        <x:v>71</x:v>
      </x:c>
      <x:c r="H364" s="25" t="str">
        <x:v>43AE2040227AB42452B29C82F0968C772EC01</x:v>
      </x:c>
      <x:c r="I364" s="22" t="str">
        <x:v>직접자원단가</x:v>
      </x:c>
      <x:c r="J364" s="34" t="n">
        <x:v>13.848774346441532</x:v>
      </x:c>
      <x:c r="K364" s="34" t="n">
        <x:v>0</x:v>
      </x:c>
      <x:c r="L364" s="34" t="n">
        <x:v>0</x:v>
      </x:c>
      <x:c r="M364" s="34" t="n">
        <x:f>SUM(J364:L364)</x:f>
        <x:v>13.848774346441532</x:v>
      </x:c>
      <x:c r="N364" s="34" t="n">
        <x:f>G364*J364</x:f>
        <x:v>983.2629785973488</x:v>
      </x:c>
      <x:c r="O364" s="34" t="n">
        <x:f>G364*K364</x:f>
        <x:v>0</x:v>
      </x:c>
      <x:c r="P364" s="34" t="n">
        <x:f>G364*L364</x:f>
        <x:v>0</x:v>
      </x:c>
      <x:c r="Q364" s="34" t="n">
        <x:f>SUM(N364:P364)</x:f>
        <x:v>983.2629785973488</x:v>
      </x:c>
      <x:c r="R364" s="22" t="str">
        <x:f>IF(M364&gt;0,"복원","미복원")</x:f>
        <x:v>복원</x:v>
      </x:c>
      <x:c r="S364" s="37" t="n">
        <x:v>558</x:v>
      </x:c>
      <x:c r="T3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4" s="22" t="str">
        <x:f>A364&amp;"|"&amp;B364</x:f>
        <x:v>병원|C-010114</x:v>
      </x:c>
      <x:c r="V364" s="22" t="n">
        <x:f>IF(M364&gt;0,1,0)</x:f>
        <x:v>1</x:v>
      </x:c>
    </x:row>
    <x:row r="365" ht="28" customHeight="1">
      <x:c r="A365" s="22" t="str">
        <x:v>병원</x:v>
      </x:c>
      <x:c r="B365" s="31" t="str">
        <x:f>"C-010114"</x:f>
        <x:v>C-010114</x:v>
      </x:c>
      <x:c r="C365" s="25" t="str">
        <x:v>010114  ETC WORKS</x:v>
      </x:c>
      <x:c r="D365" s="25" t="str">
        <x:v>Paper Towel Cabinet</x:v>
      </x:c>
      <x:c r="E365" s="25" t="str"/>
      <x:c r="F365" s="22" t="str">
        <x:v>no</x:v>
      </x:c>
      <x:c r="G365" s="28" t="n">
        <x:v>14</x:v>
      </x:c>
      <x:c r="H365" s="25" t="str">
        <x:v>43AE2040227AB42452B29C82F0968C772ED28</x:v>
      </x:c>
      <x:c r="I365" s="22" t="str">
        <x:v>직접자원단가</x:v>
      </x:c>
      <x:c r="J365" s="34" t="n">
        <x:v>143.3755461749241</x:v>
      </x:c>
      <x:c r="K365" s="34" t="n">
        <x:v>0</x:v>
      </x:c>
      <x:c r="L365" s="34" t="n">
        <x:v>0</x:v>
      </x:c>
      <x:c r="M365" s="34" t="n">
        <x:f>SUM(J365:L365)</x:f>
        <x:v>143.3755461749241</x:v>
      </x:c>
      <x:c r="N365" s="34" t="n">
        <x:f>G365*J365</x:f>
        <x:v>2007.2576464489373</x:v>
      </x:c>
      <x:c r="O365" s="34" t="n">
        <x:f>G365*K365</x:f>
        <x:v>0</x:v>
      </x:c>
      <x:c r="P365" s="34" t="n">
        <x:f>G365*L365</x:f>
        <x:v>0</x:v>
      </x:c>
      <x:c r="Q365" s="34" t="n">
        <x:f>SUM(N365:P365)</x:f>
        <x:v>2007.2576464489373</x:v>
      </x:c>
      <x:c r="R365" s="22" t="str">
        <x:f>IF(M365&gt;0,"복원","미복원")</x:f>
        <x:v>복원</x:v>
      </x:c>
      <x:c r="S365" s="37" t="n">
        <x:v>559</x:v>
      </x:c>
      <x:c r="T3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5" s="22" t="str">
        <x:f>A365&amp;"|"&amp;B365</x:f>
        <x:v>병원|C-010114</x:v>
      </x:c>
      <x:c r="V365" s="22" t="n">
        <x:f>IF(M365&gt;0,1,0)</x:f>
        <x:v>1</x:v>
      </x:c>
    </x:row>
    <x:row r="366" ht="28" customHeight="1">
      <x:c r="A366" s="22" t="str">
        <x:v>병원</x:v>
      </x:c>
      <x:c r="B366" s="31" t="str">
        <x:f>"C-010114"</x:f>
        <x:v>C-010114</x:v>
      </x:c>
      <x:c r="C366" s="25" t="str">
        <x:v>010114  ETC WORKS</x:v>
      </x:c>
      <x:c r="D366" s="25" t="str">
        <x:v>Coat Hook</x:v>
      </x:c>
      <x:c r="E366" s="25" t="str"/>
      <x:c r="F366" s="22" t="str">
        <x:v>no</x:v>
      </x:c>
      <x:c r="G366" s="28" t="n">
        <x:v>61</x:v>
      </x:c>
      <x:c r="H366" s="25" t="str">
        <x:v>43AE2040227AB42452B29C82F0968C772EA54</x:v>
      </x:c>
      <x:c r="I366" s="22" t="str">
        <x:v>직접자원단가</x:v>
      </x:c>
      <x:c r="J366" s="34" t="n">
        <x:v>10.590239206102348</x:v>
      </x:c>
      <x:c r="K366" s="34" t="n">
        <x:v>0</x:v>
      </x:c>
      <x:c r="L366" s="34" t="n">
        <x:v>0</x:v>
      </x:c>
      <x:c r="M366" s="34" t="n">
        <x:f>SUM(J366:L366)</x:f>
        <x:v>10.590239206102348</x:v>
      </x:c>
      <x:c r="N366" s="34" t="n">
        <x:f>G366*J366</x:f>
        <x:v>646.0045915722433</x:v>
      </x:c>
      <x:c r="O366" s="34" t="n">
        <x:f>G366*K366</x:f>
        <x:v>0</x:v>
      </x:c>
      <x:c r="P366" s="34" t="n">
        <x:f>G366*L366</x:f>
        <x:v>0</x:v>
      </x:c>
      <x:c r="Q366" s="34" t="n">
        <x:f>SUM(N366:P366)</x:f>
        <x:v>646.0045915722433</x:v>
      </x:c>
      <x:c r="R366" s="22" t="str">
        <x:f>IF(M366&gt;0,"복원","미복원")</x:f>
        <x:v>복원</x:v>
      </x:c>
      <x:c r="S366" s="37" t="n">
        <x:v>560</x:v>
      </x:c>
      <x:c r="T3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6" s="22" t="str">
        <x:f>A366&amp;"|"&amp;B366</x:f>
        <x:v>병원|C-010114</x:v>
      </x:c>
      <x:c r="V366" s="22" t="n">
        <x:f>IF(M366&gt;0,1,0)</x:f>
        <x:v>1</x:v>
      </x:c>
    </x:row>
    <x:row r="367" ht="28" customHeight="1">
      <x:c r="A367" s="22" t="str">
        <x:v>병원</x:v>
      </x:c>
      <x:c r="B367" s="31" t="str">
        <x:f>"C-010114"</x:f>
        <x:v>C-010114</x:v>
      </x:c>
      <x:c r="C367" s="25" t="str">
        <x:v>010114  ETC WORKS</x:v>
      </x:c>
      <x:c r="D367" s="25" t="str">
        <x:v>Disabled toilet grab bars,Fix Type</x:v>
      </x:c>
      <x:c r="E367" s="25" t="str"/>
      <x:c r="F367" s="22" t="str">
        <x:v>no</x:v>
      </x:c>
      <x:c r="G367" s="28" t="n">
        <x:v>3</x:v>
      </x:c>
      <x:c r="H367" s="25" t="str">
        <x:v>43AE2040227AB42452B29C82F0968C772EB7A</x:v>
      </x:c>
      <x:c r="I367" s="22" t="str">
        <x:v>직접자원단가</x:v>
      </x:c>
      <x:c r="J367" s="34" t="n">
        <x:v>89.60971635932756</x:v>
      </x:c>
      <x:c r="K367" s="34" t="n">
        <x:v>0</x:v>
      </x:c>
      <x:c r="L367" s="34" t="n">
        <x:v>0</x:v>
      </x:c>
      <x:c r="M367" s="34" t="n">
        <x:f>SUM(J367:L367)</x:f>
        <x:v>89.60971635932756</x:v>
      </x:c>
      <x:c r="N367" s="34" t="n">
        <x:f>G367*J367</x:f>
        <x:v>268.8291490779827</x:v>
      </x:c>
      <x:c r="O367" s="34" t="n">
        <x:f>G367*K367</x:f>
        <x:v>0</x:v>
      </x:c>
      <x:c r="P367" s="34" t="n">
        <x:f>G367*L367</x:f>
        <x:v>0</x:v>
      </x:c>
      <x:c r="Q367" s="34" t="n">
        <x:f>SUM(N367:P367)</x:f>
        <x:v>268.8291490779827</x:v>
      </x:c>
      <x:c r="R367" s="22" t="str">
        <x:f>IF(M367&gt;0,"복원","미복원")</x:f>
        <x:v>복원</x:v>
      </x:c>
      <x:c r="S367" s="37" t="n">
        <x:v>561</x:v>
      </x:c>
      <x:c r="T3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7" s="22" t="str">
        <x:f>A367&amp;"|"&amp;B367</x:f>
        <x:v>병원|C-010114</x:v>
      </x:c>
      <x:c r="V367" s="22" t="n">
        <x:f>IF(M367&gt;0,1,0)</x:f>
        <x:v>1</x:v>
      </x:c>
    </x:row>
    <x:row r="368" ht="28" customHeight="1">
      <x:c r="A368" s="22" t="str">
        <x:v>병원</x:v>
      </x:c>
      <x:c r="B368" s="31" t="str">
        <x:f>"C-010114"</x:f>
        <x:v>C-010114</x:v>
      </x:c>
      <x:c r="C368" s="25" t="str">
        <x:v>010114  ETC WORKS</x:v>
      </x:c>
      <x:c r="D368" s="25" t="str">
        <x:v>Disabled toilet grab bars,Moving Type</x:v>
      </x:c>
      <x:c r="E368" s="25" t="str"/>
      <x:c r="F368" s="22" t="str">
        <x:v>no</x:v>
      </x:c>
      <x:c r="G368" s="28" t="n">
        <x:v>3</x:v>
      </x:c>
      <x:c r="H368" s="25" t="str">
        <x:v>43AE2040227AB42452B29C82F0968C772E8A6</x:v>
      </x:c>
      <x:c r="I368" s="22" t="str">
        <x:v>직접자원단가</x:v>
      </x:c>
      <x:c r="J368" s="34" t="n">
        <x:v>140.11701103458492</x:v>
      </x:c>
      <x:c r="K368" s="34" t="n">
        <x:v>0</x:v>
      </x:c>
      <x:c r="L368" s="34" t="n">
        <x:v>0</x:v>
      </x:c>
      <x:c r="M368" s="34" t="n">
        <x:f>SUM(J368:L368)</x:f>
        <x:v>140.11701103458492</x:v>
      </x:c>
      <x:c r="N368" s="34" t="n">
        <x:f>G368*J368</x:f>
        <x:v>420.35103310375473</x:v>
      </x:c>
      <x:c r="O368" s="34" t="n">
        <x:f>G368*K368</x:f>
        <x:v>0</x:v>
      </x:c>
      <x:c r="P368" s="34" t="n">
        <x:f>G368*L368</x:f>
        <x:v>0</x:v>
      </x:c>
      <x:c r="Q368" s="34" t="n">
        <x:f>SUM(N368:P368)</x:f>
        <x:v>420.35103310375473</x:v>
      </x:c>
      <x:c r="R368" s="22" t="str">
        <x:f>IF(M368&gt;0,"복원","미복원")</x:f>
        <x:v>복원</x:v>
      </x:c>
      <x:c r="S368" s="37" t="n">
        <x:v>562</x:v>
      </x:c>
      <x:c r="T3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8" s="22" t="str">
        <x:f>A368&amp;"|"&amp;B368</x:f>
        <x:v>병원|C-010114</x:v>
      </x:c>
      <x:c r="V368" s="22" t="n">
        <x:f>IF(M368&gt;0,1,0)</x:f>
        <x:v>1</x:v>
      </x:c>
    </x:row>
    <x:row r="369" ht="28" customHeight="1">
      <x:c r="A369" s="22" t="str">
        <x:v>병원</x:v>
      </x:c>
      <x:c r="B369" s="31" t="str">
        <x:f>"C-010114"</x:f>
        <x:v>C-010114</x:v>
      </x:c>
      <x:c r="C369" s="25" t="str">
        <x:v>010114  ETC WORKS</x:v>
      </x:c>
      <x:c r="D369" s="25" t="str">
        <x:v>E/V  1350kg 4 Floof(CLASS E 1 hour)</x:v>
      </x:c>
      <x:c r="E369" s="25" t="str"/>
      <x:c r="F369" s="22" t="str">
        <x:v>EA</x:v>
      </x:c>
      <x:c r="G369" s="28" t="n">
        <x:v>2</x:v>
      </x:c>
      <x:c r="H369" s="25" t="str">
        <x:v>4530234CF57486DF6239DCCD794</x:v>
      </x:c>
      <x:c r="I369" s="22" t="str">
        <x:v>직접자원단가</x:v>
      </x:c>
      <x:c r="J369" s="34" t="n">
        <x:v>50000</x:v>
      </x:c>
      <x:c r="K369" s="34" t="n">
        <x:v>0</x:v>
      </x:c>
      <x:c r="L369" s="34" t="n">
        <x:v>0</x:v>
      </x:c>
      <x:c r="M369" s="34" t="n">
        <x:f>SUM(J369:L369)</x:f>
        <x:v>50000</x:v>
      </x:c>
      <x:c r="N369" s="34" t="n">
        <x:f>G369*J369</x:f>
        <x:v>100000</x:v>
      </x:c>
      <x:c r="O369" s="34" t="n">
        <x:f>G369*K369</x:f>
        <x:v>0</x:v>
      </x:c>
      <x:c r="P369" s="34" t="n">
        <x:f>G369*L369</x:f>
        <x:v>0</x:v>
      </x:c>
      <x:c r="Q369" s="34" t="n">
        <x:f>SUM(N369:P369)</x:f>
        <x:v>100000</x:v>
      </x:c>
      <x:c r="R369" s="22" t="str">
        <x:f>IF(M369&gt;0,"복원","미복원")</x:f>
        <x:v>복원</x:v>
      </x:c>
      <x:c r="S369" s="37" t="n">
        <x:v>563</x:v>
      </x:c>
      <x:c r="T3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69" s="22" t="str">
        <x:f>A369&amp;"|"&amp;B369</x:f>
        <x:v>병원|C-010114</x:v>
      </x:c>
      <x:c r="V369" s="22" t="n">
        <x:f>IF(M369&gt;0,1,0)</x:f>
        <x:v>1</x:v>
      </x:c>
    </x:row>
    <x:row r="370" ht="28" customHeight="1">
      <x:c r="A370" s="22" t="str">
        <x:v>병원</x:v>
      </x:c>
      <x:c r="B370" s="31" t="str">
        <x:f>"C-010114"</x:f>
        <x:v>C-010114</x:v>
      </x:c>
      <x:c r="C370" s="25" t="str">
        <x:v>010114  ETC WORKS</x:v>
      </x:c>
      <x:c r="D370" s="25" t="str">
        <x:v>INTERIOR FURNITURE (3840*950*1050)</x:v>
      </x:c>
      <x:c r="E370" s="25" t="str"/>
      <x:c r="F370" s="22" t="str">
        <x:v>EA</x:v>
      </x:c>
      <x:c r="G370" s="28" t="n">
        <x:v>1</x:v>
      </x:c>
      <x:c r="H370" s="25" t="str">
        <x:v>448225404275053C32FA817EC0E2A</x:v>
      </x:c>
      <x:c r="I370" s="22" t="str">
        <x:v>복합일위대가</x:v>
      </x:c>
      <x:c r="J370" s="34" t="n">
        <x:v>524.57</x:v>
      </x:c>
      <x:c r="K370" s="34" t="n">
        <x:v>463.1</x:v>
      </x:c>
      <x:c r="L370" s="34" t="n">
        <x:v>10.91</x:v>
      </x:c>
      <x:c r="M370" s="34" t="n">
        <x:f>SUM(J370:L370)</x:f>
        <x:v>998.58</x:v>
      </x:c>
      <x:c r="N370" s="34" t="n">
        <x:f>G370*J370</x:f>
        <x:v>524.57</x:v>
      </x:c>
      <x:c r="O370" s="34" t="n">
        <x:f>G370*K370</x:f>
        <x:v>463.1</x:v>
      </x:c>
      <x:c r="P370" s="34" t="n">
        <x:f>G370*L370</x:f>
        <x:v>10.91</x:v>
      </x:c>
      <x:c r="Q370" s="34" t="n">
        <x:f>SUM(N370:P370)</x:f>
        <x:v>998.58</x:v>
      </x:c>
      <x:c r="R370" s="22" t="str">
        <x:f>IF(M370&gt;0,"복원","미복원")</x:f>
        <x:v>복원</x:v>
      </x:c>
      <x:c r="S370" s="37" t="n">
        <x:v>564</x:v>
      </x:c>
      <x:c r="T3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0" s="22" t="str">
        <x:f>A370&amp;"|"&amp;B370</x:f>
        <x:v>병원|C-010114</x:v>
      </x:c>
      <x:c r="V370" s="22" t="n">
        <x:f>IF(M370&gt;0,1,0)</x:f>
        <x:v>1</x:v>
      </x:c>
    </x:row>
    <x:row r="371" ht="28" customHeight="1">
      <x:c r="A371" s="22" t="str">
        <x:v>병원</x:v>
      </x:c>
      <x:c r="B371" s="31" t="str">
        <x:f>"C-010114"</x:f>
        <x:v>C-010114</x:v>
      </x:c>
      <x:c r="C371" s="25" t="str">
        <x:v>010114  ETC WORKS</x:v>
      </x:c>
      <x:c r="D371" s="25" t="str">
        <x:v>INTERIOR FURNITURE (2400*950*1050)</x:v>
      </x:c>
      <x:c r="E371" s="25" t="str"/>
      <x:c r="F371" s="22" t="str">
        <x:v>EA</x:v>
      </x:c>
      <x:c r="G371" s="28" t="n">
        <x:v>1</x:v>
      </x:c>
      <x:c r="H371" s="25" t="str">
        <x:v>448225404275053C32FA817EC0F31</x:v>
      </x:c>
      <x:c r="I371" s="22" t="str">
        <x:v>복합일위대가</x:v>
      </x:c>
      <x:c r="J371" s="34" t="n">
        <x:v>341.56</x:v>
      </x:c>
      <x:c r="K371" s="34" t="n">
        <x:v>305.3</x:v>
      </x:c>
      <x:c r="L371" s="34" t="n">
        <x:v>7.19</x:v>
      </x:c>
      <x:c r="M371" s="34" t="n">
        <x:f>SUM(J371:L371)</x:f>
        <x:v>654.0500000000001</x:v>
      </x:c>
      <x:c r="N371" s="34" t="n">
        <x:f>G371*J371</x:f>
        <x:v>341.56</x:v>
      </x:c>
      <x:c r="O371" s="34" t="n">
        <x:f>G371*K371</x:f>
        <x:v>305.3</x:v>
      </x:c>
      <x:c r="P371" s="34" t="n">
        <x:f>G371*L371</x:f>
        <x:v>7.19</x:v>
      </x:c>
      <x:c r="Q371" s="34" t="n">
        <x:f>SUM(N371:P371)</x:f>
        <x:v>654.0500000000001</x:v>
      </x:c>
      <x:c r="R371" s="22" t="str">
        <x:f>IF(M371&gt;0,"복원","미복원")</x:f>
        <x:v>복원</x:v>
      </x:c>
      <x:c r="S371" s="37" t="n">
        <x:v>565</x:v>
      </x:c>
      <x:c r="T3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1" s="22" t="str">
        <x:f>A371&amp;"|"&amp;B371</x:f>
        <x:v>병원|C-010114</x:v>
      </x:c>
      <x:c r="V371" s="22" t="n">
        <x:f>IF(M371&gt;0,1,0)</x:f>
        <x:v>1</x:v>
      </x:c>
    </x:row>
    <x:row r="372" ht="28" customHeight="1">
      <x:c r="A372" s="22" t="str">
        <x:v>병원</x:v>
      </x:c>
      <x:c r="B372" s="31" t="str">
        <x:f>"C-010114"</x:f>
        <x:v>C-010114</x:v>
      </x:c>
      <x:c r="C372" s="25" t="str">
        <x:v>010114  ETC WORKS</x:v>
      </x:c>
      <x:c r="D372" s="25" t="str">
        <x:v>INTERIOR FURNITURE (6400*1600*1050)</x:v>
      </x:c>
      <x:c r="E372" s="25" t="str"/>
      <x:c r="F372" s="22" t="str">
        <x:v>EA</x:v>
      </x:c>
      <x:c r="G372" s="28" t="n">
        <x:v>1</x:v>
      </x:c>
      <x:c r="H372" s="25" t="str">
        <x:v>448225404275053C32FA817EC0C7D</x:v>
      </x:c>
      <x:c r="I372" s="22" t="str">
        <x:v>복합일위대가</x:v>
      </x:c>
      <x:c r="J372" s="34" t="n">
        <x:v>938.97</x:v>
      </x:c>
      <x:c r="K372" s="34" t="n">
        <x:v>877.52</x:v>
      </x:c>
      <x:c r="L372" s="34" t="n">
        <x:v>20.37</x:v>
      </x:c>
      <x:c r="M372" s="34" t="n">
        <x:f>SUM(J372:L372)</x:f>
        <x:v>1836.86</x:v>
      </x:c>
      <x:c r="N372" s="34" t="n">
        <x:f>G372*J372</x:f>
        <x:v>938.97</x:v>
      </x:c>
      <x:c r="O372" s="34" t="n">
        <x:f>G372*K372</x:f>
        <x:v>877.52</x:v>
      </x:c>
      <x:c r="P372" s="34" t="n">
        <x:f>G372*L372</x:f>
        <x:v>20.37</x:v>
      </x:c>
      <x:c r="Q372" s="34" t="n">
        <x:f>SUM(N372:P372)</x:f>
        <x:v>1836.86</x:v>
      </x:c>
      <x:c r="R372" s="22" t="str">
        <x:f>IF(M372&gt;0,"복원","미복원")</x:f>
        <x:v>복원</x:v>
      </x:c>
      <x:c r="S372" s="37" t="n">
        <x:v>566</x:v>
      </x:c>
      <x:c r="T3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2" s="22" t="str">
        <x:f>A372&amp;"|"&amp;B372</x:f>
        <x:v>병원|C-010114</x:v>
      </x:c>
      <x:c r="V372" s="22" t="n">
        <x:f>IF(M372&gt;0,1,0)</x:f>
        <x:v>1</x:v>
      </x:c>
    </x:row>
    <x:row r="373" ht="28" customHeight="1">
      <x:c r="A373" s="22" t="str">
        <x:v>병원</x:v>
      </x:c>
      <x:c r="B373" s="31" t="str">
        <x:f>"C-010114"</x:f>
        <x:v>C-010114</x:v>
      </x:c>
      <x:c r="C373" s="25" t="str">
        <x:v>010114  ETC WORKS</x:v>
      </x:c>
      <x:c r="D373" s="25" t="str">
        <x:v>INTERIOR FURNITURE (4700*800*1050)</x:v>
      </x:c>
      <x:c r="E373" s="25" t="str"/>
      <x:c r="F373" s="22" t="str">
        <x:v>EA</x:v>
      </x:c>
      <x:c r="G373" s="28" t="n">
        <x:v>3</x:v>
      </x:c>
      <x:c r="H373" s="25" t="str">
        <x:v>448225404275053C32FA817EC0D04</x:v>
      </x:c>
      <x:c r="I373" s="22" t="str">
        <x:v>복합일위대가</x:v>
      </x:c>
      <x:c r="J373" s="34" t="n">
        <x:v>699.2</x:v>
      </x:c>
      <x:c r="K373" s="34" t="n">
        <x:v>655.62</x:v>
      </x:c>
      <x:c r="L373" s="34" t="n">
        <x:v>15.21</x:v>
      </x:c>
      <x:c r="M373" s="34" t="n">
        <x:f>SUM(J373:L373)</x:f>
        <x:v>1370.0300000000002</x:v>
      </x:c>
      <x:c r="N373" s="34" t="n">
        <x:f>G373*J373</x:f>
        <x:v>2097.6000000000004</x:v>
      </x:c>
      <x:c r="O373" s="34" t="n">
        <x:f>G373*K373</x:f>
        <x:v>1966.8600000000001</x:v>
      </x:c>
      <x:c r="P373" s="34" t="n">
        <x:f>G373*L373</x:f>
        <x:v>45.63</x:v>
      </x:c>
      <x:c r="Q373" s="34" t="n">
        <x:f>SUM(N373:P373)</x:f>
        <x:v>4110.09</x:v>
      </x:c>
      <x:c r="R373" s="22" t="str">
        <x:f>IF(M373&gt;0,"복원","미복원")</x:f>
        <x:v>복원</x:v>
      </x:c>
      <x:c r="S373" s="37" t="n">
        <x:v>567</x:v>
      </x:c>
      <x:c r="T3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3" s="22" t="str">
        <x:f>A373&amp;"|"&amp;B373</x:f>
        <x:v>병원|C-010114</x:v>
      </x:c>
      <x:c r="V373" s="22" t="n">
        <x:f>IF(M373&gt;0,1,0)</x:f>
        <x:v>1</x:v>
      </x:c>
    </x:row>
    <x:row r="374" ht="28" customHeight="1">
      <x:c r="A374" s="22" t="str">
        <x:v>병원</x:v>
      </x:c>
      <x:c r="B374" s="31" t="str">
        <x:f>"C-010114"</x:f>
        <x:v>C-010114</x:v>
      </x:c>
      <x:c r="C374" s="25" t="str">
        <x:v>010114  ETC WORKS</x:v>
      </x:c>
      <x:c r="D374" s="25" t="str">
        <x:v>INTERIOR FURNITURE (3600*800*1050)</x:v>
      </x:c>
      <x:c r="E374" s="25" t="str"/>
      <x:c r="F374" s="22" t="str">
        <x:v>EA</x:v>
      </x:c>
      <x:c r="G374" s="28" t="n">
        <x:v>1</x:v>
      </x:c>
      <x:c r="H374" s="25" t="str">
        <x:v>448225404275053C32FA817EC0B56</x:v>
      </x:c>
      <x:c r="I374" s="22" t="str">
        <x:v>복합일위대가</x:v>
      </x:c>
      <x:c r="J374" s="34" t="n">
        <x:v>531.8</x:v>
      </x:c>
      <x:c r="K374" s="34" t="n">
        <x:v>471.06</x:v>
      </x:c>
      <x:c r="L374" s="34" t="n">
        <x:v>11.19</x:v>
      </x:c>
      <x:c r="M374" s="34" t="n">
        <x:f>SUM(J374:L374)</x:f>
        <x:v>1014.05</x:v>
      </x:c>
      <x:c r="N374" s="34" t="n">
        <x:f>G374*J374</x:f>
        <x:v>531.8</x:v>
      </x:c>
      <x:c r="O374" s="34" t="n">
        <x:f>G374*K374</x:f>
        <x:v>471.06</x:v>
      </x:c>
      <x:c r="P374" s="34" t="n">
        <x:f>G374*L374</x:f>
        <x:v>11.19</x:v>
      </x:c>
      <x:c r="Q374" s="34" t="n">
        <x:f>SUM(N374:P374)</x:f>
        <x:v>1014.05</x:v>
      </x:c>
      <x:c r="R374" s="22" t="str">
        <x:f>IF(M374&gt;0,"복원","미복원")</x:f>
        <x:v>복원</x:v>
      </x:c>
      <x:c r="S374" s="37" t="n">
        <x:v>568</x:v>
      </x:c>
      <x:c r="T3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4" s="22" t="str">
        <x:f>A374&amp;"|"&amp;B374</x:f>
        <x:v>병원|C-010114</x:v>
      </x:c>
      <x:c r="V374" s="22" t="n">
        <x:f>IF(M374&gt;0,1,0)</x:f>
        <x:v>1</x:v>
      </x:c>
    </x:row>
    <x:row r="375" ht="28" customHeight="1">
      <x:c r="A375" s="22" t="str">
        <x:v>병원</x:v>
      </x:c>
      <x:c r="B375" s="31" t="str">
        <x:f>"C-010114"</x:f>
        <x:v>C-010114</x:v>
      </x:c>
      <x:c r="C375" s="25" t="str">
        <x:v>010114  ETC WORKS</x:v>
      </x:c>
      <x:c r="D375" s="25" t="str">
        <x:v>Disinfection and Preparation(1600-650-850)</x:v>
      </x:c>
      <x:c r="E375" s="25" t="str"/>
      <x:c r="F375" s="22" t="str">
        <x:v>EA</x:v>
      </x:c>
      <x:c r="G375" s="28" t="n">
        <x:v>2</x:v>
      </x:c>
      <x:c r="H375" s="25" t="str">
        <x:v>448225404275053C32FA817EC09A9</x:v>
      </x:c>
      <x:c r="I375" s="22" t="str">
        <x:v>복합일위대가</x:v>
      </x:c>
      <x:c r="J375" s="34" t="n">
        <x:v>798.35</x:v>
      </x:c>
      <x:c r="K375" s="34" t="n">
        <x:v>0</x:v>
      </x:c>
      <x:c r="L375" s="34" t="n">
        <x:v>0</x:v>
      </x:c>
      <x:c r="M375" s="34" t="n">
        <x:f>SUM(J375:L375)</x:f>
        <x:v>798.35</x:v>
      </x:c>
      <x:c r="N375" s="34" t="n">
        <x:f>G375*J375</x:f>
        <x:v>1596.7</x:v>
      </x:c>
      <x:c r="O375" s="34" t="n">
        <x:f>G375*K375</x:f>
        <x:v>0</x:v>
      </x:c>
      <x:c r="P375" s="34" t="n">
        <x:f>G375*L375</x:f>
        <x:v>0</x:v>
      </x:c>
      <x:c r="Q375" s="34" t="n">
        <x:f>SUM(N375:P375)</x:f>
        <x:v>1596.7</x:v>
      </x:c>
      <x:c r="R375" s="22" t="str">
        <x:f>IF(M375&gt;0,"복원","미복원")</x:f>
        <x:v>복원</x:v>
      </x:c>
      <x:c r="S375" s="37" t="n">
        <x:v>569</x:v>
      </x:c>
      <x:c r="T3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5" s="22" t="str">
        <x:f>A375&amp;"|"&amp;B375</x:f>
        <x:v>병원|C-010114</x:v>
      </x:c>
      <x:c r="V375" s="22" t="n">
        <x:f>IF(M375&gt;0,1,0)</x:f>
        <x:v>1</x:v>
      </x:c>
    </x:row>
    <x:row r="376" ht="28" customHeight="1">
      <x:c r="A376" s="22" t="str">
        <x:v>병원</x:v>
      </x:c>
      <x:c r="B376" s="31" t="str">
        <x:f>"C-010114"</x:f>
        <x:v>C-010114</x:v>
      </x:c>
      <x:c r="C376" s="25" t="str">
        <x:v>010114  ETC WORKS</x:v>
      </x:c>
      <x:c r="D376" s="25" t="str">
        <x:v>HR-1</x:v>
      </x:c>
      <x:c r="E376" s="25" t="str">
        <x:v>Double row install,H:150mm x Thk1.2mm steel plate,Vinyl cover, wall side</x:v>
      </x:c>
      <x:c r="F376" s="22" t="str">
        <x:v>m</x:v>
      </x:c>
      <x:c r="G376" s="28" t="n">
        <x:v>112</x:v>
      </x:c>
      <x:c r="H376" s="25" t="str">
        <x:v>448220489177BDAF02D618D746141</x:v>
      </x:c>
      <x:c r="I376" s="22" t="str">
        <x:v>복합일위대가</x:v>
      </x:c>
      <x:c r="J376" s="34" t="n">
        <x:v>50.51</x:v>
      </x:c>
      <x:c r="K376" s="34" t="n">
        <x:v>6.03</x:v>
      </x:c>
      <x:c r="L376" s="34" t="n">
        <x:v>3.34</x:v>
      </x:c>
      <x:c r="M376" s="34" t="n">
        <x:f>SUM(J376:L376)</x:f>
        <x:v>59.879999999999995</x:v>
      </x:c>
      <x:c r="N376" s="34" t="n">
        <x:f>G376*J376</x:f>
        <x:v>5657.12</x:v>
      </x:c>
      <x:c r="O376" s="34" t="n">
        <x:f>G376*K376</x:f>
        <x:v>675.36</x:v>
      </x:c>
      <x:c r="P376" s="34" t="n">
        <x:f>G376*L376</x:f>
        <x:v>374.08</x:v>
      </x:c>
      <x:c r="Q376" s="34" t="n">
        <x:f>SUM(N376:P376)</x:f>
        <x:v>6706.5599999999995</x:v>
      </x:c>
      <x:c r="R376" s="22" t="str">
        <x:f>IF(M376&gt;0,"복원","미복원")</x:f>
        <x:v>복원</x:v>
      </x:c>
      <x:c r="S376" s="37" t="n">
        <x:v>570</x:v>
      </x:c>
      <x:c r="T3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6" s="22" t="str">
        <x:f>A376&amp;"|"&amp;B376</x:f>
        <x:v>병원|C-010114</x:v>
      </x:c>
      <x:c r="V376" s="22" t="n">
        <x:f>IF(M376&gt;0,1,0)</x:f>
        <x:v>1</x:v>
      </x:c>
    </x:row>
    <x:row r="377" ht="28" customHeight="1">
      <x:c r="A377" s="22" t="str">
        <x:v>병원</x:v>
      </x:c>
      <x:c r="B377" s="31" t="str">
        <x:f>"C-010114"</x:f>
        <x:v>C-010114</x:v>
      </x:c>
      <x:c r="C377" s="25" t="str">
        <x:v>010114  ETC WORKS</x:v>
      </x:c>
      <x:c r="D377" s="25" t="str">
        <x:v>HR-1+BG-2</x:v>
      </x:c>
      <x:c r="E377" s="25" t="str">
        <x:v>Double row install,H:150mm x Thk1.2mm steel plate,Vinyl cover, wall side, Bumper railing</x:v>
      </x:c>
      <x:c r="F377" s="22" t="str">
        <x:v>m</x:v>
      </x:c>
      <x:c r="G377" s="28" t="n">
        <x:v>193</x:v>
      </x:c>
      <x:c r="H377" s="25" t="str">
        <x:v>448220489177BDAF02D618D746268</x:v>
      </x:c>
      <x:c r="I377" s="22" t="str">
        <x:v>복합일위대가</x:v>
      </x:c>
      <x:c r="J377" s="34" t="n">
        <x:v>87.17</x:v>
      </x:c>
      <x:c r="K377" s="34" t="n">
        <x:v>8.75</x:v>
      </x:c>
      <x:c r="L377" s="34" t="n">
        <x:v>5.54</x:v>
      </x:c>
      <x:c r="M377" s="34" t="n">
        <x:f>SUM(J377:L377)</x:f>
        <x:v>101.46000000000001</x:v>
      </x:c>
      <x:c r="N377" s="34" t="n">
        <x:f>G377*J377</x:f>
        <x:v>16823.81</x:v>
      </x:c>
      <x:c r="O377" s="34" t="n">
        <x:f>G377*K377</x:f>
        <x:v>1688.75</x:v>
      </x:c>
      <x:c r="P377" s="34" t="n">
        <x:f>G377*L377</x:f>
        <x:v>1069.22</x:v>
      </x:c>
      <x:c r="Q377" s="34" t="n">
        <x:f>SUM(N377:P377)</x:f>
        <x:v>19581.780000000002</x:v>
      </x:c>
      <x:c r="R377" s="22" t="str">
        <x:f>IF(M377&gt;0,"복원","미복원")</x:f>
        <x:v>복원</x:v>
      </x:c>
      <x:c r="S377" s="37" t="n">
        <x:v>571</x:v>
      </x:c>
      <x:c r="T3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7" s="22" t="str">
        <x:f>A377&amp;"|"&amp;B377</x:f>
        <x:v>병원|C-010114</x:v>
      </x:c>
      <x:c r="V377" s="22" t="n">
        <x:f>IF(M377&gt;0,1,0)</x:f>
        <x:v>1</x:v>
      </x:c>
    </x:row>
    <x:row r="378" ht="28" customHeight="1">
      <x:c r="A378" s="22" t="str">
        <x:v>병원</x:v>
      </x:c>
      <x:c r="B378" s="31" t="str">
        <x:f>"C-010114"</x:f>
        <x:v>C-010114</x:v>
      </x:c>
      <x:c r="C378" s="25" t="str">
        <x:v>010114  ETC WORKS</x:v>
      </x:c>
      <x:c r="D378" s="25" t="str">
        <x:v>BG-1+BG-2</x:v>
      </x:c>
      <x:c r="E378" s="25" t="str">
        <x:v>Bumper railings  including necessary bracing and fixing to concrete or masonry; wall side</x:v>
      </x:c>
      <x:c r="F378" s="22" t="str">
        <x:v>m</x:v>
      </x:c>
      <x:c r="G378" s="28" t="n">
        <x:v>57</x:v>
      </x:c>
      <x:c r="H378" s="25" t="str">
        <x:v>448220489177BDAF02D618D74630F</x:v>
      </x:c>
      <x:c r="I378" s="22" t="str">
        <x:v>복합일위대가</x:v>
      </x:c>
      <x:c r="J378" s="34" t="n">
        <x:v>73.32</x:v>
      </x:c>
      <x:c r="K378" s="34" t="n">
        <x:v>5.43</x:v>
      </x:c>
      <x:c r="L378" s="34" t="n">
        <x:v>4.4</x:v>
      </x:c>
      <x:c r="M378" s="34" t="n">
        <x:f>SUM(J378:L378)</x:f>
        <x:v>83.15</x:v>
      </x:c>
      <x:c r="N378" s="34" t="n">
        <x:f>G378*J378</x:f>
        <x:v>4179.24</x:v>
      </x:c>
      <x:c r="O378" s="34" t="n">
        <x:f>G378*K378</x:f>
        <x:v>309.51</x:v>
      </x:c>
      <x:c r="P378" s="34" t="n">
        <x:f>G378*L378</x:f>
        <x:v>250.8</x:v>
      </x:c>
      <x:c r="Q378" s="34" t="n">
        <x:f>SUM(N378:P378)</x:f>
        <x:v>4739.55</x:v>
      </x:c>
      <x:c r="R378" s="22" t="str">
        <x:f>IF(M378&gt;0,"복원","미복원")</x:f>
        <x:v>복원</x:v>
      </x:c>
      <x:c r="S378" s="37" t="n">
        <x:v>572</x:v>
      </x:c>
      <x:c r="T3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8" s="22" t="str">
        <x:f>A378&amp;"|"&amp;B378</x:f>
        <x:v>병원|C-010114</x:v>
      </x:c>
      <x:c r="V378" s="22" t="n">
        <x:f>IF(M378&gt;0,1,0)</x:f>
        <x:v>1</x:v>
      </x:c>
    </x:row>
    <x:row r="379" ht="28" customHeight="1">
      <x:c r="A379" s="22" t="str">
        <x:v>병원</x:v>
      </x:c>
      <x:c r="B379" s="31" t="str">
        <x:f>"C-010114"</x:f>
        <x:v>C-010114</x:v>
      </x:c>
      <x:c r="C379" s="25" t="str">
        <x:v>010114  ETC WORKS</x:v>
      </x:c>
      <x:c r="D379" s="25" t="str">
        <x:v>BG-3</x:v>
      </x:c>
      <x:c r="E379" s="25" t="str">
        <x:v>Bed stopper,H:150mm x Thk1.2mm steel plate,Vinyl cover</x:v>
      </x:c>
      <x:c r="F379" s="22" t="str">
        <x:v>no</x:v>
      </x:c>
      <x:c r="G379" s="28" t="n">
        <x:v>60</x:v>
      </x:c>
      <x:c r="H379" s="25" t="str">
        <x:v>448220489177BDAF02D618D746415</x:v>
      </x:c>
      <x:c r="I379" s="22" t="str">
        <x:v>복합일위대가</x:v>
      </x:c>
      <x:c r="J379" s="34" t="n">
        <x:v>36.66</x:v>
      </x:c>
      <x:c r="K379" s="34" t="n">
        <x:v>2.72</x:v>
      </x:c>
      <x:c r="L379" s="34" t="n">
        <x:v>2.2</x:v>
      </x:c>
      <x:c r="M379" s="34" t="n">
        <x:f>SUM(J379:L379)</x:f>
        <x:v>41.58</x:v>
      </x:c>
      <x:c r="N379" s="34" t="n">
        <x:f>G379*J379</x:f>
        <x:v>2199.6</x:v>
      </x:c>
      <x:c r="O379" s="34" t="n">
        <x:f>G379*K379</x:f>
        <x:v>163.20000000000002</x:v>
      </x:c>
      <x:c r="P379" s="34" t="n">
        <x:f>G379*L379</x:f>
        <x:v>132</x:v>
      </x:c>
      <x:c r="Q379" s="34" t="n">
        <x:f>SUM(N379:P379)</x:f>
        <x:v>2494.7999999999997</x:v>
      </x:c>
      <x:c r="R379" s="22" t="str">
        <x:f>IF(M379&gt;0,"복원","미복원")</x:f>
        <x:v>복원</x:v>
      </x:c>
      <x:c r="S379" s="37" t="n">
        <x:v>573</x:v>
      </x:c>
      <x:c r="T3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79" s="22" t="str">
        <x:f>A379&amp;"|"&amp;B379</x:f>
        <x:v>병원|C-010114</x:v>
      </x:c>
      <x:c r="V379" s="22" t="n">
        <x:f>IF(M379&gt;0,1,0)</x:f>
        <x:v>1</x:v>
      </x:c>
    </x:row>
    <x:row r="380" ht="28" customHeight="1">
      <x:c r="A380" s="22" t="str">
        <x:v>병원</x:v>
      </x:c>
      <x:c r="B380" s="31" t="str">
        <x:f>"C-010114"</x:f>
        <x:v>C-010114</x:v>
      </x:c>
      <x:c r="C380" s="25" t="str">
        <x:v>010114  ETC WORKS</x:v>
      </x:c>
      <x:c r="D380" s="25" t="str">
        <x:v>CG-1</x:v>
      </x:c>
      <x:c r="E380" s="25" t="str">
        <x:v>Conner guard,,H:1200mm,Self-tapping screws + Continuous aluminum retainer,Vinyl cover</x:v>
      </x:c>
      <x:c r="F380" s="22" t="str">
        <x:v>no</x:v>
      </x:c>
      <x:c r="G380" s="28" t="n">
        <x:v>61</x:v>
      </x:c>
      <x:c r="H380" s="25" t="str">
        <x:v>448220489177BDAF02D618D74653C</x:v>
      </x:c>
      <x:c r="I380" s="22" t="str">
        <x:v>복합일위대가</x:v>
      </x:c>
      <x:c r="J380" s="34" t="n">
        <x:v>26.4</x:v>
      </x:c>
      <x:c r="K380" s="34" t="n">
        <x:v>1.51</x:v>
      </x:c>
      <x:c r="L380" s="34" t="n">
        <x:v>1.55</x:v>
      </x:c>
      <x:c r="M380" s="34" t="n">
        <x:f>SUM(J380:L380)</x:f>
        <x:v>29.46</x:v>
      </x:c>
      <x:c r="N380" s="34" t="n">
        <x:f>G380*J380</x:f>
        <x:v>1610.3999999999999</x:v>
      </x:c>
      <x:c r="O380" s="34" t="n">
        <x:f>G380*K380</x:f>
        <x:v>92.11</x:v>
      </x:c>
      <x:c r="P380" s="34" t="n">
        <x:f>G380*L380</x:f>
        <x:v>94.55</x:v>
      </x:c>
      <x:c r="Q380" s="34" t="n">
        <x:f>SUM(N380:P380)</x:f>
        <x:v>1797.0599999999997</x:v>
      </x:c>
      <x:c r="R380" s="22" t="str">
        <x:f>IF(M380&gt;0,"복원","미복원")</x:f>
        <x:v>복원</x:v>
      </x:c>
      <x:c r="S380" s="37" t="n">
        <x:v>574</x:v>
      </x:c>
      <x:c r="T3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80" s="22" t="str">
        <x:f>A380&amp;"|"&amp;B380</x:f>
        <x:v>병원|C-010114</x:v>
      </x:c>
      <x:c r="V380" s="22" t="n">
        <x:f>IF(M380&gt;0,1,0)</x:f>
        <x:v>1</x:v>
      </x:c>
    </x:row>
    <x:row r="381" ht="28" customHeight="1">
      <x:c r="A381" s="22" t="str">
        <x:v>병원</x:v>
      </x:c>
      <x:c r="B381" s="31" t="str">
        <x:f>"C-010114"</x:f>
        <x:v>C-010114</x:v>
      </x:c>
      <x:c r="C381" s="25" t="str">
        <x:v>010114  ETC WORKS</x:v>
      </x:c>
      <x:c r="D381" s="25" t="str">
        <x:v>Cubical curtains rail tracks</x:v>
      </x:c>
      <x:c r="E381" s="25" t="str"/>
      <x:c r="F381" s="22" t="str">
        <x:v>m</x:v>
      </x:c>
      <x:c r="G381" s="28" t="n">
        <x:v>58</x:v>
      </x:c>
      <x:c r="H381" s="25" t="str">
        <x:v>448220489177BDAF02D618D7466C3</x:v>
      </x:c>
      <x:c r="I381" s="22" t="str">
        <x:v>복합일위대가</x:v>
      </x:c>
      <x:c r="J381" s="34" t="n">
        <x:v>50</x:v>
      </x:c>
      <x:c r="K381" s="34" t="n">
        <x:v>0</x:v>
      </x:c>
      <x:c r="L381" s="34" t="n">
        <x:v>0</x:v>
      </x:c>
      <x:c r="M381" s="34" t="n">
        <x:f>SUM(J381:L381)</x:f>
        <x:v>50</x:v>
      </x:c>
      <x:c r="N381" s="34" t="n">
        <x:f>G381*J381</x:f>
        <x:v>2900</x:v>
      </x:c>
      <x:c r="O381" s="34" t="n">
        <x:f>G381*K381</x:f>
        <x:v>0</x:v>
      </x:c>
      <x:c r="P381" s="34" t="n">
        <x:f>G381*L381</x:f>
        <x:v>0</x:v>
      </x:c>
      <x:c r="Q381" s="34" t="n">
        <x:f>SUM(N381:P381)</x:f>
        <x:v>2900</x:v>
      </x:c>
      <x:c r="R381" s="22" t="str">
        <x:f>IF(M381&gt;0,"복원","미복원")</x:f>
        <x:v>복원</x:v>
      </x:c>
      <x:c r="S381" s="37" t="n">
        <x:v>575</x:v>
      </x:c>
      <x:c r="T3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U381" s="22" t="str">
        <x:f>A381&amp;"|"&amp;B381</x:f>
        <x:v>병원|C-010114</x:v>
      </x:c>
      <x:c r="V381" s="22" t="n">
        <x:f>IF(M381&gt;0,1,0)</x:f>
        <x:v>1</x:v>
      </x:c>
    </x:row>
    <x:row r="382" ht="28" customHeight="1">
      <x:c r="A382" s="22" t="str">
        <x:v>기계·전기동</x:v>
      </x:c>
      <x:c r="B382" s="31" t="str">
        <x:f>"C-010201"</x:f>
        <x:v>C-010201</x:v>
      </x:c>
      <x:c r="C382" s="25" t="str">
        <x:v>010201  STRUCTURE WORKS</x:v>
      </x:c>
      <x:c r="D382" s="25" t="str">
        <x:v>HD400 t10</x:v>
      </x:c>
      <x:c r="E382" s="25" t="str"/>
      <x:c r="F382" s="22" t="str">
        <x:v>TON</x:v>
      </x:c>
      <x:c r="G382" s="28" t="n">
        <x:v>12.266</x:v>
      </x:c>
      <x:c r="H382" s="25" t="str">
        <x:v>43AE2142BE7340A6C27E35B211B31B0401B47</x:v>
      </x:c>
      <x:c r="I382" s="22" t="str">
        <x:v>직접자원단가</x:v>
      </x:c>
      <x:c r="J382" s="34" t="n">
        <x:v>650</x:v>
      </x:c>
      <x:c r="K382" s="34" t="n">
        <x:v>50</x:v>
      </x:c>
      <x:c r="L382" s="34" t="n">
        <x:v>5</x:v>
      </x:c>
      <x:c r="M382" s="34" t="n">
        <x:f>SUM(J382:L382)</x:f>
        <x:v>705</x:v>
      </x:c>
      <x:c r="N382" s="34" t="n">
        <x:f>G382*J382</x:f>
        <x:v>7972.9</x:v>
      </x:c>
      <x:c r="O382" s="34" t="n">
        <x:f>G382*K382</x:f>
        <x:v>613.3</x:v>
      </x:c>
      <x:c r="P382" s="34" t="n">
        <x:f>G382*L382</x:f>
        <x:v>61.33</x:v>
      </x:c>
      <x:c r="Q382" s="34" t="n">
        <x:f>SUM(N382:P382)</x:f>
        <x:v>8647.529999999999</x:v>
      </x:c>
      <x:c r="R382" s="22" t="str">
        <x:f>IF(M382&gt;0,"복원","미복원")</x:f>
        <x:v>복원</x:v>
      </x:c>
      <x:c r="S382" s="37" t="n">
        <x:v>5</x:v>
      </x:c>
      <x:c r="T38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2" s="22" t="str">
        <x:f>A382&amp;"|"&amp;B382</x:f>
        <x:v>기계·전기동|C-010201</x:v>
      </x:c>
      <x:c r="V382" s="22" t="n">
        <x:f>IF(M382&gt;0,1,0)</x:f>
        <x:v>1</x:v>
      </x:c>
    </x:row>
    <x:row r="383" ht="28" customHeight="1">
      <x:c r="A383" s="22" t="str">
        <x:v>기계·전기동</x:v>
      </x:c>
      <x:c r="B383" s="31" t="str">
        <x:f>"C-010201"</x:f>
        <x:v>C-010201</x:v>
      </x:c>
      <x:c r="C383" s="25" t="str">
        <x:v>010201  STRUCTURE WORKS</x:v>
      </x:c>
      <x:c r="D383" s="25" t="str">
        <x:v>HD400 t12</x:v>
      </x:c>
      <x:c r="E383" s="25" t="str"/>
      <x:c r="F383" s="22" t="str">
        <x:v>TON</x:v>
      </x:c>
      <x:c r="G383" s="28" t="n">
        <x:v>7.457</x:v>
      </x:c>
      <x:c r="H383" s="25" t="str">
        <x:v>43AE2142BE7340A6C27E35B211B31B0401B46</x:v>
      </x:c>
      <x:c r="I383" s="22" t="str">
        <x:v>직접자원단가</x:v>
      </x:c>
      <x:c r="J383" s="34" t="n">
        <x:v>650</x:v>
      </x:c>
      <x:c r="K383" s="34" t="n">
        <x:v>50</x:v>
      </x:c>
      <x:c r="L383" s="34" t="n">
        <x:v>5</x:v>
      </x:c>
      <x:c r="M383" s="34" t="n">
        <x:f>SUM(J383:L383)</x:f>
        <x:v>705</x:v>
      </x:c>
      <x:c r="N383" s="34" t="n">
        <x:f>G383*J383</x:f>
        <x:v>4847.05</x:v>
      </x:c>
      <x:c r="O383" s="34" t="n">
        <x:f>G383*K383</x:f>
        <x:v>372.84999999999997</x:v>
      </x:c>
      <x:c r="P383" s="34" t="n">
        <x:f>G383*L383</x:f>
        <x:v>37.285</x:v>
      </x:c>
      <x:c r="Q383" s="34" t="n">
        <x:f>SUM(N383:P383)</x:f>
        <x:v>5257.185</x:v>
      </x:c>
      <x:c r="R383" s="22" t="str">
        <x:f>IF(M383&gt;0,"복원","미복원")</x:f>
        <x:v>복원</x:v>
      </x:c>
      <x:c r="S383" s="37" t="n">
        <x:v>6</x:v>
      </x:c>
      <x:c r="T38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3" s="22" t="str">
        <x:f>A383&amp;"|"&amp;B383</x:f>
        <x:v>기계·전기동|C-010201</x:v>
      </x:c>
      <x:c r="V383" s="22" t="n">
        <x:f>IF(M383&gt;0,1,0)</x:f>
        <x:v>1</x:v>
      </x:c>
    </x:row>
    <x:row r="384" ht="28" customHeight="1">
      <x:c r="A384" s="22" t="str">
        <x:v>기계·전기동</x:v>
      </x:c>
      <x:c r="B384" s="31" t="str">
        <x:f>"C-010201"</x:f>
        <x:v>C-010201</x:v>
      </x:c>
      <x:c r="C384" s="25" t="str">
        <x:v>010201  STRUCTURE WORKS</x:v>
      </x:c>
      <x:c r="D384" s="25" t="str">
        <x:v>HD400 t16</x:v>
      </x:c>
      <x:c r="E384" s="25" t="str"/>
      <x:c r="F384" s="22" t="str">
        <x:v>TON</x:v>
      </x:c>
      <x:c r="G384" s="28" t="n">
        <x:v>21.28</x:v>
      </x:c>
      <x:c r="H384" s="25" t="str">
        <x:v>43AE2142BE7340A6C27E35B211B31B0401B44</x:v>
      </x:c>
      <x:c r="I384" s="22" t="str">
        <x:v>직접자원단가</x:v>
      </x:c>
      <x:c r="J384" s="34" t="n">
        <x:v>650</x:v>
      </x:c>
      <x:c r="K384" s="34" t="n">
        <x:v>50</x:v>
      </x:c>
      <x:c r="L384" s="34" t="n">
        <x:v>5</x:v>
      </x:c>
      <x:c r="M384" s="34" t="n">
        <x:f>SUM(J384:L384)</x:f>
        <x:v>705</x:v>
      </x:c>
      <x:c r="N384" s="34" t="n">
        <x:f>G384*J384</x:f>
        <x:v>13832</x:v>
      </x:c>
      <x:c r="O384" s="34" t="n">
        <x:f>G384*K384</x:f>
        <x:v>1064</x:v>
      </x:c>
      <x:c r="P384" s="34" t="n">
        <x:f>G384*L384</x:f>
        <x:v>106.4</x:v>
      </x:c>
      <x:c r="Q384" s="34" t="n">
        <x:f>SUM(N384:P384)</x:f>
        <x:v>15002.4</x:v>
      </x:c>
      <x:c r="R384" s="22" t="str">
        <x:f>IF(M384&gt;0,"복원","미복원")</x:f>
        <x:v>복원</x:v>
      </x:c>
      <x:c r="S384" s="37" t="n">
        <x:v>7</x:v>
      </x:c>
      <x:c r="T38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4" s="22" t="str">
        <x:f>A384&amp;"|"&amp;B384</x:f>
        <x:v>기계·전기동|C-010201</x:v>
      </x:c>
      <x:c r="V384" s="22" t="n">
        <x:f>IF(M384&gt;0,1,0)</x:f>
        <x:v>1</x:v>
      </x:c>
    </x:row>
    <x:row r="385" ht="28" customHeight="1">
      <x:c r="A385" s="22" t="str">
        <x:v>기계·전기동</x:v>
      </x:c>
      <x:c r="B385" s="31" t="str">
        <x:f>"C-010201"</x:f>
        <x:v>C-010201</x:v>
      </x:c>
      <x:c r="C385" s="25" t="str">
        <x:v>010201  STRUCTURE WORKS</x:v>
      </x:c>
      <x:c r="D385" s="25" t="str">
        <x:v>HD400 t20</x:v>
      </x:c>
      <x:c r="E385" s="25" t="str"/>
      <x:c r="F385" s="22" t="str">
        <x:v>TON</x:v>
      </x:c>
      <x:c r="G385" s="28" t="n">
        <x:v>68.915</x:v>
      </x:c>
      <x:c r="H385" s="25" t="str">
        <x:v>43AE2142BE7340A6C27E35B211B31B0401B43</x:v>
      </x:c>
      <x:c r="I385" s="22" t="str">
        <x:v>직접자원단가</x:v>
      </x:c>
      <x:c r="J385" s="34" t="n">
        <x:v>650</x:v>
      </x:c>
      <x:c r="K385" s="34" t="n">
        <x:v>50</x:v>
      </x:c>
      <x:c r="L385" s="34" t="n">
        <x:v>5</x:v>
      </x:c>
      <x:c r="M385" s="34" t="n">
        <x:f>SUM(J385:L385)</x:f>
        <x:v>705</x:v>
      </x:c>
      <x:c r="N385" s="34" t="n">
        <x:f>G385*J385</x:f>
        <x:v>44794.75000000001</x:v>
      </x:c>
      <x:c r="O385" s="34" t="n">
        <x:f>G385*K385</x:f>
        <x:v>3445.7500000000005</x:v>
      </x:c>
      <x:c r="P385" s="34" t="n">
        <x:f>G385*L385</x:f>
        <x:v>344.57500000000005</x:v>
      </x:c>
      <x:c r="Q385" s="34" t="n">
        <x:f>SUM(N385:P385)</x:f>
        <x:v>48585.075000000004</x:v>
      </x:c>
      <x:c r="R385" s="22" t="str">
        <x:f>IF(M385&gt;0,"복원","미복원")</x:f>
        <x:v>복원</x:v>
      </x:c>
      <x:c r="S385" s="37" t="n">
        <x:v>8</x:v>
      </x:c>
      <x:c r="T38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5" s="22" t="str">
        <x:f>A385&amp;"|"&amp;B385</x:f>
        <x:v>기계·전기동|C-010201</x:v>
      </x:c>
      <x:c r="V385" s="22" t="n">
        <x:f>IF(M385&gt;0,1,0)</x:f>
        <x:v>1</x:v>
      </x:c>
    </x:row>
    <x:row r="386" ht="28" customHeight="1">
      <x:c r="A386" s="22" t="str">
        <x:v>기계·전기동</x:v>
      </x:c>
      <x:c r="B386" s="31" t="str">
        <x:f>"C-010201"</x:f>
        <x:v>C-010201</x:v>
      </x:c>
      <x:c r="C386" s="25" t="str">
        <x:v>010201  STRUCTURE WORKS</x:v>
      </x:c>
      <x:c r="D386" s="25" t="str">
        <x:v>concrete(reinforced concrete)</x:v>
      </x:c>
      <x:c r="E386" s="25" t="str">
        <x:v>'f'c 350mpa, foucdation</x:v>
      </x:c>
      <x:c r="F386" s="22" t="str">
        <x:v>M3</x:v>
      </x:c>
      <x:c r="G386" s="28" t="n">
        <x:v>502</x:v>
      </x:c>
      <x:c r="H386" s="25" t="str">
        <x:v>43AE2142BE7340A6C27E35B211B31B0401B42</x:v>
      </x:c>
      <x:c r="I386" s="22" t="str">
        <x:v>직접자원단가</x:v>
      </x:c>
      <x:c r="J386" s="34" t="n">
        <x:v>650</x:v>
      </x:c>
      <x:c r="K386" s="34" t="n">
        <x:v>50</x:v>
      </x:c>
      <x:c r="L386" s="34" t="n">
        <x:v>5</x:v>
      </x:c>
      <x:c r="M386" s="34" t="n">
        <x:f>SUM(J386:L386)</x:f>
        <x:v>705</x:v>
      </x:c>
      <x:c r="N386" s="34" t="n">
        <x:f>G386*J386</x:f>
        <x:v>326300</x:v>
      </x:c>
      <x:c r="O386" s="34" t="n">
        <x:f>G386*K386</x:f>
        <x:v>25100</x:v>
      </x:c>
      <x:c r="P386" s="34" t="n">
        <x:f>G386*L386</x:f>
        <x:v>2510</x:v>
      </x:c>
      <x:c r="Q386" s="34" t="n">
        <x:f>SUM(N386:P386)</x:f>
        <x:v>353910</x:v>
      </x:c>
      <x:c r="R386" s="22" t="str">
        <x:f>IF(M386&gt;0,"복원","미복원")</x:f>
        <x:v>복원</x:v>
      </x:c>
      <x:c r="S386" s="37" t="n">
        <x:v>9</x:v>
      </x:c>
      <x:c r="T38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6" s="22" t="str">
        <x:f>A386&amp;"|"&amp;B386</x:f>
        <x:v>기계·전기동|C-010201</x:v>
      </x:c>
      <x:c r="V386" s="22" t="n">
        <x:f>IF(M386&gt;0,1,0)</x:f>
        <x:v>1</x:v>
      </x:c>
    </x:row>
    <x:row r="387" ht="28" customHeight="1">
      <x:c r="A387" s="22" t="str">
        <x:v>기계·전기동</x:v>
      </x:c>
      <x:c r="B387" s="31" t="str">
        <x:f>"C-010201"</x:f>
        <x:v>C-010201</x:v>
      </x:c>
      <x:c r="C387" s="25" t="str">
        <x:v>010201  STRUCTURE WORKS</x:v>
      </x:c>
      <x:c r="D387" s="25" t="str">
        <x:v>concrete(reinforced concrete)</x:v>
      </x:c>
      <x:c r="E387" s="25" t="str">
        <x:v>'f'c 300mpa, all members except foundation</x:v>
      </x:c>
      <x:c r="F387" s="22" t="str">
        <x:v>M3</x:v>
      </x:c>
      <x:c r="G387" s="28" t="n">
        <x:v>367</x:v>
      </x:c>
      <x:c r="H387" s="25" t="str">
        <x:v>43AE2142BE72BAF102D45DD52A0CA81817C51</x:v>
      </x:c>
      <x:c r="I387" s="22" t="str">
        <x:v>직접자원단가</x:v>
      </x:c>
      <x:c r="J387" s="34" t="n">
        <x:v>90</x:v>
      </x:c>
      <x:c r="K387" s="34" t="n">
        <x:v>10</x:v>
      </x:c>
      <x:c r="L387" s="34" t="n">
        <x:v>5</x:v>
      </x:c>
      <x:c r="M387" s="34" t="n">
        <x:f>SUM(J387:L387)</x:f>
        <x:v>105</x:v>
      </x:c>
      <x:c r="N387" s="34" t="n">
        <x:f>G387*J387</x:f>
        <x:v>33030</x:v>
      </x:c>
      <x:c r="O387" s="34" t="n">
        <x:f>G387*K387</x:f>
        <x:v>3670</x:v>
      </x:c>
      <x:c r="P387" s="34" t="n">
        <x:f>G387*L387</x:f>
        <x:v>1835</x:v>
      </x:c>
      <x:c r="Q387" s="34" t="n">
        <x:f>SUM(N387:P387)</x:f>
        <x:v>38535</x:v>
      </x:c>
      <x:c r="R387" s="22" t="str">
        <x:f>IF(M387&gt;0,"복원","미복원")</x:f>
        <x:v>복원</x:v>
      </x:c>
      <x:c r="S387" s="37" t="n">
        <x:v>10</x:v>
      </x:c>
      <x:c r="T38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7" s="22" t="str">
        <x:f>A387&amp;"|"&amp;B387</x:f>
        <x:v>기계·전기동|C-010201</x:v>
      </x:c>
      <x:c r="V387" s="22" t="n">
        <x:f>IF(M387&gt;0,1,0)</x:f>
        <x:v>1</x:v>
      </x:c>
    </x:row>
    <x:row r="388" ht="28" customHeight="1">
      <x:c r="A388" s="22" t="str">
        <x:v>기계·전기동</x:v>
      </x:c>
      <x:c r="B388" s="31" t="str">
        <x:f>"C-010201"</x:f>
        <x:v>C-010201</x:v>
      </x:c>
      <x:c r="C388" s="25" t="str">
        <x:v>010201  STRUCTURE WORKS</x:v>
      </x:c>
      <x:c r="D388" s="25" t="str">
        <x:v>concrete(finish)</x:v>
      </x:c>
      <x:c r="E388" s="25" t="str">
        <x:v>'f'c 120mpa, finish work</x:v>
      </x:c>
      <x:c r="F388" s="22" t="str">
        <x:v>M3</x:v>
      </x:c>
      <x:c r="G388" s="28" t="n">
        <x:v>132</x:v>
      </x:c>
      <x:c r="H388" s="25" t="str">
        <x:v>43AE2142BE72BAF102D45DD52A0CA81817F25</x:v>
      </x:c>
      <x:c r="I388" s="22" t="str">
        <x:v>직접자원단가</x:v>
      </x:c>
      <x:c r="J388" s="34" t="n">
        <x:v>90</x:v>
      </x:c>
      <x:c r="K388" s="34" t="n">
        <x:v>10</x:v>
      </x:c>
      <x:c r="L388" s="34" t="n">
        <x:v>5</x:v>
      </x:c>
      <x:c r="M388" s="34" t="n">
        <x:f>SUM(J388:L388)</x:f>
        <x:v>105</x:v>
      </x:c>
      <x:c r="N388" s="34" t="n">
        <x:f>G388*J388</x:f>
        <x:v>11880</x:v>
      </x:c>
      <x:c r="O388" s="34" t="n">
        <x:f>G388*K388</x:f>
        <x:v>1320</x:v>
      </x:c>
      <x:c r="P388" s="34" t="n">
        <x:f>G388*L388</x:f>
        <x:v>660</x:v>
      </x:c>
      <x:c r="Q388" s="34" t="n">
        <x:f>SUM(N388:P388)</x:f>
        <x:v>13860</x:v>
      </x:c>
      <x:c r="R388" s="22" t="str">
        <x:f>IF(M388&gt;0,"복원","미복원")</x:f>
        <x:v>복원</x:v>
      </x:c>
      <x:c r="S388" s="37" t="n">
        <x:v>11</x:v>
      </x:c>
      <x:c r="T38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8" s="22" t="str">
        <x:f>A388&amp;"|"&amp;B388</x:f>
        <x:v>기계·전기동|C-010201</x:v>
      </x:c>
      <x:c r="V388" s="22" t="n">
        <x:f>IF(M388&gt;0,1,0)</x:f>
        <x:v>1</x:v>
      </x:c>
    </x:row>
    <x:row r="389" ht="28" customHeight="1">
      <x:c r="A389" s="22" t="str">
        <x:v>기계·전기동</x:v>
      </x:c>
      <x:c r="B389" s="31" t="str">
        <x:f>"C-010201"</x:f>
        <x:v>C-010201</x:v>
      </x:c>
      <x:c r="C389" s="25" t="str">
        <x:v>010201  STRUCTURE WORKS</x:v>
      </x:c>
      <x:c r="D389" s="25" t="str">
        <x:v>concrete(of leveling layer)</x:v>
      </x:c>
      <x:c r="E389" s="25" t="str">
        <x:v>'f'c 80mpa, for leveling layer</x:v>
      </x:c>
      <x:c r="F389" s="22" t="str">
        <x:v>M3</x:v>
      </x:c>
      <x:c r="G389" s="28" t="n">
        <x:v>47</x:v>
      </x:c>
      <x:c r="H389" s="25" t="str">
        <x:v>43AE2142BE72BAF102D45DD52A0CA81817E1F</x:v>
      </x:c>
      <x:c r="I389" s="22" t="str">
        <x:v>직접자원단가</x:v>
      </x:c>
      <x:c r="J389" s="34" t="n">
        <x:v>65</x:v>
      </x:c>
      <x:c r="K389" s="34" t="n">
        <x:v>10</x:v>
      </x:c>
      <x:c r="L389" s="34" t="n">
        <x:v>2</x:v>
      </x:c>
      <x:c r="M389" s="34" t="n">
        <x:f>SUM(J389:L389)</x:f>
        <x:v>77</x:v>
      </x:c>
      <x:c r="N389" s="34" t="n">
        <x:f>G389*J389</x:f>
        <x:v>3055</x:v>
      </x:c>
      <x:c r="O389" s="34" t="n">
        <x:f>G389*K389</x:f>
        <x:v>470</x:v>
      </x:c>
      <x:c r="P389" s="34" t="n">
        <x:f>G389*L389</x:f>
        <x:v>94</x:v>
      </x:c>
      <x:c r="Q389" s="34" t="n">
        <x:f>SUM(N389:P389)</x:f>
        <x:v>3619</x:v>
      </x:c>
      <x:c r="R389" s="22" t="str">
        <x:f>IF(M389&gt;0,"복원","미복원")</x:f>
        <x:v>복원</x:v>
      </x:c>
      <x:c r="S389" s="37" t="n">
        <x:v>12</x:v>
      </x:c>
      <x:c r="T38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89" s="22" t="str">
        <x:f>A389&amp;"|"&amp;B389</x:f>
        <x:v>기계·전기동|C-010201</x:v>
      </x:c>
      <x:c r="V389" s="22" t="n">
        <x:f>IF(M389&gt;0,1,0)</x:f>
        <x:v>1</x:v>
      </x:c>
    </x:row>
    <x:row r="390" ht="28" customHeight="1">
      <x:c r="A390" s="22" t="str">
        <x:v>기계·전기동</x:v>
      </x:c>
      <x:c r="B390" s="31" t="str">
        <x:f>"C-010201"</x:f>
        <x:v>C-010201</x:v>
      </x:c>
      <x:c r="C390" s="25" t="str">
        <x:v>010201  STRUCTURE WORKS</x:v>
      </x:c>
      <x:c r="D390" s="25" t="str">
        <x:v>a mold for concrete</x:v>
      </x:c>
      <x:c r="E390" s="25" t="str"/>
      <x:c r="F390" s="22" t="str">
        <x:v>M2</x:v>
      </x:c>
      <x:c r="G390" s="28" t="n">
        <x:v>1987</x:v>
      </x:c>
      <x:c r="H390" s="25" t="str">
        <x:v>43AE2142BE72BAF102D45DD52A0CA8181799D</x:v>
      </x:c>
      <x:c r="I390" s="22" t="str">
        <x:v>직접자원단가</x:v>
      </x:c>
      <x:c r="J390" s="34" t="n">
        <x:v>60</x:v>
      </x:c>
      <x:c r="K390" s="34" t="n">
        <x:v>10</x:v>
      </x:c>
      <x:c r="L390" s="34" t="n">
        <x:v>2</x:v>
      </x:c>
      <x:c r="M390" s="34" t="n">
        <x:f>SUM(J390:L390)</x:f>
        <x:v>72</x:v>
      </x:c>
      <x:c r="N390" s="34" t="n">
        <x:f>G390*J390</x:f>
        <x:v>119220</x:v>
      </x:c>
      <x:c r="O390" s="34" t="n">
        <x:f>G390*K390</x:f>
        <x:v>19870</x:v>
      </x:c>
      <x:c r="P390" s="34" t="n">
        <x:f>G390*L390</x:f>
        <x:v>3974</x:v>
      </x:c>
      <x:c r="Q390" s="34" t="n">
        <x:f>SUM(N390:P390)</x:f>
        <x:v>143064</x:v>
      </x:c>
      <x:c r="R390" s="22" t="str">
        <x:f>IF(M390&gt;0,"복원","미복원")</x:f>
        <x:v>복원</x:v>
      </x:c>
      <x:c r="S390" s="37" t="n">
        <x:v>13</x:v>
      </x:c>
      <x:c r="T39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0" s="22" t="str">
        <x:f>A390&amp;"|"&amp;B390</x:f>
        <x:v>기계·전기동|C-010201</x:v>
      </x:c>
      <x:c r="V390" s="22" t="n">
        <x:f>IF(M390&gt;0,1,0)</x:f>
        <x:v>1</x:v>
      </x:c>
    </x:row>
    <x:row r="391" ht="28" customHeight="1">
      <x:c r="A391" s="22" t="str">
        <x:v>기계·전기동</x:v>
      </x:c>
      <x:c r="B391" s="31" t="str">
        <x:f>"C-010202"</x:f>
        <x:v>C-010202</x:v>
      </x:c>
      <x:c r="C391" s="25" t="str">
        <x:v>010202  STEEL STRUCTURE WORKS</x:v>
      </x:c>
      <x:c r="D391" s="25" t="str">
        <x:v>H Shape Steel</x:v>
      </x:c>
      <x:c r="E391" s="25" t="str">
        <x:v>SS275, 150*150*7*10mm</x:v>
      </x:c>
      <x:c r="F391" s="22" t="str">
        <x:v>TON</x:v>
      </x:c>
      <x:c r="G391" s="28" t="n">
        <x:v>0.915</x:v>
      </x:c>
      <x:c r="H391" s="25" t="str">
        <x:v>43AE2142BE7340A532FB6B275834A7AC3881A</x:v>
      </x:c>
      <x:c r="I391" s="22" t="str">
        <x:v>직접자원단가</x:v>
      </x:c>
      <x:c r="J391" s="34" t="n">
        <x:v>0.8146337850847961</x:v>
      </x:c>
      <x:c r="K391" s="34" t="n">
        <x:v>0</x:v>
      </x:c>
      <x:c r="L391" s="34" t="n">
        <x:v>0</x:v>
      </x:c>
      <x:c r="M391" s="34" t="n">
        <x:f>SUM(J391:L391)</x:f>
        <x:v>0.8146337850847961</x:v>
      </x:c>
      <x:c r="N391" s="34" t="n">
        <x:f>G391*J391</x:f>
        <x:v>0.7453899133525884</x:v>
      </x:c>
      <x:c r="O391" s="34" t="n">
        <x:f>G391*K391</x:f>
        <x:v>0</x:v>
      </x:c>
      <x:c r="P391" s="34" t="n">
        <x:f>G391*L391</x:f>
        <x:v>0</x:v>
      </x:c>
      <x:c r="Q391" s="34" t="n">
        <x:f>SUM(N391:P391)</x:f>
        <x:v>0.7453899133525884</x:v>
      </x:c>
      <x:c r="R391" s="22" t="str">
        <x:f>IF(M391&gt;0,"복원","미복원")</x:f>
        <x:v>복원</x:v>
      </x:c>
      <x:c r="S391" s="37" t="n">
        <x:v>29</x:v>
      </x:c>
      <x:c r="T39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1" s="22" t="str">
        <x:f>A391&amp;"|"&amp;B391</x:f>
        <x:v>기계·전기동|C-010202</x:v>
      </x:c>
      <x:c r="V391" s="22" t="n">
        <x:f>IF(M391&gt;0,1,0)</x:f>
        <x:v>1</x:v>
      </x:c>
    </x:row>
    <x:row r="392" ht="28" customHeight="1">
      <x:c r="A392" s="22" t="str">
        <x:v>기계·전기동</x:v>
      </x:c>
      <x:c r="B392" s="31" t="str">
        <x:f>"C-010202"</x:f>
        <x:v>C-010202</x:v>
      </x:c>
      <x:c r="C392" s="25" t="str">
        <x:v>010202  STEEL STRUCTURE WORKS</x:v>
      </x:c>
      <x:c r="D392" s="25" t="str">
        <x:v>H Shape Steel</x:v>
      </x:c>
      <x:c r="E392" s="25" t="str">
        <x:v>SS275, 194*150*6*9mm</x:v>
      </x:c>
      <x:c r="F392" s="22" t="str">
        <x:v>TON</x:v>
      </x:c>
      <x:c r="G392" s="28" t="n">
        <x:v>1.596</x:v>
      </x:c>
      <x:c r="H392" s="25" t="str">
        <x:v>43AE2142BE7340A532FB6B275834A7AC3881B</x:v>
      </x:c>
      <x:c r="I392" s="22" t="str">
        <x:v>직접자원단가</x:v>
      </x:c>
      <x:c r="J392" s="34" t="n">
        <x:v>0.8146337850847961</x:v>
      </x:c>
      <x:c r="K392" s="34" t="n">
        <x:v>0</x:v>
      </x:c>
      <x:c r="L392" s="34" t="n">
        <x:v>0</x:v>
      </x:c>
      <x:c r="M392" s="34" t="n">
        <x:f>SUM(J392:L392)</x:f>
        <x:v>0.8146337850847961</x:v>
      </x:c>
      <x:c r="N392" s="34" t="n">
        <x:f>G392*J392</x:f>
        <x:v>1.3001555209953346</x:v>
      </x:c>
      <x:c r="O392" s="34" t="n">
        <x:f>G392*K392</x:f>
        <x:v>0</x:v>
      </x:c>
      <x:c r="P392" s="34" t="n">
        <x:f>G392*L392</x:f>
        <x:v>0</x:v>
      </x:c>
      <x:c r="Q392" s="34" t="n">
        <x:f>SUM(N392:P392)</x:f>
        <x:v>1.3001555209953346</x:v>
      </x:c>
      <x:c r="R392" s="22" t="str">
        <x:f>IF(M392&gt;0,"복원","미복원")</x:f>
        <x:v>복원</x:v>
      </x:c>
      <x:c r="S392" s="37" t="n">
        <x:v>30</x:v>
      </x:c>
      <x:c r="T39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2" s="22" t="str">
        <x:f>A392&amp;"|"&amp;B392</x:f>
        <x:v>기계·전기동|C-010202</x:v>
      </x:c>
      <x:c r="V392" s="22" t="n">
        <x:f>IF(M392&gt;0,1,0)</x:f>
        <x:v>1</x:v>
      </x:c>
    </x:row>
    <x:row r="393" ht="28" customHeight="1">
      <x:c r="A393" s="22" t="str">
        <x:v>기계·전기동</x:v>
      </x:c>
      <x:c r="B393" s="31" t="str">
        <x:f>"C-010202"</x:f>
        <x:v>C-010202</x:v>
      </x:c>
      <x:c r="C393" s="25" t="str">
        <x:v>010202  STEEL STRUCTURE WORKS</x:v>
      </x:c>
      <x:c r="D393" s="25" t="str">
        <x:v>H Shape Steel</x:v>
      </x:c>
      <x:c r="E393" s="25" t="str">
        <x:v>SS275, 200*100*5.5*8mm</x:v>
      </x:c>
      <x:c r="F393" s="22" t="str">
        <x:v>TON</x:v>
      </x:c>
      <x:c r="G393" s="28" t="n">
        <x:v>0.683</x:v>
      </x:c>
      <x:c r="H393" s="25" t="str">
        <x:v>43AE204010766031C22ED812F512356699399</x:v>
      </x:c>
      <x:c r="I393" s="22" t="str">
        <x:v>직접자원단가</x:v>
      </x:c>
      <x:c r="J393" s="34" t="n">
        <x:v>1800</x:v>
      </x:c>
      <x:c r="K393" s="34" t="n">
        <x:v>0</x:v>
      </x:c>
      <x:c r="L393" s="34" t="n">
        <x:v>0</x:v>
      </x:c>
      <x:c r="M393" s="34" t="n">
        <x:f>SUM(J393:L393)</x:f>
        <x:v>1800</x:v>
      </x:c>
      <x:c r="N393" s="34" t="n">
        <x:f>G393*J393</x:f>
        <x:v>1229.4</x:v>
      </x:c>
      <x:c r="O393" s="34" t="n">
        <x:f>G393*K393</x:f>
        <x:v>0</x:v>
      </x:c>
      <x:c r="P393" s="34" t="n">
        <x:f>G393*L393</x:f>
        <x:v>0</x:v>
      </x:c>
      <x:c r="Q393" s="34" t="n">
        <x:f>SUM(N393:P393)</x:f>
        <x:v>1229.4</x:v>
      </x:c>
      <x:c r="R393" s="22" t="str">
        <x:f>IF(M393&gt;0,"복원","미복원")</x:f>
        <x:v>복원</x:v>
      </x:c>
      <x:c r="S393" s="37" t="n">
        <x:v>31</x:v>
      </x:c>
      <x:c r="T39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3" s="22" t="str">
        <x:f>A393&amp;"|"&amp;B393</x:f>
        <x:v>기계·전기동|C-010202</x:v>
      </x:c>
      <x:c r="V393" s="22" t="n">
        <x:f>IF(M393&gt;0,1,0)</x:f>
        <x:v>1</x:v>
      </x:c>
    </x:row>
    <x:row r="394" ht="28" customHeight="1">
      <x:c r="A394" s="22" t="str">
        <x:v>기계·전기동</x:v>
      </x:c>
      <x:c r="B394" s="31" t="str">
        <x:f>"C-010202"</x:f>
        <x:v>C-010202</x:v>
      </x:c>
      <x:c r="C394" s="25" t="str">
        <x:v>010202  STEEL STRUCTURE WORKS</x:v>
      </x:c>
      <x:c r="D394" s="25" t="str">
        <x:v>Light Gage Steel</x:v>
      </x:c>
      <x:c r="E394" s="25" t="str">
        <x:v>C, 150*50*20, t3.2</x:v>
      </x:c>
      <x:c r="F394" s="22" t="str">
        <x:v>TON</x:v>
      </x:c>
      <x:c r="G394" s="28" t="n">
        <x:v>0.696</x:v>
      </x:c>
      <x:c r="H394" s="25" t="str">
        <x:v>43AE204010766031C22ED812F51235669939A</x:v>
      </x:c>
      <x:c r="I394" s="22" t="str">
        <x:v>직접자원단가</x:v>
      </x:c>
      <x:c r="J394" s="34" t="n">
        <x:v>1800</x:v>
      </x:c>
      <x:c r="K394" s="34" t="n">
        <x:v>0</x:v>
      </x:c>
      <x:c r="L394" s="34" t="n">
        <x:v>0</x:v>
      </x:c>
      <x:c r="M394" s="34" t="n">
        <x:f>SUM(J394:L394)</x:f>
        <x:v>1800</x:v>
      </x:c>
      <x:c r="N394" s="34" t="n">
        <x:f>G394*J394</x:f>
        <x:v>1252.8</x:v>
      </x:c>
      <x:c r="O394" s="34" t="n">
        <x:f>G394*K394</x:f>
        <x:v>0</x:v>
      </x:c>
      <x:c r="P394" s="34" t="n">
        <x:f>G394*L394</x:f>
        <x:v>0</x:v>
      </x:c>
      <x:c r="Q394" s="34" t="n">
        <x:f>SUM(N394:P394)</x:f>
        <x:v>1252.8</x:v>
      </x:c>
      <x:c r="R394" s="22" t="str">
        <x:f>IF(M394&gt;0,"복원","미복원")</x:f>
        <x:v>복원</x:v>
      </x:c>
      <x:c r="S394" s="37" t="n">
        <x:v>32</x:v>
      </x:c>
      <x:c r="T39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4" s="22" t="str">
        <x:f>A394&amp;"|"&amp;B394</x:f>
        <x:v>기계·전기동|C-010202</x:v>
      </x:c>
      <x:c r="V394" s="22" t="n">
        <x:f>IF(M394&gt;0,1,0)</x:f>
        <x:v>1</x:v>
      </x:c>
    </x:row>
    <x:row r="395" ht="28" customHeight="1">
      <x:c r="A395" s="22" t="str">
        <x:v>기계·전기동</x:v>
      </x:c>
      <x:c r="B395" s="31" t="str">
        <x:f>"C-010202"</x:f>
        <x:v>C-010202</x:v>
      </x:c>
      <x:c r="C395" s="25" t="str">
        <x:v>010202  STEEL STRUCTURE WORKS</x:v>
      </x:c>
      <x:c r="D395" s="25" t="str">
        <x:v>Steel Plate</x:v>
      </x:c>
      <x:c r="E395" s="25" t="str">
        <x:v>SS275, 6.0mm</x:v>
      </x:c>
      <x:c r="F395" s="22" t="str">
        <x:v>TON</x:v>
      </x:c>
      <x:c r="G395" s="28" t="n">
        <x:v>0.078</x:v>
      </x:c>
      <x:c r="H395" s="25" t="str">
        <x:v>43AE204010766031C22ED812F51235669939B</x:v>
      </x:c>
      <x:c r="I395" s="22" t="str">
        <x:v>직접자원단가</x:v>
      </x:c>
      <x:c r="J395" s="34" t="n">
        <x:v>1800</x:v>
      </x:c>
      <x:c r="K395" s="34" t="n">
        <x:v>0</x:v>
      </x:c>
      <x:c r="L395" s="34" t="n">
        <x:v>0</x:v>
      </x:c>
      <x:c r="M395" s="34" t="n">
        <x:f>SUM(J395:L395)</x:f>
        <x:v>1800</x:v>
      </x:c>
      <x:c r="N395" s="34" t="n">
        <x:f>G395*J395</x:f>
        <x:v>140.4</x:v>
      </x:c>
      <x:c r="O395" s="34" t="n">
        <x:f>G395*K395</x:f>
        <x:v>0</x:v>
      </x:c>
      <x:c r="P395" s="34" t="n">
        <x:f>G395*L395</x:f>
        <x:v>0</x:v>
      </x:c>
      <x:c r="Q395" s="34" t="n">
        <x:f>SUM(N395:P395)</x:f>
        <x:v>140.4</x:v>
      </x:c>
      <x:c r="R395" s="22" t="str">
        <x:f>IF(M395&gt;0,"복원","미복원")</x:f>
        <x:v>복원</x:v>
      </x:c>
      <x:c r="S395" s="37" t="n">
        <x:v>33</x:v>
      </x:c>
      <x:c r="T39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5" s="22" t="str">
        <x:f>A395&amp;"|"&amp;B395</x:f>
        <x:v>기계·전기동|C-010202</x:v>
      </x:c>
      <x:c r="V395" s="22" t="n">
        <x:f>IF(M395&gt;0,1,0)</x:f>
        <x:v>1</x:v>
      </x:c>
    </x:row>
    <x:row r="396" ht="28" customHeight="1">
      <x:c r="A396" s="22" t="str">
        <x:v>기계·전기동</x:v>
      </x:c>
      <x:c r="B396" s="31" t="str">
        <x:f>"C-010202"</x:f>
        <x:v>C-010202</x:v>
      </x:c>
      <x:c r="C396" s="25" t="str">
        <x:v>010202  STEEL STRUCTURE WORKS</x:v>
      </x:c>
      <x:c r="D396" s="25" t="str">
        <x:v>Steel Plate</x:v>
      </x:c>
      <x:c r="E396" s="25" t="str">
        <x:v>SS275, 8.0mm</x:v>
      </x:c>
      <x:c r="F396" s="22" t="str">
        <x:v>TON</x:v>
      </x:c>
      <x:c r="G396" s="28" t="n">
        <x:v>0.071</x:v>
      </x:c>
      <x:c r="H396" s="25" t="str">
        <x:v>43AE204010766031C22ED812F51235669939C</x:v>
      </x:c>
      <x:c r="I396" s="22" t="str">
        <x:v>직접자원단가</x:v>
      </x:c>
      <x:c r="J396" s="34" t="n">
        <x:v>1800</x:v>
      </x:c>
      <x:c r="K396" s="34" t="n">
        <x:v>0</x:v>
      </x:c>
      <x:c r="L396" s="34" t="n">
        <x:v>0</x:v>
      </x:c>
      <x:c r="M396" s="34" t="n">
        <x:f>SUM(J396:L396)</x:f>
        <x:v>1800</x:v>
      </x:c>
      <x:c r="N396" s="34" t="n">
        <x:f>G396*J396</x:f>
        <x:v>127.79999999999998</x:v>
      </x:c>
      <x:c r="O396" s="34" t="n">
        <x:f>G396*K396</x:f>
        <x:v>0</x:v>
      </x:c>
      <x:c r="P396" s="34" t="n">
        <x:f>G396*L396</x:f>
        <x:v>0</x:v>
      </x:c>
      <x:c r="Q396" s="34" t="n">
        <x:f>SUM(N396:P396)</x:f>
        <x:v>127.79999999999998</x:v>
      </x:c>
      <x:c r="R396" s="22" t="str">
        <x:f>IF(M396&gt;0,"복원","미복원")</x:f>
        <x:v>복원</x:v>
      </x:c>
      <x:c r="S396" s="37" t="n">
        <x:v>34</x:v>
      </x:c>
      <x:c r="T39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6" s="22" t="str">
        <x:f>A396&amp;"|"&amp;B396</x:f>
        <x:v>기계·전기동|C-010202</x:v>
      </x:c>
      <x:c r="V396" s="22" t="n">
        <x:f>IF(M396&gt;0,1,0)</x:f>
        <x:v>1</x:v>
      </x:c>
    </x:row>
    <x:row r="397" ht="28" customHeight="1">
      <x:c r="A397" s="22" t="str">
        <x:v>기계·전기동</x:v>
      </x:c>
      <x:c r="B397" s="31" t="str">
        <x:f>"C-010202"</x:f>
        <x:v>C-010202</x:v>
      </x:c>
      <x:c r="C397" s="25" t="str">
        <x:v>010202  STEEL STRUCTURE WORKS</x:v>
      </x:c>
      <x:c r="D397" s="25" t="str">
        <x:v>Steel Plate</x:v>
      </x:c>
      <x:c r="E397" s="25" t="str">
        <x:v>SS275, 9.0mm</x:v>
      </x:c>
      <x:c r="F397" s="22" t="str">
        <x:v>TON</x:v>
      </x:c>
      <x:c r="G397" s="28" t="n">
        <x:v>0.086</x:v>
      </x:c>
      <x:c r="H397" s="25" t="str">
        <x:v>43AE204010766031C22ED812F5123566993E9</x:v>
      </x:c>
      <x:c r="I397" s="22" t="str">
        <x:v>직접자원단가</x:v>
      </x:c>
      <x:c r="J397" s="34" t="n">
        <x:v>1800</x:v>
      </x:c>
      <x:c r="K397" s="34" t="n">
        <x:v>0</x:v>
      </x:c>
      <x:c r="L397" s="34" t="n">
        <x:v>0</x:v>
      </x:c>
      <x:c r="M397" s="34" t="n">
        <x:f>SUM(J397:L397)</x:f>
        <x:v>1800</x:v>
      </x:c>
      <x:c r="N397" s="34" t="n">
        <x:f>G397*J397</x:f>
        <x:v>154.79999999999998</x:v>
      </x:c>
      <x:c r="O397" s="34" t="n">
        <x:f>G397*K397</x:f>
        <x:v>0</x:v>
      </x:c>
      <x:c r="P397" s="34" t="n">
        <x:f>G397*L397</x:f>
        <x:v>0</x:v>
      </x:c>
      <x:c r="Q397" s="34" t="n">
        <x:f>SUM(N397:P397)</x:f>
        <x:v>154.79999999999998</x:v>
      </x:c>
      <x:c r="R397" s="22" t="str">
        <x:f>IF(M397&gt;0,"복원","미복원")</x:f>
        <x:v>복원</x:v>
      </x:c>
      <x:c r="S397" s="37" t="n">
        <x:v>35</x:v>
      </x:c>
      <x:c r="T39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7" s="22" t="str">
        <x:f>A397&amp;"|"&amp;B397</x:f>
        <x:v>기계·전기동|C-010202</x:v>
      </x:c>
      <x:c r="V397" s="22" t="n">
        <x:f>IF(M397&gt;0,1,0)</x:f>
        <x:v>1</x:v>
      </x:c>
    </x:row>
    <x:row r="398" ht="28" customHeight="1">
      <x:c r="A398" s="22" t="str">
        <x:v>기계·전기동</x:v>
      </x:c>
      <x:c r="B398" s="31" t="str">
        <x:f>"C-010202"</x:f>
        <x:v>C-010202</x:v>
      </x:c>
      <x:c r="C398" s="25" t="str">
        <x:v>010202  STEEL STRUCTURE WORKS</x:v>
      </x:c>
      <x:c r="D398" s="25" t="str">
        <x:v>Steel Plate</x:v>
      </x:c>
      <x:c r="E398" s="25" t="str">
        <x:v>SS275, 15mm</x:v>
      </x:c>
      <x:c r="F398" s="22" t="str">
        <x:v>TON</x:v>
      </x:c>
      <x:c r="G398" s="28" t="n">
        <x:v>0.139</x:v>
      </x:c>
      <x:c r="H398" s="25" t="str">
        <x:v>43AE204010766031C22ED812F51235669939E</x:v>
      </x:c>
      <x:c r="I398" s="22" t="str">
        <x:v>직접자원단가</x:v>
      </x:c>
      <x:c r="J398" s="34" t="n">
        <x:v>2000</x:v>
      </x:c>
      <x:c r="K398" s="34" t="n">
        <x:v>0</x:v>
      </x:c>
      <x:c r="L398" s="34" t="n">
        <x:v>0</x:v>
      </x:c>
      <x:c r="M398" s="34" t="n">
        <x:f>SUM(J398:L398)</x:f>
        <x:v>2000</x:v>
      </x:c>
      <x:c r="N398" s="34" t="n">
        <x:f>G398*J398</x:f>
        <x:v>278</x:v>
      </x:c>
      <x:c r="O398" s="34" t="n">
        <x:f>G398*K398</x:f>
        <x:v>0</x:v>
      </x:c>
      <x:c r="P398" s="34" t="n">
        <x:f>G398*L398</x:f>
        <x:v>0</x:v>
      </x:c>
      <x:c r="Q398" s="34" t="n">
        <x:f>SUM(N398:P398)</x:f>
        <x:v>278</x:v>
      </x:c>
      <x:c r="R398" s="22" t="str">
        <x:f>IF(M398&gt;0,"복원","미복원")</x:f>
        <x:v>복원</x:v>
      </x:c>
      <x:c r="S398" s="37" t="n">
        <x:v>36</x:v>
      </x:c>
      <x:c r="T39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8" s="22" t="str">
        <x:f>A398&amp;"|"&amp;B398</x:f>
        <x:v>기계·전기동|C-010202</x:v>
      </x:c>
      <x:c r="V398" s="22" t="n">
        <x:f>IF(M398&gt;0,1,0)</x:f>
        <x:v>1</x:v>
      </x:c>
    </x:row>
    <x:row r="399" ht="28" customHeight="1">
      <x:c r="A399" s="22" t="str">
        <x:v>기계·전기동</x:v>
      </x:c>
      <x:c r="B399" s="31" t="str">
        <x:f>"C-010202"</x:f>
        <x:v>C-010202</x:v>
      </x:c>
      <x:c r="C399" s="25" t="str">
        <x:v>010202  STEEL STRUCTURE WORKS</x:v>
      </x:c>
      <x:c r="D399" s="25" t="str">
        <x:v>Steel Plate</x:v>
      </x:c>
      <x:c r="E399" s="25" t="str">
        <x:v>SS275, 16mm</x:v>
      </x:c>
      <x:c r="F399" s="22" t="str">
        <x:v>TON</x:v>
      </x:c>
      <x:c r="G399" s="28" t="n">
        <x:v>0.063</x:v>
      </x:c>
      <x:c r="H399" s="25" t="str">
        <x:v>43AE204010766031C22ED812F51235669939F</x:v>
      </x:c>
      <x:c r="I399" s="22" t="str">
        <x:v>직접자원단가</x:v>
      </x:c>
      <x:c r="J399" s="34" t="n">
        <x:v>1300</x:v>
      </x:c>
      <x:c r="K399" s="34" t="n">
        <x:v>0</x:v>
      </x:c>
      <x:c r="L399" s="34" t="n">
        <x:v>0</x:v>
      </x:c>
      <x:c r="M399" s="34" t="n">
        <x:f>SUM(J399:L399)</x:f>
        <x:v>1300</x:v>
      </x:c>
      <x:c r="N399" s="34" t="n">
        <x:f>G399*J399</x:f>
        <x:v>81.9</x:v>
      </x:c>
      <x:c r="O399" s="34" t="n">
        <x:f>G399*K399</x:f>
        <x:v>0</x:v>
      </x:c>
      <x:c r="P399" s="34" t="n">
        <x:f>G399*L399</x:f>
        <x:v>0</x:v>
      </x:c>
      <x:c r="Q399" s="34" t="n">
        <x:f>SUM(N399:P399)</x:f>
        <x:v>81.9</x:v>
      </x:c>
      <x:c r="R399" s="22" t="str">
        <x:f>IF(M399&gt;0,"복원","미복원")</x:f>
        <x:v>복원</x:v>
      </x:c>
      <x:c r="S399" s="37" t="n">
        <x:v>37</x:v>
      </x:c>
      <x:c r="T39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399" s="22" t="str">
        <x:f>A399&amp;"|"&amp;B399</x:f>
        <x:v>기계·전기동|C-010202</x:v>
      </x:c>
      <x:c r="V399" s="22" t="n">
        <x:f>IF(M399&gt;0,1,0)</x:f>
        <x:v>1</x:v>
      </x:c>
    </x:row>
    <x:row r="400" ht="28" customHeight="1">
      <x:c r="A400" s="22" t="str">
        <x:v>기계·전기동</x:v>
      </x:c>
      <x:c r="B400" s="31" t="str">
        <x:f>"C-010202"</x:f>
        <x:v>C-010202</x:v>
      </x:c>
      <x:c r="C400" s="25" t="str">
        <x:v>010202  STEEL STRUCTURE WORKS</x:v>
      </x:c>
      <x:c r="D400" s="25" t="str">
        <x:v>Steel Plate</x:v>
      </x:c>
      <x:c r="E400" s="25" t="str">
        <x:v>SS275, 19mm</x:v>
      </x:c>
      <x:c r="F400" s="22" t="str">
        <x:v>TON</x:v>
      </x:c>
      <x:c r="G400" s="28" t="n">
        <x:v>0.16</x:v>
      </x:c>
      <x:c r="H400" s="25" t="str">
        <x:v>43AE204010766031C22ED812F512356699390</x:v>
      </x:c>
      <x:c r="I400" s="22" t="str">
        <x:v>직접자원단가</x:v>
      </x:c>
      <x:c r="J400" s="34" t="n">
        <x:v>1300</x:v>
      </x:c>
      <x:c r="K400" s="34" t="n">
        <x:v>0</x:v>
      </x:c>
      <x:c r="L400" s="34" t="n">
        <x:v>0</x:v>
      </x:c>
      <x:c r="M400" s="34" t="n">
        <x:f>SUM(J400:L400)</x:f>
        <x:v>1300</x:v>
      </x:c>
      <x:c r="N400" s="34" t="n">
        <x:f>G400*J400</x:f>
        <x:v>208</x:v>
      </x:c>
      <x:c r="O400" s="34" t="n">
        <x:f>G400*K400</x:f>
        <x:v>0</x:v>
      </x:c>
      <x:c r="P400" s="34" t="n">
        <x:f>G400*L400</x:f>
        <x:v>0</x:v>
      </x:c>
      <x:c r="Q400" s="34" t="n">
        <x:f>SUM(N400:P400)</x:f>
        <x:v>208</x:v>
      </x:c>
      <x:c r="R400" s="22" t="str">
        <x:f>IF(M400&gt;0,"복원","미복원")</x:f>
        <x:v>복원</x:v>
      </x:c>
      <x:c r="S400" s="37" t="n">
        <x:v>38</x:v>
      </x:c>
      <x:c r="T40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0" s="22" t="str">
        <x:f>A400&amp;"|"&amp;B400</x:f>
        <x:v>기계·전기동|C-010202</x:v>
      </x:c>
      <x:c r="V400" s="22" t="n">
        <x:f>IF(M400&gt;0,1,0)</x:f>
        <x:v>1</x:v>
      </x:c>
    </x:row>
    <x:row r="401" ht="28" customHeight="1">
      <x:c r="A401" s="22" t="str">
        <x:v>기계·전기동</x:v>
      </x:c>
      <x:c r="B401" s="31" t="str">
        <x:f>"C-010202"</x:f>
        <x:v>C-010202</x:v>
      </x:c>
      <x:c r="C401" s="25" t="str">
        <x:v>010202  STEEL STRUCTURE WORKS</x:v>
      </x:c>
      <x:c r="D401" s="25" t="str">
        <x:v>High Strength Bolt</x:v>
      </x:c>
      <x:c r="E401" s="25" t="str">
        <x:v>F10T, M20*50mm</x:v>
      </x:c>
      <x:c r="F401" s="22" t="str">
        <x:v>SET</x:v>
      </x:c>
      <x:c r="G401" s="28" t="n">
        <x:v>25</x:v>
      </x:c>
      <x:c r="H401" s="25" t="str">
        <x:v>43AE204010766031C22ED812F512356699391</x:v>
      </x:c>
      <x:c r="I401" s="22" t="str">
        <x:v>직접자원단가</x:v>
      </x:c>
      <x:c r="J401" s="34" t="n">
        <x:v>1300</x:v>
      </x:c>
      <x:c r="K401" s="34" t="n">
        <x:v>0</x:v>
      </x:c>
      <x:c r="L401" s="34" t="n">
        <x:v>0</x:v>
      </x:c>
      <x:c r="M401" s="34" t="n">
        <x:f>SUM(J401:L401)</x:f>
        <x:v>1300</x:v>
      </x:c>
      <x:c r="N401" s="34" t="n">
        <x:f>G401*J401</x:f>
        <x:v>32500</x:v>
      </x:c>
      <x:c r="O401" s="34" t="n">
        <x:f>G401*K401</x:f>
        <x:v>0</x:v>
      </x:c>
      <x:c r="P401" s="34" t="n">
        <x:f>G401*L401</x:f>
        <x:v>0</x:v>
      </x:c>
      <x:c r="Q401" s="34" t="n">
        <x:f>SUM(N401:P401)</x:f>
        <x:v>32500</x:v>
      </x:c>
      <x:c r="R401" s="22" t="str">
        <x:f>IF(M401&gt;0,"복원","미복원")</x:f>
        <x:v>복원</x:v>
      </x:c>
      <x:c r="S401" s="37" t="n">
        <x:v>39</x:v>
      </x:c>
      <x:c r="T40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1" s="22" t="str">
        <x:f>A401&amp;"|"&amp;B401</x:f>
        <x:v>기계·전기동|C-010202</x:v>
      </x:c>
      <x:c r="V401" s="22" t="n">
        <x:f>IF(M401&gt;0,1,0)</x:f>
        <x:v>1</x:v>
      </x:c>
    </x:row>
    <x:row r="402" ht="28" customHeight="1">
      <x:c r="A402" s="22" t="str">
        <x:v>기계·전기동</x:v>
      </x:c>
      <x:c r="B402" s="31" t="str">
        <x:f>"C-010202"</x:f>
        <x:v>C-010202</x:v>
      </x:c>
      <x:c r="C402" s="25" t="str">
        <x:v>010202  STEEL STRUCTURE WORKS</x:v>
      </x:c>
      <x:c r="D402" s="25" t="str">
        <x:v>High Strength Bolt</x:v>
      </x:c>
      <x:c r="E402" s="25" t="str">
        <x:v>F10T, M20*55mm</x:v>
      </x:c>
      <x:c r="F402" s="22" t="str">
        <x:v>SET</x:v>
      </x:c>
      <x:c r="G402" s="28" t="n">
        <x:v>83</x:v>
      </x:c>
      <x:c r="H402" s="25" t="str">
        <x:v>43AE204010766031C22ED812F5123566992F1</x:v>
      </x:c>
      <x:c r="I402" s="22" t="str">
        <x:v>직접자원단가</x:v>
      </x:c>
      <x:c r="J402" s="34" t="n">
        <x:v>1300</x:v>
      </x:c>
      <x:c r="K402" s="34" t="n">
        <x:v>0</x:v>
      </x:c>
      <x:c r="L402" s="34" t="n">
        <x:v>0</x:v>
      </x:c>
      <x:c r="M402" s="34" t="n">
        <x:f>SUM(J402:L402)</x:f>
        <x:v>1300</x:v>
      </x:c>
      <x:c r="N402" s="34" t="n">
        <x:f>G402*J402</x:f>
        <x:v>107900</x:v>
      </x:c>
      <x:c r="O402" s="34" t="n">
        <x:f>G402*K402</x:f>
        <x:v>0</x:v>
      </x:c>
      <x:c r="P402" s="34" t="n">
        <x:f>G402*L402</x:f>
        <x:v>0</x:v>
      </x:c>
      <x:c r="Q402" s="34" t="n">
        <x:f>SUM(N402:P402)</x:f>
        <x:v>107900</x:v>
      </x:c>
      <x:c r="R402" s="22" t="str">
        <x:f>IF(M402&gt;0,"복원","미복원")</x:f>
        <x:v>복원</x:v>
      </x:c>
      <x:c r="S402" s="37" t="n">
        <x:v>40</x:v>
      </x:c>
      <x:c r="T40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2" s="22" t="str">
        <x:f>A402&amp;"|"&amp;B402</x:f>
        <x:v>기계·전기동|C-010202</x:v>
      </x:c>
      <x:c r="V402" s="22" t="n">
        <x:f>IF(M402&gt;0,1,0)</x:f>
        <x:v>1</x:v>
      </x:c>
    </x:row>
    <x:row r="403" ht="28" customHeight="1">
      <x:c r="A403" s="22" t="str">
        <x:v>기계·전기동</x:v>
      </x:c>
      <x:c r="B403" s="31" t="str">
        <x:f>"C-010202"</x:f>
        <x:v>C-010202</x:v>
      </x:c>
      <x:c r="C403" s="25" t="str">
        <x:v>010202  STEEL STRUCTURE WORKS</x:v>
      </x:c>
      <x:c r="D403" s="25" t="str">
        <x:v>High Strength Bolt</x:v>
      </x:c>
      <x:c r="E403" s="25" t="str">
        <x:v>F10T, M20*60mm</x:v>
      </x:c>
      <x:c r="F403" s="22" t="str">
        <x:v>SET</x:v>
      </x:c>
      <x:c r="G403" s="28" t="n">
        <x:v>132</x:v>
      </x:c>
      <x:c r="H403" s="25" t="str">
        <x:v>43AE204010766031C22ED812F5123566992F0</x:v>
      </x:c>
      <x:c r="I403" s="22" t="str">
        <x:v>직접자원단가</x:v>
      </x:c>
      <x:c r="J403" s="34" t="n">
        <x:v>1300</x:v>
      </x:c>
      <x:c r="K403" s="34" t="n">
        <x:v>0</x:v>
      </x:c>
      <x:c r="L403" s="34" t="n">
        <x:v>0</x:v>
      </x:c>
      <x:c r="M403" s="34" t="n">
        <x:f>SUM(J403:L403)</x:f>
        <x:v>1300</x:v>
      </x:c>
      <x:c r="N403" s="34" t="n">
        <x:f>G403*J403</x:f>
        <x:v>171600</x:v>
      </x:c>
      <x:c r="O403" s="34" t="n">
        <x:f>G403*K403</x:f>
        <x:v>0</x:v>
      </x:c>
      <x:c r="P403" s="34" t="n">
        <x:f>G403*L403</x:f>
        <x:v>0</x:v>
      </x:c>
      <x:c r="Q403" s="34" t="n">
        <x:f>SUM(N403:P403)</x:f>
        <x:v>171600</x:v>
      </x:c>
      <x:c r="R403" s="22" t="str">
        <x:f>IF(M403&gt;0,"복원","미복원")</x:f>
        <x:v>복원</x:v>
      </x:c>
      <x:c r="S403" s="37" t="n">
        <x:v>41</x:v>
      </x:c>
      <x:c r="T40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3" s="22" t="str">
        <x:f>A403&amp;"|"&amp;B403</x:f>
        <x:v>기계·전기동|C-010202</x:v>
      </x:c>
      <x:c r="V403" s="22" t="n">
        <x:f>IF(M403&gt;0,1,0)</x:f>
        <x:v>1</x:v>
      </x:c>
    </x:row>
    <x:row r="404" ht="28" customHeight="1">
      <x:c r="A404" s="22" t="str">
        <x:v>기계·전기동</x:v>
      </x:c>
      <x:c r="B404" s="31" t="str">
        <x:f>"C-010202"</x:f>
        <x:v>C-010202</x:v>
      </x:c>
      <x:c r="C404" s="25" t="str">
        <x:v>010202  STEEL STRUCTURE WORKS</x:v>
      </x:c>
      <x:c r="D404" s="25" t="str">
        <x:v>High Strength Bolt</x:v>
      </x:c>
      <x:c r="E404" s="25" t="str">
        <x:v>F10T, M20*65mm</x:v>
      </x:c>
      <x:c r="F404" s="22" t="str">
        <x:v>SET</x:v>
      </x:c>
      <x:c r="G404" s="28" t="n">
        <x:v>198</x:v>
      </x:c>
      <x:c r="H404" s="25" t="str">
        <x:v>43AE204010766031C22ED812F5123566992F3</x:v>
      </x:c>
      <x:c r="I404" s="22" t="str">
        <x:v>직접자원단가</x:v>
      </x:c>
      <x:c r="J404" s="34" t="n">
        <x:v>1400</x:v>
      </x:c>
      <x:c r="K404" s="34" t="n">
        <x:v>0</x:v>
      </x:c>
      <x:c r="L404" s="34" t="n">
        <x:v>0</x:v>
      </x:c>
      <x:c r="M404" s="34" t="n">
        <x:f>SUM(J404:L404)</x:f>
        <x:v>1400</x:v>
      </x:c>
      <x:c r="N404" s="34" t="n">
        <x:f>G404*J404</x:f>
        <x:v>277200</x:v>
      </x:c>
      <x:c r="O404" s="34" t="n">
        <x:f>G404*K404</x:f>
        <x:v>0</x:v>
      </x:c>
      <x:c r="P404" s="34" t="n">
        <x:f>G404*L404</x:f>
        <x:v>0</x:v>
      </x:c>
      <x:c r="Q404" s="34" t="n">
        <x:f>SUM(N404:P404)</x:f>
        <x:v>277200</x:v>
      </x:c>
      <x:c r="R404" s="22" t="str">
        <x:f>IF(M404&gt;0,"복원","미복원")</x:f>
        <x:v>복원</x:v>
      </x:c>
      <x:c r="S404" s="37" t="n">
        <x:v>42</x:v>
      </x:c>
      <x:c r="T40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4" s="22" t="str">
        <x:f>A404&amp;"|"&amp;B404</x:f>
        <x:v>기계·전기동|C-010202</x:v>
      </x:c>
      <x:c r="V404" s="22" t="n">
        <x:f>IF(M404&gt;0,1,0)</x:f>
        <x:v>1</x:v>
      </x:c>
    </x:row>
    <x:row r="405" ht="28" customHeight="1">
      <x:c r="A405" s="22" t="str">
        <x:v>기계·전기동</x:v>
      </x:c>
      <x:c r="B405" s="31" t="str">
        <x:f>"C-010202"</x:f>
        <x:v>C-010202</x:v>
      </x:c>
      <x:c r="C405" s="25" t="str">
        <x:v>010202  STEEL STRUCTURE WORKS</x:v>
      </x:c>
      <x:c r="D405" s="25" t="str">
        <x:v>Anchor Bolt Install</x:v>
      </x:c>
      <x:c r="E405" s="25" t="str">
        <x:v>M20*600mm</x:v>
      </x:c>
      <x:c r="F405" s="22" t="str">
        <x:v>EA</x:v>
      </x:c>
      <x:c r="G405" s="28" t="n">
        <x:v>34</x:v>
      </x:c>
      <x:c r="H405" s="25" t="str">
        <x:v>43AE204010766031C22ED812F5123566992F2</x:v>
      </x:c>
      <x:c r="I405" s="22" t="str">
        <x:v>직접자원단가</x:v>
      </x:c>
      <x:c r="J405" s="34" t="n">
        <x:v>1400</x:v>
      </x:c>
      <x:c r="K405" s="34" t="n">
        <x:v>0</x:v>
      </x:c>
      <x:c r="L405" s="34" t="n">
        <x:v>0</x:v>
      </x:c>
      <x:c r="M405" s="34" t="n">
        <x:f>SUM(J405:L405)</x:f>
        <x:v>1400</x:v>
      </x:c>
      <x:c r="N405" s="34" t="n">
        <x:f>G405*J405</x:f>
        <x:v>47600</x:v>
      </x:c>
      <x:c r="O405" s="34" t="n">
        <x:f>G405*K405</x:f>
        <x:v>0</x:v>
      </x:c>
      <x:c r="P405" s="34" t="n">
        <x:f>G405*L405</x:f>
        <x:v>0</x:v>
      </x:c>
      <x:c r="Q405" s="34" t="n">
        <x:f>SUM(N405:P405)</x:f>
        <x:v>47600</x:v>
      </x:c>
      <x:c r="R405" s="22" t="str">
        <x:f>IF(M405&gt;0,"복원","미복원")</x:f>
        <x:v>복원</x:v>
      </x:c>
      <x:c r="S405" s="37" t="n">
        <x:v>43</x:v>
      </x:c>
      <x:c r="T40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5" s="22" t="str">
        <x:f>A405&amp;"|"&amp;B405</x:f>
        <x:v>기계·전기동|C-010202</x:v>
      </x:c>
      <x:c r="V405" s="22" t="n">
        <x:f>IF(M405&gt;0,1,0)</x:f>
        <x:v>1</x:v>
      </x:c>
    </x:row>
    <x:row r="406" ht="28" customHeight="1">
      <x:c r="A406" s="22" t="str">
        <x:v>기계·전기동</x:v>
      </x:c>
      <x:c r="B406" s="31" t="str">
        <x:f>"C-010202"</x:f>
        <x:v>C-010202</x:v>
      </x:c>
      <x:c r="C406" s="25" t="str">
        <x:v>010202  STEEL STRUCTURE WORKS</x:v>
      </x:c>
      <x:c r="D406" s="25" t="str">
        <x:v>Set Anchor Bolt Install</x:v>
      </x:c>
      <x:c r="E406" s="25" t="str">
        <x:v>M19*L150mm</x:v>
      </x:c>
      <x:c r="F406" s="22" t="str">
        <x:v>EA</x:v>
      </x:c>
      <x:c r="G406" s="28" t="n">
        <x:v>76</x:v>
      </x:c>
      <x:c r="H406" s="25" t="str">
        <x:v>43AE204010766031C22ED812F5123566992F5</x:v>
      </x:c>
      <x:c r="I406" s="22" t="str">
        <x:v>직접자원단가</x:v>
      </x:c>
      <x:c r="J406" s="34" t="n">
        <x:v>1400</x:v>
      </x:c>
      <x:c r="K406" s="34" t="n">
        <x:v>0</x:v>
      </x:c>
      <x:c r="L406" s="34" t="n">
        <x:v>0</x:v>
      </x:c>
      <x:c r="M406" s="34" t="n">
        <x:f>SUM(J406:L406)</x:f>
        <x:v>1400</x:v>
      </x:c>
      <x:c r="N406" s="34" t="n">
        <x:f>G406*J406</x:f>
        <x:v>106400</x:v>
      </x:c>
      <x:c r="O406" s="34" t="n">
        <x:f>G406*K406</x:f>
        <x:v>0</x:v>
      </x:c>
      <x:c r="P406" s="34" t="n">
        <x:f>G406*L406</x:f>
        <x:v>0</x:v>
      </x:c>
      <x:c r="Q406" s="34" t="n">
        <x:f>SUM(N406:P406)</x:f>
        <x:v>106400</x:v>
      </x:c>
      <x:c r="R406" s="22" t="str">
        <x:f>IF(M406&gt;0,"복원","미복원")</x:f>
        <x:v>복원</x:v>
      </x:c>
      <x:c r="S406" s="37" t="n">
        <x:v>44</x:v>
      </x:c>
      <x:c r="T40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6" s="22" t="str">
        <x:f>A406&amp;"|"&amp;B406</x:f>
        <x:v>기계·전기동|C-010202</x:v>
      </x:c>
      <x:c r="V406" s="22" t="n">
        <x:f>IF(M406&gt;0,1,0)</x:f>
        <x:v>1</x:v>
      </x:c>
    </x:row>
    <x:row r="407" ht="28" customHeight="1">
      <x:c r="A407" s="22" t="str">
        <x:v>기계·전기동</x:v>
      </x:c>
      <x:c r="B407" s="31" t="str">
        <x:f>"C-010202"</x:f>
        <x:v>C-010202</x:v>
      </x:c>
      <x:c r="C407" s="25" t="str">
        <x:v>010202  STEEL STRUCTURE WORKS</x:v>
      </x:c>
      <x:c r="D407" s="25" t="str">
        <x:v>The Square Steel Pipe For The Construction Structure</x:v>
      </x:c>
      <x:c r="E407" s="25" t="str">
        <x:v>100*100*4.5mm(13.49kg)</x:v>
      </x:c>
      <x:c r="F407" s="22" t="str">
        <x:v>M</x:v>
      </x:c>
      <x:c r="G407" s="28" t="n">
        <x:v>51</x:v>
      </x:c>
      <x:c r="H407" s="25" t="str">
        <x:v>43AE204010766031C22ED812F5123566992F4</x:v>
      </x:c>
      <x:c r="I407" s="22" t="str">
        <x:v>직접자원단가</x:v>
      </x:c>
      <x:c r="J407" s="34" t="n">
        <x:v>1400</x:v>
      </x:c>
      <x:c r="K407" s="34" t="n">
        <x:v>0</x:v>
      </x:c>
      <x:c r="L407" s="34" t="n">
        <x:v>0</x:v>
      </x:c>
      <x:c r="M407" s="34" t="n">
        <x:f>SUM(J407:L407)</x:f>
        <x:v>1400</x:v>
      </x:c>
      <x:c r="N407" s="34" t="n">
        <x:f>G407*J407</x:f>
        <x:v>71400</x:v>
      </x:c>
      <x:c r="O407" s="34" t="n">
        <x:f>G407*K407</x:f>
        <x:v>0</x:v>
      </x:c>
      <x:c r="P407" s="34" t="n">
        <x:f>G407*L407</x:f>
        <x:v>0</x:v>
      </x:c>
      <x:c r="Q407" s="34" t="n">
        <x:f>SUM(N407:P407)</x:f>
        <x:v>71400</x:v>
      </x:c>
      <x:c r="R407" s="22" t="str">
        <x:f>IF(M407&gt;0,"복원","미복원")</x:f>
        <x:v>복원</x:v>
      </x:c>
      <x:c r="S407" s="37" t="n">
        <x:v>45</x:v>
      </x:c>
      <x:c r="T40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7" s="22" t="str">
        <x:f>A407&amp;"|"&amp;B407</x:f>
        <x:v>기계·전기동|C-010202</x:v>
      </x:c>
      <x:c r="V407" s="22" t="n">
        <x:f>IF(M407&gt;0,1,0)</x:f>
        <x:v>1</x:v>
      </x:c>
    </x:row>
    <x:row r="408" ht="28" customHeight="1">
      <x:c r="A408" s="22" t="str">
        <x:v>기계·전기동</x:v>
      </x:c>
      <x:c r="B408" s="31" t="str">
        <x:f>"C-010202"</x:f>
        <x:v>C-010202</x:v>
      </x:c>
      <x:c r="C408" s="25" t="str">
        <x:v>010202  STEEL STRUCTURE WORKS</x:v>
      </x:c>
      <x:c r="D408" s="25" t="str">
        <x:v>The Square Steel Pipe For The Construction Structure</x:v>
      </x:c>
      <x:c r="E408" s="25" t="str">
        <x:v>120*50*2.3mm(5.97kg)</x:v>
      </x:c>
      <x:c r="F408" s="22" t="str">
        <x:v>M</x:v>
      </x:c>
      <x:c r="G408" s="28" t="n">
        <x:v>680</x:v>
      </x:c>
      <x:c r="H408" s="25" t="str">
        <x:v>43AE204010766031C22ED812F5123566992F7</x:v>
      </x:c>
      <x:c r="I408" s="22" t="str">
        <x:v>직접자원단가</x:v>
      </x:c>
      <x:c r="J408" s="34" t="n">
        <x:v>1400</x:v>
      </x:c>
      <x:c r="K408" s="34" t="n">
        <x:v>0</x:v>
      </x:c>
      <x:c r="L408" s="34" t="n">
        <x:v>0</x:v>
      </x:c>
      <x:c r="M408" s="34" t="n">
        <x:f>SUM(J408:L408)</x:f>
        <x:v>1400</x:v>
      </x:c>
      <x:c r="N408" s="34" t="n">
        <x:f>G408*J408</x:f>
        <x:v>952000</x:v>
      </x:c>
      <x:c r="O408" s="34" t="n">
        <x:f>G408*K408</x:f>
        <x:v>0</x:v>
      </x:c>
      <x:c r="P408" s="34" t="n">
        <x:f>G408*L408</x:f>
        <x:v>0</x:v>
      </x:c>
      <x:c r="Q408" s="34" t="n">
        <x:f>SUM(N408:P408)</x:f>
        <x:v>952000</x:v>
      </x:c>
      <x:c r="R408" s="22" t="str">
        <x:f>IF(M408&gt;0,"복원","미복원")</x:f>
        <x:v>복원</x:v>
      </x:c>
      <x:c r="S408" s="37" t="n">
        <x:v>46</x:v>
      </x:c>
      <x:c r="T40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8" s="22" t="str">
        <x:f>A408&amp;"|"&amp;B408</x:f>
        <x:v>기계·전기동|C-010202</x:v>
      </x:c>
      <x:c r="V408" s="22" t="n">
        <x:f>IF(M408&gt;0,1,0)</x:f>
        <x:v>1</x:v>
      </x:c>
    </x:row>
    <x:row r="409" ht="28" customHeight="1">
      <x:c r="A409" s="22" t="str">
        <x:v>기계·전기동</x:v>
      </x:c>
      <x:c r="B409" s="31" t="str">
        <x:f>"C-010202"</x:f>
        <x:v>C-010202</x:v>
      </x:c>
      <x:c r="C409" s="25" t="str">
        <x:v>010202  STEEL STRUCTURE WORKS</x:v>
      </x:c>
      <x:c r="D409" s="25" t="str">
        <x:v>Non Shrink Mortar</x:v>
      </x:c>
      <x:c r="E409" s="25" t="str">
        <x:v>330*330*30mm</x:v>
      </x:c>
      <x:c r="F409" s="22" t="str">
        <x:v>EA</x:v>
      </x:c>
      <x:c r="G409" s="28" t="n">
        <x:v>20</x:v>
      </x:c>
      <x:c r="H409" s="25" t="str">
        <x:v>43AE204010766031C22ED812F5123566992F6</x:v>
      </x:c>
      <x:c r="I409" s="22" t="str">
        <x:v>직접자원단가</x:v>
      </x:c>
      <x:c r="J409" s="34" t="n">
        <x:v>1400</x:v>
      </x:c>
      <x:c r="K409" s="34" t="n">
        <x:v>0</x:v>
      </x:c>
      <x:c r="L409" s="34" t="n">
        <x:v>0</x:v>
      </x:c>
      <x:c r="M409" s="34" t="n">
        <x:f>SUM(J409:L409)</x:f>
        <x:v>1400</x:v>
      </x:c>
      <x:c r="N409" s="34" t="n">
        <x:f>G409*J409</x:f>
        <x:v>28000</x:v>
      </x:c>
      <x:c r="O409" s="34" t="n">
        <x:f>G409*K409</x:f>
        <x:v>0</x:v>
      </x:c>
      <x:c r="P409" s="34" t="n">
        <x:f>G409*L409</x:f>
        <x:v>0</x:v>
      </x:c>
      <x:c r="Q409" s="34" t="n">
        <x:f>SUM(N409:P409)</x:f>
        <x:v>28000</x:v>
      </x:c>
      <x:c r="R409" s="22" t="str">
        <x:f>IF(M409&gt;0,"복원","미복원")</x:f>
        <x:v>복원</x:v>
      </x:c>
      <x:c r="S409" s="37" t="n">
        <x:v>47</x:v>
      </x:c>
      <x:c r="T40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09" s="22" t="str">
        <x:f>A409&amp;"|"&amp;B409</x:f>
        <x:v>기계·전기동|C-010202</x:v>
      </x:c>
      <x:c r="V409" s="22" t="n">
        <x:f>IF(M409&gt;0,1,0)</x:f>
        <x:v>1</x:v>
      </x:c>
    </x:row>
    <x:row r="410" ht="28" customHeight="1">
      <x:c r="A410" s="22" t="str">
        <x:v>기계·전기동</x:v>
      </x:c>
      <x:c r="B410" s="31" t="str">
        <x:f>"C-010202"</x:f>
        <x:v>C-010202</x:v>
      </x:c>
      <x:c r="C410" s="25" t="str">
        <x:v>010202  STEEL STRUCTURE WORKS</x:v>
      </x:c>
      <x:c r="D410" s="25" t="str">
        <x:v>Rust Resisting Paint</x:v>
      </x:c>
      <x:c r="E410" s="25" t="str">
        <x:v>Steel Structure Face</x:v>
      </x:c>
      <x:c r="F410" s="22" t="str">
        <x:v>M2</x:v>
      </x:c>
      <x:c r="G410" s="28" t="n">
        <x:v>393</x:v>
      </x:c>
      <x:c r="H410" s="25" t="str">
        <x:v>43AE204010766031C22ED812F5123566992F9</x:v>
      </x:c>
      <x:c r="I410" s="22" t="str">
        <x:v>직접자원단가</x:v>
      </x:c>
      <x:c r="J410" s="34" t="n">
        <x:v>20</x:v>
      </x:c>
      <x:c r="K410" s="34" t="n">
        <x:v>0</x:v>
      </x:c>
      <x:c r="L410" s="34" t="n">
        <x:v>0</x:v>
      </x:c>
      <x:c r="M410" s="34" t="n">
        <x:f>SUM(J410:L410)</x:f>
        <x:v>20</x:v>
      </x:c>
      <x:c r="N410" s="34" t="n">
        <x:f>G410*J410</x:f>
        <x:v>7860</x:v>
      </x:c>
      <x:c r="O410" s="34" t="n">
        <x:f>G410*K410</x:f>
        <x:v>0</x:v>
      </x:c>
      <x:c r="P410" s="34" t="n">
        <x:f>G410*L410</x:f>
        <x:v>0</x:v>
      </x:c>
      <x:c r="Q410" s="34" t="n">
        <x:f>SUM(N410:P410)</x:f>
        <x:v>7860</x:v>
      </x:c>
      <x:c r="R410" s="22" t="str">
        <x:f>IF(M410&gt;0,"복원","미복원")</x:f>
        <x:v>복원</x:v>
      </x:c>
      <x:c r="S410" s="37" t="n">
        <x:v>48</x:v>
      </x:c>
      <x:c r="T41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0" s="22" t="str">
        <x:f>A410&amp;"|"&amp;B410</x:f>
        <x:v>기계·전기동|C-010202</x:v>
      </x:c>
      <x:c r="V410" s="22" t="n">
        <x:f>IF(M410&gt;0,1,0)</x:f>
        <x:v>1</x:v>
      </x:c>
    </x:row>
    <x:row r="411" ht="28" customHeight="1">
      <x:c r="A411" s="22" t="str">
        <x:v>기계·전기동</x:v>
      </x:c>
      <x:c r="B411" s="31" t="str">
        <x:f>"C-010202"</x:f>
        <x:v>C-010202</x:v>
      </x:c>
      <x:c r="C411" s="25" t="str">
        <x:v>010202  STEEL STRUCTURE WORKS</x:v>
      </x:c>
      <x:c r="D411" s="25" t="str">
        <x:v>Ready Mixed Paint</x:v>
      </x:c>
      <x:c r="E411" s="25" t="str">
        <x:v>Steel Structure Face</x:v>
      </x:c>
      <x:c r="F411" s="22" t="str">
        <x:v>M2</x:v>
      </x:c>
      <x:c r="G411" s="28" t="n">
        <x:v>384</x:v>
      </x:c>
      <x:c r="H411" s="25" t="str">
        <x:v>43AE204010766031C22ED812F5123566992F8</x:v>
      </x:c>
      <x:c r="I411" s="22" t="str">
        <x:v>직접자원단가</x:v>
      </x:c>
      <x:c r="J411" s="34" t="n">
        <x:v>3</x:v>
      </x:c>
      <x:c r="K411" s="34" t="n">
        <x:v>0</x:v>
      </x:c>
      <x:c r="L411" s="34" t="n">
        <x:v>0</x:v>
      </x:c>
      <x:c r="M411" s="34" t="n">
        <x:f>SUM(J411:L411)</x:f>
        <x:v>3</x:v>
      </x:c>
      <x:c r="N411" s="34" t="n">
        <x:f>G411*J411</x:f>
        <x:v>1152</x:v>
      </x:c>
      <x:c r="O411" s="34" t="n">
        <x:f>G411*K411</x:f>
        <x:v>0</x:v>
      </x:c>
      <x:c r="P411" s="34" t="n">
        <x:f>G411*L411</x:f>
        <x:v>0</x:v>
      </x:c>
      <x:c r="Q411" s="34" t="n">
        <x:f>SUM(N411:P411)</x:f>
        <x:v>1152</x:v>
      </x:c>
      <x:c r="R411" s="22" t="str">
        <x:f>IF(M411&gt;0,"복원","미복원")</x:f>
        <x:v>복원</x:v>
      </x:c>
      <x:c r="S411" s="37" t="n">
        <x:v>49</x:v>
      </x:c>
      <x:c r="T41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1" s="22" t="str">
        <x:f>A411&amp;"|"&amp;B411</x:f>
        <x:v>기계·전기동|C-010202</x:v>
      </x:c>
      <x:c r="V411" s="22" t="n">
        <x:f>IF(M411&gt;0,1,0)</x:f>
        <x:v>1</x:v>
      </x:c>
    </x:row>
    <x:row r="412" ht="28" customHeight="1">
      <x:c r="A412" s="22" t="str">
        <x:v>기계·전기동</x:v>
      </x:c>
      <x:c r="B412" s="31" t="str">
        <x:f>"C-010203"</x:f>
        <x:v>C-010203</x:v>
      </x:c>
      <x:c r="C412" s="25" t="str">
        <x:v>010203  MASONRY WORKS</x:v>
      </x:c>
      <x:c r="D412" s="25" t="str">
        <x:v>Brick</x:v>
      </x:c>
      <x:c r="E412" s="25" t="str">
        <x:v>190*90*57, FOR Interior wall</x:v>
      </x:c>
      <x:c r="F412" s="22" t="str">
        <x:v>EA</x:v>
      </x:c>
      <x:c r="G412" s="28" t="n">
        <x:v>100612</x:v>
      </x:c>
      <x:c r="H412" s="25" t="str">
        <x:v>43AE204010766031C22ED812F5123566991E9</x:v>
      </x:c>
      <x:c r="I412" s="22" t="str">
        <x:v>직접자원단가</x:v>
      </x:c>
      <x:c r="J412" s="34" t="n">
        <x:v>3</x:v>
      </x:c>
      <x:c r="K412" s="34" t="n">
        <x:v>0</x:v>
      </x:c>
      <x:c r="L412" s="34" t="n">
        <x:v>0</x:v>
      </x:c>
      <x:c r="M412" s="34" t="n">
        <x:f>SUM(J412:L412)</x:f>
        <x:v>3</x:v>
      </x:c>
      <x:c r="N412" s="34" t="n">
        <x:f>G412*J412</x:f>
        <x:v>301836</x:v>
      </x:c>
      <x:c r="O412" s="34" t="n">
        <x:f>G412*K412</x:f>
        <x:v>0</x:v>
      </x:c>
      <x:c r="P412" s="34" t="n">
        <x:f>G412*L412</x:f>
        <x:v>0</x:v>
      </x:c>
      <x:c r="Q412" s="34" t="n">
        <x:f>SUM(N412:P412)</x:f>
        <x:v>301836</x:v>
      </x:c>
      <x:c r="R412" s="22" t="str">
        <x:f>IF(M412&gt;0,"복원","미복원")</x:f>
        <x:v>복원</x:v>
      </x:c>
      <x:c r="S412" s="37" t="n">
        <x:v>53</x:v>
      </x:c>
      <x:c r="T41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2" s="22" t="str">
        <x:f>A412&amp;"|"&amp;B412</x:f>
        <x:v>기계·전기동|C-010203</x:v>
      </x:c>
      <x:c r="V412" s="22" t="n">
        <x:f>IF(M412&gt;0,1,0)</x:f>
        <x:v>1</x:v>
      </x:c>
    </x:row>
    <x:row r="413" ht="28" customHeight="1">
      <x:c r="A413" s="22" t="str">
        <x:v>기계·전기동</x:v>
      </x:c>
      <x:c r="B413" s="31" t="str">
        <x:f>"C-010203"</x:f>
        <x:v>C-010203</x:v>
      </x:c>
      <x:c r="C413" s="25" t="str">
        <x:v>010203  MASONRY WORKS</x:v>
      </x:c>
      <x:c r="D413" s="25" t="str">
        <x:v>100mm thick brick, Interior wall</x:v>
      </x:c>
      <x:c r="E413" s="25" t="str"/>
      <x:c r="F413" s="22" t="str">
        <x:v>M2</x:v>
      </x:c>
      <x:c r="G413" s="28" t="n">
        <x:v>27</x:v>
      </x:c>
      <x:c r="H413" s="25" t="str">
        <x:v>43AE204010766031C22ED812F5123566991EE</x:v>
      </x:c>
      <x:c r="I413" s="22" t="str">
        <x:v>직접자원단가</x:v>
      </x:c>
      <x:c r="J413" s="34" t="n">
        <x:v>3</x:v>
      </x:c>
      <x:c r="K413" s="34" t="n">
        <x:v>0</x:v>
      </x:c>
      <x:c r="L413" s="34" t="n">
        <x:v>0</x:v>
      </x:c>
      <x:c r="M413" s="34" t="n">
        <x:f>SUM(J413:L413)</x:f>
        <x:v>3</x:v>
      </x:c>
      <x:c r="N413" s="34" t="n">
        <x:f>G413*J413</x:f>
        <x:v>81</x:v>
      </x:c>
      <x:c r="O413" s="34" t="n">
        <x:f>G413*K413</x:f>
        <x:v>0</x:v>
      </x:c>
      <x:c r="P413" s="34" t="n">
        <x:f>G413*L413</x:f>
        <x:v>0</x:v>
      </x:c>
      <x:c r="Q413" s="34" t="n">
        <x:f>SUM(N413:P413)</x:f>
        <x:v>81</x:v>
      </x:c>
      <x:c r="R413" s="22" t="str">
        <x:f>IF(M413&gt;0,"복원","미복원")</x:f>
        <x:v>복원</x:v>
      </x:c>
      <x:c r="S413" s="37" t="n">
        <x:v>54</x:v>
      </x:c>
      <x:c r="T41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3" s="22" t="str">
        <x:f>A413&amp;"|"&amp;B413</x:f>
        <x:v>기계·전기동|C-010203</x:v>
      </x:c>
      <x:c r="V413" s="22" t="n">
        <x:f>IF(M413&gt;0,1,0)</x:f>
        <x:v>1</x:v>
      </x:c>
    </x:row>
    <x:row r="414" ht="28" customHeight="1">
      <x:c r="A414" s="22" t="str">
        <x:v>기계·전기동</x:v>
      </x:c>
      <x:c r="B414" s="31" t="str">
        <x:f>"C-010203"</x:f>
        <x:v>C-010203</x:v>
      </x:c>
      <x:c r="C414" s="25" t="str">
        <x:v>010203  MASONRY WORKS</x:v>
      </x:c>
      <x:c r="D414" s="25" t="str">
        <x:v>200mm thick brick, Interior wall</x:v>
      </x:c>
      <x:c r="E414" s="25" t="str"/>
      <x:c r="F414" s="22" t="str">
        <x:v>M2</x:v>
      </x:c>
      <x:c r="G414" s="28" t="n">
        <x:v>629</x:v>
      </x:c>
      <x:c r="H414" s="25" t="str">
        <x:v>43AE204010766031C22ED812F5123566991EF</x:v>
      </x:c>
      <x:c r="I414" s="22" t="str">
        <x:v>직접자원단가</x:v>
      </x:c>
      <x:c r="J414" s="34" t="n">
        <x:v>3</x:v>
      </x:c>
      <x:c r="K414" s="34" t="n">
        <x:v>0</x:v>
      </x:c>
      <x:c r="L414" s="34" t="n">
        <x:v>0</x:v>
      </x:c>
      <x:c r="M414" s="34" t="n">
        <x:f>SUM(J414:L414)</x:f>
        <x:v>3</x:v>
      </x:c>
      <x:c r="N414" s="34" t="n">
        <x:f>G414*J414</x:f>
        <x:v>1887</x:v>
      </x:c>
      <x:c r="O414" s="34" t="n">
        <x:f>G414*K414</x:f>
        <x:v>0</x:v>
      </x:c>
      <x:c r="P414" s="34" t="n">
        <x:f>G414*L414</x:f>
        <x:v>0</x:v>
      </x:c>
      <x:c r="Q414" s="34" t="n">
        <x:f>SUM(N414:P414)</x:f>
        <x:v>1887</x:v>
      </x:c>
      <x:c r="R414" s="22" t="str">
        <x:f>IF(M414&gt;0,"복원","미복원")</x:f>
        <x:v>복원</x:v>
      </x:c>
      <x:c r="S414" s="37" t="n">
        <x:v>55</x:v>
      </x:c>
      <x:c r="T41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4" s="22" t="str">
        <x:f>A414&amp;"|"&amp;B414</x:f>
        <x:v>기계·전기동|C-010203</x:v>
      </x:c>
      <x:c r="V414" s="22" t="n">
        <x:f>IF(M414&gt;0,1,0)</x:f>
        <x:v>1</x:v>
      </x:c>
    </x:row>
    <x:row r="415" ht="28" customHeight="1">
      <x:c r="A415" s="22" t="str">
        <x:v>기계·전기동</x:v>
      </x:c>
      <x:c r="B415" s="31" t="str">
        <x:f>"C-010203"</x:f>
        <x:v>C-010203</x:v>
      </x:c>
      <x:c r="C415" s="25" t="str">
        <x:v>010203  MASONRY WORKS</x:v>
      </x:c>
      <x:c r="D415" s="25" t="str">
        <x:v>Concrete Lintel, 200mm thick</x:v>
      </x:c>
      <x:c r="E415" s="25" t="str"/>
      <x:c r="F415" s="22" t="str">
        <x:v>M</x:v>
      </x:c>
      <x:c r="G415" s="28" t="n">
        <x:v>40</x:v>
      </x:c>
      <x:c r="H415" s="25" t="str">
        <x:v>43AE204010766031C22ED812F5123566991EC</x:v>
      </x:c>
      <x:c r="I415" s="22" t="str">
        <x:v>직접자원단가</x:v>
      </x:c>
      <x:c r="J415" s="34" t="n">
        <x:v>20</x:v>
      </x:c>
      <x:c r="K415" s="34" t="n">
        <x:v>19.76</x:v>
      </x:c>
      <x:c r="L415" s="34" t="n">
        <x:v>0.4</x:v>
      </x:c>
      <x:c r="M415" s="34" t="n">
        <x:f>SUM(J415:L415)</x:f>
        <x:v>40.160000000000004</x:v>
      </x:c>
      <x:c r="N415" s="34" t="n">
        <x:f>G415*J415</x:f>
        <x:v>800</x:v>
      </x:c>
      <x:c r="O415" s="34" t="n">
        <x:f>G415*K415</x:f>
        <x:v>790.4000000000001</x:v>
      </x:c>
      <x:c r="P415" s="34" t="n">
        <x:f>G415*L415</x:f>
        <x:v>16</x:v>
      </x:c>
      <x:c r="Q415" s="34" t="n">
        <x:f>SUM(N415:P415)</x:f>
        <x:v>1606.4</x:v>
      </x:c>
      <x:c r="R415" s="22" t="str">
        <x:f>IF(M415&gt;0,"복원","미복원")</x:f>
        <x:v>복원</x:v>
      </x:c>
      <x:c r="S415" s="37" t="n">
        <x:v>56</x:v>
      </x:c>
      <x:c r="T41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5" s="22" t="str">
        <x:f>A415&amp;"|"&amp;B415</x:f>
        <x:v>기계·전기동|C-010203</x:v>
      </x:c>
      <x:c r="V415" s="22" t="n">
        <x:f>IF(M415&gt;0,1,0)</x:f>
        <x:v>1</x:v>
      </x:c>
    </x:row>
    <x:row r="416" ht="28" customHeight="1">
      <x:c r="A416" s="22" t="str">
        <x:v>기계·전기동</x:v>
      </x:c>
      <x:c r="B416" s="31" t="str">
        <x:f>"C-010203"</x:f>
        <x:v>C-010203</x:v>
      </x:c>
      <x:c r="C416" s="25" t="str">
        <x:v>010203  MASONRY WORKS</x:v>
      </x:c>
      <x:c r="D416" s="25" t="str">
        <x:v>Concrete Curbs, 200mm thick</x:v>
      </x:c>
      <x:c r="E416" s="25" t="str"/>
      <x:c r="F416" s="22" t="str">
        <x:v>M</x:v>
      </x:c>
      <x:c r="G416" s="28" t="n">
        <x:v>416</x:v>
      </x:c>
      <x:c r="H416" s="25" t="str">
        <x:v>43AE204010766031C22ED812F5123566991ED</x:v>
      </x:c>
      <x:c r="I416" s="22" t="str">
        <x:v>직접자원단가</x:v>
      </x:c>
      <x:c r="J416" s="34" t="n">
        <x:v>0.79</x:v>
      </x:c>
      <x:c r="K416" s="34" t="n">
        <x:v>0.19</x:v>
      </x:c>
      <x:c r="L416" s="34" t="n">
        <x:v>0.05</x:v>
      </x:c>
      <x:c r="M416" s="34" t="n">
        <x:f>SUM(J416:L416)</x:f>
        <x:v>1.03</x:v>
      </x:c>
      <x:c r="N416" s="34" t="n">
        <x:f>G416*J416</x:f>
        <x:v>328.64</x:v>
      </x:c>
      <x:c r="O416" s="34" t="n">
        <x:f>G416*K416</x:f>
        <x:v>79.04</x:v>
      </x:c>
      <x:c r="P416" s="34" t="n">
        <x:f>G416*L416</x:f>
        <x:v>20.8</x:v>
      </x:c>
      <x:c r="Q416" s="34" t="n">
        <x:f>SUM(N416:P416)</x:f>
        <x:v>428.48</x:v>
      </x:c>
      <x:c r="R416" s="22" t="str">
        <x:f>IF(M416&gt;0,"복원","미복원")</x:f>
        <x:v>복원</x:v>
      </x:c>
      <x:c r="S416" s="37" t="n">
        <x:v>57</x:v>
      </x:c>
      <x:c r="T41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6" s="22" t="str">
        <x:f>A416&amp;"|"&amp;B416</x:f>
        <x:v>기계·전기동|C-010203</x:v>
      </x:c>
      <x:c r="V416" s="22" t="n">
        <x:f>IF(M416&gt;0,1,0)</x:f>
        <x:v>1</x:v>
      </x:c>
    </x:row>
    <x:row r="417" ht="28" customHeight="1">
      <x:c r="A417" s="22" t="str">
        <x:v>기계·전기동</x:v>
      </x:c>
      <x:c r="B417" s="31" t="str">
        <x:f>"C-010204"</x:f>
        <x:v>C-010204</x:v>
      </x:c>
      <x:c r="C417" s="25" t="str">
        <x:v>010204  FINISH WORKS</x:v>
      </x:c>
      <x:c r="D417" s="25" t="str">
        <x:v>High density Insulation board on Slab,Thk 100mm</x:v>
      </x:c>
      <x:c r="E417" s="25" t="str"/>
      <x:c r="F417" s="22" t="str">
        <x:v>M2</x:v>
      </x:c>
      <x:c r="G417" s="28" t="n">
        <x:v>535</x:v>
      </x:c>
      <x:c r="H417" s="25" t="str">
        <x:v>43AE2142BE708CFFD20BAA9FB5BFCB1E3CD03</x:v>
      </x:c>
      <x:c r="I417" s="22" t="str">
        <x:v>직접자원단가</x:v>
      </x:c>
      <x:c r="J417" s="34" t="n">
        <x:v>0.3</x:v>
      </x:c>
      <x:c r="K417" s="34" t="n">
        <x:v>0.03</x:v>
      </x:c>
      <x:c r="L417" s="34" t="n">
        <x:v>0</x:v>
      </x:c>
      <x:c r="M417" s="34" t="n">
        <x:f>SUM(J417:L417)</x:f>
        <x:v>0.32999999999999996</x:v>
      </x:c>
      <x:c r="N417" s="34" t="n">
        <x:f>G417*J417</x:f>
        <x:v>160.5</x:v>
      </x:c>
      <x:c r="O417" s="34" t="n">
        <x:f>G417*K417</x:f>
        <x:v>16.05</x:v>
      </x:c>
      <x:c r="P417" s="34" t="n">
        <x:f>G417*L417</x:f>
        <x:v>0</x:v>
      </x:c>
      <x:c r="Q417" s="34" t="n">
        <x:f>SUM(N417:P417)</x:f>
        <x:v>176.55</x:v>
      </x:c>
      <x:c r="R417" s="22" t="str">
        <x:f>IF(M417&gt;0,"복원","미복원")</x:f>
        <x:v>복원</x:v>
      </x:c>
      <x:c r="S417" s="37" t="n">
        <x:v>77</x:v>
      </x:c>
      <x:c r="T41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7" s="22" t="str">
        <x:f>A417&amp;"|"&amp;B417</x:f>
        <x:v>기계·전기동|C-010204</x:v>
      </x:c>
      <x:c r="V417" s="22" t="n">
        <x:f>IF(M417&gt;0,1,0)</x:f>
        <x:v>1</x:v>
      </x:c>
    </x:row>
    <x:row r="418" ht="28" customHeight="1">
      <x:c r="A418" s="22" t="str">
        <x:v>기계·전기동</x:v>
      </x:c>
      <x:c r="B418" s="31" t="str">
        <x:f>"C-010204"</x:f>
        <x:v>C-010204</x:v>
      </x:c>
      <x:c r="C418" s="25" t="str">
        <x:v>010204  FINISH WORKS</x:v>
      </x:c>
      <x:c r="D418" s="25" t="str">
        <x:v>THK0.1 PE FILM 2Layers</x:v>
      </x:c>
      <x:c r="E418" s="25" t="str"/>
      <x:c r="F418" s="22" t="str">
        <x:v>M2</x:v>
      </x:c>
      <x:c r="G418" s="28" t="n">
        <x:v>535</x:v>
      </x:c>
      <x:c r="H418" s="25" t="str">
        <x:v>4531284DDC776A4702EA22A0C0638FB35052E</x:v>
      </x:c>
      <x:c r="I418" s="22" t="str">
        <x:v>직접자원단가</x:v>
      </x:c>
      <x:c r="J418" s="34" t="n">
        <x:v>6</x:v>
      </x:c>
      <x:c r="K418" s="34" t="n">
        <x:v>4</x:v>
      </x:c>
      <x:c r="L418" s="34" t="n">
        <x:v>0.21</x:v>
      </x:c>
      <x:c r="M418" s="34" t="n">
        <x:f>SUM(J418:L418)</x:f>
        <x:v>10.21</x:v>
      </x:c>
      <x:c r="N418" s="34" t="n">
        <x:f>G418*J418</x:f>
        <x:v>3210</x:v>
      </x:c>
      <x:c r="O418" s="34" t="n">
        <x:f>G418*K418</x:f>
        <x:v>2140</x:v>
      </x:c>
      <x:c r="P418" s="34" t="n">
        <x:f>G418*L418</x:f>
        <x:v>112.35</x:v>
      </x:c>
      <x:c r="Q418" s="34" t="n">
        <x:f>SUM(N418:P418)</x:f>
        <x:v>5462.35</x:v>
      </x:c>
      <x:c r="R418" s="22" t="str">
        <x:f>IF(M418&gt;0,"복원","미복원")</x:f>
        <x:v>복원</x:v>
      </x:c>
      <x:c r="S418" s="37" t="n">
        <x:v>78</x:v>
      </x:c>
      <x:c r="T41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8" s="22" t="str">
        <x:f>A418&amp;"|"&amp;B418</x:f>
        <x:v>기계·전기동|C-010204</x:v>
      </x:c>
      <x:c r="V418" s="22" t="n">
        <x:f>IF(M418&gt;0,1,0)</x:f>
        <x:v>1</x:v>
      </x:c>
    </x:row>
    <x:row r="419" ht="28" customHeight="1">
      <x:c r="A419" s="22" t="str">
        <x:v>기계·전기동</x:v>
      </x:c>
      <x:c r="B419" s="31" t="str">
        <x:f>"C-010204"</x:f>
        <x:v>C-010204</x:v>
      </x:c>
      <x:c r="C419" s="25" t="str">
        <x:v>010204  FINISH WORKS</x:v>
      </x:c>
      <x:c r="D419" s="25" t="str">
        <x:v>0.1mm thick polyethylene sheet(2Layers) under blinding beds.</x:v>
      </x:c>
      <x:c r="E419" s="25" t="str"/>
      <x:c r="F419" s="22" t="str">
        <x:v>M2</x:v>
      </x:c>
      <x:c r="G419" s="28" t="n">
        <x:v>687</x:v>
      </x:c>
      <x:c r="H419" s="25" t="str">
        <x:v>4531284DDC776A4702EA22A0C0638FB350521</x:v>
      </x:c>
      <x:c r="I419" s="22" t="str">
        <x:v>직접자원단가</x:v>
      </x:c>
      <x:c r="J419" s="34" t="n">
        <x:v>7</x:v>
      </x:c>
      <x:c r="K419" s="34" t="n">
        <x:v>4</x:v>
      </x:c>
      <x:c r="L419" s="34" t="n">
        <x:v>0.21</x:v>
      </x:c>
      <x:c r="M419" s="34" t="n">
        <x:f>SUM(J419:L419)</x:f>
        <x:v>11.21</x:v>
      </x:c>
      <x:c r="N419" s="34" t="n">
        <x:f>G419*J419</x:f>
        <x:v>4809</x:v>
      </x:c>
      <x:c r="O419" s="34" t="n">
        <x:f>G419*K419</x:f>
        <x:v>2748</x:v>
      </x:c>
      <x:c r="P419" s="34" t="n">
        <x:f>G419*L419</x:f>
        <x:v>144.26999999999998</x:v>
      </x:c>
      <x:c r="Q419" s="34" t="n">
        <x:f>SUM(N419:P419)</x:f>
        <x:v>7701.27</x:v>
      </x:c>
      <x:c r="R419" s="22" t="str">
        <x:f>IF(M419&gt;0,"복원","미복원")</x:f>
        <x:v>복원</x:v>
      </x:c>
      <x:c r="S419" s="37" t="n">
        <x:v>79</x:v>
      </x:c>
      <x:c r="T41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19" s="22" t="str">
        <x:f>A419&amp;"|"&amp;B419</x:f>
        <x:v>기계·전기동|C-010204</x:v>
      </x:c>
      <x:c r="V419" s="22" t="n">
        <x:f>IF(M419&gt;0,1,0)</x:f>
        <x:v>1</x:v>
      </x:c>
    </x:row>
    <x:row r="420" ht="28" customHeight="1">
      <x:c r="A420" s="22" t="str">
        <x:v>기계·전기동</x:v>
      </x:c>
      <x:c r="B420" s="31" t="str">
        <x:f>"C-010205"</x:f>
        <x:v>C-010205</x:v>
      </x:c>
      <x:c r="C420" s="25" t="str">
        <x:v>010205  WATERPROOFING WORKS</x:v>
      </x:c>
      <x:c r="D420" s="25" t="str">
        <x:v>Caulking</x:v>
      </x:c>
      <x:c r="E420" s="25" t="str">
        <x:v>Size 10mm * 10mm, Around The door &amp; window</x:v>
      </x:c>
      <x:c r="F420" s="22" t="str">
        <x:v>M</x:v>
      </x:c>
      <x:c r="G420" s="28" t="n">
        <x:v>298</x:v>
      </x:c>
      <x:c r="H420" s="25" t="str">
        <x:v>4531284DDC776A4702EA22A0C0638FB350402</x:v>
      </x:c>
      <x:c r="I420" s="22" t="str">
        <x:v>직접자원단가</x:v>
      </x:c>
      <x:c r="J420" s="34" t="n">
        <x:v>69</x:v>
      </x:c>
      <x:c r="K420" s="34" t="n">
        <x:v>0</x:v>
      </x:c>
      <x:c r="L420" s="34" t="n">
        <x:v>0</x:v>
      </x:c>
      <x:c r="M420" s="34" t="n">
        <x:f>SUM(J420:L420)</x:f>
        <x:v>69</x:v>
      </x:c>
      <x:c r="N420" s="34" t="n">
        <x:f>G420*J420</x:f>
        <x:v>20562</x:v>
      </x:c>
      <x:c r="O420" s="34" t="n">
        <x:f>G420*K420</x:f>
        <x:v>0</x:v>
      </x:c>
      <x:c r="P420" s="34" t="n">
        <x:f>G420*L420</x:f>
        <x:v>0</x:v>
      </x:c>
      <x:c r="Q420" s="34" t="n">
        <x:f>SUM(N420:P420)</x:f>
        <x:v>20562</x:v>
      </x:c>
      <x:c r="R420" s="22" t="str">
        <x:f>IF(M420&gt;0,"복원","미복원")</x:f>
        <x:v>복원</x:v>
      </x:c>
      <x:c r="S420" s="37" t="n">
        <x:v>101</x:v>
      </x:c>
      <x:c r="T42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0" s="22" t="str">
        <x:f>A420&amp;"|"&amp;B420</x:f>
        <x:v>기계·전기동|C-010205</x:v>
      </x:c>
      <x:c r="V420" s="22" t="n">
        <x:f>IF(M420&gt;0,1,0)</x:f>
        <x:v>1</x:v>
      </x:c>
    </x:row>
    <x:row r="421" ht="28" customHeight="1">
      <x:c r="A421" s="22" t="str">
        <x:v>기계·전기동</x:v>
      </x:c>
      <x:c r="B421" s="31" t="str">
        <x:f>"C-010205"</x:f>
        <x:v>C-010205</x:v>
      </x:c>
      <x:c r="C421" s="25" t="str">
        <x:v>010205  WATERPROOFING WORKS</x:v>
      </x:c>
      <x:c r="D421" s="25" t="str">
        <x:v>Expansion joint, On Roof @3000x3000</x:v>
      </x:c>
      <x:c r="E421" s="25" t="str"/>
      <x:c r="F421" s="22" t="str">
        <x:v>M</x:v>
      </x:c>
      <x:c r="G421" s="28" t="n">
        <x:v>408</x:v>
      </x:c>
      <x:c r="H421" s="25" t="str">
        <x:v>4482224D7C7851A6F27977E396BAC</x:v>
      </x:c>
      <x:c r="I421" s="22" t="str">
        <x:v>복합일위대가</x:v>
      </x:c>
      <x:c r="J421" s="34" t="n">
        <x:v>20</x:v>
      </x:c>
      <x:c r="K421" s="34" t="n">
        <x:v>10</x:v>
      </x:c>
      <x:c r="L421" s="34" t="n">
        <x:v>5</x:v>
      </x:c>
      <x:c r="M421" s="34" t="n">
        <x:f>SUM(J421:L421)</x:f>
        <x:v>35</x:v>
      </x:c>
      <x:c r="N421" s="34" t="n">
        <x:f>G421*J421</x:f>
        <x:v>8160</x:v>
      </x:c>
      <x:c r="O421" s="34" t="n">
        <x:f>G421*K421</x:f>
        <x:v>4080</x:v>
      </x:c>
      <x:c r="P421" s="34" t="n">
        <x:f>G421*L421</x:f>
        <x:v>2040</x:v>
      </x:c>
      <x:c r="Q421" s="34" t="n">
        <x:f>SUM(N421:P421)</x:f>
        <x:v>14280</x:v>
      </x:c>
      <x:c r="R421" s="22" t="str">
        <x:f>IF(M421&gt;0,"복원","미복원")</x:f>
        <x:v>복원</x:v>
      </x:c>
      <x:c r="S421" s="37" t="n">
        <x:v>102</x:v>
      </x:c>
      <x:c r="T42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1" s="22" t="str">
        <x:f>A421&amp;"|"&amp;B421</x:f>
        <x:v>기계·전기동|C-010205</x:v>
      </x:c>
      <x:c r="V421" s="22" t="n">
        <x:f>IF(M421&gt;0,1,0)</x:f>
        <x:v>1</x:v>
      </x:c>
    </x:row>
    <x:row r="422" ht="28" customHeight="1">
      <x:c r="A422" s="22" t="str">
        <x:v>기계·전기동</x:v>
      </x:c>
      <x:c r="B422" s="31" t="str">
        <x:f>"C-010205"</x:f>
        <x:v>C-010205</x:v>
      </x:c>
      <x:c r="C422" s="25" t="str">
        <x:v>010205  WATERPROOFING WORKS</x:v>
      </x:c>
      <x:c r="D422" s="25" t="str">
        <x:v>Waterproof Mortar</x:v>
      </x:c>
      <x:c r="E422" s="25" t="str">
        <x:v>Less Than 20mm, Trench</x:v>
      </x:c>
      <x:c r="F422" s="22" t="str">
        <x:v>M2</x:v>
      </x:c>
      <x:c r="G422" s="28" t="n">
        <x:v>24</x:v>
      </x:c>
      <x:c r="H422" s="25" t="str">
        <x:v>4482224D7C7851A6F27977E3968D8</x:v>
      </x:c>
      <x:c r="I422" s="22" t="str">
        <x:v>복합일위대가</x:v>
      </x:c>
      <x:c r="J422" s="34" t="n">
        <x:v>60</x:v>
      </x:c>
      <x:c r="K422" s="34" t="n">
        <x:v>5</x:v>
      </x:c>
      <x:c r="L422" s="34" t="n">
        <x:v>2</x:v>
      </x:c>
      <x:c r="M422" s="34" t="n">
        <x:f>SUM(J422:L422)</x:f>
        <x:v>67</x:v>
      </x:c>
      <x:c r="N422" s="34" t="n">
        <x:f>G422*J422</x:f>
        <x:v>1440</x:v>
      </x:c>
      <x:c r="O422" s="34" t="n">
        <x:f>G422*K422</x:f>
        <x:v>120</x:v>
      </x:c>
      <x:c r="P422" s="34" t="n">
        <x:f>G422*L422</x:f>
        <x:v>48</x:v>
      </x:c>
      <x:c r="Q422" s="34" t="n">
        <x:f>SUM(N422:P422)</x:f>
        <x:v>1608</x:v>
      </x:c>
      <x:c r="R422" s="22" t="str">
        <x:f>IF(M422&gt;0,"복원","미복원")</x:f>
        <x:v>복원</x:v>
      </x:c>
      <x:c r="S422" s="37" t="n">
        <x:v>103</x:v>
      </x:c>
      <x:c r="T42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2" s="22" t="str">
        <x:f>A422&amp;"|"&amp;B422</x:f>
        <x:v>기계·전기동|C-010205</x:v>
      </x:c>
      <x:c r="V422" s="22" t="n">
        <x:f>IF(M422&gt;0,1,0)</x:f>
        <x:v>1</x:v>
      </x:c>
    </x:row>
    <x:row r="423" ht="28" customHeight="1">
      <x:c r="A423" s="22" t="str">
        <x:v>기계·전기동</x:v>
      </x:c>
      <x:c r="B423" s="31" t="str">
        <x:f>"C-010205"</x:f>
        <x:v>C-010205</x:v>
      </x:c>
      <x:c r="C423" s="25" t="str">
        <x:v>010205  WATERPROOFING WORKS</x:v>
      </x:c>
      <x:c r="D423" s="25" t="str">
        <x:v>Multi-layer composite waterproofin</x:v>
      </x:c>
      <x:c r="E423" s="25" t="str">
        <x:v>FLOOR</x:v>
      </x:c>
      <x:c r="F423" s="22" t="str">
        <x:v>M2</x:v>
      </x:c>
      <x:c r="G423" s="28" t="n">
        <x:v>535</x:v>
      </x:c>
      <x:c r="H423" s="25" t="str">
        <x:v>4482224D7C7851A6F27977E3969FE</x:v>
      </x:c>
      <x:c r="I423" s="22" t="str">
        <x:v>복합일위대가</x:v>
      </x:c>
      <x:c r="J423" s="34" t="n">
        <x:v>65.26</x:v>
      </x:c>
      <x:c r="K423" s="34" t="n">
        <x:v>27.74</x:v>
      </x:c>
      <x:c r="L423" s="34" t="n">
        <x:v>0</x:v>
      </x:c>
      <x:c r="M423" s="34" t="n">
        <x:f>SUM(J423:L423)</x:f>
        <x:v>93</x:v>
      </x:c>
      <x:c r="N423" s="34" t="n">
        <x:f>G423*J423</x:f>
        <x:v>34914.100000000006</x:v>
      </x:c>
      <x:c r="O423" s="34" t="n">
        <x:f>G423*K423</x:f>
        <x:v>14840.9</x:v>
      </x:c>
      <x:c r="P423" s="34" t="n">
        <x:f>G423*L423</x:f>
        <x:v>0</x:v>
      </x:c>
      <x:c r="Q423" s="34" t="n">
        <x:f>SUM(N423:P423)</x:f>
        <x:v>49755.00000000001</x:v>
      </x:c>
      <x:c r="R423" s="22" t="str">
        <x:f>IF(M423&gt;0,"복원","미복원")</x:f>
        <x:v>복원</x:v>
      </x:c>
      <x:c r="S423" s="37" t="n">
        <x:v>104</x:v>
      </x:c>
      <x:c r="T42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3" s="22" t="str">
        <x:f>A423&amp;"|"&amp;B423</x:f>
        <x:v>기계·전기동|C-010205</x:v>
      </x:c>
      <x:c r="V423" s="22" t="n">
        <x:f>IF(M423&gt;0,1,0)</x:f>
        <x:v>1</x:v>
      </x:c>
    </x:row>
    <x:row r="424" ht="28" customHeight="1">
      <x:c r="A424" s="22" t="str">
        <x:v>기계·전기동</x:v>
      </x:c>
      <x:c r="B424" s="31" t="str">
        <x:f>"C-010205"</x:f>
        <x:v>C-010205</x:v>
      </x:c>
      <x:c r="C424" s="25" t="str">
        <x:v>010205  WATERPROOFING WORKS</x:v>
      </x:c>
      <x:c r="D424" s="25" t="str">
        <x:v>Multi-layer composite waterproofin</x:v>
      </x:c>
      <x:c r="E424" s="25" t="str">
        <x:v>WALL</x:v>
      </x:c>
      <x:c r="F424" s="22" t="str">
        <x:v>M2</x:v>
      </x:c>
      <x:c r="G424" s="28" t="n">
        <x:v>52</x:v>
      </x:c>
      <x:c r="H424" s="25" t="str">
        <x:v>4482224D7C7A0028821FB2B683454</x:v>
      </x:c>
      <x:c r="I424" s="22" t="str">
        <x:v>복합일위대가</x:v>
      </x:c>
      <x:c r="J424" s="34" t="n">
        <x:v>60</x:v>
      </x:c>
      <x:c r="K424" s="34" t="n">
        <x:v>5</x:v>
      </x:c>
      <x:c r="L424" s="34" t="n">
        <x:v>2</x:v>
      </x:c>
      <x:c r="M424" s="34" t="n">
        <x:f>SUM(J424:L424)</x:f>
        <x:v>67</x:v>
      </x:c>
      <x:c r="N424" s="34" t="n">
        <x:f>G424*J424</x:f>
        <x:v>3120</x:v>
      </x:c>
      <x:c r="O424" s="34" t="n">
        <x:f>G424*K424</x:f>
        <x:v>260</x:v>
      </x:c>
      <x:c r="P424" s="34" t="n">
        <x:f>G424*L424</x:f>
        <x:v>104</x:v>
      </x:c>
      <x:c r="Q424" s="34" t="n">
        <x:f>SUM(N424:P424)</x:f>
        <x:v>3484</x:v>
      </x:c>
      <x:c r="R424" s="22" t="str">
        <x:f>IF(M424&gt;0,"복원","미복원")</x:f>
        <x:v>복원</x:v>
      </x:c>
      <x:c r="S424" s="37" t="n">
        <x:v>105</x:v>
      </x:c>
      <x:c r="T42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4" s="22" t="str">
        <x:f>A424&amp;"|"&amp;B424</x:f>
        <x:v>기계·전기동|C-010205</x:v>
      </x:c>
      <x:c r="V424" s="22" t="n">
        <x:f>IF(M424&gt;0,1,0)</x:f>
        <x:v>1</x:v>
      </x:c>
    </x:row>
    <x:row r="425" ht="28" customHeight="1">
      <x:c r="A425" s="22" t="str">
        <x:v>기계·전기동</x:v>
      </x:c>
      <x:c r="B425" s="31" t="str">
        <x:f>"C-010206"</x:f>
        <x:v>C-010206</x:v>
      </x:c>
      <x:c r="C425" s="25" t="str">
        <x:v>010206  ROOF &amp; DRAINGPIPE WORKS</x:v>
      </x:c>
      <x:c r="D425" s="25" t="str">
        <x:v>Roof Drain in roof area, Diameter 125mm</x:v>
      </x:c>
      <x:c r="E425" s="25" t="str"/>
      <x:c r="F425" s="22" t="str">
        <x:v>ea</x:v>
      </x:c>
      <x:c r="G425" s="28" t="n">
        <x:v>4</x:v>
      </x:c>
      <x:c r="H425" s="25" t="str">
        <x:v>4482224D47745562E22E70D7BC09A</x:v>
      </x:c>
      <x:c r="I425" s="22" t="str">
        <x:v>복합일위대가</x:v>
      </x:c>
      <x:c r="J425" s="34" t="n">
        <x:v>2</x:v>
      </x:c>
      <x:c r="K425" s="34" t="n">
        <x:v>3</x:v>
      </x:c>
      <x:c r="L425" s="34" t="n">
        <x:v>0</x:v>
      </x:c>
      <x:c r="M425" s="34" t="n">
        <x:f>SUM(J425:L425)</x:f>
        <x:v>5</x:v>
      </x:c>
      <x:c r="N425" s="34" t="n">
        <x:f>G425*J425</x:f>
        <x:v>8</x:v>
      </x:c>
      <x:c r="O425" s="34" t="n">
        <x:f>G425*K425</x:f>
        <x:v>12</x:v>
      </x:c>
      <x:c r="P425" s="34" t="n">
        <x:f>G425*L425</x:f>
        <x:v>0</x:v>
      </x:c>
      <x:c r="Q425" s="34" t="n">
        <x:f>SUM(N425:P425)</x:f>
        <x:v>20</x:v>
      </x:c>
      <x:c r="R425" s="22" t="str">
        <x:f>IF(M425&gt;0,"복원","미복원")</x:f>
        <x:v>복원</x:v>
      </x:c>
      <x:c r="S425" s="37" t="n">
        <x:v>125</x:v>
      </x:c>
      <x:c r="T42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5" s="22" t="str">
        <x:f>A425&amp;"|"&amp;B425</x:f>
        <x:v>기계·전기동|C-010206</x:v>
      </x:c>
      <x:c r="V425" s="22" t="n">
        <x:f>IF(M425&gt;0,1,0)</x:f>
        <x:v>1</x:v>
      </x:c>
    </x:row>
    <x:row r="426" ht="28" customHeight="1">
      <x:c r="A426" s="22" t="str">
        <x:v>기계·전기동</x:v>
      </x:c>
      <x:c r="B426" s="31" t="str">
        <x:f>"C-010206"</x:f>
        <x:v>C-010206</x:v>
      </x:c>
      <x:c r="C426" s="25" t="str">
        <x:v>010206  ROOF &amp; DRAINGPIPE WORKS</x:v>
      </x:c>
      <x:c r="D426" s="25" t="str">
        <x:v>SST Downspout Diameter 125mm</x:v>
      </x:c>
      <x:c r="E426" s="25" t="str"/>
      <x:c r="F426" s="22" t="str">
        <x:v>m</x:v>
      </x:c>
      <x:c r="G426" s="28" t="n">
        <x:v>21.2</x:v>
      </x:c>
      <x:c r="H426" s="25" t="str">
        <x:v>4531284DDC776A4702EA22A0C0638FB350406</x:v>
      </x:c>
      <x:c r="I426" s="22" t="str">
        <x:v>직접자원단가</x:v>
      </x:c>
      <x:c r="J426" s="34" t="n">
        <x:v>1.65</x:v>
      </x:c>
      <x:c r="K426" s="34" t="n">
        <x:v>3</x:v>
      </x:c>
      <x:c r="L426" s="34" t="n">
        <x:v>0</x:v>
      </x:c>
      <x:c r="M426" s="34" t="n">
        <x:f>SUM(J426:L426)</x:f>
        <x:v>4.65</x:v>
      </x:c>
      <x:c r="N426" s="34" t="n">
        <x:f>G426*J426</x:f>
        <x:v>34.98</x:v>
      </x:c>
      <x:c r="O426" s="34" t="n">
        <x:f>G426*K426</x:f>
        <x:v>63.599999999999994</x:v>
      </x:c>
      <x:c r="P426" s="34" t="n">
        <x:f>G426*L426</x:f>
        <x:v>0</x:v>
      </x:c>
      <x:c r="Q426" s="34" t="n">
        <x:f>SUM(N426:P426)</x:f>
        <x:v>98.57999999999998</x:v>
      </x:c>
      <x:c r="R426" s="22" t="str">
        <x:f>IF(M426&gt;0,"복원","미복원")</x:f>
        <x:v>복원</x:v>
      </x:c>
      <x:c r="S426" s="37" t="n">
        <x:v>126</x:v>
      </x:c>
      <x:c r="T42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6" s="22" t="str">
        <x:f>A426&amp;"|"&amp;B426</x:f>
        <x:v>기계·전기동|C-010206</x:v>
      </x:c>
      <x:c r="V426" s="22" t="n">
        <x:f>IF(M426&gt;0,1,0)</x:f>
        <x:v>1</x:v>
      </x:c>
    </x:row>
    <x:row r="427" ht="28" customHeight="1">
      <x:c r="A427" s="22" t="str">
        <x:v>기계·전기동</x:v>
      </x:c>
      <x:c r="B427" s="31" t="str">
        <x:f>"C-010207"</x:f>
        <x:v>C-010207</x:v>
      </x:c>
      <x:c r="C427" s="25" t="str">
        <x:v>010207  METAL WORKS</x:v>
      </x:c>
      <x:c r="D427" s="25" t="str">
        <x:v>Supply and SST Cat Ladder in Roof, 400mm x 6000mm high</x:v>
      </x:c>
      <x:c r="E427" s="25" t="str"/>
      <x:c r="F427" s="22" t="str">
        <x:v>개</x:v>
      </x:c>
      <x:c r="G427" s="28" t="n">
        <x:v>1</x:v>
      </x:c>
      <x:c r="H427" s="25" t="str">
        <x:v>43AE2142BE750E32422BE6D9DD3406C76FA01</x:v>
      </x:c>
      <x:c r="I427" s="22" t="str">
        <x:v>직접자원단가</x:v>
      </x:c>
      <x:c r="J427" s="34" t="n">
        <x:v>5</x:v>
      </x:c>
      <x:c r="K427" s="34" t="n">
        <x:v>0</x:v>
      </x:c>
      <x:c r="L427" s="34" t="n">
        <x:v>0</x:v>
      </x:c>
      <x:c r="M427" s="34" t="n">
        <x:f>SUM(J427:L427)</x:f>
        <x:v>5</x:v>
      </x:c>
      <x:c r="N427" s="34" t="n">
        <x:f>G427*J427</x:f>
        <x:v>5</x:v>
      </x:c>
      <x:c r="O427" s="34" t="n">
        <x:f>G427*K427</x:f>
        <x:v>0</x:v>
      </x:c>
      <x:c r="P427" s="34" t="n">
        <x:f>G427*L427</x:f>
        <x:v>0</x:v>
      </x:c>
      <x:c r="Q427" s="34" t="n">
        <x:f>SUM(N427:P427)</x:f>
        <x:v>5</x:v>
      </x:c>
      <x:c r="R427" s="22" t="str">
        <x:f>IF(M427&gt;0,"복원","미복원")</x:f>
        <x:v>복원</x:v>
      </x:c>
      <x:c r="S427" s="37" t="n">
        <x:v>149</x:v>
      </x:c>
      <x:c r="T42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7" s="22" t="str">
        <x:f>A427&amp;"|"&amp;B427</x:f>
        <x:v>기계·전기동|C-010207</x:v>
      </x:c>
      <x:c r="V427" s="22" t="n">
        <x:f>IF(M427&gt;0,1,0)</x:f>
        <x:v>1</x:v>
      </x:c>
    </x:row>
    <x:row r="428" ht="28" customHeight="1">
      <x:c r="A428" s="22" t="str">
        <x:v>기계·전기동</x:v>
      </x:c>
      <x:c r="B428" s="31" t="str">
        <x:f>"C-010207"</x:f>
        <x:v>C-010207</x:v>
      </x:c>
      <x:c r="C428" s="25" t="str">
        <x:v>010207  METAL WORKS</x:v>
      </x:c>
      <x:c r="D428" s="25" t="str">
        <x:v>Supply and fixed of Wiremesh On Floor, #8-150*150</x:v>
      </x:c>
      <x:c r="E428" s="25" t="str"/>
      <x:c r="F428" s="22" t="str">
        <x:v>M2</x:v>
      </x:c>
      <x:c r="G428" s="28" t="n">
        <x:v>897</x:v>
      </x:c>
      <x:c r="H428" s="25" t="str">
        <x:v>4531284DDC776A4702EA22A0C0638FB35040A</x:v>
      </x:c>
      <x:c r="I428" s="22" t="str">
        <x:v>직접자원단가</x:v>
      </x:c>
      <x:c r="J428" s="34" t="n">
        <x:v>110</x:v>
      </x:c>
      <x:c r="K428" s="34" t="n">
        <x:v>20</x:v>
      </x:c>
      <x:c r="L428" s="34" t="n">
        <x:v>0</x:v>
      </x:c>
      <x:c r="M428" s="34" t="n">
        <x:f>SUM(J428:L428)</x:f>
        <x:v>130</x:v>
      </x:c>
      <x:c r="N428" s="34" t="n">
        <x:f>G428*J428</x:f>
        <x:v>98670</x:v>
      </x:c>
      <x:c r="O428" s="34" t="n">
        <x:f>G428*K428</x:f>
        <x:v>17940</x:v>
      </x:c>
      <x:c r="P428" s="34" t="n">
        <x:f>G428*L428</x:f>
        <x:v>0</x:v>
      </x:c>
      <x:c r="Q428" s="34" t="n">
        <x:f>SUM(N428:P428)</x:f>
        <x:v>116610</x:v>
      </x:c>
      <x:c r="R428" s="22" t="str">
        <x:f>IF(M428&gt;0,"복원","미복원")</x:f>
        <x:v>복원</x:v>
      </x:c>
      <x:c r="S428" s="37" t="n">
        <x:v>150</x:v>
      </x:c>
      <x:c r="T42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8" s="22" t="str">
        <x:f>A428&amp;"|"&amp;B428</x:f>
        <x:v>기계·전기동|C-010207</x:v>
      </x:c>
      <x:c r="V428" s="22" t="n">
        <x:f>IF(M428&gt;0,1,0)</x:f>
        <x:v>1</x:v>
      </x:c>
    </x:row>
    <x:row r="429" ht="28" customHeight="1">
      <x:c r="A429" s="22" t="str">
        <x:v>기계·전기동</x:v>
      </x:c>
      <x:c r="B429" s="31" t="str">
        <x:f>"C-010207"</x:f>
        <x:v>C-010207</x:v>
      </x:c>
      <x:c r="C429" s="25" t="str">
        <x:v>010207  METAL WORKS</x:v>
      </x:c>
      <x:c r="D429" s="25" t="str">
        <x:v>Supply and fixed of Steel cover</x:v>
      </x:c>
      <x:c r="E429" s="25" t="str">
        <x:v>T4.5 STL CHECKERED PL 1000*1000</x:v>
      </x:c>
      <x:c r="F429" s="22" t="str">
        <x:v>EA</x:v>
      </x:c>
      <x:c r="G429" s="28" t="n">
        <x:v>2</x:v>
      </x:c>
      <x:c r="H429" s="25" t="str">
        <x:v>4531284DDC776A4702EA22A0C0638FB35040B</x:v>
      </x:c>
      <x:c r="I429" s="22" t="str">
        <x:v>직접자원단가</x:v>
      </x:c>
      <x:c r="J429" s="34" t="n">
        <x:v>130</x:v>
      </x:c>
      <x:c r="K429" s="34" t="n">
        <x:v>0</x:v>
      </x:c>
      <x:c r="L429" s="34" t="n">
        <x:v>0</x:v>
      </x:c>
      <x:c r="M429" s="34" t="n">
        <x:f>SUM(J429:L429)</x:f>
        <x:v>130</x:v>
      </x:c>
      <x:c r="N429" s="34" t="n">
        <x:f>G429*J429</x:f>
        <x:v>260</x:v>
      </x:c>
      <x:c r="O429" s="34" t="n">
        <x:f>G429*K429</x:f>
        <x:v>0</x:v>
      </x:c>
      <x:c r="P429" s="34" t="n">
        <x:f>G429*L429</x:f>
        <x:v>0</x:v>
      </x:c>
      <x:c r="Q429" s="34" t="n">
        <x:f>SUM(N429:P429)</x:f>
        <x:v>260</x:v>
      </x:c>
      <x:c r="R429" s="22" t="str">
        <x:f>IF(M429&gt;0,"복원","미복원")</x:f>
        <x:v>복원</x:v>
      </x:c>
      <x:c r="S429" s="37" t="n">
        <x:v>151</x:v>
      </x:c>
      <x:c r="T42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29" s="22" t="str">
        <x:f>A429&amp;"|"&amp;B429</x:f>
        <x:v>기계·전기동|C-010207</x:v>
      </x:c>
      <x:c r="V429" s="22" t="n">
        <x:f>IF(M429&gt;0,1,0)</x:f>
        <x:v>1</x:v>
      </x:c>
    </x:row>
    <x:row r="430" ht="28" customHeight="1">
      <x:c r="A430" s="22" t="str">
        <x:v>기계·전기동</x:v>
      </x:c>
      <x:c r="B430" s="31" t="str">
        <x:f>"C-010207"</x:f>
        <x:v>C-010207</x:v>
      </x:c>
      <x:c r="C430" s="25" t="str">
        <x:v>010207  METAL WORKS</x:v>
      </x:c>
      <x:c r="D430" s="25" t="str">
        <x:v>Open Trench</x:v>
      </x:c>
      <x:c r="E430" s="25" t="str">
        <x:v>TWO SIDE, L-25*25*3t Galvanized</x:v>
      </x:c>
      <x:c r="F430" s="22" t="str">
        <x:v>M</x:v>
      </x:c>
      <x:c r="G430" s="28" t="n">
        <x:v>62</x:v>
      </x:c>
      <x:c r="H430" s="25" t="str">
        <x:v>4531284DDC776A4702EA22A0C0638FB3507D6</x:v>
      </x:c>
      <x:c r="I430" s="22" t="str">
        <x:v>직접자원단가</x:v>
      </x:c>
      <x:c r="J430" s="34" t="n">
        <x:v>15</x:v>
      </x:c>
      <x:c r="K430" s="34" t="n">
        <x:v>2.04</x:v>
      </x:c>
      <x:c r="L430" s="34" t="n">
        <x:v>0</x:v>
      </x:c>
      <x:c r="M430" s="34" t="n">
        <x:f>SUM(J430:L430)</x:f>
        <x:v>17.04</x:v>
      </x:c>
      <x:c r="N430" s="34" t="n">
        <x:f>G430*J430</x:f>
        <x:v>930</x:v>
      </x:c>
      <x:c r="O430" s="34" t="n">
        <x:f>G430*K430</x:f>
        <x:v>126.48</x:v>
      </x:c>
      <x:c r="P430" s="34" t="n">
        <x:f>G430*L430</x:f>
        <x:v>0</x:v>
      </x:c>
      <x:c r="Q430" s="34" t="n">
        <x:f>SUM(N430:P430)</x:f>
        <x:v>1056.48</x:v>
      </x:c>
      <x:c r="R430" s="22" t="str">
        <x:f>IF(M430&gt;0,"복원","미복원")</x:f>
        <x:v>복원</x:v>
      </x:c>
      <x:c r="S430" s="37" t="n">
        <x:v>152</x:v>
      </x:c>
      <x:c r="T43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0" s="22" t="str">
        <x:f>A430&amp;"|"&amp;B430</x:f>
        <x:v>기계·전기동|C-010207</x:v>
      </x:c>
      <x:c r="V430" s="22" t="n">
        <x:f>IF(M430&gt;0,1,0)</x:f>
        <x:v>1</x:v>
      </x:c>
    </x:row>
    <x:row r="431" ht="28" customHeight="1">
      <x:c r="A431" s="22" t="str">
        <x:v>기계·전기동</x:v>
      </x:c>
      <x:c r="B431" s="31" t="str">
        <x:f>"C-010207"</x:f>
        <x:v>C-010207</x:v>
      </x:c>
      <x:c r="C431" s="25" t="str">
        <x:v>010207  METAL WORKS</x:v>
      </x:c>
      <x:c r="D431" s="25" t="str">
        <x:v>COVER Trench</x:v>
      </x:c>
      <x:c r="E431" s="25" t="str">
        <x:v>GALVANIZED FLAT STEEL (25X5X3)</x:v>
      </x:c>
      <x:c r="F431" s="22" t="str">
        <x:v>M</x:v>
      </x:c>
      <x:c r="G431" s="28" t="n">
        <x:v>5</x:v>
      </x:c>
      <x:c r="H431" s="25" t="str">
        <x:v>4531284DDC776A4702EA22A0C0638FB3507D7</x:v>
      </x:c>
      <x:c r="I431" s="22" t="str">
        <x:v>직접자원단가</x:v>
      </x:c>
      <x:c r="J431" s="34" t="n">
        <x:v>16</x:v>
      </x:c>
      <x:c r="K431" s="34" t="n">
        <x:v>2.04</x:v>
      </x:c>
      <x:c r="L431" s="34" t="n">
        <x:v>0</x:v>
      </x:c>
      <x:c r="M431" s="34" t="n">
        <x:f>SUM(J431:L431)</x:f>
        <x:v>18.04</x:v>
      </x:c>
      <x:c r="N431" s="34" t="n">
        <x:f>G431*J431</x:f>
        <x:v>80</x:v>
      </x:c>
      <x:c r="O431" s="34" t="n">
        <x:f>G431*K431</x:f>
        <x:v>10.2</x:v>
      </x:c>
      <x:c r="P431" s="34" t="n">
        <x:f>G431*L431</x:f>
        <x:v>0</x:v>
      </x:c>
      <x:c r="Q431" s="34" t="n">
        <x:f>SUM(N431:P431)</x:f>
        <x:v>90.2</x:v>
      </x:c>
      <x:c r="R431" s="22" t="str">
        <x:f>IF(M431&gt;0,"복원","미복원")</x:f>
        <x:v>복원</x:v>
      </x:c>
      <x:c r="S431" s="37" t="n">
        <x:v>153</x:v>
      </x:c>
      <x:c r="T43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1" s="22" t="str">
        <x:f>A431&amp;"|"&amp;B431</x:f>
        <x:v>기계·전기동|C-010207</x:v>
      </x:c>
      <x:c r="V431" s="22" t="n">
        <x:f>IF(M431&gt;0,1,0)</x:f>
        <x:v>1</x:v>
      </x:c>
    </x:row>
    <x:row r="432" ht="28" customHeight="1">
      <x:c r="A432" s="22" t="str">
        <x:v>기계·전기동</x:v>
      </x:c>
      <x:c r="B432" s="31" t="str">
        <x:f>"C-010207"</x:f>
        <x:v>C-010207</x:v>
      </x:c>
      <x:c r="C432" s="25" t="str">
        <x:v>010207  METAL WORKS</x:v>
      </x:c>
      <x:c r="D432" s="25" t="str">
        <x:v>THK 0.7 CORRUGATED STEEL SHEET</x:v>
      </x:c>
      <x:c r="E432" s="25" t="str"/>
      <x:c r="F432" s="22" t="str">
        <x:v>M2</x:v>
      </x:c>
      <x:c r="G432" s="28" t="n">
        <x:v>90</x:v>
      </x:c>
      <x:c r="H432" s="25" t="str">
        <x:v>4531284DDC776A4702EA22A0C0638FB3507D4</x:v>
      </x:c>
      <x:c r="I432" s="22" t="str">
        <x:v>직접자원단가</x:v>
      </x:c>
      <x:c r="J432" s="34" t="n">
        <x:v>20</x:v>
      </x:c>
      <x:c r="K432" s="34" t="n">
        <x:v>2.04</x:v>
      </x:c>
      <x:c r="L432" s="34" t="n">
        <x:v>0</x:v>
      </x:c>
      <x:c r="M432" s="34" t="n">
        <x:f>SUM(J432:L432)</x:f>
        <x:v>22.04</x:v>
      </x:c>
      <x:c r="N432" s="34" t="n">
        <x:f>G432*J432</x:f>
        <x:v>1800</x:v>
      </x:c>
      <x:c r="O432" s="34" t="n">
        <x:f>G432*K432</x:f>
        <x:v>183.6</x:v>
      </x:c>
      <x:c r="P432" s="34" t="n">
        <x:f>G432*L432</x:f>
        <x:v>0</x:v>
      </x:c>
      <x:c r="Q432" s="34" t="n">
        <x:f>SUM(N432:P432)</x:f>
        <x:v>1983.6</x:v>
      </x:c>
      <x:c r="R432" s="22" t="str">
        <x:f>IF(M432&gt;0,"복원","미복원")</x:f>
        <x:v>복원</x:v>
      </x:c>
      <x:c r="S432" s="37" t="n">
        <x:v>154</x:v>
      </x:c>
      <x:c r="T43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2" s="22" t="str">
        <x:f>A432&amp;"|"&amp;B432</x:f>
        <x:v>기계·전기동|C-010207</x:v>
      </x:c>
      <x:c r="V432" s="22" t="n">
        <x:f>IF(M432&gt;0,1,0)</x:f>
        <x:v>1</x:v>
      </x:c>
    </x:row>
    <x:row r="433" ht="28" customHeight="1">
      <x:c r="A433" s="22" t="str">
        <x:v>기계·전기동</x:v>
      </x:c>
      <x:c r="B433" s="31" t="str">
        <x:f>"C-010208"</x:f>
        <x:v>C-010208</x:v>
      </x:c>
      <x:c r="C433" s="25" t="str">
        <x:v>010208  PLASTER WORKS</x:v>
      </x:c>
      <x:c r="D433" s="25" t="str">
        <x:v>Mortar, W/Plastering 20mm thick on concrete Ceiling</x:v>
      </x:c>
      <x:c r="E433" s="25" t="str"/>
      <x:c r="F433" s="22" t="str">
        <x:v>M2</x:v>
      </x:c>
      <x:c r="G433" s="28" t="n">
        <x:v>507</x:v>
      </x:c>
      <x:c r="H433" s="25" t="str">
        <x:v>4531284DDC776A4702EA22A0C0638FB347F74</x:v>
      </x:c>
      <x:c r="I433" s="22" t="str">
        <x:v>직접자원단가</x:v>
      </x:c>
      <x:c r="J433" s="34" t="n">
        <x:v>40</x:v>
      </x:c>
      <x:c r="K433" s="34" t="n">
        <x:v>10</x:v>
      </x:c>
      <x:c r="L433" s="34" t="n">
        <x:v>0.19</x:v>
      </x:c>
      <x:c r="M433" s="34" t="n">
        <x:f>SUM(J433:L433)</x:f>
        <x:v>50.19</x:v>
      </x:c>
      <x:c r="N433" s="34" t="n">
        <x:f>G433*J433</x:f>
        <x:v>20280</x:v>
      </x:c>
      <x:c r="O433" s="34" t="n">
        <x:f>G433*K433</x:f>
        <x:v>5070</x:v>
      </x:c>
      <x:c r="P433" s="34" t="n">
        <x:f>G433*L433</x:f>
        <x:v>96.33</x:v>
      </x:c>
      <x:c r="Q433" s="34" t="n">
        <x:f>SUM(N433:P433)</x:f>
        <x:v>25446.33</x:v>
      </x:c>
      <x:c r="R433" s="22" t="str">
        <x:f>IF(M433&gt;0,"복원","미복원")</x:f>
        <x:v>복원</x:v>
      </x:c>
      <x:c r="S433" s="37" t="n">
        <x:v>173</x:v>
      </x:c>
      <x:c r="T43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3" s="22" t="str">
        <x:f>A433&amp;"|"&amp;B433</x:f>
        <x:v>기계·전기동|C-010208</x:v>
      </x:c>
      <x:c r="V433" s="22" t="n">
        <x:f>IF(M433&gt;0,1,0)</x:f>
        <x:v>1</x:v>
      </x:c>
    </x:row>
    <x:row r="434" ht="28" customHeight="1">
      <x:c r="A434" s="22" t="str">
        <x:v>기계·전기동</x:v>
      </x:c>
      <x:c r="B434" s="31" t="str">
        <x:f>"C-010208"</x:f>
        <x:v>C-010208</x:v>
      </x:c>
      <x:c r="C434" s="25" t="str">
        <x:v>010208  PLASTER WORKS</x:v>
      </x:c>
      <x:c r="D434" s="25" t="str">
        <x:v>Mortar, W/Plastering 20mm thick on concrete walls</x:v>
      </x:c>
      <x:c r="E434" s="25" t="str"/>
      <x:c r="F434" s="22" t="str">
        <x:v>M2</x:v>
      </x:c>
      <x:c r="G434" s="28" t="n">
        <x:v>1540</x:v>
      </x:c>
      <x:c r="H434" s="25" t="str">
        <x:v>4482204849760A9E127F4949DD94E</x:v>
      </x:c>
      <x:c r="I434" s="22" t="str">
        <x:v>복합일위대가</x:v>
      </x:c>
      <x:c r="J434" s="34" t="n">
        <x:v>9</x:v>
      </x:c>
      <x:c r="K434" s="34" t="n">
        <x:v>0</x:v>
      </x:c>
      <x:c r="L434" s="34" t="n">
        <x:v>0</x:v>
      </x:c>
      <x:c r="M434" s="34" t="n">
        <x:f>SUM(J434:L434)</x:f>
        <x:v>9</x:v>
      </x:c>
      <x:c r="N434" s="34" t="n">
        <x:f>G434*J434</x:f>
        <x:v>13860</x:v>
      </x:c>
      <x:c r="O434" s="34" t="n">
        <x:f>G434*K434</x:f>
        <x:v>0</x:v>
      </x:c>
      <x:c r="P434" s="34" t="n">
        <x:f>G434*L434</x:f>
        <x:v>0</x:v>
      </x:c>
      <x:c r="Q434" s="34" t="n">
        <x:f>SUM(N434:P434)</x:f>
        <x:v>13860</x:v>
      </x:c>
      <x:c r="R434" s="22" t="str">
        <x:f>IF(M434&gt;0,"복원","미복원")</x:f>
        <x:v>복원</x:v>
      </x:c>
      <x:c r="S434" s="37" t="n">
        <x:v>174</x:v>
      </x:c>
      <x:c r="T43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4" s="22" t="str">
        <x:f>A434&amp;"|"&amp;B434</x:f>
        <x:v>기계·전기동|C-010208</x:v>
      </x:c>
      <x:c r="V434" s="22" t="n">
        <x:f>IF(M434&gt;0,1,0)</x:f>
        <x:v>1</x:v>
      </x:c>
    </x:row>
    <x:row r="435" ht="28" customHeight="1">
      <x:c r="A435" s="22" t="str">
        <x:v>기계·전기동</x:v>
      </x:c>
      <x:c r="B435" s="31" t="str">
        <x:f>"C-010208"</x:f>
        <x:v>C-010208</x:v>
      </x:c>
      <x:c r="C435" s="25" t="str">
        <x:v>010208  PLASTER WORKS</x:v>
      </x:c>
      <x:c r="D435" s="25" t="str">
        <x:v>CONCRETE SURFACE TREATMENT</x:v>
      </x:c>
      <x:c r="E435" s="25" t="str">
        <x:v>WALL</x:v>
      </x:c>
      <x:c r="F435" s="22" t="str">
        <x:v>M2</x:v>
      </x:c>
      <x:c r="G435" s="28" t="n">
        <x:v>109</x:v>
      </x:c>
      <x:c r="H435" s="25" t="str">
        <x:v>4482204849760A9E127F4949C332C</x:v>
      </x:c>
      <x:c r="I435" s="22" t="str">
        <x:v>복합일위대가</x:v>
      </x:c>
      <x:c r="J435" s="34" t="n">
        <x:v>33.36</x:v>
      </x:c>
      <x:c r="K435" s="34" t="n">
        <x:v>0</x:v>
      </x:c>
      <x:c r="L435" s="34" t="n">
        <x:v>0</x:v>
      </x:c>
      <x:c r="M435" s="34" t="n">
        <x:f>SUM(J435:L435)</x:f>
        <x:v>33.36</x:v>
      </x:c>
      <x:c r="N435" s="34" t="n">
        <x:f>G435*J435</x:f>
        <x:v>3636.24</x:v>
      </x:c>
      <x:c r="O435" s="34" t="n">
        <x:f>G435*K435</x:f>
        <x:v>0</x:v>
      </x:c>
      <x:c r="P435" s="34" t="n">
        <x:f>G435*L435</x:f>
        <x:v>0</x:v>
      </x:c>
      <x:c r="Q435" s="34" t="n">
        <x:f>SUM(N435:P435)</x:f>
        <x:v>3636.24</x:v>
      </x:c>
      <x:c r="R435" s="22" t="str">
        <x:f>IF(M435&gt;0,"복원","미복원")</x:f>
        <x:v>복원</x:v>
      </x:c>
      <x:c r="S435" s="37" t="n">
        <x:v>175</x:v>
      </x:c>
      <x:c r="T43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5" s="22" t="str">
        <x:f>A435&amp;"|"&amp;B435</x:f>
        <x:v>기계·전기동|C-010208</x:v>
      </x:c>
      <x:c r="V435" s="22" t="n">
        <x:f>IF(M435&gt;0,1,0)</x:f>
        <x:v>1</x:v>
      </x:c>
    </x:row>
    <x:row r="436" ht="28" customHeight="1">
      <x:c r="A436" s="22" t="str">
        <x:v>기계·전기동</x:v>
      </x:c>
      <x:c r="B436" s="31" t="str">
        <x:f>"C-010208"</x:f>
        <x:v>C-010208</x:v>
      </x:c>
      <x:c r="C436" s="25" t="str">
        <x:v>010208  PLASTER WORKS</x:v>
      </x:c>
      <x:c r="D436" s="25" t="str">
        <x:v>Steel Troweled</x:v>
      </x:c>
      <x:c r="E436" s="25" t="str">
        <x:v>Floor</x:v>
      </x:c>
      <x:c r="F436" s="22" t="str">
        <x:v>M2</x:v>
      </x:c>
      <x:c r="G436" s="28" t="n">
        <x:v>1070</x:v>
      </x:c>
      <x:c r="H436" s="25" t="str">
        <x:v>44822048387C4468A2D648548B59A</x:v>
      </x:c>
      <x:c r="I436" s="22" t="str">
        <x:v>복합일위대가</x:v>
      </x:c>
      <x:c r="J436" s="34" t="n">
        <x:v>4</x:v>
      </x:c>
      <x:c r="K436" s="34" t="n">
        <x:v>0</x:v>
      </x:c>
      <x:c r="L436" s="34" t="n">
        <x:v>0</x:v>
      </x:c>
      <x:c r="M436" s="34" t="n">
        <x:f>SUM(J436:L436)</x:f>
        <x:v>4</x:v>
      </x:c>
      <x:c r="N436" s="34" t="n">
        <x:f>G436*J436</x:f>
        <x:v>4280</x:v>
      </x:c>
      <x:c r="O436" s="34" t="n">
        <x:f>G436*K436</x:f>
        <x:v>0</x:v>
      </x:c>
      <x:c r="P436" s="34" t="n">
        <x:f>G436*L436</x:f>
        <x:v>0</x:v>
      </x:c>
      <x:c r="Q436" s="34" t="n">
        <x:f>SUM(N436:P436)</x:f>
        <x:v>4280</x:v>
      </x:c>
      <x:c r="R436" s="22" t="str">
        <x:f>IF(M436&gt;0,"복원","미복원")</x:f>
        <x:v>복원</x:v>
      </x:c>
      <x:c r="S436" s="37" t="n">
        <x:v>176</x:v>
      </x:c>
      <x:c r="T43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6" s="22" t="str">
        <x:f>A436&amp;"|"&amp;B436</x:f>
        <x:v>기계·전기동|C-010208</x:v>
      </x:c>
      <x:c r="V436" s="22" t="n">
        <x:f>IF(M436&gt;0,1,0)</x:f>
        <x:v>1</x:v>
      </x:c>
    </x:row>
    <x:row r="437" ht="28" customHeight="1">
      <x:c r="A437" s="22" t="str">
        <x:v>기계·전기동</x:v>
      </x:c>
      <x:c r="B437" s="31" t="str">
        <x:f>"C-010208"</x:f>
        <x:v>C-010208</x:v>
      </x:c>
      <x:c r="C437" s="25" t="str">
        <x:v>010208  PLASTER WORKS</x:v>
      </x:c>
      <x:c r="D437" s="25" t="str">
        <x:v>Mortar Infill</x:v>
      </x:c>
      <x:c r="E437" s="25" t="str">
        <x:v>Around The door &amp; window</x:v>
      </x:c>
      <x:c r="F437" s="22" t="str">
        <x:v>M</x:v>
      </x:c>
      <x:c r="G437" s="28" t="n">
        <x:v>29</x:v>
      </x:c>
      <x:c r="H437" s="25" t="str">
        <x:v>44822048387C4468A2D648548B6A1</x:v>
      </x:c>
      <x:c r="I437" s="22" t="str">
        <x:v>복합일위대가</x:v>
      </x:c>
      <x:c r="J437" s="34" t="n">
        <x:v>4</x:v>
      </x:c>
      <x:c r="K437" s="34" t="n">
        <x:v>0</x:v>
      </x:c>
      <x:c r="L437" s="34" t="n">
        <x:v>0</x:v>
      </x:c>
      <x:c r="M437" s="34" t="n">
        <x:f>SUM(J437:L437)</x:f>
        <x:v>4</x:v>
      </x:c>
      <x:c r="N437" s="34" t="n">
        <x:f>G437*J437</x:f>
        <x:v>116</x:v>
      </x:c>
      <x:c r="O437" s="34" t="n">
        <x:f>G437*K437</x:f>
        <x:v>0</x:v>
      </x:c>
      <x:c r="P437" s="34" t="n">
        <x:f>G437*L437</x:f>
        <x:v>0</x:v>
      </x:c>
      <x:c r="Q437" s="34" t="n">
        <x:f>SUM(N437:P437)</x:f>
        <x:v>116</x:v>
      </x:c>
      <x:c r="R437" s="22" t="str">
        <x:f>IF(M437&gt;0,"복원","미복원")</x:f>
        <x:v>복원</x:v>
      </x:c>
      <x:c r="S437" s="37" t="n">
        <x:v>177</x:v>
      </x:c>
      <x:c r="T43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7" s="22" t="str">
        <x:f>A437&amp;"|"&amp;B437</x:f>
        <x:v>기계·전기동|C-010208</x:v>
      </x:c>
      <x:c r="V437" s="22" t="n">
        <x:f>IF(M437&gt;0,1,0)</x:f>
        <x:v>1</x:v>
      </x:c>
    </x:row>
    <x:row r="438" ht="28" customHeight="1">
      <x:c r="A438" s="22" t="str">
        <x:v>기계·전기동</x:v>
      </x:c>
      <x:c r="B438" s="31" t="str">
        <x:f>"C-010208"</x:f>
        <x:v>C-010208</x:v>
      </x:c>
      <x:c r="C438" s="25" t="str">
        <x:v>010208  PLASTER WORKS</x:v>
      </x:c>
      <x:c r="D438" s="25" t="str">
        <x:v>Urethane Foam Filling</x:v>
      </x:c>
      <x:c r="E438" s="25" t="str">
        <x:v>Around The door &amp; window</x:v>
      </x:c>
      <x:c r="F438" s="22" t="str">
        <x:v>M</x:v>
      </x:c>
      <x:c r="G438" s="28" t="n">
        <x:v>91</x:v>
      </x:c>
      <x:c r="H438" s="25" t="str">
        <x:v>44822048387C4468A2D648548B748</x:v>
      </x:c>
      <x:c r="I438" s="22" t="str">
        <x:v>복합일위대가</x:v>
      </x:c>
      <x:c r="J438" s="34" t="n">
        <x:v>8</x:v>
      </x:c>
      <x:c r="K438" s="34" t="n">
        <x:v>0</x:v>
      </x:c>
      <x:c r="L438" s="34" t="n">
        <x:v>0</x:v>
      </x:c>
      <x:c r="M438" s="34" t="n">
        <x:f>SUM(J438:L438)</x:f>
        <x:v>8</x:v>
      </x:c>
      <x:c r="N438" s="34" t="n">
        <x:f>G438*J438</x:f>
        <x:v>728</x:v>
      </x:c>
      <x:c r="O438" s="34" t="n">
        <x:f>G438*K438</x:f>
        <x:v>0</x:v>
      </x:c>
      <x:c r="P438" s="34" t="n">
        <x:f>G438*L438</x:f>
        <x:v>0</x:v>
      </x:c>
      <x:c r="Q438" s="34" t="n">
        <x:f>SUM(N438:P438)</x:f>
        <x:v>728</x:v>
      </x:c>
      <x:c r="R438" s="22" t="str">
        <x:f>IF(M438&gt;0,"복원","미복원")</x:f>
        <x:v>복원</x:v>
      </x:c>
      <x:c r="S438" s="37" t="n">
        <x:v>178</x:v>
      </x:c>
      <x:c r="T43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8" s="22" t="str">
        <x:f>A438&amp;"|"&amp;B438</x:f>
        <x:v>기계·전기동|C-010208</x:v>
      </x:c>
      <x:c r="V438" s="22" t="n">
        <x:f>IF(M438&gt;0,1,0)</x:f>
        <x:v>1</x:v>
      </x:c>
    </x:row>
    <x:row r="439" ht="28" customHeight="1">
      <x:c r="A439" s="22" t="str">
        <x:v>기계·전기동</x:v>
      </x:c>
      <x:c r="B439" s="31" t="str">
        <x:f>"C-010209"</x:f>
        <x:v>C-010209</x:v>
      </x:c>
      <x:c r="C439" s="25" t="str">
        <x:v>010209  DOORS &amp; WINDOWS WORKS-1</x:v>
      </x:c>
      <x:c r="D439" s="25" t="str">
        <x:v>AG01/02. MEP BUILDING/AL.Louver</x:v>
      </x:c>
      <x:c r="E439" s="25" t="str">
        <x:v>1.900 x 2.900 = 5.510</x:v>
      </x:c>
      <x:c r="F439" s="22" t="str">
        <x:v>EA</x:v>
      </x:c>
      <x:c r="G439" s="28" t="n">
        <x:v>5</x:v>
      </x:c>
      <x:c r="H439" s="25" t="str">
        <x:v>4530234CF57486DF6239DCFA4C4</x:v>
      </x:c>
      <x:c r="I439" s="22" t="str">
        <x:v>직접자원단가</x:v>
      </x:c>
      <x:c r="J439" s="34" t="n">
        <x:v>4887.802710508777</x:v>
      </x:c>
      <x:c r="K439" s="34" t="n">
        <x:v>602.8290009627491</x:v>
      </x:c>
      <x:c r="L439" s="34" t="n">
        <x:v>325.85351403391843</x:v>
      </x:c>
      <x:c r="M439" s="34" t="n">
        <x:f>SUM(J439:L439)</x:f>
        <x:v>5816.485225505444</x:v>
      </x:c>
      <x:c r="N439" s="34" t="n">
        <x:f>G439*J439</x:f>
        <x:v>24439.01355254388</x:v>
      </x:c>
      <x:c r="O439" s="34" t="n">
        <x:f>G439*K439</x:f>
        <x:v>3014.1450048137453</x:v>
      </x:c>
      <x:c r="P439" s="34" t="n">
        <x:f>G439*L439</x:f>
        <x:v>1629.267570169592</x:v>
      </x:c>
      <x:c r="Q439" s="34" t="n">
        <x:f>SUM(N439:P439)</x:f>
        <x:v>29082.42612752722</x:v>
      </x:c>
      <x:c r="R439" s="22" t="str">
        <x:f>IF(M439&gt;0,"복원","미복원")</x:f>
        <x:v>복원</x:v>
      </x:c>
      <x:c r="S439" s="37" t="n">
        <x:v>197</x:v>
      </x:c>
      <x:c r="T43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39" s="22" t="str">
        <x:f>A439&amp;"|"&amp;B439</x:f>
        <x:v>기계·전기동|C-010209</x:v>
      </x:c>
      <x:c r="V439" s="22" t="n">
        <x:f>IF(M439&gt;0,1,0)</x:f>
        <x:v>1</x:v>
      </x:c>
    </x:row>
    <x:row r="440" ht="28" customHeight="1">
      <x:c r="A440" s="22" t="str">
        <x:v>기계·전기동</x:v>
      </x:c>
      <x:c r="B440" s="31" t="str">
        <x:f>"C-010209"</x:f>
        <x:v>C-010209</x:v>
      </x:c>
      <x:c r="C440" s="25" t="str">
        <x:v>010209  DOORS &amp; WINDOWS WORKS-1</x:v>
      </x:c>
      <x:c r="D440" s="25" t="str">
        <x:v>AG02/02. MEP BUILDING/AL.Louver</x:v>
      </x:c>
      <x:c r="E440" s="25" t="str">
        <x:v>1.500 x 0.700 = 1.050</x:v>
      </x:c>
      <x:c r="F440" s="22" t="str">
        <x:v>EA</x:v>
      </x:c>
      <x:c r="G440" s="28" t="n">
        <x:v>3</x:v>
      </x:c>
      <x:c r="H440" s="25" t="str">
        <x:v>4530234CF57486DF6239DCFA4CB</x:v>
      </x:c>
      <x:c r="I440" s="22" t="str">
        <x:v>직접자원단가</x:v>
      </x:c>
      <x:c r="J440" s="34" t="n">
        <x:v>651.7070280678369</x:v>
      </x:c>
      <x:c r="K440" s="34" t="n">
        <x:v>90.42435014441236</x:v>
      </x:c>
      <x:c r="L440" s="34" t="n">
        <x:v>44.80485817966378</x:v>
      </x:c>
      <x:c r="M440" s="34" t="n">
        <x:f>SUM(J440:L440)</x:f>
        <x:v>786.9362363919131</x:v>
      </x:c>
      <x:c r="N440" s="34" t="n">
        <x:f>G440*J440</x:f>
        <x:v>1955.1210842035107</x:v>
      </x:c>
      <x:c r="O440" s="34" t="n">
        <x:f>G440*K440</x:f>
        <x:v>271.2730504332371</x:v>
      </x:c>
      <x:c r="P440" s="34" t="n">
        <x:f>G440*L440</x:f>
        <x:v>134.41457453899136</x:v>
      </x:c>
      <x:c r="Q440" s="34" t="n">
        <x:f>SUM(N440:P440)</x:f>
        <x:v>2360.8087091757393</x:v>
      </x:c>
      <x:c r="R440" s="22" t="str">
        <x:f>IF(M440&gt;0,"복원","미복원")</x:f>
        <x:v>복원</x:v>
      </x:c>
      <x:c r="S440" s="37" t="n">
        <x:v>198</x:v>
      </x:c>
      <x:c r="T44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0" s="22" t="str">
        <x:f>A440&amp;"|"&amp;B440</x:f>
        <x:v>기계·전기동|C-010209</x:v>
      </x:c>
      <x:c r="V440" s="22" t="n">
        <x:f>IF(M440&gt;0,1,0)</x:f>
        <x:v>1</x:v>
      </x:c>
    </x:row>
    <x:row r="441" ht="28" customHeight="1">
      <x:c r="A441" s="22" t="str">
        <x:v>기계·전기동</x:v>
      </x:c>
      <x:c r="B441" s="31" t="str">
        <x:f>"C-010209"</x:f>
        <x:v>C-010209</x:v>
      </x:c>
      <x:c r="C441" s="25" t="str">
        <x:v>010209  DOORS &amp; WINDOWS WORKS-1</x:v>
      </x:c>
      <x:c r="D441" s="25" t="str">
        <x:v>FSD01/02. MEP BUILDING/STL DOUBLE DOOR</x:v>
      </x:c>
      <x:c r="E441" s="25" t="str">
        <x:v>2.400 x 2.400 = 5.760</x:v>
      </x:c>
      <x:c r="F441" s="22" t="str">
        <x:v>EA</x:v>
      </x:c>
      <x:c r="G441" s="28" t="n">
        <x:v>5</x:v>
      </x:c>
      <x:c r="H441" s="25" t="str">
        <x:v>4530234CF57486DF6239DCFA4CA</x:v>
      </x:c>
      <x:c r="I441" s="22" t="str">
        <x:v>직접자원단가</x:v>
      </x:c>
      <x:c r="J441" s="34" t="n">
        <x:v>162.92675701695921</x:v>
      </x:c>
      <x:c r="K441" s="34" t="n">
        <x:v>15.070725024068727</x:v>
      </x:c>
      <x:c r="L441" s="34" t="n">
        <x:v>10.182922313559951</x:v>
      </x:c>
      <x:c r="M441" s="34" t="n">
        <x:f>SUM(J441:L441)</x:f>
        <x:v>188.1804043545879</x:v>
      </x:c>
      <x:c r="N441" s="34" t="n">
        <x:f>G441*J441</x:f>
        <x:v>814.633785084796</x:v>
      </x:c>
      <x:c r="O441" s="34" t="n">
        <x:f>G441*K441</x:f>
        <x:v>75.35362512034364</x:v>
      </x:c>
      <x:c r="P441" s="34" t="n">
        <x:f>G441*L441</x:f>
        <x:v>50.91461156779975</x:v>
      </x:c>
      <x:c r="Q441" s="34" t="n">
        <x:f>SUM(N441:P441)</x:f>
        <x:v>940.9020217729394</x:v>
      </x:c>
      <x:c r="R441" s="22" t="str">
        <x:f>IF(M441&gt;0,"복원","미복원")</x:f>
        <x:v>복원</x:v>
      </x:c>
      <x:c r="S441" s="37" t="n">
        <x:v>199</x:v>
      </x:c>
      <x:c r="T44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1" s="22" t="str">
        <x:f>A441&amp;"|"&amp;B441</x:f>
        <x:v>기계·전기동|C-010209</x:v>
      </x:c>
      <x:c r="V441" s="22" t="n">
        <x:f>IF(M441&gt;0,1,0)</x:f>
        <x:v>1</x:v>
      </x:c>
    </x:row>
    <x:row r="442" ht="28" customHeight="1">
      <x:c r="A442" s="22" t="str">
        <x:v>기계·전기동</x:v>
      </x:c>
      <x:c r="B442" s="31" t="str">
        <x:f>"C-010209"</x:f>
        <x:v>C-010209</x:v>
      </x:c>
      <x:c r="C442" s="25" t="str">
        <x:v>010209  DOORS &amp; WINDOWS WORKS-1</x:v>
      </x:c>
      <x:c r="D442" s="25" t="str">
        <x:v>FSD02/02. MEP BUILDING/STL DOUBLE DOOR</x:v>
      </x:c>
      <x:c r="E442" s="25" t="str">
        <x:v>2.100 x 2.300 = 4.830</x:v>
      </x:c>
      <x:c r="F442" s="22" t="str">
        <x:v>EA</x:v>
      </x:c>
      <x:c r="G442" s="28" t="n">
        <x:v>2</x:v>
      </x:c>
      <x:c r="H442" s="25" t="str">
        <x:v>4530234CF57486DF6239DCFA5EA</x:v>
      </x:c>
      <x:c r="I442" s="22" t="str">
        <x:v>직접자원단가</x:v>
      </x:c>
      <x:c r="J442" s="34" t="n">
        <x:v>3665.852032881582</x:v>
      </x:c>
      <x:c r="K442" s="34" t="n">
        <x:v>452.12175072206185</x:v>
      </x:c>
      <x:c r="L442" s="34" t="n">
        <x:v>244.3901355254388</x:v>
      </x:c>
      <x:c r="M442" s="34" t="n">
        <x:f>SUM(J442:L442)</x:f>
        <x:v>4362.363919129082</x:v>
      </x:c>
      <x:c r="N442" s="34" t="n">
        <x:f>G442*J442</x:f>
        <x:v>7331.704065763164</x:v>
      </x:c>
      <x:c r="O442" s="34" t="n">
        <x:f>G442*K442</x:f>
        <x:v>904.2435014441237</x:v>
      </x:c>
      <x:c r="P442" s="34" t="n">
        <x:f>G442*L442</x:f>
        <x:v>488.7802710508776</x:v>
      </x:c>
      <x:c r="Q442" s="34" t="n">
        <x:f>SUM(N442:P442)</x:f>
        <x:v>8724.727838258164</x:v>
      </x:c>
      <x:c r="R442" s="22" t="str">
        <x:f>IF(M442&gt;0,"복원","미복원")</x:f>
        <x:v>복원</x:v>
      </x:c>
      <x:c r="S442" s="37" t="n">
        <x:v>200</x:v>
      </x:c>
      <x:c r="T44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2" s="22" t="str">
        <x:f>A442&amp;"|"&amp;B442</x:f>
        <x:v>기계·전기동|C-010209</x:v>
      </x:c>
      <x:c r="V442" s="22" t="n">
        <x:f>IF(M442&gt;0,1,0)</x:f>
        <x:v>1</x:v>
      </x:c>
    </x:row>
    <x:row r="443" ht="28" customHeight="1">
      <x:c r="A443" s="22" t="str">
        <x:v>기계·전기동</x:v>
      </x:c>
      <x:c r="B443" s="31" t="str">
        <x:f>"C-010209"</x:f>
        <x:v>C-010209</x:v>
      </x:c>
      <x:c r="C443" s="25" t="str">
        <x:v>010209  DOORS &amp; WINDOWS WORKS-1</x:v>
      </x:c>
      <x:c r="D443" s="25" t="str">
        <x:v>FSD03/02. MEP BUILDING/STL DOUBLE DOOR</x:v>
      </x:c>
      <x:c r="E443" s="25" t="str">
        <x:v>1.700 x 2.000 = 3.400</x:v>
      </x:c>
      <x:c r="F443" s="22" t="str">
        <x:v>EA</x:v>
      </x:c>
      <x:c r="G443" s="28" t="n">
        <x:v>1</x:v>
      </x:c>
      <x:c r="H443" s="25" t="str">
        <x:v>4530234CF57486DF6239DCFA5EB</x:v>
      </x:c>
      <x:c r="I443" s="22" t="str">
        <x:v>직접자원단가</x:v>
      </x:c>
      <x:c r="J443" s="34" t="n">
        <x:v>57.02436495593573</x:v>
      </x:c>
      <x:c r="K443" s="34" t="n">
        <x:v>9.042435014441235</x:v>
      </x:c>
      <x:c r="L443" s="34" t="n">
        <x:v>4.07316892542398</x:v>
      </x:c>
      <x:c r="M443" s="34" t="n">
        <x:f>SUM(J443:L443)</x:f>
        <x:v>70.13996889580095</x:v>
      </x:c>
      <x:c r="N443" s="34" t="n">
        <x:f>G443*J443</x:f>
        <x:v>57.02436495593573</x:v>
      </x:c>
      <x:c r="O443" s="34" t="n">
        <x:f>G443*K443</x:f>
        <x:v>9.042435014441235</x:v>
      </x:c>
      <x:c r="P443" s="34" t="n">
        <x:f>G443*L443</x:f>
        <x:v>4.07316892542398</x:v>
      </x:c>
      <x:c r="Q443" s="34" t="n">
        <x:f>SUM(N443:P443)</x:f>
        <x:v>70.13996889580095</x:v>
      </x:c>
      <x:c r="R443" s="22" t="str">
        <x:f>IF(M443&gt;0,"복원","미복원")</x:f>
        <x:v>복원</x:v>
      </x:c>
      <x:c r="S443" s="37" t="n">
        <x:v>201</x:v>
      </x:c>
      <x:c r="T44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3" s="22" t="str">
        <x:f>A443&amp;"|"&amp;B443</x:f>
        <x:v>기계·전기동|C-010209</x:v>
      </x:c>
      <x:c r="V443" s="22" t="n">
        <x:f>IF(M443&gt;0,1,0)</x:f>
        <x:v>1</x:v>
      </x:c>
    </x:row>
    <x:row r="444" ht="28" customHeight="1">
      <x:c r="A444" s="22" t="str">
        <x:v>기계·전기동</x:v>
      </x:c>
      <x:c r="B444" s="31" t="str">
        <x:f>"C-010209"</x:f>
        <x:v>C-010209</x:v>
      </x:c>
      <x:c r="C444" s="25" t="str">
        <x:v>010209  DOORS &amp; WINDOWS WORKS-1</x:v>
      </x:c>
      <x:c r="D444" s="25" t="str">
        <x:v>SD01/02. MEP BUILDING/STL DOUBLE DOOR</x:v>
      </x:c>
      <x:c r="E444" s="25" t="str">
        <x:v>1.800 x 2.400 = 4.320</x:v>
      </x:c>
      <x:c r="F444" s="22" t="str">
        <x:v>EA</x:v>
      </x:c>
      <x:c r="G444" s="28" t="n">
        <x:v>1</x:v>
      </x:c>
      <x:c r="H444" s="25" t="str">
        <x:v>4530234CF57486DF6239DCFA5E8</x:v>
      </x:c>
      <x:c r="I444" s="22" t="str">
        <x:v>직접자원단가</x:v>
      </x:c>
      <x:c r="J444" s="34" t="n">
        <x:v>16.29267570169592</x:v>
      </x:c>
      <x:c r="K444" s="34" t="n">
        <x:v>6.02829000962749</x:v>
      </x:c>
      <x:c r="L444" s="34" t="n">
        <x:v>1.6292675701695922</x:v>
      </x:c>
      <x:c r="M444" s="34" t="n">
        <x:f>SUM(J444:L444)</x:f>
        <x:v>23.950233281493002</x:v>
      </x:c>
      <x:c r="N444" s="34" t="n">
        <x:f>G444*J444</x:f>
        <x:v>16.29267570169592</x:v>
      </x:c>
      <x:c r="O444" s="34" t="n">
        <x:f>G444*K444</x:f>
        <x:v>6.02829000962749</x:v>
      </x:c>
      <x:c r="P444" s="34" t="n">
        <x:f>G444*L444</x:f>
        <x:v>1.6292675701695922</x:v>
      </x:c>
      <x:c r="Q444" s="34" t="n">
        <x:f>SUM(N444:P444)</x:f>
        <x:v>23.950233281493002</x:v>
      </x:c>
      <x:c r="R444" s="22" t="str">
        <x:f>IF(M444&gt;0,"복원","미복원")</x:f>
        <x:v>복원</x:v>
      </x:c>
      <x:c r="S444" s="37" t="n">
        <x:v>202</x:v>
      </x:c>
      <x:c r="T44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4" s="22" t="str">
        <x:f>A444&amp;"|"&amp;B444</x:f>
        <x:v>기계·전기동|C-010209</x:v>
      </x:c>
      <x:c r="V444" s="22" t="n">
        <x:f>IF(M444&gt;0,1,0)</x:f>
        <x:v>1</x:v>
      </x:c>
    </x:row>
    <x:row r="445" ht="28" customHeight="1">
      <x:c r="A445" s="22" t="str">
        <x:v>기계·전기동</x:v>
      </x:c>
      <x:c r="B445" s="31" t="str">
        <x:f>"C-010209"</x:f>
        <x:v>C-010209</x:v>
      </x:c>
      <x:c r="C445" s="25" t="str">
        <x:v>010209  DOORS &amp; WINDOWS WORKS-1</x:v>
      </x:c>
      <x:c r="D445" s="25" t="str">
        <x:v>SD02/02. MEP BUILDING/STL SINGLE DOOR</x:v>
      </x:c>
      <x:c r="E445" s="25" t="str">
        <x:v>1.000 x 2.200 = 2.200</x:v>
      </x:c>
      <x:c r="F445" s="22" t="str">
        <x:v>EA</x:v>
      </x:c>
      <x:c r="G445" s="28" t="n">
        <x:v>1</x:v>
      </x:c>
      <x:c r="H445" s="25" t="str">
        <x:v>4530234CF57486DF6239DCFA5E9</x:v>
      </x:c>
      <x:c r="I445" s="22" t="str">
        <x:v>직접자원단가</x:v>
      </x:c>
      <x:c r="J445" s="34" t="n">
        <x:v>0</x:v>
      </x:c>
      <x:c r="K445" s="34" t="n">
        <x:v>0</x:v>
      </x:c>
      <x:c r="L445" s="34" t="n">
        <x:v>4073.1689254239805</x:v>
      </x:c>
      <x:c r="M445" s="34" t="n">
        <x:f>SUM(J445:L445)</x:f>
        <x:v>4073.1689254239805</x:v>
      </x:c>
      <x:c r="N445" s="34" t="n">
        <x:f>G445*J445</x:f>
        <x:v>0</x:v>
      </x:c>
      <x:c r="O445" s="34" t="n">
        <x:f>G445*K445</x:f>
        <x:v>0</x:v>
      </x:c>
      <x:c r="P445" s="34" t="n">
        <x:f>G445*L445</x:f>
        <x:v>4073.1689254239805</x:v>
      </x:c>
      <x:c r="Q445" s="34" t="n">
        <x:f>SUM(N445:P445)</x:f>
        <x:v>4073.1689254239805</x:v>
      </x:c>
      <x:c r="R445" s="22" t="str">
        <x:f>IF(M445&gt;0,"복원","미복원")</x:f>
        <x:v>복원</x:v>
      </x:c>
      <x:c r="S445" s="37" t="n">
        <x:v>203</x:v>
      </x:c>
      <x:c r="T44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5" s="22" t="str">
        <x:f>A445&amp;"|"&amp;B445</x:f>
        <x:v>기계·전기동|C-010209</x:v>
      </x:c>
      <x:c r="V445" s="22" t="n">
        <x:f>IF(M445&gt;0,1,0)</x:f>
        <x:v>1</x:v>
      </x:c>
    </x:row>
    <x:row r="446" ht="28" customHeight="1">
      <x:c r="A446" s="22" t="str">
        <x:v>기계·전기동</x:v>
      </x:c>
      <x:c r="B446" s="31" t="str">
        <x:f>"C-010210"</x:f>
        <x:v>C-010210</x:v>
      </x:c>
      <x:c r="C446" s="25" t="str">
        <x:v>010210  PAINTERS WORKS</x:v>
      </x:c>
      <x:c r="D446" s="25" t="str">
        <x:v>Painting on plastered surfaces including Emulsion Paint as per drawing and as specified. (Plastering measured seperately</x:v>
      </x:c>
      <x:c r="E446" s="25" t="str"/>
      <x:c r="F446" s="22" t="str">
        <x:v>M2</x:v>
      </x:c>
      <x:c r="G446" s="28" t="n">
        <x:v>1540</x:v>
      </x:c>
      <x:c r="H446" s="25" t="str">
        <x:v>4530234CF57486DF6239DCFA4C2</x:v>
      </x:c>
      <x:c r="I446" s="22" t="str">
        <x:v>직접자원단가</x:v>
      </x:c>
      <x:c r="J446" s="34" t="n">
        <x:v>40.731689254239804</x:v>
      </x:c>
      <x:c r="K446" s="34" t="n">
        <x:v>6.932533511071615</x:v>
      </x:c>
      <x:c r="L446" s="34" t="n">
        <x:v>2.9734133155595055</x:v>
      </x:c>
      <x:c r="M446" s="34" t="n">
        <x:f>SUM(J446:L446)</x:f>
        <x:v>50.63763608087093</x:v>
      </x:c>
      <x:c r="N446" s="34" t="n">
        <x:f>G446*J446</x:f>
        <x:v>62726.801451529296</x:v>
      </x:c>
      <x:c r="O446" s="34" t="n">
        <x:f>G446*K446</x:f>
        <x:v>10676.101607050286</x:v>
      </x:c>
      <x:c r="P446" s="34" t="n">
        <x:f>G446*L446</x:f>
        <x:v>4579.056505961638</x:v>
      </x:c>
      <x:c r="Q446" s="34" t="n">
        <x:f>SUM(N446:P446)</x:f>
        <x:v>77981.95956454122</x:v>
      </x:c>
      <x:c r="R446" s="22" t="str">
        <x:f>IF(M446&gt;0,"복원","미복원")</x:f>
        <x:v>복원</x:v>
      </x:c>
      <x:c r="S446" s="37" t="n">
        <x:v>221</x:v>
      </x:c>
      <x:c r="T44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6" s="22" t="str">
        <x:f>A446&amp;"|"&amp;B446</x:f>
        <x:v>기계·전기동|C-010210</x:v>
      </x:c>
      <x:c r="V446" s="22" t="n">
        <x:f>IF(M446&gt;0,1,0)</x:f>
        <x:v>1</x:v>
      </x:c>
    </x:row>
    <x:row r="447" ht="28" customHeight="1">
      <x:c r="A447" s="22" t="str">
        <x:v>기계·전기동</x:v>
      </x:c>
      <x:c r="B447" s="31" t="str">
        <x:f>"C-010210"</x:f>
        <x:v>C-010210</x:v>
      </x:c>
      <x:c r="C447" s="25" t="str">
        <x:v>010210  PAINTERS WORKS</x:v>
      </x:c>
      <x:c r="D447" s="25" t="str">
        <x:v>Steel Trowelled with Epoxy coating</x:v>
      </x:c>
      <x:c r="E447" s="25" t="str">
        <x:v>Floor</x:v>
      </x:c>
      <x:c r="F447" s="22" t="str">
        <x:v>M2</x:v>
      </x:c>
      <x:c r="G447" s="28" t="n">
        <x:v>420</x:v>
      </x:c>
      <x:c r="H447" s="25" t="str">
        <x:v>4530234CF57486DF6239DCFA4C1</x:v>
      </x:c>
      <x:c r="I447" s="22" t="str">
        <x:v>직접자원단가</x:v>
      </x:c>
      <x:c r="J447" s="34" t="n">
        <x:v>20.365844627119902</x:v>
      </x:c>
      <x:c r="K447" s="34" t="n">
        <x:v>5.425461008664742</x:v>
      </x:c>
      <x:c r="L447" s="34" t="n">
        <x:v>1.7514626379323115</x:v>
      </x:c>
      <x:c r="M447" s="34" t="n">
        <x:f>SUM(J447:L447)</x:f>
        <x:v>27.54276827371696</x:v>
      </x:c>
      <x:c r="N447" s="34" t="n">
        <x:f>G447*J447</x:f>
        <x:v>8553.654743390358</x:v>
      </x:c>
      <x:c r="O447" s="34" t="n">
        <x:f>G447*K447</x:f>
        <x:v>2278.6936236391916</x:v>
      </x:c>
      <x:c r="P447" s="34" t="n">
        <x:f>G447*L447</x:f>
        <x:v>735.6143079315708</x:v>
      </x:c>
      <x:c r="Q447" s="34" t="n">
        <x:f>SUM(N447:P447)</x:f>
        <x:v>11567.962674961122</x:v>
      </x:c>
      <x:c r="R447" s="22" t="str">
        <x:f>IF(M447&gt;0,"복원","미복원")</x:f>
        <x:v>복원</x:v>
      </x:c>
      <x:c r="S447" s="37" t="n">
        <x:v>222</x:v>
      </x:c>
      <x:c r="T44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7" s="22" t="str">
        <x:f>A447&amp;"|"&amp;B447</x:f>
        <x:v>기계·전기동|C-010210</x:v>
      </x:c>
      <x:c r="V447" s="22" t="n">
        <x:f>IF(M447&gt;0,1,0)</x:f>
        <x:v>1</x:v>
      </x:c>
    </x:row>
    <x:row r="448" ht="28" customHeight="1">
      <x:c r="A448" s="22" t="str">
        <x:v>기계·전기동</x:v>
      </x:c>
      <x:c r="B448" s="31" t="str">
        <x:f>"C-010210"</x:f>
        <x:v>C-010210</x:v>
      </x:c>
      <x:c r="C448" s="25" t="str">
        <x:v>010210  PAINTERS WORKS</x:v>
      </x:c>
      <x:c r="D448" s="25" t="str">
        <x:v>Steel Trowelled with Epoxy coating</x:v>
      </x:c>
      <x:c r="E448" s="25" t="str">
        <x:v>CEILING</x:v>
      </x:c>
      <x:c r="F448" s="22" t="str">
        <x:v>M2</x:v>
      </x:c>
      <x:c r="G448" s="28" t="n">
        <x:v>507</x:v>
      </x:c>
      <x:c r="H448" s="25" t="str">
        <x:v>4530234CF57486DF6239DCFA4C0</x:v>
      </x:c>
      <x:c r="I448" s="22" t="str">
        <x:v>직접자원단가</x:v>
      </x:c>
      <x:c r="J448" s="34" t="n">
        <x:v>40.731689254239804</x:v>
      </x:c>
      <x:c r="K448" s="34" t="n">
        <x:v>8.439606013478487</x:v>
      </x:c>
      <x:c r="L448" s="34" t="n">
        <x:v>3.1770717618307045</x:v>
      </x:c>
      <x:c r="M448" s="34" t="n">
        <x:f>SUM(J448:L448)</x:f>
        <x:v>52.348367029548996</x:v>
      </x:c>
      <x:c r="N448" s="34" t="n">
        <x:f>G448*J448</x:f>
        <x:v>20650.96645189958</x:v>
      </x:c>
      <x:c r="O448" s="34" t="n">
        <x:f>G448*K448</x:f>
        <x:v>4278.880248833593</x:v>
      </x:c>
      <x:c r="P448" s="34" t="n">
        <x:f>G448*L448</x:f>
        <x:v>1610.7753832481671</x:v>
      </x:c>
      <x:c r="Q448" s="34" t="n">
        <x:f>SUM(N448:P448)</x:f>
        <x:v>26540.622083981343</x:v>
      </x:c>
      <x:c r="R448" s="22" t="str">
        <x:f>IF(M448&gt;0,"복원","미복원")</x:f>
        <x:v>복원</x:v>
      </x:c>
      <x:c r="S448" s="37" t="n">
        <x:v>223</x:v>
      </x:c>
      <x:c r="T44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8" s="22" t="str">
        <x:f>A448&amp;"|"&amp;B448</x:f>
        <x:v>기계·전기동|C-010210</x:v>
      </x:c>
      <x:c r="V448" s="22" t="n">
        <x:f>IF(M448&gt;0,1,0)</x:f>
        <x:v>1</x:v>
      </x:c>
    </x:row>
    <x:row r="449" ht="28" customHeight="1">
      <x:c r="A449" s="22" t="str">
        <x:v>기계·전기동</x:v>
      </x:c>
      <x:c r="B449" s="31" t="str">
        <x:f>"C-010210"</x:f>
        <x:v>C-010210</x:v>
      </x:c>
      <x:c r="C449" s="25" t="str">
        <x:v>010210  PAINTERS WORKS</x:v>
      </x:c>
      <x:c r="D449" s="25" t="str">
        <x:v>Supplying and laying of 100mm (h) Acrylic Paint skirting.</x:v>
      </x:c>
      <x:c r="E449" s="25" t="str"/>
      <x:c r="F449" s="22" t="str">
        <x:v>M2</x:v>
      </x:c>
      <x:c r="G449" s="28" t="n">
        <x:v>164</x:v>
      </x:c>
      <x:c r="H449" s="25" t="str">
        <x:v>4530234CF57486DF6239DCFA4C7</x:v>
      </x:c>
      <x:c r="I449" s="22" t="str">
        <x:v>직접자원단가</x:v>
      </x:c>
      <x:c r="J449" s="34" t="n">
        <x:v>24.43901355254388</x:v>
      </x:c>
      <x:c r="K449" s="34" t="n">
        <x:v>5.726875509146116</x:v>
      </x:c>
      <x:c r="L449" s="34" t="n">
        <x:v>1.9958527734577503</x:v>
      </x:c>
      <x:c r="M449" s="34" t="n">
        <x:f>SUM(J449:L449)</x:f>
        <x:v>32.161741835147744</x:v>
      </x:c>
      <x:c r="N449" s="34" t="n">
        <x:f>G449*J449</x:f>
        <x:v>4007.9982226171965</x:v>
      </x:c>
      <x:c r="O449" s="34" t="n">
        <x:f>G449*K449</x:f>
        <x:v>939.207583499963</x:v>
      </x:c>
      <x:c r="P449" s="34" t="n">
        <x:f>G449*L449</x:f>
        <x:v>327.31985484707104</x:v>
      </x:c>
      <x:c r="Q449" s="34" t="n">
        <x:f>SUM(N449:P449)</x:f>
        <x:v>5274.52566096423</x:v>
      </x:c>
      <x:c r="R449" s="22" t="str">
        <x:f>IF(M449&gt;0,"복원","미복원")</x:f>
        <x:v>복원</x:v>
      </x:c>
      <x:c r="S449" s="37" t="n">
        <x:v>224</x:v>
      </x:c>
      <x:c r="T44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49" s="22" t="str">
        <x:f>A449&amp;"|"&amp;B449</x:f>
        <x:v>기계·전기동|C-010210</x:v>
      </x:c>
      <x:c r="V449" s="22" t="n">
        <x:f>IF(M449&gt;0,1,0)</x:f>
        <x:v>1</x:v>
      </x:c>
    </x:row>
    <x:row r="450" ht="28" customHeight="1">
      <x:c r="A450" s="22" t="str">
        <x:v>기계·전기동</x:v>
      </x:c>
      <x:c r="B450" s="31" t="str">
        <x:f>"C-01021101"</x:f>
        <x:v>C-01021101</x:v>
      </x:c>
      <x:c r="C450" s="25" t="str">
        <x:v>01021101  STRUCTURE WORKS</x:v>
      </x:c>
      <x:c r="D450" s="25" t="str">
        <x:v>HD400 t10</x:v>
      </x:c>
      <x:c r="E450" s="25" t="str"/>
      <x:c r="F450" s="22" t="str">
        <x:v>TON</x:v>
      </x:c>
      <x:c r="G450" s="28" t="n">
        <x:v>2.028</x:v>
      </x:c>
      <x:c r="H450" s="25" t="str">
        <x:v>448227450276D253F2E49D1ED6B64</x:v>
      </x:c>
      <x:c r="I450" s="22" t="str">
        <x:v>복합일위대가</x:v>
      </x:c>
      <x:c r="J450" s="34" t="n">
        <x:v>0.21</x:v>
      </x:c>
      <x:c r="K450" s="34" t="n">
        <x:v>0.3</x:v>
      </x:c>
      <x:c r="L450" s="34" t="n">
        <x:v>0</x:v>
      </x:c>
      <x:c r="M450" s="34" t="n">
        <x:f>SUM(J450:L450)</x:f>
        <x:v>0.51</x:v>
      </x:c>
      <x:c r="N450" s="34" t="n">
        <x:f>G450*J450</x:f>
        <x:v>0.42588</x:v>
      </x:c>
      <x:c r="O450" s="34" t="n">
        <x:f>G450*K450</x:f>
        <x:v>0.6083999999999999</x:v>
      </x:c>
      <x:c r="P450" s="34" t="n">
        <x:f>G450*L450</x:f>
        <x:v>0</x:v>
      </x:c>
      <x:c r="Q450" s="34" t="n">
        <x:f>SUM(N450:P450)</x:f>
        <x:v>1.0342799999999999</x:v>
      </x:c>
      <x:c r="R450" s="22" t="str">
        <x:f>IF(M450&gt;0,"복원","미복원")</x:f>
        <x:v>복원</x:v>
      </x:c>
      <x:c r="S450" s="37" t="n">
        <x:v>245</x:v>
      </x:c>
      <x:c r="T45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0" s="22" t="str">
        <x:f>A450&amp;"|"&amp;B450</x:f>
        <x:v>기계·전기동|C-01021101</x:v>
      </x:c>
      <x:c r="V450" s="22" t="n">
        <x:f>IF(M450&gt;0,1,0)</x:f>
        <x:v>1</x:v>
      </x:c>
    </x:row>
    <x:row r="451" ht="28" customHeight="1">
      <x:c r="A451" s="22" t="str">
        <x:v>기계·전기동</x:v>
      </x:c>
      <x:c r="B451" s="31" t="str">
        <x:f>"C-01021101"</x:f>
        <x:v>C-01021101</x:v>
      </x:c>
      <x:c r="C451" s="25" t="str">
        <x:v>01021101  STRUCTURE WORKS</x:v>
      </x:c>
      <x:c r="D451" s="25" t="str">
        <x:v>HD400 t12</x:v>
      </x:c>
      <x:c r="E451" s="25" t="str"/>
      <x:c r="F451" s="22" t="str">
        <x:v>TON</x:v>
      </x:c>
      <x:c r="G451" s="28" t="n">
        <x:v>9.025</x:v>
      </x:c>
      <x:c r="H451" s="25" t="str">
        <x:v>4482274502742434921703B609301</x:v>
      </x:c>
      <x:c r="I451" s="22" t="str">
        <x:v>복합일위대가</x:v>
      </x:c>
      <x:c r="J451" s="34" t="n">
        <x:v>0.21</x:v>
      </x:c>
      <x:c r="K451" s="34" t="n">
        <x:v>0.3</x:v>
      </x:c>
      <x:c r="L451" s="34" t="n">
        <x:v>0</x:v>
      </x:c>
      <x:c r="M451" s="34" t="n">
        <x:f>SUM(J451:L451)</x:f>
        <x:v>0.51</x:v>
      </x:c>
      <x:c r="N451" s="34" t="n">
        <x:f>G451*J451</x:f>
        <x:v>1.89525</x:v>
      </x:c>
      <x:c r="O451" s="34" t="n">
        <x:f>G451*K451</x:f>
        <x:v>2.7075</x:v>
      </x:c>
      <x:c r="P451" s="34" t="n">
        <x:f>G451*L451</x:f>
        <x:v>0</x:v>
      </x:c>
      <x:c r="Q451" s="34" t="n">
        <x:f>SUM(N451:P451)</x:f>
        <x:v>4.60275</x:v>
      </x:c>
      <x:c r="R451" s="22" t="str">
        <x:f>IF(M451&gt;0,"복원","미복원")</x:f>
        <x:v>복원</x:v>
      </x:c>
      <x:c r="S451" s="37" t="n">
        <x:v>246</x:v>
      </x:c>
      <x:c r="T45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1" s="22" t="str">
        <x:f>A451&amp;"|"&amp;B451</x:f>
        <x:v>기계·전기동|C-01021101</x:v>
      </x:c>
      <x:c r="V451" s="22" t="n">
        <x:f>IF(M451&gt;0,1,0)</x:f>
        <x:v>1</x:v>
      </x:c>
    </x:row>
    <x:row r="452" ht="28" customHeight="1">
      <x:c r="A452" s="22" t="str">
        <x:v>기계·전기동</x:v>
      </x:c>
      <x:c r="B452" s="31" t="str">
        <x:f>"C-01021101"</x:f>
        <x:v>C-01021101</x:v>
      </x:c>
      <x:c r="C452" s="25" t="str">
        <x:v>01021101  STRUCTURE WORKS</x:v>
      </x:c>
      <x:c r="D452" s="25" t="str">
        <x:v>HD400 t16</x:v>
      </x:c>
      <x:c r="E452" s="25" t="str"/>
      <x:c r="F452" s="22" t="str">
        <x:v>TON</x:v>
      </x:c>
      <x:c r="G452" s="28" t="n">
        <x:v>5.002</x:v>
      </x:c>
      <x:c r="H452" s="25" t="str">
        <x:v>4482274502731FF3C29CCC201CB4B</x:v>
      </x:c>
      <x:c r="I452" s="22" t="str">
        <x:v>복합일위대가</x:v>
      </x:c>
      <x:c r="J452" s="34" t="n">
        <x:v>0</x:v>
      </x:c>
      <x:c r="K452" s="34" t="n">
        <x:v>0.38</x:v>
      </x:c>
      <x:c r="L452" s="34" t="n">
        <x:v>0</x:v>
      </x:c>
      <x:c r="M452" s="34" t="n">
        <x:f>SUM(J452:L452)</x:f>
        <x:v>0.38</x:v>
      </x:c>
      <x:c r="N452" s="34" t="n">
        <x:f>G452*J452</x:f>
        <x:v>0</x:v>
      </x:c>
      <x:c r="O452" s="34" t="n">
        <x:f>G452*K452</x:f>
        <x:v>1.90076</x:v>
      </x:c>
      <x:c r="P452" s="34" t="n">
        <x:f>G452*L452</x:f>
        <x:v>0</x:v>
      </x:c>
      <x:c r="Q452" s="34" t="n">
        <x:f>SUM(N452:P452)</x:f>
        <x:v>1.90076</x:v>
      </x:c>
      <x:c r="R452" s="22" t="str">
        <x:f>IF(M452&gt;0,"복원","미복원")</x:f>
        <x:v>복원</x:v>
      </x:c>
      <x:c r="S452" s="37" t="n">
        <x:v>247</x:v>
      </x:c>
      <x:c r="T45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2" s="22" t="str">
        <x:f>A452&amp;"|"&amp;B452</x:f>
        <x:v>기계·전기동|C-01021101</x:v>
      </x:c>
      <x:c r="V452" s="22" t="n">
        <x:f>IF(M452&gt;0,1,0)</x:f>
        <x:v>1</x:v>
      </x:c>
    </x:row>
    <x:row r="453" ht="28" customHeight="1">
      <x:c r="A453" s="22" t="str">
        <x:v>기계·전기동</x:v>
      </x:c>
      <x:c r="B453" s="31" t="str">
        <x:f>"C-01021101"</x:f>
        <x:v>C-01021101</x:v>
      </x:c>
      <x:c r="C453" s="25" t="str">
        <x:v>01021101  STRUCTURE WORKS</x:v>
      </x:c>
      <x:c r="D453" s="25" t="str">
        <x:v>HD400 t20</x:v>
      </x:c>
      <x:c r="E453" s="25" t="str"/>
      <x:c r="F453" s="22" t="str">
        <x:v>TON</x:v>
      </x:c>
      <x:c r="G453" s="28" t="n">
        <x:v>5.85</x:v>
      </x:c>
      <x:c r="H453" s="25" t="str">
        <x:v>448227451C7D1C0DC28CEFFB045AB</x:v>
      </x:c>
      <x:c r="I453" s="22" t="str">
        <x:v>복합일위대가</x:v>
      </x:c>
      <x:c r="J453" s="34" t="n">
        <x:v>1.4</x:v>
      </x:c>
      <x:c r="K453" s="34" t="n">
        <x:v>0</x:v>
      </x:c>
      <x:c r="L453" s="34" t="n">
        <x:v>0</x:v>
      </x:c>
      <x:c r="M453" s="34" t="n">
        <x:f>SUM(J453:L453)</x:f>
        <x:v>1.4</x:v>
      </x:c>
      <x:c r="N453" s="34" t="n">
        <x:f>G453*J453</x:f>
        <x:v>8.19</x:v>
      </x:c>
      <x:c r="O453" s="34" t="n">
        <x:f>G453*K453</x:f>
        <x:v>0</x:v>
      </x:c>
      <x:c r="P453" s="34" t="n">
        <x:f>G453*L453</x:f>
        <x:v>0</x:v>
      </x:c>
      <x:c r="Q453" s="34" t="n">
        <x:f>SUM(N453:P453)</x:f>
        <x:v>8.19</x:v>
      </x:c>
      <x:c r="R453" s="22" t="str">
        <x:f>IF(M453&gt;0,"복원","미복원")</x:f>
        <x:v>복원</x:v>
      </x:c>
      <x:c r="S453" s="37" t="n">
        <x:v>248</x:v>
      </x:c>
      <x:c r="T45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3" s="22" t="str">
        <x:f>A453&amp;"|"&amp;B453</x:f>
        <x:v>기계·전기동|C-01021101</x:v>
      </x:c>
      <x:c r="V453" s="22" t="n">
        <x:f>IF(M453&gt;0,1,0)</x:f>
        <x:v>1</x:v>
      </x:c>
    </x:row>
    <x:row r="454" ht="28" customHeight="1">
      <x:c r="A454" s="22" t="str">
        <x:v>기계·전기동</x:v>
      </x:c>
      <x:c r="B454" s="31" t="str">
        <x:f>"C-01021101"</x:f>
        <x:v>C-01021101</x:v>
      </x:c>
      <x:c r="C454" s="25" t="str">
        <x:v>01021101  STRUCTURE WORKS</x:v>
      </x:c>
      <x:c r="D454" s="25" t="str">
        <x:v>HD400 t25</x:v>
      </x:c>
      <x:c r="E454" s="25" t="str"/>
      <x:c r="F454" s="22" t="str">
        <x:v>TON</x:v>
      </x:c>
      <x:c r="G454" s="28" t="n">
        <x:v>3.464</x:v>
      </x:c>
      <x:c r="H454" s="25" t="str">
        <x:v>44822745FA7C21D7222D3828CFB51</x:v>
      </x:c>
      <x:c r="I454" s="22" t="str">
        <x:v>복합일위대가</x:v>
      </x:c>
      <x:c r="J454" s="34" t="n">
        <x:v>1.37</x:v>
      </x:c>
      <x:c r="K454" s="34" t="n">
        <x:v>3.18</x:v>
      </x:c>
      <x:c r="L454" s="34" t="n">
        <x:v>0</x:v>
      </x:c>
      <x:c r="M454" s="34" t="n">
        <x:f>SUM(J454:L454)</x:f>
        <x:v>4.550000000000001</x:v>
      </x:c>
      <x:c r="N454" s="34" t="n">
        <x:f>G454*J454</x:f>
        <x:v>4.74568</x:v>
      </x:c>
      <x:c r="O454" s="34" t="n">
        <x:f>G454*K454</x:f>
        <x:v>11.01552</x:v>
      </x:c>
      <x:c r="P454" s="34" t="n">
        <x:f>G454*L454</x:f>
        <x:v>0</x:v>
      </x:c>
      <x:c r="Q454" s="34" t="n">
        <x:f>SUM(N454:P454)</x:f>
        <x:v>15.7612</x:v>
      </x:c>
      <x:c r="R454" s="22" t="str">
        <x:f>IF(M454&gt;0,"복원","미복원")</x:f>
        <x:v>복원</x:v>
      </x:c>
      <x:c r="S454" s="37" t="n">
        <x:v>249</x:v>
      </x:c>
      <x:c r="T45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4" s="22" t="str">
        <x:f>A454&amp;"|"&amp;B454</x:f>
        <x:v>기계·전기동|C-01021101</x:v>
      </x:c>
      <x:c r="V454" s="22" t="n">
        <x:f>IF(M454&gt;0,1,0)</x:f>
        <x:v>1</x:v>
      </x:c>
    </x:row>
    <x:row r="455" ht="28" customHeight="1">
      <x:c r="A455" s="22" t="str">
        <x:v>기계·전기동</x:v>
      </x:c>
      <x:c r="B455" s="31" t="str">
        <x:f>"C-01021101"</x:f>
        <x:v>C-01021101</x:v>
      </x:c>
      <x:c r="C455" s="25" t="str">
        <x:v>01021101  STRUCTURE WORKS</x:v>
      </x:c>
      <x:c r="D455" s="25" t="str">
        <x:v>concrete(reinforced concrete)</x:v>
      </x:c>
      <x:c r="E455" s="25" t="str">
        <x:v>'f'c 350mpa, foucdation</x:v>
      </x:c>
      <x:c r="F455" s="22" t="str">
        <x:v>M3</x:v>
      </x:c>
      <x:c r="G455" s="28" t="n">
        <x:v>57</x:v>
      </x:c>
      <x:c r="H455" s="25" t="str">
        <x:v>44822745FA7C21D7222D3828CFA4A</x:v>
      </x:c>
      <x:c r="I455" s="22" t="str">
        <x:v>복합일위대가</x:v>
      </x:c>
      <x:c r="J455" s="34" t="n">
        <x:v>1.92</x:v>
      </x:c>
      <x:c r="K455" s="34" t="n">
        <x:v>3.62</x:v>
      </x:c>
      <x:c r="L455" s="34" t="n">
        <x:v>0</x:v>
      </x:c>
      <x:c r="M455" s="34" t="n">
        <x:f>SUM(J455:L455)</x:f>
        <x:v>5.54</x:v>
      </x:c>
      <x:c r="N455" s="34" t="n">
        <x:f>G455*J455</x:f>
        <x:v>109.44</x:v>
      </x:c>
      <x:c r="O455" s="34" t="n">
        <x:f>G455*K455</x:f>
        <x:v>206.34</x:v>
      </x:c>
      <x:c r="P455" s="34" t="n">
        <x:f>G455*L455</x:f>
        <x:v>0</x:v>
      </x:c>
      <x:c r="Q455" s="34" t="n">
        <x:f>SUM(N455:P455)</x:f>
        <x:v>315.78</x:v>
      </x:c>
      <x:c r="R455" s="22" t="str">
        <x:f>IF(M455&gt;0,"복원","미복원")</x:f>
        <x:v>복원</x:v>
      </x:c>
      <x:c r="S455" s="37" t="n">
        <x:v>250</x:v>
      </x:c>
      <x:c r="T45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5" s="22" t="str">
        <x:f>A455&amp;"|"&amp;B455</x:f>
        <x:v>기계·전기동|C-01021101</x:v>
      </x:c>
      <x:c r="V455" s="22" t="n">
        <x:f>IF(M455&gt;0,1,0)</x:f>
        <x:v>1</x:v>
      </x:c>
    </x:row>
    <x:row r="456" ht="28" customHeight="1">
      <x:c r="A456" s="22" t="str">
        <x:v>기계·전기동</x:v>
      </x:c>
      <x:c r="B456" s="31" t="str">
        <x:f>"C-01021101"</x:f>
        <x:v>C-01021101</x:v>
      </x:c>
      <x:c r="C456" s="25" t="str">
        <x:v>01021101  STRUCTURE WORKS</x:v>
      </x:c>
      <x:c r="D456" s="25" t="str">
        <x:v>concrete(reinforced concrete)</x:v>
      </x:c>
      <x:c r="E456" s="25" t="str">
        <x:v>'f'c 300mpa, all members except foundation</x:v>
      </x:c>
      <x:c r="F456" s="22" t="str">
        <x:v>M3</x:v>
      </x:c>
      <x:c r="G456" s="28" t="n">
        <x:v>130</x:v>
      </x:c>
      <x:c r="H456" s="25" t="str">
        <x:v>44822745FA7C21D7222D381E61813</x:v>
      </x:c>
      <x:c r="I456" s="22" t="str">
        <x:v>복합일위대가</x:v>
      </x:c>
      <x:c r="J456" s="34" t="n">
        <x:v>3.75</x:v>
      </x:c>
      <x:c r="K456" s="34" t="n">
        <x:v>0</x:v>
      </x:c>
      <x:c r="L456" s="34" t="n">
        <x:v>0</x:v>
      </x:c>
      <x:c r="M456" s="34" t="n">
        <x:f>SUM(J456:L456)</x:f>
        <x:v>3.75</x:v>
      </x:c>
      <x:c r="N456" s="34" t="n">
        <x:f>G456*J456</x:f>
        <x:v>487.5</x:v>
      </x:c>
      <x:c r="O456" s="34" t="n">
        <x:f>G456*K456</x:f>
        <x:v>0</x:v>
      </x:c>
      <x:c r="P456" s="34" t="n">
        <x:f>G456*L456</x:f>
        <x:v>0</x:v>
      </x:c>
      <x:c r="Q456" s="34" t="n">
        <x:f>SUM(N456:P456)</x:f>
        <x:v>487.5</x:v>
      </x:c>
      <x:c r="R456" s="22" t="str">
        <x:f>IF(M456&gt;0,"복원","미복원")</x:f>
        <x:v>복원</x:v>
      </x:c>
      <x:c r="S456" s="37" t="n">
        <x:v>251</x:v>
      </x:c>
      <x:c r="T45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6" s="22" t="str">
        <x:f>A456&amp;"|"&amp;B456</x:f>
        <x:v>기계·전기동|C-01021101</x:v>
      </x:c>
      <x:c r="V456" s="22" t="n">
        <x:f>IF(M456&gt;0,1,0)</x:f>
        <x:v>1</x:v>
      </x:c>
    </x:row>
    <x:row r="457" ht="28" customHeight="1">
      <x:c r="A457" s="22" t="str">
        <x:v>기계·전기동</x:v>
      </x:c>
      <x:c r="B457" s="31" t="str">
        <x:f>"C-01021101"</x:f>
        <x:v>C-01021101</x:v>
      </x:c>
      <x:c r="C457" s="25" t="str">
        <x:v>01021101  STRUCTURE WORKS</x:v>
      </x:c>
      <x:c r="D457" s="25" t="str">
        <x:v>concrete(finish)</x:v>
      </x:c>
      <x:c r="E457" s="25" t="str">
        <x:v>'f'c 120mpa, finish work</x:v>
      </x:c>
      <x:c r="F457" s="22" t="str">
        <x:v>M3</x:v>
      </x:c>
      <x:c r="G457" s="28" t="n">
        <x:v>10</x:v>
      </x:c>
      <x:c r="H457" s="25" t="str">
        <x:v>44822745FA7C21D7222D381E6193A</x:v>
      </x:c>
      <x:c r="I457" s="22" t="str">
        <x:v>복합일위대가</x:v>
      </x:c>
      <x:c r="J457" s="34" t="n">
        <x:v>3.75</x:v>
      </x:c>
      <x:c r="K457" s="34" t="n">
        <x:v>0</x:v>
      </x:c>
      <x:c r="L457" s="34" t="n">
        <x:v>0</x:v>
      </x:c>
      <x:c r="M457" s="34" t="n">
        <x:f>SUM(J457:L457)</x:f>
        <x:v>3.75</x:v>
      </x:c>
      <x:c r="N457" s="34" t="n">
        <x:f>G457*J457</x:f>
        <x:v>37.5</x:v>
      </x:c>
      <x:c r="O457" s="34" t="n">
        <x:f>G457*K457</x:f>
        <x:v>0</x:v>
      </x:c>
      <x:c r="P457" s="34" t="n">
        <x:f>G457*L457</x:f>
        <x:v>0</x:v>
      </x:c>
      <x:c r="Q457" s="34" t="n">
        <x:f>SUM(N457:P457)</x:f>
        <x:v>37.5</x:v>
      </x:c>
      <x:c r="R457" s="22" t="str">
        <x:f>IF(M457&gt;0,"복원","미복원")</x:f>
        <x:v>복원</x:v>
      </x:c>
      <x:c r="S457" s="37" t="n">
        <x:v>252</x:v>
      </x:c>
      <x:c r="T45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7" s="22" t="str">
        <x:f>A457&amp;"|"&amp;B457</x:f>
        <x:v>기계·전기동|C-01021101</x:v>
      </x:c>
      <x:c r="V457" s="22" t="n">
        <x:f>IF(M457&gt;0,1,0)</x:f>
        <x:v>1</x:v>
      </x:c>
    </x:row>
    <x:row r="458" ht="28" customHeight="1">
      <x:c r="A458" s="22" t="str">
        <x:v>기계·전기동</x:v>
      </x:c>
      <x:c r="B458" s="31" t="str">
        <x:f>"C-01021101"</x:f>
        <x:v>C-01021101</x:v>
      </x:c>
      <x:c r="C458" s="25" t="str">
        <x:v>01021101  STRUCTURE WORKS</x:v>
      </x:c>
      <x:c r="D458" s="25" t="str">
        <x:v>concrete(of leveling layer)</x:v>
      </x:c>
      <x:c r="E458" s="25" t="str">
        <x:v>'f'c 80mpa, for leveling layer</x:v>
      </x:c>
      <x:c r="F458" s="22" t="str">
        <x:v>M3</x:v>
      </x:c>
      <x:c r="G458" s="28" t="n">
        <x:v>8</x:v>
      </x:c>
      <x:c r="H458" s="25" t="str">
        <x:v>44822745FA7C21D7222D380DF265B</x:v>
      </x:c>
      <x:c r="I458" s="22" t="str">
        <x:v>복합일위대가</x:v>
      </x:c>
      <x:c r="J458" s="34" t="n">
        <x:v>2</x:v>
      </x:c>
      <x:c r="K458" s="34" t="n">
        <x:v>0</x:v>
      </x:c>
      <x:c r="L458" s="34" t="n">
        <x:v>0</x:v>
      </x:c>
      <x:c r="M458" s="34" t="n">
        <x:f>SUM(J458:L458)</x:f>
        <x:v>2</x:v>
      </x:c>
      <x:c r="N458" s="34" t="n">
        <x:f>G458*J458</x:f>
        <x:v>16</x:v>
      </x:c>
      <x:c r="O458" s="34" t="n">
        <x:f>G458*K458</x:f>
        <x:v>0</x:v>
      </x:c>
      <x:c r="P458" s="34" t="n">
        <x:f>G458*L458</x:f>
        <x:v>0</x:v>
      </x:c>
      <x:c r="Q458" s="34" t="n">
        <x:f>SUM(N458:P458)</x:f>
        <x:v>16</x:v>
      </x:c>
      <x:c r="R458" s="22" t="str">
        <x:f>IF(M458&gt;0,"복원","미복원")</x:f>
        <x:v>복원</x:v>
      </x:c>
      <x:c r="S458" s="37" t="n">
        <x:v>253</x:v>
      </x:c>
      <x:c r="T45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8" s="22" t="str">
        <x:f>A458&amp;"|"&amp;B458</x:f>
        <x:v>기계·전기동|C-01021101</x:v>
      </x:c>
      <x:c r="V458" s="22" t="n">
        <x:f>IF(M458&gt;0,1,0)</x:f>
        <x:v>1</x:v>
      </x:c>
    </x:row>
    <x:row r="459" ht="28" customHeight="1">
      <x:c r="A459" s="22" t="str">
        <x:v>기계·전기동</x:v>
      </x:c>
      <x:c r="B459" s="31" t="str">
        <x:f>"C-01021101"</x:f>
        <x:v>C-01021101</x:v>
      </x:c>
      <x:c r="C459" s="25" t="str">
        <x:v>01021101  STRUCTURE WORKS</x:v>
      </x:c>
      <x:c r="D459" s="25" t="str">
        <x:v>a mold for concrete</x:v>
      </x:c>
      <x:c r="E459" s="25" t="str"/>
      <x:c r="F459" s="22" t="str">
        <x:v>M2</x:v>
      </x:c>
      <x:c r="G459" s="28" t="n">
        <x:v>879</x:v>
      </x:c>
      <x:c r="H459" s="25" t="str">
        <x:v>44822745FA7C21D7222D380DF2762</x:v>
      </x:c>
      <x:c r="I459" s="22" t="str">
        <x:v>복합일위대가</x:v>
      </x:c>
      <x:c r="J459" s="34" t="n">
        <x:v>5.75</x:v>
      </x:c>
      <x:c r="K459" s="34" t="n">
        <x:v>0</x:v>
      </x:c>
      <x:c r="L459" s="34" t="n">
        <x:v>0</x:v>
      </x:c>
      <x:c r="M459" s="34" t="n">
        <x:f>SUM(J459:L459)</x:f>
        <x:v>5.75</x:v>
      </x:c>
      <x:c r="N459" s="34" t="n">
        <x:f>G459*J459</x:f>
        <x:v>5054.25</x:v>
      </x:c>
      <x:c r="O459" s="34" t="n">
        <x:f>G459*K459</x:f>
        <x:v>0</x:v>
      </x:c>
      <x:c r="P459" s="34" t="n">
        <x:f>G459*L459</x:f>
        <x:v>0</x:v>
      </x:c>
      <x:c r="Q459" s="34" t="n">
        <x:f>SUM(N459:P459)</x:f>
        <x:v>5054.25</x:v>
      </x:c>
      <x:c r="R459" s="22" t="str">
        <x:f>IF(M459&gt;0,"복원","미복원")</x:f>
        <x:v>복원</x:v>
      </x:c>
      <x:c r="S459" s="37" t="n">
        <x:v>254</x:v>
      </x:c>
      <x:c r="T45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59" s="22" t="str">
        <x:f>A459&amp;"|"&amp;B459</x:f>
        <x:v>기계·전기동|C-01021101</x:v>
      </x:c>
      <x:c r="V459" s="22" t="n">
        <x:f>IF(M459&gt;0,1,0)</x:f>
        <x:v>1</x:v>
      </x:c>
    </x:row>
    <x:row r="460" ht="28" customHeight="1">
      <x:c r="A460" s="22" t="str">
        <x:v>기계·전기동</x:v>
      </x:c>
      <x:c r="B460" s="31" t="str">
        <x:f>"C-01021102"</x:f>
        <x:v>C-01021102</x:v>
      </x:c>
      <x:c r="C460" s="25" t="str">
        <x:v>01021102  MASONRY WORKS</x:v>
      </x:c>
      <x:c r="D460" s="25" t="str">
        <x:v>Brick</x:v>
      </x:c>
      <x:c r="E460" s="25" t="str">
        <x:v>190*90*57, FOR Interior wall</x:v>
      </x:c>
      <x:c r="F460" s="22" t="str">
        <x:v>EA</x:v>
      </x:c>
      <x:c r="G460" s="28" t="n">
        <x:v>1815</x:v>
      </x:c>
      <x:c r="H460" s="25" t="str">
        <x:v>448224421470A2F9A241EAE1B4AAA</x:v>
      </x:c>
      <x:c r="I460" s="22" t="str">
        <x:v>복합일위대가</x:v>
      </x:c>
      <x:c r="J460" s="34" t="n">
        <x:v>105.65</x:v>
      </x:c>
      <x:c r="K460" s="34" t="n">
        <x:v>13.76</x:v>
      </x:c>
      <x:c r="L460" s="34" t="n">
        <x:v>0</x:v>
      </x:c>
      <x:c r="M460" s="34" t="n">
        <x:f>SUM(J460:L460)</x:f>
        <x:v>119.41000000000001</x:v>
      </x:c>
      <x:c r="N460" s="34" t="n">
        <x:f>G460*J460</x:f>
        <x:v>191754.75</x:v>
      </x:c>
      <x:c r="O460" s="34" t="n">
        <x:f>G460*K460</x:f>
        <x:v>24974.399999999998</x:v>
      </x:c>
      <x:c r="P460" s="34" t="n">
        <x:f>G460*L460</x:f>
        <x:v>0</x:v>
      </x:c>
      <x:c r="Q460" s="34" t="n">
        <x:f>SUM(N460:P460)</x:f>
        <x:v>216729.15</x:v>
      </x:c>
      <x:c r="R460" s="22" t="str">
        <x:f>IF(M460&gt;0,"복원","미복원")</x:f>
        <x:v>복원</x:v>
      </x:c>
      <x:c r="S460" s="37" t="n">
        <x:v>269</x:v>
      </x:c>
      <x:c r="T46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0" s="22" t="str">
        <x:f>A460&amp;"|"&amp;B460</x:f>
        <x:v>기계·전기동|C-01021102</x:v>
      </x:c>
      <x:c r="V460" s="22" t="n">
        <x:f>IF(M460&gt;0,1,0)</x:f>
        <x:v>1</x:v>
      </x:c>
    </x:row>
    <x:row r="461" ht="28" customHeight="1">
      <x:c r="A461" s="22" t="str">
        <x:v>기계·전기동</x:v>
      </x:c>
      <x:c r="B461" s="31" t="str">
        <x:f>"C-01021102"</x:f>
        <x:v>C-01021102</x:v>
      </x:c>
      <x:c r="C461" s="25" t="str">
        <x:v>01021102  MASONRY WORKS</x:v>
      </x:c>
      <x:c r="D461" s="25" t="str">
        <x:v>100mm thick brick, Interior wall</x:v>
      </x:c>
      <x:c r="E461" s="25" t="str"/>
      <x:c r="F461" s="22" t="str">
        <x:v>M2</x:v>
      </x:c>
      <x:c r="G461" s="28" t="n">
        <x:v>24</x:v>
      </x:c>
      <x:c r="H461" s="25" t="str">
        <x:v>448224421470A2F9A241EAE1B4983</x:v>
      </x:c>
      <x:c r="I461" s="22" t="str">
        <x:v>복합일위대가</x:v>
      </x:c>
      <x:c r="J461" s="34" t="n">
        <x:v>16.57</x:v>
      </x:c>
      <x:c r="K461" s="34" t="n">
        <x:v>7.23</x:v>
      </x:c>
      <x:c r="L461" s="34" t="n">
        <x:v>0.13</x:v>
      </x:c>
      <x:c r="M461" s="34" t="n">
        <x:f>SUM(J461:L461)</x:f>
        <x:v>23.93</x:v>
      </x:c>
      <x:c r="N461" s="34" t="n">
        <x:f>G461*J461</x:f>
        <x:v>397.68</x:v>
      </x:c>
      <x:c r="O461" s="34" t="n">
        <x:f>G461*K461</x:f>
        <x:v>173.52</x:v>
      </x:c>
      <x:c r="P461" s="34" t="n">
        <x:f>G461*L461</x:f>
        <x:v>3.12</x:v>
      </x:c>
      <x:c r="Q461" s="34" t="n">
        <x:f>SUM(N461:P461)</x:f>
        <x:v>574.32</x:v>
      </x:c>
      <x:c r="R461" s="22" t="str">
        <x:f>IF(M461&gt;0,"복원","미복원")</x:f>
        <x:v>복원</x:v>
      </x:c>
      <x:c r="S461" s="37" t="n">
        <x:v>270</x:v>
      </x:c>
      <x:c r="T46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1" s="22" t="str">
        <x:f>A461&amp;"|"&amp;B461</x:f>
        <x:v>기계·전기동|C-01021102</x:v>
      </x:c>
      <x:c r="V461" s="22" t="n">
        <x:f>IF(M461&gt;0,1,0)</x:f>
        <x:v>1</x:v>
      </x:c>
    </x:row>
    <x:row r="462" ht="28" customHeight="1">
      <x:c r="A462" s="22" t="str">
        <x:v>기계·전기동</x:v>
      </x:c>
      <x:c r="B462" s="31" t="str">
        <x:f>"C-01021103"</x:f>
        <x:v>C-01021103</x:v>
      </x:c>
      <x:c r="C462" s="25" t="str">
        <x:v>01021103  FINISH WORKS</x:v>
      </x:c>
      <x:c r="D462" s="25" t="str">
        <x:v>0.1mm thick polyethylene sheet(2Layers) under blinding beds.</x:v>
      </x:c>
      <x:c r="E462" s="25" t="str"/>
      <x:c r="F462" s="22" t="str">
        <x:v>M2</x:v>
      </x:c>
      <x:c r="G462" s="28" t="n">
        <x:v>30</x:v>
      </x:c>
      <x:c r="H462" s="25" t="str">
        <x:v>43AE2142BE750E32422B8C4B8098C3F6EA6FF</x:v>
      </x:c>
      <x:c r="I462" s="22" t="str">
        <x:v>직접자원단가</x:v>
      </x:c>
      <x:c r="J462" s="34" t="n">
        <x:v>2</x:v>
      </x:c>
      <x:c r="K462" s="34" t="n">
        <x:v>0</x:v>
      </x:c>
      <x:c r="L462" s="34" t="n">
        <x:v>0</x:v>
      </x:c>
      <x:c r="M462" s="34" t="n">
        <x:f>SUM(J462:L462)</x:f>
        <x:v>2</x:v>
      </x:c>
      <x:c r="N462" s="34" t="n">
        <x:f>G462*J462</x:f>
        <x:v>60</x:v>
      </x:c>
      <x:c r="O462" s="34" t="n">
        <x:f>G462*K462</x:f>
        <x:v>0</x:v>
      </x:c>
      <x:c r="P462" s="34" t="n">
        <x:f>G462*L462</x:f>
        <x:v>0</x:v>
      </x:c>
      <x:c r="Q462" s="34" t="n">
        <x:f>SUM(N462:P462)</x:f>
        <x:v>60</x:v>
      </x:c>
      <x:c r="R462" s="22" t="str">
        <x:f>IF(M462&gt;0,"복원","미복원")</x:f>
        <x:v>복원</x:v>
      </x:c>
      <x:c r="S462" s="37" t="n">
        <x:v>293</x:v>
      </x:c>
      <x:c r="T46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2" s="22" t="str">
        <x:f>A462&amp;"|"&amp;B462</x:f>
        <x:v>기계·전기동|C-01021103</x:v>
      </x:c>
      <x:c r="V462" s="22" t="n">
        <x:f>IF(M462&gt;0,1,0)</x:f>
        <x:v>1</x:v>
      </x:c>
    </x:row>
    <x:row r="463" ht="28" customHeight="1">
      <x:c r="A463" s="22" t="str">
        <x:v>기계·전기동</x:v>
      </x:c>
      <x:c r="B463" s="31" t="str">
        <x:f>"C-01021104"</x:f>
        <x:v>C-01021104</x:v>
      </x:c>
      <x:c r="C463" s="25" t="str">
        <x:v>01021104  METAL WORKS</x:v>
      </x:c>
      <x:c r="D463" s="25" t="str">
        <x:v>Supply and SST Cat Ladder</x:v>
      </x:c>
      <x:c r="E463" s="25" t="str">
        <x:v>400mm x 3.4m high</x:v>
      </x:c>
      <x:c r="F463" s="22" t="str">
        <x:v>EA</x:v>
      </x:c>
      <x:c r="G463" s="28" t="n">
        <x:v>1</x:v>
      </x:c>
      <x:c r="H463" s="25" t="str">
        <x:v>4482254042708488C255237DA7AC2</x:v>
      </x:c>
      <x:c r="I463" s="22" t="str">
        <x:v>복합일위대가</x:v>
      </x:c>
      <x:c r="J463" s="34" t="n">
        <x:v>86.23</x:v>
      </x:c>
      <x:c r="K463" s="34" t="n">
        <x:v>0</x:v>
      </x:c>
      <x:c r="L463" s="34" t="n">
        <x:v>0</x:v>
      </x:c>
      <x:c r="M463" s="34" t="n">
        <x:f>SUM(J463:L463)</x:f>
        <x:v>86.23</x:v>
      </x:c>
      <x:c r="N463" s="34" t="n">
        <x:f>G463*J463</x:f>
        <x:v>86.23</x:v>
      </x:c>
      <x:c r="O463" s="34" t="n">
        <x:f>G463*K463</x:f>
        <x:v>0</x:v>
      </x:c>
      <x:c r="P463" s="34" t="n">
        <x:f>G463*L463</x:f>
        <x:v>0</x:v>
      </x:c>
      <x:c r="Q463" s="34" t="n">
        <x:f>SUM(N463:P463)</x:f>
        <x:v>86.23</x:v>
      </x:c>
      <x:c r="R463" s="22" t="str">
        <x:f>IF(M463&gt;0,"복원","미복원")</x:f>
        <x:v>복원</x:v>
      </x:c>
      <x:c r="S463" s="37" t="n">
        <x:v>317</x:v>
      </x:c>
      <x:c r="T46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3" s="22" t="str">
        <x:f>A463&amp;"|"&amp;B463</x:f>
        <x:v>기계·전기동|C-01021104</x:v>
      </x:c>
      <x:c r="V463" s="22" t="n">
        <x:f>IF(M463&gt;0,1,0)</x:f>
        <x:v>1</x:v>
      </x:c>
    </x:row>
    <x:row r="464" ht="28" customHeight="1">
      <x:c r="A464" s="22" t="str">
        <x:v>기계·전기동</x:v>
      </x:c>
      <x:c r="B464" s="31" t="str">
        <x:f>"C-01021104"</x:f>
        <x:v>C-01021104</x:v>
      </x:c>
      <x:c r="C464" s="25" t="str">
        <x:v>01021104  METAL WORKS</x:v>
      </x:c>
      <x:c r="D464" s="25" t="str">
        <x:v>Supply and fixed of Wiremesh On Floor, #8-150*150</x:v>
      </x:c>
      <x:c r="E464" s="25" t="str"/>
      <x:c r="F464" s="22" t="str">
        <x:v>M2</x:v>
      </x:c>
      <x:c r="G464" s="28" t="n">
        <x:v>90</x:v>
      </x:c>
      <x:c r="H464" s="25" t="str">
        <x:v>4482254042708488C255237DA7BE9</x:v>
      </x:c>
      <x:c r="I464" s="22" t="str">
        <x:v>복합일위대가</x:v>
      </x:c>
      <x:c r="J464" s="34" t="n">
        <x:v>132.53</x:v>
      </x:c>
      <x:c r="K464" s="34" t="n">
        <x:v>0</x:v>
      </x:c>
      <x:c r="L464" s="34" t="n">
        <x:v>0</x:v>
      </x:c>
      <x:c r="M464" s="34" t="n">
        <x:f>SUM(J464:L464)</x:f>
        <x:v>132.53</x:v>
      </x:c>
      <x:c r="N464" s="34" t="n">
        <x:f>G464*J464</x:f>
        <x:v>11927.7</x:v>
      </x:c>
      <x:c r="O464" s="34" t="n">
        <x:f>G464*K464</x:f>
        <x:v>0</x:v>
      </x:c>
      <x:c r="P464" s="34" t="n">
        <x:f>G464*L464</x:f>
        <x:v>0</x:v>
      </x:c>
      <x:c r="Q464" s="34" t="n">
        <x:f>SUM(N464:P464)</x:f>
        <x:v>11927.7</x:v>
      </x:c>
      <x:c r="R464" s="22" t="str">
        <x:f>IF(M464&gt;0,"복원","미복원")</x:f>
        <x:v>복원</x:v>
      </x:c>
      <x:c r="S464" s="37" t="n">
        <x:v>318</x:v>
      </x:c>
      <x:c r="T46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4" s="22" t="str">
        <x:f>A464&amp;"|"&amp;B464</x:f>
        <x:v>기계·전기동|C-01021104</x:v>
      </x:c>
      <x:c r="V464" s="22" t="n">
        <x:f>IF(M464&gt;0,1,0)</x:f>
        <x:v>1</x:v>
      </x:c>
    </x:row>
    <x:row r="465" ht="28" customHeight="1">
      <x:c r="A465" s="22" t="str">
        <x:v>기계·전기동</x:v>
      </x:c>
      <x:c r="B465" s="31" t="str">
        <x:f>"C-01021104"</x:f>
        <x:v>C-01021104</x:v>
      </x:c>
      <x:c r="C465" s="25" t="str">
        <x:v>01021104  METAL WORKS</x:v>
      </x:c>
      <x:c r="D465" s="25" t="str">
        <x:v>Supply and fixed of Steel cover</x:v>
      </x:c>
      <x:c r="E465" s="25" t="str">
        <x:v>T2.3 GALVANIZED IRON PLATE 1200*1200</x:v>
      </x:c>
      <x:c r="F465" s="22" t="str">
        <x:v>EA</x:v>
      </x:c>
      <x:c r="G465" s="28" t="n">
        <x:v>1</x:v>
      </x:c>
      <x:c r="H465" s="25" t="str">
        <x:v>4482254042708488C255237DA7C8F</x:v>
      </x:c>
      <x:c r="I465" s="22" t="str">
        <x:v>복합일위대가</x:v>
      </x:c>
      <x:c r="J465" s="34" t="n">
        <x:v>143.71</x:v>
      </x:c>
      <x:c r="K465" s="34" t="n">
        <x:v>0</x:v>
      </x:c>
      <x:c r="L465" s="34" t="n">
        <x:v>0</x:v>
      </x:c>
      <x:c r="M465" s="34" t="n">
        <x:f>SUM(J465:L465)</x:f>
        <x:v>143.71</x:v>
      </x:c>
      <x:c r="N465" s="34" t="n">
        <x:f>G465*J465</x:f>
        <x:v>143.71</x:v>
      </x:c>
      <x:c r="O465" s="34" t="n">
        <x:f>G465*K465</x:f>
        <x:v>0</x:v>
      </x:c>
      <x:c r="P465" s="34" t="n">
        <x:f>G465*L465</x:f>
        <x:v>0</x:v>
      </x:c>
      <x:c r="Q465" s="34" t="n">
        <x:f>SUM(N465:P465)</x:f>
        <x:v>143.71</x:v>
      </x:c>
      <x:c r="R465" s="22" t="str">
        <x:f>IF(M465&gt;0,"복원","미복원")</x:f>
        <x:v>복원</x:v>
      </x:c>
      <x:c r="S465" s="37" t="n">
        <x:v>319</x:v>
      </x:c>
      <x:c r="T46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5" s="22" t="str">
        <x:f>A465&amp;"|"&amp;B465</x:f>
        <x:v>기계·전기동|C-01021104</x:v>
      </x:c>
      <x:c r="V465" s="22" t="n">
        <x:f>IF(M465&gt;0,1,0)</x:f>
        <x:v>1</x:v>
      </x:c>
    </x:row>
    <x:row r="466" ht="28" customHeight="1">
      <x:c r="A466" s="22" t="str">
        <x:v>기계·전기동</x:v>
      </x:c>
      <x:c r="B466" s="31" t="str">
        <x:f>"C-01021105"</x:f>
        <x:v>C-01021105</x:v>
      </x:c>
      <x:c r="C466" s="25" t="str">
        <x:v>01021105  PLASTER WORKS</x:v>
      </x:c>
      <x:c r="D466" s="25" t="str">
        <x:v>CONCRETE SURFACE TREATMENT</x:v>
      </x:c>
      <x:c r="E466" s="25" t="str">
        <x:v>CEILING</x:v>
      </x:c>
      <x:c r="F466" s="22" t="str">
        <x:v>M2</x:v>
      </x:c>
      <x:c r="G466" s="28" t="n">
        <x:v>111</x:v>
      </x:c>
      <x:c r="H466" s="25" t="str">
        <x:v>4482284BC0735B256231C4073E69B</x:v>
      </x:c>
      <x:c r="I466" s="22" t="str">
        <x:v>복합일위대가</x:v>
      </x:c>
      <x:c r="J466" s="34" t="n">
        <x:v>1.05</x:v>
      </x:c>
      <x:c r="K466" s="34" t="n">
        <x:v>0</x:v>
      </x:c>
      <x:c r="L466" s="34" t="n">
        <x:v>0</x:v>
      </x:c>
      <x:c r="M466" s="34" t="n">
        <x:f>SUM(J466:L466)</x:f>
        <x:v>1.05</x:v>
      </x:c>
      <x:c r="N466" s="34" t="n">
        <x:f>G466*J466</x:f>
        <x:v>116.55000000000001</x:v>
      </x:c>
      <x:c r="O466" s="34" t="n">
        <x:f>G466*K466</x:f>
        <x:v>0</x:v>
      </x:c>
      <x:c r="P466" s="34" t="n">
        <x:f>G466*L466</x:f>
        <x:v>0</x:v>
      </x:c>
      <x:c r="Q466" s="34" t="n">
        <x:f>SUM(N466:P466)</x:f>
        <x:v>116.55000000000001</x:v>
      </x:c>
      <x:c r="R466" s="22" t="str">
        <x:f>IF(M466&gt;0,"복원","미복원")</x:f>
        <x:v>복원</x:v>
      </x:c>
      <x:c r="S466" s="37" t="n">
        <x:v>341</x:v>
      </x:c>
      <x:c r="T46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6" s="22" t="str">
        <x:f>A466&amp;"|"&amp;B466</x:f>
        <x:v>기계·전기동|C-01021105</x:v>
      </x:c>
      <x:c r="V466" s="22" t="n">
        <x:f>IF(M466&gt;0,1,0)</x:f>
        <x:v>1</x:v>
      </x:c>
    </x:row>
    <x:row r="467" ht="28" customHeight="1">
      <x:c r="A467" s="22" t="str">
        <x:v>기계·전기동</x:v>
      </x:c>
      <x:c r="B467" s="31" t="str">
        <x:f>"C-01021105"</x:f>
        <x:v>C-01021105</x:v>
      </x:c>
      <x:c r="C467" s="25" t="str">
        <x:v>01021105  PLASTER WORKS</x:v>
      </x:c>
      <x:c r="D467" s="25" t="str">
        <x:v>Steel Troweled</x:v>
      </x:c>
      <x:c r="E467" s="25" t="str">
        <x:v>Floor</x:v>
      </x:c>
      <x:c r="F467" s="22" t="str">
        <x:v>M2</x:v>
      </x:c>
      <x:c r="G467" s="28" t="n">
        <x:v>169</x:v>
      </x:c>
      <x:c r="H467" s="25" t="str">
        <x:v>4482284BC0735B256231C550138F1</x:v>
      </x:c>
      <x:c r="I467" s="22" t="str">
        <x:v>복합일위대가</x:v>
      </x:c>
      <x:c r="J467" s="34" t="n">
        <x:v>0.63</x:v>
      </x:c>
      <x:c r="K467" s="34" t="n">
        <x:v>0</x:v>
      </x:c>
      <x:c r="L467" s="34" t="n">
        <x:v>0</x:v>
      </x:c>
      <x:c r="M467" s="34" t="n">
        <x:f>SUM(J467:L467)</x:f>
        <x:v>0.63</x:v>
      </x:c>
      <x:c r="N467" s="34" t="n">
        <x:f>G467*J467</x:f>
        <x:v>106.47</x:v>
      </x:c>
      <x:c r="O467" s="34" t="n">
        <x:f>G467*K467</x:f>
        <x:v>0</x:v>
      </x:c>
      <x:c r="P467" s="34" t="n">
        <x:f>G467*L467</x:f>
        <x:v>0</x:v>
      </x:c>
      <x:c r="Q467" s="34" t="n">
        <x:f>SUM(N467:P467)</x:f>
        <x:v>106.47</x:v>
      </x:c>
      <x:c r="R467" s="22" t="str">
        <x:f>IF(M467&gt;0,"복원","미복원")</x:f>
        <x:v>복원</x:v>
      </x:c>
      <x:c r="S467" s="37" t="n">
        <x:v>342</x:v>
      </x:c>
      <x:c r="T46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7" s="22" t="str">
        <x:f>A467&amp;"|"&amp;B467</x:f>
        <x:v>기계·전기동|C-01021105</x:v>
      </x:c>
      <x:c r="V467" s="22" t="n">
        <x:f>IF(M467&gt;0,1,0)</x:f>
        <x:v>1</x:v>
      </x:c>
    </x:row>
    <x:row r="468" ht="28" customHeight="1">
      <x:c r="A468" s="22" t="str">
        <x:v>기계·전기동</x:v>
      </x:c>
      <x:c r="B468" s="31" t="str">
        <x:f>"C-01021106"</x:f>
        <x:v>C-01021106</x:v>
      </x:c>
      <x:c r="C468" s="25" t="str">
        <x:v>01021106  PAINTERS WORKS</x:v>
      </x:c>
      <x:c r="D468" s="25" t="str">
        <x:v>Steel Trowelled with TAR Epoxy coating</x:v>
      </x:c>
      <x:c r="E468" s="25" t="str">
        <x:v>CEILING</x:v>
      </x:c>
      <x:c r="F468" s="22" t="str">
        <x:v>M2</x:v>
      </x:c>
      <x:c r="G468" s="28" t="n">
        <x:v>487</x:v>
      </x:c>
      <x:c r="H468" s="25" t="str">
        <x:v>453125479B7D7FE4C224A493677E6</x:v>
      </x:c>
      <x:c r="I468" s="22" t="str">
        <x:v>복합일위대가</x:v>
      </x:c>
      <x:c r="J468" s="34" t="n">
        <x:v>299.7</x:v>
      </x:c>
      <x:c r="K468" s="34" t="n">
        <x:v>0</x:v>
      </x:c>
      <x:c r="L468" s="34" t="n">
        <x:v>0</x:v>
      </x:c>
      <x:c r="M468" s="34" t="n">
        <x:f>SUM(J468:L468)</x:f>
        <x:v>299.7</x:v>
      </x:c>
      <x:c r="N468" s="34" t="n">
        <x:f>G468*J468</x:f>
        <x:v>145953.9</x:v>
      </x:c>
      <x:c r="O468" s="34" t="n">
        <x:f>G468*K468</x:f>
        <x:v>0</x:v>
      </x:c>
      <x:c r="P468" s="34" t="n">
        <x:f>G468*L468</x:f>
        <x:v>0</x:v>
      </x:c>
      <x:c r="Q468" s="34" t="n">
        <x:f>SUM(N468:P468)</x:f>
        <x:v>145953.9</x:v>
      </x:c>
      <x:c r="R468" s="22" t="str">
        <x:f>IF(M468&gt;0,"복원","미복원")</x:f>
        <x:v>복원</x:v>
      </x:c>
      <x:c r="S468" s="37" t="n">
        <x:v>365</x:v>
      </x:c>
      <x:c r="T46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8" s="22" t="str">
        <x:f>A468&amp;"|"&amp;B468</x:f>
        <x:v>기계·전기동|C-01021106</x:v>
      </x:c>
      <x:c r="V468" s="22" t="n">
        <x:f>IF(M468&gt;0,1,0)</x:f>
        <x:v>1</x:v>
      </x:c>
    </x:row>
    <x:row r="469" ht="28" customHeight="1">
      <x:c r="A469" s="22" t="str">
        <x:v>기계·전기동</x:v>
      </x:c>
      <x:c r="B469" s="31" t="str">
        <x:f>"C-01021201"</x:f>
        <x:v>C-01021201</x:v>
      </x:c>
      <x:c r="C469" s="25" t="str">
        <x:v>01021201  STRUCTURE WORKS</x:v>
      </x:c>
      <x:c r="D469" s="25" t="str">
        <x:v>HD400 t10</x:v>
      </x:c>
      <x:c r="E469" s="25" t="str"/>
      <x:c r="F469" s="22" t="str">
        <x:v>TON</x:v>
      </x:c>
      <x:c r="G469" s="28" t="n">
        <x:v>0.227</x:v>
      </x:c>
      <x:c r="H469" s="25" t="str">
        <x:v>453125479B7D7FE4C224BA0035974</x:v>
      </x:c>
      <x:c r="I469" s="22" t="str">
        <x:v>복합일위대가</x:v>
      </x:c>
      <x:c r="J469" s="34" t="n">
        <x:v>526.14</x:v>
      </x:c>
      <x:c r="K469" s="34" t="n">
        <x:v>0</x:v>
      </x:c>
      <x:c r="L469" s="34" t="n">
        <x:v>0</x:v>
      </x:c>
      <x:c r="M469" s="34" t="n">
        <x:f>SUM(J469:L469)</x:f>
        <x:v>526.14</x:v>
      </x:c>
      <x:c r="N469" s="34" t="n">
        <x:f>G469*J469</x:f>
        <x:v>119.43378</x:v>
      </x:c>
      <x:c r="O469" s="34" t="n">
        <x:f>G469*K469</x:f>
        <x:v>0</x:v>
      </x:c>
      <x:c r="P469" s="34" t="n">
        <x:f>G469*L469</x:f>
        <x:v>0</x:v>
      </x:c>
      <x:c r="Q469" s="34" t="n">
        <x:f>SUM(N469:P469)</x:f>
        <x:v>119.43378</x:v>
      </x:c>
      <x:c r="R469" s="22" t="str">
        <x:f>IF(M469&gt;0,"복원","미복원")</x:f>
        <x:v>복원</x:v>
      </x:c>
      <x:c r="S469" s="37" t="n">
        <x:v>389</x:v>
      </x:c>
      <x:c r="T46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69" s="22" t="str">
        <x:f>A469&amp;"|"&amp;B469</x:f>
        <x:v>기계·전기동|C-01021201</x:v>
      </x:c>
      <x:c r="V469" s="22" t="n">
        <x:f>IF(M469&gt;0,1,0)</x:f>
        <x:v>1</x:v>
      </x:c>
    </x:row>
    <x:row r="470" ht="28" customHeight="1">
      <x:c r="A470" s="22" t="str">
        <x:v>기계·전기동</x:v>
      </x:c>
      <x:c r="B470" s="31" t="str">
        <x:f>"C-01021201"</x:f>
        <x:v>C-01021201</x:v>
      </x:c>
      <x:c r="C470" s="25" t="str">
        <x:v>01021201  STRUCTURE WORKS</x:v>
      </x:c>
      <x:c r="D470" s="25" t="str">
        <x:v>HD400 t12</x:v>
      </x:c>
      <x:c r="E470" s="25" t="str"/>
      <x:c r="F470" s="22" t="str">
        <x:v>TON</x:v>
      </x:c>
      <x:c r="G470" s="28" t="n">
        <x:v>0.164</x:v>
      </x:c>
      <x:c r="H470" s="25" t="str">
        <x:v>453125479B7D7FE4C224BA003597A</x:v>
      </x:c>
      <x:c r="I470" s="22" t="str">
        <x:v>복합일위대가</x:v>
      </x:c>
      <x:c r="J470" s="34" t="n">
        <x:v>183.15</x:v>
      </x:c>
      <x:c r="K470" s="34" t="n">
        <x:v>0</x:v>
      </x:c>
      <x:c r="L470" s="34" t="n">
        <x:v>0</x:v>
      </x:c>
      <x:c r="M470" s="34" t="n">
        <x:f>SUM(J470:L470)</x:f>
        <x:v>183.15</x:v>
      </x:c>
      <x:c r="N470" s="34" t="n">
        <x:f>G470*J470</x:f>
        <x:v>30.036600000000004</x:v>
      </x:c>
      <x:c r="O470" s="34" t="n">
        <x:f>G470*K470</x:f>
        <x:v>0</x:v>
      </x:c>
      <x:c r="P470" s="34" t="n">
        <x:f>G470*L470</x:f>
        <x:v>0</x:v>
      </x:c>
      <x:c r="Q470" s="34" t="n">
        <x:f>SUM(N470:P470)</x:f>
        <x:v>30.036600000000004</x:v>
      </x:c>
      <x:c r="R470" s="22" t="str">
        <x:f>IF(M470&gt;0,"복원","미복원")</x:f>
        <x:v>복원</x:v>
      </x:c>
      <x:c r="S470" s="37" t="n">
        <x:v>390</x:v>
      </x:c>
      <x:c r="T47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0" s="22" t="str">
        <x:f>A470&amp;"|"&amp;B470</x:f>
        <x:v>기계·전기동|C-01021201</x:v>
      </x:c>
      <x:c r="V470" s="22" t="n">
        <x:f>IF(M470&gt;0,1,0)</x:f>
        <x:v>1</x:v>
      </x:c>
    </x:row>
    <x:row r="471" ht="28" customHeight="1">
      <x:c r="A471" s="22" t="str">
        <x:v>기계·전기동</x:v>
      </x:c>
      <x:c r="B471" s="31" t="str">
        <x:f>"C-01021201"</x:f>
        <x:v>C-01021201</x:v>
      </x:c>
      <x:c r="C471" s="25" t="str">
        <x:v>01021201  STRUCTURE WORKS</x:v>
      </x:c>
      <x:c r="D471" s="25" t="str">
        <x:v>HD400 t16</x:v>
      </x:c>
      <x:c r="E471" s="25" t="str"/>
      <x:c r="F471" s="22" t="str">
        <x:v>TON</x:v>
      </x:c>
      <x:c r="G471" s="28" t="n">
        <x:v>0.27</x:v>
      </x:c>
      <x:c r="H471" s="25" t="str">
        <x:v>453125479B7D7FE4C224BA003586D</x:v>
      </x:c>
      <x:c r="I471" s="22" t="str">
        <x:v>복합일위대가</x:v>
      </x:c>
      <x:c r="J471" s="34" t="n">
        <x:v>228.85</x:v>
      </x:c>
      <x:c r="K471" s="34" t="n">
        <x:v>0</x:v>
      </x:c>
      <x:c r="L471" s="34" t="n">
        <x:v>0</x:v>
      </x:c>
      <x:c r="M471" s="34" t="n">
        <x:f>SUM(J471:L471)</x:f>
        <x:v>228.85</x:v>
      </x:c>
      <x:c r="N471" s="34" t="n">
        <x:f>G471*J471</x:f>
        <x:v>61.789500000000004</x:v>
      </x:c>
      <x:c r="O471" s="34" t="n">
        <x:f>G471*K471</x:f>
        <x:v>0</x:v>
      </x:c>
      <x:c r="P471" s="34" t="n">
        <x:f>G471*L471</x:f>
        <x:v>0</x:v>
      </x:c>
      <x:c r="Q471" s="34" t="n">
        <x:f>SUM(N471:P471)</x:f>
        <x:v>61.789500000000004</x:v>
      </x:c>
      <x:c r="R471" s="22" t="str">
        <x:f>IF(M471&gt;0,"복원","미복원")</x:f>
        <x:v>복원</x:v>
      </x:c>
      <x:c r="S471" s="37" t="n">
        <x:v>391</x:v>
      </x:c>
      <x:c r="T47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1" s="22" t="str">
        <x:f>A471&amp;"|"&amp;B471</x:f>
        <x:v>기계·전기동|C-01021201</x:v>
      </x:c>
      <x:c r="V471" s="22" t="n">
        <x:f>IF(M471&gt;0,1,0)</x:f>
        <x:v>1</x:v>
      </x:c>
    </x:row>
    <x:row r="472" ht="28" customHeight="1">
      <x:c r="A472" s="22" t="str">
        <x:v>기계·전기동</x:v>
      </x:c>
      <x:c r="B472" s="31" t="str">
        <x:f>"C-01021201"</x:f>
        <x:v>C-01021201</x:v>
      </x:c>
      <x:c r="C472" s="25" t="str">
        <x:v>01021201  STRUCTURE WORKS</x:v>
      </x:c>
      <x:c r="D472" s="25" t="str">
        <x:v>HD400 t20</x:v>
      </x:c>
      <x:c r="E472" s="25" t="str"/>
      <x:c r="F472" s="22" t="str">
        <x:v>TON</x:v>
      </x:c>
      <x:c r="G472" s="28" t="n">
        <x:v>2.361</x:v>
      </x:c>
      <x:c r="H472" s="25" t="str">
        <x:v>453125479B7D7FE4C224BA003586F</x:v>
      </x:c>
      <x:c r="I472" s="22" t="str">
        <x:v>복합일위대가</x:v>
      </x:c>
      <x:c r="J472" s="34" t="n">
        <x:v>824.18</x:v>
      </x:c>
      <x:c r="K472" s="34" t="n">
        <x:v>0</x:v>
      </x:c>
      <x:c r="L472" s="34" t="n">
        <x:v>0</x:v>
      </x:c>
      <x:c r="M472" s="34" t="n">
        <x:f>SUM(J472:L472)</x:f>
        <x:v>824.18</x:v>
      </x:c>
      <x:c r="N472" s="34" t="n">
        <x:f>G472*J472</x:f>
        <x:v>1945.88898</x:v>
      </x:c>
      <x:c r="O472" s="34" t="n">
        <x:f>G472*K472</x:f>
        <x:v>0</x:v>
      </x:c>
      <x:c r="P472" s="34" t="n">
        <x:f>G472*L472</x:f>
        <x:v>0</x:v>
      </x:c>
      <x:c r="Q472" s="34" t="n">
        <x:f>SUM(N472:P472)</x:f>
        <x:v>1945.88898</x:v>
      </x:c>
      <x:c r="R472" s="22" t="str">
        <x:f>IF(M472&gt;0,"복원","미복원")</x:f>
        <x:v>복원</x:v>
      </x:c>
      <x:c r="S472" s="37" t="n">
        <x:v>392</x:v>
      </x:c>
      <x:c r="T47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2" s="22" t="str">
        <x:f>A472&amp;"|"&amp;B472</x:f>
        <x:v>기계·전기동|C-01021201</x:v>
      </x:c>
      <x:c r="V472" s="22" t="n">
        <x:f>IF(M472&gt;0,1,0)</x:f>
        <x:v>1</x:v>
      </x:c>
    </x:row>
    <x:row r="473" ht="28" customHeight="1">
      <x:c r="A473" s="22" t="str">
        <x:v>기계·전기동</x:v>
      </x:c>
      <x:c r="B473" s="31" t="str">
        <x:f>"C-01021201"</x:f>
        <x:v>C-01021201</x:v>
      </x:c>
      <x:c r="C473" s="25" t="str">
        <x:v>01021201  STRUCTURE WORKS</x:v>
      </x:c>
      <x:c r="D473" s="25" t="str">
        <x:v>concrete(reinforced concrete)</x:v>
      </x:c>
      <x:c r="E473" s="25" t="str">
        <x:v>'f'c 350mpa, foucdation</x:v>
      </x:c>
      <x:c r="F473" s="22" t="str">
        <x:v>M3</x:v>
      </x:c>
      <x:c r="G473" s="28" t="n">
        <x:v>14</x:v>
      </x:c>
      <x:c r="H473" s="25" t="str">
        <x:v>453125479B7D7FE4C224BA0035869</x:v>
      </x:c>
      <x:c r="I473" s="22" t="str">
        <x:v>복합일위대가</x:v>
      </x:c>
      <x:c r="J473" s="34" t="n">
        <x:v>526.14</x:v>
      </x:c>
      <x:c r="K473" s="34" t="n">
        <x:v>0</x:v>
      </x:c>
      <x:c r="L473" s="34" t="n">
        <x:v>0</x:v>
      </x:c>
      <x:c r="M473" s="34" t="n">
        <x:f>SUM(J473:L473)</x:f>
        <x:v>526.14</x:v>
      </x:c>
      <x:c r="N473" s="34" t="n">
        <x:f>G473*J473</x:f>
        <x:v>7365.96</x:v>
      </x:c>
      <x:c r="O473" s="34" t="n">
        <x:f>G473*K473</x:f>
        <x:v>0</x:v>
      </x:c>
      <x:c r="P473" s="34" t="n">
        <x:f>G473*L473</x:f>
        <x:v>0</x:v>
      </x:c>
      <x:c r="Q473" s="34" t="n">
        <x:f>SUM(N473:P473)</x:f>
        <x:v>7365.96</x:v>
      </x:c>
      <x:c r="R473" s="22" t="str">
        <x:f>IF(M473&gt;0,"복원","미복원")</x:f>
        <x:v>복원</x:v>
      </x:c>
      <x:c r="S473" s="37" t="n">
        <x:v>393</x:v>
      </x:c>
      <x:c r="T47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3" s="22" t="str">
        <x:f>A473&amp;"|"&amp;B473</x:f>
        <x:v>기계·전기동|C-01021201</x:v>
      </x:c>
      <x:c r="V473" s="22" t="n">
        <x:f>IF(M473&gt;0,1,0)</x:f>
        <x:v>1</x:v>
      </x:c>
    </x:row>
    <x:row r="474" ht="28" customHeight="1">
      <x:c r="A474" s="22" t="str">
        <x:v>기계·전기동</x:v>
      </x:c>
      <x:c r="B474" s="31" t="str">
        <x:f>"C-01021201"</x:f>
        <x:v>C-01021201</x:v>
      </x:c>
      <x:c r="C474" s="25" t="str">
        <x:v>01021201  STRUCTURE WORKS</x:v>
      </x:c>
      <x:c r="D474" s="25" t="str">
        <x:v>concrete(reinforced concrete)</x:v>
      </x:c>
      <x:c r="E474" s="25" t="str">
        <x:v>'f'c 300mpa, all members except foundation</x:v>
      </x:c>
      <x:c r="F474" s="22" t="str">
        <x:v>M3</x:v>
      </x:c>
      <x:c r="G474" s="28" t="n">
        <x:v>5</x:v>
      </x:c>
      <x:c r="H474" s="25" t="str">
        <x:v>453125479B7D7FE4C224BA003586B</x:v>
      </x:c>
      <x:c r="I474" s="22" t="str">
        <x:v>복합일위대가</x:v>
      </x:c>
      <x:c r="J474" s="34" t="n">
        <x:v>526.14</x:v>
      </x:c>
      <x:c r="K474" s="34" t="n">
        <x:v>0</x:v>
      </x:c>
      <x:c r="L474" s="34" t="n">
        <x:v>0</x:v>
      </x:c>
      <x:c r="M474" s="34" t="n">
        <x:f>SUM(J474:L474)</x:f>
        <x:v>526.14</x:v>
      </x:c>
      <x:c r="N474" s="34" t="n">
        <x:f>G474*J474</x:f>
        <x:v>2630.7</x:v>
      </x:c>
      <x:c r="O474" s="34" t="n">
        <x:f>G474*K474</x:f>
        <x:v>0</x:v>
      </x:c>
      <x:c r="P474" s="34" t="n">
        <x:f>G474*L474</x:f>
        <x:v>0</x:v>
      </x:c>
      <x:c r="Q474" s="34" t="n">
        <x:f>SUM(N474:P474)</x:f>
        <x:v>2630.7</x:v>
      </x:c>
      <x:c r="R474" s="22" t="str">
        <x:f>IF(M474&gt;0,"복원","미복원")</x:f>
        <x:v>복원</x:v>
      </x:c>
      <x:c r="S474" s="37" t="n">
        <x:v>394</x:v>
      </x:c>
      <x:c r="T47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4" s="22" t="str">
        <x:f>A474&amp;"|"&amp;B474</x:f>
        <x:v>기계·전기동|C-01021201</x:v>
      </x:c>
      <x:c r="V474" s="22" t="n">
        <x:f>IF(M474&gt;0,1,0)</x:f>
        <x:v>1</x:v>
      </x:c>
    </x:row>
    <x:row r="475" ht="28" customHeight="1">
      <x:c r="A475" s="22" t="str">
        <x:v>기계·전기동</x:v>
      </x:c>
      <x:c r="B475" s="31" t="str">
        <x:f>"C-01021201"</x:f>
        <x:v>C-01021201</x:v>
      </x:c>
      <x:c r="C475" s="25" t="str">
        <x:v>01021201  STRUCTURE WORKS</x:v>
      </x:c>
      <x:c r="D475" s="25" t="str">
        <x:v>concrete(of leveling layer)</x:v>
      </x:c>
      <x:c r="E475" s="25" t="str">
        <x:v>'f'c 80mpa, for leveling layer</x:v>
      </x:c>
      <x:c r="F475" s="22" t="str">
        <x:v>M3</x:v>
      </x:c>
      <x:c r="G475" s="28" t="n">
        <x:v>2</x:v>
      </x:c>
      <x:c r="H475" s="25" t="str">
        <x:v>453125479B7D7FE4C224BA0035865</x:v>
      </x:c>
      <x:c r="I475" s="22" t="str">
        <x:v>복합일위대가</x:v>
      </x:c>
      <x:c r="J475" s="34" t="n">
        <x:v>392.94</x:v>
      </x:c>
      <x:c r="K475" s="34" t="n">
        <x:v>0</x:v>
      </x:c>
      <x:c r="L475" s="34" t="n">
        <x:v>0</x:v>
      </x:c>
      <x:c r="M475" s="34" t="n">
        <x:f>SUM(J475:L475)</x:f>
        <x:v>392.94</x:v>
      </x:c>
      <x:c r="N475" s="34" t="n">
        <x:f>G475*J475</x:f>
        <x:v>785.88</x:v>
      </x:c>
      <x:c r="O475" s="34" t="n">
        <x:f>G475*K475</x:f>
        <x:v>0</x:v>
      </x:c>
      <x:c r="P475" s="34" t="n">
        <x:f>G475*L475</x:f>
        <x:v>0</x:v>
      </x:c>
      <x:c r="Q475" s="34" t="n">
        <x:f>SUM(N475:P475)</x:f>
        <x:v>785.88</x:v>
      </x:c>
      <x:c r="R475" s="22" t="str">
        <x:f>IF(M475&gt;0,"복원","미복원")</x:f>
        <x:v>복원</x:v>
      </x:c>
      <x:c r="S475" s="37" t="n">
        <x:v>395</x:v>
      </x:c>
      <x:c r="T47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5" s="22" t="str">
        <x:f>A475&amp;"|"&amp;B475</x:f>
        <x:v>기계·전기동|C-01021201</x:v>
      </x:c>
      <x:c r="V475" s="22" t="n">
        <x:f>IF(M475&gt;0,1,0)</x:f>
        <x:v>1</x:v>
      </x:c>
    </x:row>
    <x:row r="476" ht="28" customHeight="1">
      <x:c r="A476" s="22" t="str">
        <x:v>기계·전기동</x:v>
      </x:c>
      <x:c r="B476" s="31" t="str">
        <x:f>"C-01021201"</x:f>
        <x:v>C-01021201</x:v>
      </x:c>
      <x:c r="C476" s="25" t="str">
        <x:v>01021201  STRUCTURE WORKS</x:v>
      </x:c>
      <x:c r="D476" s="25" t="str">
        <x:v>a mold for concrete</x:v>
      </x:c>
      <x:c r="E476" s="25" t="str"/>
      <x:c r="F476" s="22" t="str">
        <x:v>M2</x:v>
      </x:c>
      <x:c r="G476" s="28" t="n">
        <x:v>43</x:v>
      </x:c>
      <x:c r="H476" s="25" t="str">
        <x:v>453125479B7D7FE4C224BA0035B20</x:v>
      </x:c>
      <x:c r="I476" s="22" t="str">
        <x:v>복합일위대가</x:v>
      </x:c>
      <x:c r="J476" s="34" t="n">
        <x:v>1366.04</x:v>
      </x:c>
      <x:c r="K476" s="34" t="n">
        <x:v>0</x:v>
      </x:c>
      <x:c r="L476" s="34" t="n">
        <x:v>0</x:v>
      </x:c>
      <x:c r="M476" s="34" t="n">
        <x:f>SUM(J476:L476)</x:f>
        <x:v>1366.04</x:v>
      </x:c>
      <x:c r="N476" s="34" t="n">
        <x:f>G476*J476</x:f>
        <x:v>58739.72</x:v>
      </x:c>
      <x:c r="O476" s="34" t="n">
        <x:f>G476*K476</x:f>
        <x:v>0</x:v>
      </x:c>
      <x:c r="P476" s="34" t="n">
        <x:f>G476*L476</x:f>
        <x:v>0</x:v>
      </x:c>
      <x:c r="Q476" s="34" t="n">
        <x:f>SUM(N476:P476)</x:f>
        <x:v>58739.72</x:v>
      </x:c>
      <x:c r="R476" s="22" t="str">
        <x:f>IF(M476&gt;0,"복원","미복원")</x:f>
        <x:v>복원</x:v>
      </x:c>
      <x:c r="S476" s="37" t="n">
        <x:v>396</x:v>
      </x:c>
      <x:c r="T47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6" s="22" t="str">
        <x:f>A476&amp;"|"&amp;B476</x:f>
        <x:v>기계·전기동|C-01021201</x:v>
      </x:c>
      <x:c r="V476" s="22" t="n">
        <x:f>IF(M476&gt;0,1,0)</x:f>
        <x:v>1</x:v>
      </x:c>
    </x:row>
    <x:row r="477" ht="28" customHeight="1">
      <x:c r="A477" s="22" t="str">
        <x:v>기계·전기동</x:v>
      </x:c>
      <x:c r="B477" s="31" t="str">
        <x:f>"C-01021202"</x:f>
        <x:v>C-01021202</x:v>
      </x:c>
      <x:c r="C477" s="25" t="str">
        <x:v>01021202  STEEL STRUCTURE WORKS</x:v>
      </x:c>
      <x:c r="D477" s="25" t="str">
        <x:v>H Shape Steel</x:v>
      </x:c>
      <x:c r="E477" s="25" t="str">
        <x:v>SS275, 200*100*5.5*8mm</x:v>
      </x:c>
      <x:c r="F477" s="22" t="str">
        <x:v>TON</x:v>
      </x:c>
      <x:c r="G477" s="28" t="n">
        <x:v>0.269</x:v>
      </x:c>
      <x:c r="H477" s="25" t="str">
        <x:v>453125479B7D7FE4C224BA002B667</x:v>
      </x:c>
      <x:c r="I477" s="22" t="str">
        <x:v>복합일위대가</x:v>
      </x:c>
      <x:c r="J477" s="34" t="n">
        <x:v>2363.93</x:v>
      </x:c>
      <x:c r="K477" s="34" t="n">
        <x:v>0</x:v>
      </x:c>
      <x:c r="L477" s="34" t="n">
        <x:v>0</x:v>
      </x:c>
      <x:c r="M477" s="34" t="n">
        <x:f>SUM(J477:L477)</x:f>
        <x:v>2363.93</x:v>
      </x:c>
      <x:c r="N477" s="34" t="n">
        <x:f>G477*J477</x:f>
        <x:v>635.89717</x:v>
      </x:c>
      <x:c r="O477" s="34" t="n">
        <x:f>G477*K477</x:f>
        <x:v>0</x:v>
      </x:c>
      <x:c r="P477" s="34" t="n">
        <x:f>G477*L477</x:f>
        <x:v>0</x:v>
      </x:c>
      <x:c r="Q477" s="34" t="n">
        <x:f>SUM(N477:P477)</x:f>
        <x:v>635.89717</x:v>
      </x:c>
      <x:c r="R477" s="22" t="str">
        <x:f>IF(M477&gt;0,"복원","미복원")</x:f>
        <x:v>복원</x:v>
      </x:c>
      <x:c r="S477" s="37" t="n">
        <x:v>413</x:v>
      </x:c>
      <x:c r="T47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7" s="22" t="str">
        <x:f>A477&amp;"|"&amp;B477</x:f>
        <x:v>기계·전기동|C-01021202</x:v>
      </x:c>
      <x:c r="V477" s="22" t="n">
        <x:f>IF(M477&gt;0,1,0)</x:f>
        <x:v>1</x:v>
      </x:c>
    </x:row>
    <x:row r="478" ht="28" customHeight="1">
      <x:c r="A478" s="22" t="str">
        <x:v>기계·전기동</x:v>
      </x:c>
      <x:c r="B478" s="31" t="str">
        <x:f>"C-01021202"</x:f>
        <x:v>C-01021202</x:v>
      </x:c>
      <x:c r="C478" s="25" t="str">
        <x:v>01021202  STEEL STRUCTURE WORKS</x:v>
      </x:c>
      <x:c r="D478" s="25" t="str">
        <x:v>H Shape Steel</x:v>
      </x:c>
      <x:c r="E478" s="25" t="str">
        <x:v>SS275, 175*175*8*11mm</x:v>
      </x:c>
      <x:c r="F478" s="22" t="str">
        <x:v>TON</x:v>
      </x:c>
      <x:c r="G478" s="28" t="n">
        <x:v>0.867</x:v>
      </x:c>
      <x:c r="H478" s="25" t="str">
        <x:v>453125479B7D7FE4C224BA002B661</x:v>
      </x:c>
      <x:c r="I478" s="22" t="str">
        <x:v>복합일위대가</x:v>
      </x:c>
      <x:c r="J478" s="34" t="n">
        <x:v>333</x:v>
      </x:c>
      <x:c r="K478" s="34" t="n">
        <x:v>0</x:v>
      </x:c>
      <x:c r="L478" s="34" t="n">
        <x:v>0</x:v>
      </x:c>
      <x:c r="M478" s="34" t="n">
        <x:f>SUM(J478:L478)</x:f>
        <x:v>333</x:v>
      </x:c>
      <x:c r="N478" s="34" t="n">
        <x:f>G478*J478</x:f>
        <x:v>288.711</x:v>
      </x:c>
      <x:c r="O478" s="34" t="n">
        <x:f>G478*K478</x:f>
        <x:v>0</x:v>
      </x:c>
      <x:c r="P478" s="34" t="n">
        <x:f>G478*L478</x:f>
        <x:v>0</x:v>
      </x:c>
      <x:c r="Q478" s="34" t="n">
        <x:f>SUM(N478:P478)</x:f>
        <x:v>288.711</x:v>
      </x:c>
      <x:c r="R478" s="22" t="str">
        <x:f>IF(M478&gt;0,"복원","미복원")</x:f>
        <x:v>복원</x:v>
      </x:c>
      <x:c r="S478" s="37" t="n">
        <x:v>414</x:v>
      </x:c>
      <x:c r="T47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8" s="22" t="str">
        <x:f>A478&amp;"|"&amp;B478</x:f>
        <x:v>기계·전기동|C-01021202</x:v>
      </x:c>
      <x:c r="V478" s="22" t="n">
        <x:f>IF(M478&gt;0,1,0)</x:f>
        <x:v>1</x:v>
      </x:c>
    </x:row>
    <x:row r="479" ht="28" customHeight="1">
      <x:c r="A479" s="22" t="str">
        <x:v>기계·전기동</x:v>
      </x:c>
      <x:c r="B479" s="31" t="str">
        <x:f>"C-01021202"</x:f>
        <x:v>C-01021202</x:v>
      </x:c>
      <x:c r="C479" s="25" t="str">
        <x:v>01021202  STEEL STRUCTURE WORKS</x:v>
      </x:c>
      <x:c r="D479" s="25" t="str">
        <x:v>H Shape Steel</x:v>
      </x:c>
      <x:c r="E479" s="25" t="str">
        <x:v>SS275, 194*150*6*9mm</x:v>
      </x:c>
      <x:c r="F479" s="22" t="str">
        <x:v>TON</x:v>
      </x:c>
      <x:c r="G479" s="28" t="n">
        <x:v>0.346</x:v>
      </x:c>
      <x:c r="H479" s="25" t="str">
        <x:v>453125479B7D7FE4C224BA002B663</x:v>
      </x:c>
      <x:c r="I479" s="22" t="str">
        <x:v>복합일위대가</x:v>
      </x:c>
      <x:c r="J479" s="34" t="n">
        <x:v>270.47</x:v>
      </x:c>
      <x:c r="K479" s="34" t="n">
        <x:v>0</x:v>
      </x:c>
      <x:c r="L479" s="34" t="n">
        <x:v>0</x:v>
      </x:c>
      <x:c r="M479" s="34" t="n">
        <x:f>SUM(J479:L479)</x:f>
        <x:v>270.47</x:v>
      </x:c>
      <x:c r="N479" s="34" t="n">
        <x:f>G479*J479</x:f>
        <x:v>93.58262</x:v>
      </x:c>
      <x:c r="O479" s="34" t="n">
        <x:f>G479*K479</x:f>
        <x:v>0</x:v>
      </x:c>
      <x:c r="P479" s="34" t="n">
        <x:f>G479*L479</x:f>
        <x:v>0</x:v>
      </x:c>
      <x:c r="Q479" s="34" t="n">
        <x:f>SUM(N479:P479)</x:f>
        <x:v>93.58262</x:v>
      </x:c>
      <x:c r="R479" s="22" t="str">
        <x:f>IF(M479&gt;0,"복원","미복원")</x:f>
        <x:v>복원</x:v>
      </x:c>
      <x:c r="S479" s="37" t="n">
        <x:v>415</x:v>
      </x:c>
      <x:c r="T47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79" s="22" t="str">
        <x:f>A479&amp;"|"&amp;B479</x:f>
        <x:v>기계·전기동|C-01021202</x:v>
      </x:c>
      <x:c r="V479" s="22" t="n">
        <x:f>IF(M479&gt;0,1,0)</x:f>
        <x:v>1</x:v>
      </x:c>
    </x:row>
    <x:row r="480" ht="28" customHeight="1">
      <x:c r="A480" s="22" t="str">
        <x:v>기계·전기동</x:v>
      </x:c>
      <x:c r="B480" s="31" t="str">
        <x:f>"C-01021202"</x:f>
        <x:v>C-01021202</x:v>
      </x:c>
      <x:c r="C480" s="25" t="str">
        <x:v>01021202  STEEL STRUCTURE WORKS</x:v>
      </x:c>
      <x:c r="D480" s="25" t="str">
        <x:v>Light Gage Steel</x:v>
      </x:c>
      <x:c r="E480" s="25" t="str">
        <x:v>C, 150*50*20, t3.2</x:v>
      </x:c>
      <x:c r="F480" s="22" t="str">
        <x:v>TON</x:v>
      </x:c>
      <x:c r="G480" s="28" t="n">
        <x:v>0.194</x:v>
      </x:c>
      <x:c r="H480" s="25" t="str">
        <x:v>453125479B7D7FE4C224BA002B66D</x:v>
      </x:c>
      <x:c r="I480" s="22" t="str">
        <x:v>복합일위대가</x:v>
      </x:c>
      <x:c r="J480" s="34" t="n">
        <x:v>1098.9</x:v>
      </x:c>
      <x:c r="K480" s="34" t="n">
        <x:v>0</x:v>
      </x:c>
      <x:c r="L480" s="34" t="n">
        <x:v>0</x:v>
      </x:c>
      <x:c r="M480" s="34" t="n">
        <x:f>SUM(J480:L480)</x:f>
        <x:v>1098.9</x:v>
      </x:c>
      <x:c r="N480" s="34" t="n">
        <x:f>G480*J480</x:f>
        <x:v>213.18660000000003</x:v>
      </x:c>
      <x:c r="O480" s="34" t="n">
        <x:f>G480*K480</x:f>
        <x:v>0</x:v>
      </x:c>
      <x:c r="P480" s="34" t="n">
        <x:f>G480*L480</x:f>
        <x:v>0</x:v>
      </x:c>
      <x:c r="Q480" s="34" t="n">
        <x:f>SUM(N480:P480)</x:f>
        <x:v>213.18660000000003</x:v>
      </x:c>
      <x:c r="R480" s="22" t="str">
        <x:f>IF(M480&gt;0,"복원","미복원")</x:f>
        <x:v>복원</x:v>
      </x:c>
      <x:c r="S480" s="37" t="n">
        <x:v>416</x:v>
      </x:c>
      <x:c r="T48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0" s="22" t="str">
        <x:f>A480&amp;"|"&amp;B480</x:f>
        <x:v>기계·전기동|C-01021202</x:v>
      </x:c>
      <x:c r="V480" s="22" t="n">
        <x:f>IF(M480&gt;0,1,0)</x:f>
        <x:v>1</x:v>
      </x:c>
    </x:row>
    <x:row r="481" ht="28" customHeight="1">
      <x:c r="A481" s="22" t="str">
        <x:v>기계·전기동</x:v>
      </x:c>
      <x:c r="B481" s="31" t="str">
        <x:f>"C-01021202"</x:f>
        <x:v>C-01021202</x:v>
      </x:c>
      <x:c r="C481" s="25" t="str">
        <x:v>01021202  STEEL STRUCTURE WORKS</x:v>
      </x:c>
      <x:c r="D481" s="25" t="str">
        <x:v>Steel Plate</x:v>
      </x:c>
      <x:c r="E481" s="25" t="str">
        <x:v>SS275, 6.0mm</x:v>
      </x:c>
      <x:c r="F481" s="22" t="str">
        <x:v>TON</x:v>
      </x:c>
      <x:c r="G481" s="28" t="n">
        <x:v>0.025</x:v>
      </x:c>
      <x:c r="H481" s="25" t="str">
        <x:v>453125479B7D7FE4C224BA002B70A</x:v>
      </x:c>
      <x:c r="I481" s="22" t="str">
        <x:v>복합일위대가</x:v>
      </x:c>
      <x:c r="J481" s="34" t="n">
        <x:v>1410.26</x:v>
      </x:c>
      <x:c r="K481" s="34" t="n">
        <x:v>0</x:v>
      </x:c>
      <x:c r="L481" s="34" t="n">
        <x:v>0</x:v>
      </x:c>
      <x:c r="M481" s="34" t="n">
        <x:f>SUM(J481:L481)</x:f>
        <x:v>1410.26</x:v>
      </x:c>
      <x:c r="N481" s="34" t="n">
        <x:f>G481*J481</x:f>
        <x:v>35.2565</x:v>
      </x:c>
      <x:c r="O481" s="34" t="n">
        <x:f>G481*K481</x:f>
        <x:v>0</x:v>
      </x:c>
      <x:c r="P481" s="34" t="n">
        <x:f>G481*L481</x:f>
        <x:v>0</x:v>
      </x:c>
      <x:c r="Q481" s="34" t="n">
        <x:f>SUM(N481:P481)</x:f>
        <x:v>35.2565</x:v>
      </x:c>
      <x:c r="R481" s="22" t="str">
        <x:f>IF(M481&gt;0,"복원","미복원")</x:f>
        <x:v>복원</x:v>
      </x:c>
      <x:c r="S481" s="37" t="n">
        <x:v>417</x:v>
      </x:c>
      <x:c r="T48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1" s="22" t="str">
        <x:f>A481&amp;"|"&amp;B481</x:f>
        <x:v>기계·전기동|C-01021202</x:v>
      </x:c>
      <x:c r="V481" s="22" t="n">
        <x:f>IF(M481&gt;0,1,0)</x:f>
        <x:v>1</x:v>
      </x:c>
    </x:row>
    <x:row r="482" ht="28" customHeight="1">
      <x:c r="A482" s="22" t="str">
        <x:v>기계·전기동</x:v>
      </x:c>
      <x:c r="B482" s="31" t="str">
        <x:f>"C-01021202"</x:f>
        <x:v>C-01021202</x:v>
      </x:c>
      <x:c r="C482" s="25" t="str">
        <x:v>01021202  STEEL STRUCTURE WORKS</x:v>
      </x:c>
      <x:c r="D482" s="25" t="str">
        <x:v>Steel Plate</x:v>
      </x:c>
      <x:c r="E482" s="25" t="str">
        <x:v>SS275, 8.0mm</x:v>
      </x:c>
      <x:c r="F482" s="22" t="str">
        <x:v>TON</x:v>
      </x:c>
      <x:c r="G482" s="28" t="n">
        <x:v>0.023</x:v>
      </x:c>
      <x:c r="H482" s="25" t="str">
        <x:v>453125479B7D7FE4C224BA002B708</x:v>
      </x:c>
      <x:c r="I482" s="22" t="str">
        <x:v>복합일위대가</x:v>
      </x:c>
      <x:c r="J482" s="34" t="n">
        <x:v>1808.56</x:v>
      </x:c>
      <x:c r="K482" s="34" t="n">
        <x:v>0</x:v>
      </x:c>
      <x:c r="L482" s="34" t="n">
        <x:v>0</x:v>
      </x:c>
      <x:c r="M482" s="34" t="n">
        <x:f>SUM(J482:L482)</x:f>
        <x:v>1808.56</x:v>
      </x:c>
      <x:c r="N482" s="34" t="n">
        <x:f>G482*J482</x:f>
        <x:v>41.59688</x:v>
      </x:c>
      <x:c r="O482" s="34" t="n">
        <x:f>G482*K482</x:f>
        <x:v>0</x:v>
      </x:c>
      <x:c r="P482" s="34" t="n">
        <x:f>G482*L482</x:f>
        <x:v>0</x:v>
      </x:c>
      <x:c r="Q482" s="34" t="n">
        <x:f>SUM(N482:P482)</x:f>
        <x:v>41.59688</x:v>
      </x:c>
      <x:c r="R482" s="22" t="str">
        <x:f>IF(M482&gt;0,"복원","미복원")</x:f>
        <x:v>복원</x:v>
      </x:c>
      <x:c r="S482" s="37" t="n">
        <x:v>418</x:v>
      </x:c>
      <x:c r="T48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2" s="22" t="str">
        <x:f>A482&amp;"|"&amp;B482</x:f>
        <x:v>기계·전기동|C-01021202</x:v>
      </x:c>
      <x:c r="V482" s="22" t="n">
        <x:f>IF(M482&gt;0,1,0)</x:f>
        <x:v>1</x:v>
      </x:c>
    </x:row>
    <x:row r="483" ht="28" customHeight="1">
      <x:c r="A483" s="22" t="str">
        <x:v>기계·전기동</x:v>
      </x:c>
      <x:c r="B483" s="31" t="str">
        <x:f>"C-01021202"</x:f>
        <x:v>C-01021202</x:v>
      </x:c>
      <x:c r="C483" s="25" t="str">
        <x:v>01021202  STEEL STRUCTURE WORKS</x:v>
      </x:c>
      <x:c r="D483" s="25" t="str">
        <x:v>Steel Plate</x:v>
      </x:c>
      <x:c r="E483" s="25" t="str">
        <x:v>SS275, 9.0mm</x:v>
      </x:c>
      <x:c r="F483" s="22" t="str">
        <x:v>TON</x:v>
      </x:c>
      <x:c r="G483" s="28" t="n">
        <x:v>0.037</x:v>
      </x:c>
      <x:c r="H483" s="25" t="str">
        <x:v>453125479B7D7FE4C224BA002B70E</x:v>
      </x:c>
      <x:c r="I483" s="22" t="str">
        <x:v>복합일위대가</x:v>
      </x:c>
      <x:c r="J483" s="34" t="n">
        <x:v>1419.32</x:v>
      </x:c>
      <x:c r="K483" s="34" t="n">
        <x:v>0</x:v>
      </x:c>
      <x:c r="L483" s="34" t="n">
        <x:v>0</x:v>
      </x:c>
      <x:c r="M483" s="34" t="n">
        <x:f>SUM(J483:L483)</x:f>
        <x:v>1419.32</x:v>
      </x:c>
      <x:c r="N483" s="34" t="n">
        <x:f>G483*J483</x:f>
        <x:v>52.51483999999999</x:v>
      </x:c>
      <x:c r="O483" s="34" t="n">
        <x:f>G483*K483</x:f>
        <x:v>0</x:v>
      </x:c>
      <x:c r="P483" s="34" t="n">
        <x:f>G483*L483</x:f>
        <x:v>0</x:v>
      </x:c>
      <x:c r="Q483" s="34" t="n">
        <x:f>SUM(N483:P483)</x:f>
        <x:v>52.51483999999999</x:v>
      </x:c>
      <x:c r="R483" s="22" t="str">
        <x:f>IF(M483&gt;0,"복원","미복원")</x:f>
        <x:v>복원</x:v>
      </x:c>
      <x:c r="S483" s="37" t="n">
        <x:v>419</x:v>
      </x:c>
      <x:c r="T48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3" s="22" t="str">
        <x:f>A483&amp;"|"&amp;B483</x:f>
        <x:v>기계·전기동|C-01021202</x:v>
      </x:c>
      <x:c r="V483" s="22" t="n">
        <x:f>IF(M483&gt;0,1,0)</x:f>
        <x:v>1</x:v>
      </x:c>
    </x:row>
    <x:row r="484" ht="28" customHeight="1">
      <x:c r="A484" s="22" t="str">
        <x:v>기계·전기동</x:v>
      </x:c>
      <x:c r="B484" s="31" t="str">
        <x:f>"C-01021202"</x:f>
        <x:v>C-01021202</x:v>
      </x:c>
      <x:c r="C484" s="25" t="str">
        <x:v>01021202  STEEL STRUCTURE WORKS</x:v>
      </x:c>
      <x:c r="D484" s="25" t="str">
        <x:v>Steel Plate</x:v>
      </x:c>
      <x:c r="E484" s="25" t="str">
        <x:v>SS275, 15mm</x:v>
      </x:c>
      <x:c r="F484" s="22" t="str">
        <x:v>TON</x:v>
      </x:c>
      <x:c r="G484" s="28" t="n">
        <x:v>0.023</x:v>
      </x:c>
      <x:c r="H484" s="25" t="str">
        <x:v>453125479B7D7FE4C224BA002B70C</x:v>
      </x:c>
      <x:c r="I484" s="22" t="str">
        <x:v>복합일위대가</x:v>
      </x:c>
      <x:c r="J484" s="34" t="n">
        <x:v>11051.9</x:v>
      </x:c>
      <x:c r="K484" s="34" t="n">
        <x:v>0</x:v>
      </x:c>
      <x:c r="L484" s="34" t="n">
        <x:v>0</x:v>
      </x:c>
      <x:c r="M484" s="34" t="n">
        <x:f>SUM(J484:L484)</x:f>
        <x:v>11051.9</x:v>
      </x:c>
      <x:c r="N484" s="34" t="n">
        <x:f>G484*J484</x:f>
        <x:v>254.19369999999998</x:v>
      </x:c>
      <x:c r="O484" s="34" t="n">
        <x:f>G484*K484</x:f>
        <x:v>0</x:v>
      </x:c>
      <x:c r="P484" s="34" t="n">
        <x:f>G484*L484</x:f>
        <x:v>0</x:v>
      </x:c>
      <x:c r="Q484" s="34" t="n">
        <x:f>SUM(N484:P484)</x:f>
        <x:v>254.19369999999998</x:v>
      </x:c>
      <x:c r="R484" s="22" t="str">
        <x:f>IF(M484&gt;0,"복원","미복원")</x:f>
        <x:v>복원</x:v>
      </x:c>
      <x:c r="S484" s="37" t="n">
        <x:v>420</x:v>
      </x:c>
      <x:c r="T48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4" s="22" t="str">
        <x:f>A484&amp;"|"&amp;B484</x:f>
        <x:v>기계·전기동|C-01021202</x:v>
      </x:c>
      <x:c r="V484" s="22" t="n">
        <x:f>IF(M484&gt;0,1,0)</x:f>
        <x:v>1</x:v>
      </x:c>
    </x:row>
    <x:row r="485" ht="28" customHeight="1">
      <x:c r="A485" s="22" t="str">
        <x:v>기계·전기동</x:v>
      </x:c>
      <x:c r="B485" s="31" t="str">
        <x:f>"C-01021202"</x:f>
        <x:v>C-01021202</x:v>
      </x:c>
      <x:c r="C485" s="25" t="str">
        <x:v>01021202  STEEL STRUCTURE WORKS</x:v>
      </x:c>
      <x:c r="D485" s="25" t="str">
        <x:v>Steel Plate</x:v>
      </x:c>
      <x:c r="E485" s="25" t="str">
        <x:v>SS275, 16mm</x:v>
      </x:c>
      <x:c r="F485" s="22" t="str">
        <x:v>TON</x:v>
      </x:c>
      <x:c r="G485" s="28" t="n">
        <x:v>0.031</x:v>
      </x:c>
      <x:c r="H485" s="25" t="str">
        <x:v>453125479B7D7FE4C224BA002B702</x:v>
      </x:c>
      <x:c r="I485" s="22" t="str">
        <x:v>복합일위대가</x:v>
      </x:c>
      <x:c r="J485" s="34" t="n">
        <x:v>392.55</x:v>
      </x:c>
      <x:c r="K485" s="34" t="n">
        <x:v>37.47</x:v>
      </x:c>
      <x:c r="L485" s="34" t="n">
        <x:v>0.97</x:v>
      </x:c>
      <x:c r="M485" s="34" t="n">
        <x:f>SUM(J485:L485)</x:f>
        <x:v>430.99</x:v>
      </x:c>
      <x:c r="N485" s="34" t="n">
        <x:f>G485*J485</x:f>
        <x:v>12.16905</x:v>
      </x:c>
      <x:c r="O485" s="34" t="n">
        <x:f>G485*K485</x:f>
        <x:v>1.16157</x:v>
      </x:c>
      <x:c r="P485" s="34" t="n">
        <x:f>G485*L485</x:f>
        <x:v>0.03007</x:v>
      </x:c>
      <x:c r="Q485" s="34" t="n">
        <x:f>SUM(N485:P485)</x:f>
        <x:v>13.36069</x:v>
      </x:c>
      <x:c r="R485" s="22" t="str">
        <x:f>IF(M485&gt;0,"복원","미복원")</x:f>
        <x:v>복원</x:v>
      </x:c>
      <x:c r="S485" s="37" t="n">
        <x:v>421</x:v>
      </x:c>
      <x:c r="T48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5" s="22" t="str">
        <x:f>A485&amp;"|"&amp;B485</x:f>
        <x:v>기계·전기동|C-01021202</x:v>
      </x:c>
      <x:c r="V485" s="22" t="n">
        <x:f>IF(M485&gt;0,1,0)</x:f>
        <x:v>1</x:v>
      </x:c>
    </x:row>
    <x:row r="486" ht="28" customHeight="1">
      <x:c r="A486" s="22" t="str">
        <x:v>기계·전기동</x:v>
      </x:c>
      <x:c r="B486" s="31" t="str">
        <x:f>"C-01021202"</x:f>
        <x:v>C-01021202</x:v>
      </x:c>
      <x:c r="C486" s="25" t="str">
        <x:v>01021202  STEEL STRUCTURE WORKS</x:v>
      </x:c>
      <x:c r="D486" s="25" t="str">
        <x:v>Steel Plate</x:v>
      </x:c>
      <x:c r="E486" s="25" t="str">
        <x:v>SS275, 19mm</x:v>
      </x:c>
      <x:c r="F486" s="22" t="str">
        <x:v>TON</x:v>
      </x:c>
      <x:c r="G486" s="28" t="n">
        <x:v>0.08</x:v>
      </x:c>
      <x:c r="H486" s="25" t="str">
        <x:v>453125479B7D7FE4C224BA002B4B6</x:v>
      </x:c>
      <x:c r="I486" s="22" t="str">
        <x:v>복합일위대가</x:v>
      </x:c>
      <x:c r="J486" s="34" t="n">
        <x:v>646.81</x:v>
      </x:c>
      <x:c r="K486" s="34" t="n">
        <x:v>48.6</x:v>
      </x:c>
      <x:c r="L486" s="34" t="n">
        <x:v>1.26</x:v>
      </x:c>
      <x:c r="M486" s="34" t="n">
        <x:f>SUM(J486:L486)</x:f>
        <x:v>696.67</x:v>
      </x:c>
      <x:c r="N486" s="34" t="n">
        <x:f>G486*J486</x:f>
        <x:v>51.7448</x:v>
      </x:c>
      <x:c r="O486" s="34" t="n">
        <x:f>G486*K486</x:f>
        <x:v>3.8880000000000003</x:v>
      </x:c>
      <x:c r="P486" s="34" t="n">
        <x:f>G486*L486</x:f>
        <x:v>0.1008</x:v>
      </x:c>
      <x:c r="Q486" s="34" t="n">
        <x:f>SUM(N486:P486)</x:f>
        <x:v>55.733599999999996</x:v>
      </x:c>
      <x:c r="R486" s="22" t="str">
        <x:f>IF(M486&gt;0,"복원","미복원")</x:f>
        <x:v>복원</x:v>
      </x:c>
      <x:c r="S486" s="37" t="n">
        <x:v>422</x:v>
      </x:c>
      <x:c r="T48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6" s="22" t="str">
        <x:f>A486&amp;"|"&amp;B486</x:f>
        <x:v>기계·전기동|C-01021202</x:v>
      </x:c>
      <x:c r="V486" s="22" t="n">
        <x:f>IF(M486&gt;0,1,0)</x:f>
        <x:v>1</x:v>
      </x:c>
    </x:row>
    <x:row r="487" ht="28" customHeight="1">
      <x:c r="A487" s="22" t="str">
        <x:v>기계·전기동</x:v>
      </x:c>
      <x:c r="B487" s="31" t="str">
        <x:f>"C-01021202"</x:f>
        <x:v>C-01021202</x:v>
      </x:c>
      <x:c r="C487" s="25" t="str">
        <x:v>01021202  STEEL STRUCTURE WORKS</x:v>
      </x:c>
      <x:c r="D487" s="25" t="str">
        <x:v>High Strength Bolt</x:v>
      </x:c>
      <x:c r="E487" s="25" t="str">
        <x:v>F10T, M20*50mm</x:v>
      </x:c>
      <x:c r="F487" s="22" t="str">
        <x:v>SET</x:v>
      </x:c>
      <x:c r="G487" s="28" t="n">
        <x:v>5</x:v>
      </x:c>
      <x:c r="H487" s="25" t="str">
        <x:v>453125479B7D7FE4C224BA002B4B4</x:v>
      </x:c>
      <x:c r="I487" s="22" t="str">
        <x:v>복합일위대가</x:v>
      </x:c>
      <x:c r="J487" s="34" t="n">
        <x:v>242.16</x:v>
      </x:c>
      <x:c r="K487" s="34" t="n">
        <x:v>37.47</x:v>
      </x:c>
      <x:c r="L487" s="34" t="n">
        <x:v>0.97</x:v>
      </x:c>
      <x:c r="M487" s="34" t="n">
        <x:f>SUM(J487:L487)</x:f>
        <x:v>280.6</x:v>
      </x:c>
      <x:c r="N487" s="34" t="n">
        <x:f>G487*J487</x:f>
        <x:v>1210.8</x:v>
      </x:c>
      <x:c r="O487" s="34" t="n">
        <x:f>G487*K487</x:f>
        <x:v>187.35</x:v>
      </x:c>
      <x:c r="P487" s="34" t="n">
        <x:f>G487*L487</x:f>
        <x:v>4.85</x:v>
      </x:c>
      <x:c r="Q487" s="34" t="n">
        <x:f>SUM(N487:P487)</x:f>
        <x:v>1402.9999999999998</x:v>
      </x:c>
      <x:c r="R487" s="22" t="str">
        <x:f>IF(M487&gt;0,"복원","미복원")</x:f>
        <x:v>복원</x:v>
      </x:c>
      <x:c r="S487" s="37" t="n">
        <x:v>423</x:v>
      </x:c>
      <x:c r="T48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7" s="22" t="str">
        <x:f>A487&amp;"|"&amp;B487</x:f>
        <x:v>기계·전기동|C-01021202</x:v>
      </x:c>
      <x:c r="V487" s="22" t="n">
        <x:f>IF(M487&gt;0,1,0)</x:f>
        <x:v>1</x:v>
      </x:c>
    </x:row>
    <x:row r="488" ht="28" customHeight="1">
      <x:c r="A488" s="22" t="str">
        <x:v>기계·전기동</x:v>
      </x:c>
      <x:c r="B488" s="31" t="str">
        <x:f>"C-01021202"</x:f>
        <x:v>C-01021202</x:v>
      </x:c>
      <x:c r="C488" s="25" t="str">
        <x:v>01021202  STEEL STRUCTURE WORKS</x:v>
      </x:c>
      <x:c r="D488" s="25" t="str">
        <x:v>High Strength Bolt</x:v>
      </x:c>
      <x:c r="E488" s="25" t="str">
        <x:v>F10T, M20*55mm</x:v>
      </x:c>
      <x:c r="F488" s="22" t="str">
        <x:v>SET</x:v>
      </x:c>
      <x:c r="G488" s="28" t="n">
        <x:v>33</x:v>
      </x:c>
      <x:c r="H488" s="25" t="str">
        <x:v>453125479B7D7FE4C224BA002B4B2</x:v>
      </x:c>
      <x:c r="I488" s="22" t="str">
        <x:v>복합일위대가</x:v>
      </x:c>
      <x:c r="J488" s="34" t="n">
        <x:v>9879.94</x:v>
      </x:c>
      <x:c r="K488" s="34" t="n">
        <x:v>0</x:v>
      </x:c>
      <x:c r="L488" s="34" t="n">
        <x:v>0</x:v>
      </x:c>
      <x:c r="M488" s="34" t="n">
        <x:f>SUM(J488:L488)</x:f>
        <x:v>9879.94</x:v>
      </x:c>
      <x:c r="N488" s="34" t="n">
        <x:f>G488*J488</x:f>
        <x:v>326038.02</x:v>
      </x:c>
      <x:c r="O488" s="34" t="n">
        <x:f>G488*K488</x:f>
        <x:v>0</x:v>
      </x:c>
      <x:c r="P488" s="34" t="n">
        <x:f>G488*L488</x:f>
        <x:v>0</x:v>
      </x:c>
      <x:c r="Q488" s="34" t="n">
        <x:f>SUM(N488:P488)</x:f>
        <x:v>326038.02</x:v>
      </x:c>
      <x:c r="R488" s="22" t="str">
        <x:f>IF(M488&gt;0,"복원","미복원")</x:f>
        <x:v>복원</x:v>
      </x:c>
      <x:c r="S488" s="37" t="n">
        <x:v>424</x:v>
      </x:c>
      <x:c r="T48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8" s="22" t="str">
        <x:f>A488&amp;"|"&amp;B488</x:f>
        <x:v>기계·전기동|C-01021202</x:v>
      </x:c>
      <x:c r="V488" s="22" t="n">
        <x:f>IF(M488&gt;0,1,0)</x:f>
        <x:v>1</x:v>
      </x:c>
    </x:row>
    <x:row r="489" ht="28" customHeight="1">
      <x:c r="A489" s="22" t="str">
        <x:v>기계·전기동</x:v>
      </x:c>
      <x:c r="B489" s="31" t="str">
        <x:f>"C-01021202"</x:f>
        <x:v>C-01021202</x:v>
      </x:c>
      <x:c r="C489" s="25" t="str">
        <x:v>01021202  STEEL STRUCTURE WORKS</x:v>
      </x:c>
      <x:c r="D489" s="25" t="str">
        <x:v>High Strength Bolt</x:v>
      </x:c>
      <x:c r="E489" s="25" t="str">
        <x:v>F10T, M20*60mm</x:v>
      </x:c>
      <x:c r="F489" s="22" t="str">
        <x:v>SET</x:v>
      </x:c>
      <x:c r="G489" s="28" t="n">
        <x:v>66</x:v>
      </x:c>
      <x:c r="H489" s="25" t="str">
        <x:v>453125479B7D7FE4C224BA002B4B1</x:v>
      </x:c>
      <x:c r="I489" s="22" t="str">
        <x:v>복합일위대가</x:v>
      </x:c>
      <x:c r="J489" s="34" t="n">
        <x:v>3212.67</x:v>
      </x:c>
      <x:c r="K489" s="34" t="n">
        <x:v>0</x:v>
      </x:c>
      <x:c r="L489" s="34" t="n">
        <x:v>0</x:v>
      </x:c>
      <x:c r="M489" s="34" t="n">
        <x:f>SUM(J489:L489)</x:f>
        <x:v>3212.67</x:v>
      </x:c>
      <x:c r="N489" s="34" t="n">
        <x:f>G489*J489</x:f>
        <x:v>212036.22</x:v>
      </x:c>
      <x:c r="O489" s="34" t="n">
        <x:f>G489*K489</x:f>
        <x:v>0</x:v>
      </x:c>
      <x:c r="P489" s="34" t="n">
        <x:f>G489*L489</x:f>
        <x:v>0</x:v>
      </x:c>
      <x:c r="Q489" s="34" t="n">
        <x:f>SUM(N489:P489)</x:f>
        <x:v>212036.22</x:v>
      </x:c>
      <x:c r="R489" s="22" t="str">
        <x:f>IF(M489&gt;0,"복원","미복원")</x:f>
        <x:v>복원</x:v>
      </x:c>
      <x:c r="S489" s="37" t="n">
        <x:v>425</x:v>
      </x:c>
      <x:c r="T48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89" s="22" t="str">
        <x:f>A489&amp;"|"&amp;B489</x:f>
        <x:v>기계·전기동|C-01021202</x:v>
      </x:c>
      <x:c r="V489" s="22" t="n">
        <x:f>IF(M489&gt;0,1,0)</x:f>
        <x:v>1</x:v>
      </x:c>
    </x:row>
    <x:row r="490" ht="28" customHeight="1">
      <x:c r="A490" s="22" t="str">
        <x:v>기계·전기동</x:v>
      </x:c>
      <x:c r="B490" s="31" t="str">
        <x:f>"C-01021202"</x:f>
        <x:v>C-01021202</x:v>
      </x:c>
      <x:c r="C490" s="25" t="str">
        <x:v>01021202  STEEL STRUCTURE WORKS</x:v>
      </x:c>
      <x:c r="D490" s="25" t="str">
        <x:v>High Strength Bolt</x:v>
      </x:c>
      <x:c r="E490" s="25" t="str">
        <x:v>F10T, M20*65mm</x:v>
      </x:c>
      <x:c r="F490" s="22" t="str">
        <x:v>SET</x:v>
      </x:c>
      <x:c r="G490" s="28" t="n">
        <x:v>66</x:v>
      </x:c>
      <x:c r="H490" s="25" t="str">
        <x:v>453125479B7D7FE4C224BA002B4B0</x:v>
      </x:c>
      <x:c r="I490" s="22" t="str">
        <x:v>복합일위대가</x:v>
      </x:c>
      <x:c r="J490" s="34" t="n">
        <x:v>3971.34</x:v>
      </x:c>
      <x:c r="K490" s="34" t="n">
        <x:v>678.19</x:v>
      </x:c>
      <x:c r="L490" s="34" t="n">
        <x:v>305.49</x:v>
      </x:c>
      <x:c r="M490" s="34" t="n">
        <x:f>SUM(J490:L490)</x:f>
        <x:v>4955.02</x:v>
      </x:c>
      <x:c r="N490" s="34" t="n">
        <x:f>G490*J490</x:f>
        <x:v>262108.44</x:v>
      </x:c>
      <x:c r="O490" s="34" t="n">
        <x:f>G490*K490</x:f>
        <x:v>44760.54</x:v>
      </x:c>
      <x:c r="P490" s="34" t="n">
        <x:f>G490*L490</x:f>
        <x:v>20162.34</x:v>
      </x:c>
      <x:c r="Q490" s="34" t="n">
        <x:f>SUM(N490:P490)</x:f>
        <x:v>327031.32</x:v>
      </x:c>
      <x:c r="R490" s="22" t="str">
        <x:f>IF(M490&gt;0,"복원","미복원")</x:f>
        <x:v>복원</x:v>
      </x:c>
      <x:c r="S490" s="37" t="n">
        <x:v>426</x:v>
      </x:c>
      <x:c r="T49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0" s="22" t="str">
        <x:f>A490&amp;"|"&amp;B490</x:f>
        <x:v>기계·전기동|C-01021202</x:v>
      </x:c>
      <x:c r="V490" s="22" t="n">
        <x:f>IF(M490&gt;0,1,0)</x:f>
        <x:v>1</x:v>
      </x:c>
    </x:row>
    <x:row r="491" ht="28" customHeight="1">
      <x:c r="A491" s="22" t="str">
        <x:v>기계·전기동</x:v>
      </x:c>
      <x:c r="B491" s="31" t="str">
        <x:f>"C-01021202"</x:f>
        <x:v>C-01021202</x:v>
      </x:c>
      <x:c r="C491" s="25" t="str">
        <x:v>01021202  STEEL STRUCTURE WORKS</x:v>
      </x:c>
      <x:c r="D491" s="25" t="str">
        <x:v>Anchor Bolt Install</x:v>
      </x:c>
      <x:c r="E491" s="25" t="str">
        <x:v>M20*600mm</x:v>
      </x:c>
      <x:c r="F491" s="22" t="str">
        <x:v>EA</x:v>
      </x:c>
      <x:c r="G491" s="28" t="n">
        <x:v>17</x:v>
      </x:c>
      <x:c r="H491" s="25" t="str">
        <x:v>453125479B7D7FE4C224BA002B4BE</x:v>
      </x:c>
      <x:c r="I491" s="22" t="str">
        <x:v>복합일위대가</x:v>
      </x:c>
      <x:c r="J491" s="34" t="n">
        <x:v>373.86</x:v>
      </x:c>
      <x:c r="K491" s="34" t="n">
        <x:v>37.47</x:v>
      </x:c>
      <x:c r="L491" s="34" t="n">
        <x:v>0.97</x:v>
      </x:c>
      <x:c r="M491" s="34" t="n">
        <x:f>SUM(J491:L491)</x:f>
        <x:v>412.30000000000007</x:v>
      </x:c>
      <x:c r="N491" s="34" t="n">
        <x:f>G491*J491</x:f>
        <x:v>6355.62</x:v>
      </x:c>
      <x:c r="O491" s="34" t="n">
        <x:f>G491*K491</x:f>
        <x:v>636.99</x:v>
      </x:c>
      <x:c r="P491" s="34" t="n">
        <x:f>G491*L491</x:f>
        <x:v>16.49</x:v>
      </x:c>
      <x:c r="Q491" s="34" t="n">
        <x:f>SUM(N491:P491)</x:f>
        <x:v>7009.099999999999</x:v>
      </x:c>
      <x:c r="R491" s="22" t="str">
        <x:f>IF(M491&gt;0,"복원","미복원")</x:f>
        <x:v>복원</x:v>
      </x:c>
      <x:c r="S491" s="37" t="n">
        <x:v>427</x:v>
      </x:c>
      <x:c r="T49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1" s="22" t="str">
        <x:f>A491&amp;"|"&amp;B491</x:f>
        <x:v>기계·전기동|C-01021202</x:v>
      </x:c>
      <x:c r="V491" s="22" t="n">
        <x:f>IF(M491&gt;0,1,0)</x:f>
        <x:v>1</x:v>
      </x:c>
    </x:row>
    <x:row r="492" ht="28" customHeight="1">
      <x:c r="A492" s="22" t="str">
        <x:v>기계·전기동</x:v>
      </x:c>
      <x:c r="B492" s="31" t="str">
        <x:f>"C-01021202"</x:f>
        <x:v>C-01021202</x:v>
      </x:c>
      <x:c r="C492" s="25" t="str">
        <x:v>01021202  STEEL STRUCTURE WORKS</x:v>
      </x:c>
      <x:c r="D492" s="25" t="str">
        <x:v>Set Anchor Bolt Install</x:v>
      </x:c>
      <x:c r="E492" s="25" t="str">
        <x:v>M19*L150mm</x:v>
      </x:c>
      <x:c r="F492" s="22" t="str">
        <x:v>EA</x:v>
      </x:c>
      <x:c r="G492" s="28" t="n">
        <x:v>13</x:v>
      </x:c>
      <x:c r="H492" s="25" t="str">
        <x:v>453125479B7D7FE4C224BA002B55C</x:v>
      </x:c>
      <x:c r="I492" s="22" t="str">
        <x:v>복합일위대가</x:v>
      </x:c>
      <x:c r="J492" s="34" t="n">
        <x:v>448.63</x:v>
      </x:c>
      <x:c r="K492" s="34" t="n">
        <x:v>37.47</x:v>
      </x:c>
      <x:c r="L492" s="34" t="n">
        <x:v>0.97</x:v>
      </x:c>
      <x:c r="M492" s="34" t="n">
        <x:f>SUM(J492:L492)</x:f>
        <x:v>487.07000000000005</x:v>
      </x:c>
      <x:c r="N492" s="34" t="n">
        <x:f>G492*J492</x:f>
        <x:v>5832.19</x:v>
      </x:c>
      <x:c r="O492" s="34" t="n">
        <x:f>G492*K492</x:f>
        <x:v>487.11</x:v>
      </x:c>
      <x:c r="P492" s="34" t="n">
        <x:f>G492*L492</x:f>
        <x:v>12.61</x:v>
      </x:c>
      <x:c r="Q492" s="34" t="n">
        <x:f>SUM(N492:P492)</x:f>
        <x:v>6331.909999999999</x:v>
      </x:c>
      <x:c r="R492" s="22" t="str">
        <x:f>IF(M492&gt;0,"복원","미복원")</x:f>
        <x:v>복원</x:v>
      </x:c>
      <x:c r="S492" s="37" t="n">
        <x:v>428</x:v>
      </x:c>
      <x:c r="T49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2" s="22" t="str">
        <x:f>A492&amp;"|"&amp;B492</x:f>
        <x:v>기계·전기동|C-01021202</x:v>
      </x:c>
      <x:c r="V492" s="22" t="n">
        <x:f>IF(M492&gt;0,1,0)</x:f>
        <x:v>1</x:v>
      </x:c>
    </x:row>
    <x:row r="493" ht="28" customHeight="1">
      <x:c r="A493" s="22" t="str">
        <x:v>기계·전기동</x:v>
      </x:c>
      <x:c r="B493" s="31" t="str">
        <x:f>"C-01021202"</x:f>
        <x:v>C-01021202</x:v>
      </x:c>
      <x:c r="C493" s="25" t="str">
        <x:v>01021202  STEEL STRUCTURE WORKS</x:v>
      </x:c>
      <x:c r="D493" s="25" t="str">
        <x:v>The Square Steel Pipe For The Construction Structure</x:v>
      </x:c>
      <x:c r="E493" s="25" t="str">
        <x:v>100*100*4.5mm(13.49kg)</x:v>
      </x:c>
      <x:c r="F493" s="22" t="str">
        <x:v>M</x:v>
      </x:c>
      <x:c r="G493" s="28" t="n">
        <x:v>8</x:v>
      </x:c>
      <x:c r="H493" s="25" t="str">
        <x:v>453125479B7D7FE4C224BA002B55E</x:v>
      </x:c>
      <x:c r="I493" s="22" t="str">
        <x:v>복합일위대가</x:v>
      </x:c>
      <x:c r="J493" s="34" t="n">
        <x:v>247.18</x:v>
      </x:c>
      <x:c r="K493" s="34" t="n">
        <x:v>38.16</x:v>
      </x:c>
      <x:c r="L493" s="34" t="n">
        <x:v>0</x:v>
      </x:c>
      <x:c r="M493" s="34" t="n">
        <x:f>SUM(J493:L493)</x:f>
        <x:v>285.34000000000003</x:v>
      </x:c>
      <x:c r="N493" s="34" t="n">
        <x:f>G493*J493</x:f>
        <x:v>1977.44</x:v>
      </x:c>
      <x:c r="O493" s="34" t="n">
        <x:f>G493*K493</x:f>
        <x:v>305.28</x:v>
      </x:c>
      <x:c r="P493" s="34" t="n">
        <x:f>G493*L493</x:f>
        <x:v>0</x:v>
      </x:c>
      <x:c r="Q493" s="34" t="n">
        <x:f>SUM(N493:P493)</x:f>
        <x:v>2282.7200000000003</x:v>
      </x:c>
      <x:c r="R493" s="22" t="str">
        <x:f>IF(M493&gt;0,"복원","미복원")</x:f>
        <x:v>복원</x:v>
      </x:c>
      <x:c r="S493" s="37" t="n">
        <x:v>429</x:v>
      </x:c>
      <x:c r="T49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3" s="22" t="str">
        <x:f>A493&amp;"|"&amp;B493</x:f>
        <x:v>기계·전기동|C-01021202</x:v>
      </x:c>
      <x:c r="V493" s="22" t="n">
        <x:f>IF(M493&gt;0,1,0)</x:f>
        <x:v>1</x:v>
      </x:c>
    </x:row>
    <x:row r="494" ht="28" customHeight="1">
      <x:c r="A494" s="22" t="str">
        <x:v>기계·전기동</x:v>
      </x:c>
      <x:c r="B494" s="31" t="str">
        <x:f>"C-01021202"</x:f>
        <x:v>C-01021202</x:v>
      </x:c>
      <x:c r="C494" s="25" t="str">
        <x:v>01021202  STEEL STRUCTURE WORKS</x:v>
      </x:c>
      <x:c r="D494" s="25" t="str">
        <x:v>The Square Steel Pipe For The Construction Structure</x:v>
      </x:c>
      <x:c r="E494" s="25" t="str">
        <x:v>120*50*2.3mm(5.97kg)</x:v>
      </x:c>
      <x:c r="F494" s="22" t="str">
        <x:v>M</x:v>
      </x:c>
      <x:c r="G494" s="28" t="n">
        <x:v>490</x:v>
      </x:c>
      <x:c r="H494" s="25" t="str">
        <x:v>453125479B7D7FE4C224BA002B558</x:v>
      </x:c>
      <x:c r="I494" s="22" t="str">
        <x:v>복합일위대가</x:v>
      </x:c>
      <x:c r="J494" s="34" t="n">
        <x:v>241.06</x:v>
      </x:c>
      <x:c r="K494" s="34" t="n">
        <x:v>37.47</x:v>
      </x:c>
      <x:c r="L494" s="34" t="n">
        <x:v>0.97</x:v>
      </x:c>
      <x:c r="M494" s="34" t="n">
        <x:f>SUM(J494:L494)</x:f>
        <x:v>279.5</x:v>
      </x:c>
      <x:c r="N494" s="34" t="n">
        <x:f>G494*J494</x:f>
        <x:v>118119.4</x:v>
      </x:c>
      <x:c r="O494" s="34" t="n">
        <x:f>G494*K494</x:f>
        <x:v>18360.3</x:v>
      </x:c>
      <x:c r="P494" s="34" t="n">
        <x:f>G494*L494</x:f>
        <x:v>475.3</x:v>
      </x:c>
      <x:c r="Q494" s="34" t="n">
        <x:f>SUM(N494:P494)</x:f>
        <x:v>136954.99999999997</x:v>
      </x:c>
      <x:c r="R494" s="22" t="str">
        <x:f>IF(M494&gt;0,"복원","미복원")</x:f>
        <x:v>복원</x:v>
      </x:c>
      <x:c r="S494" s="37" t="n">
        <x:v>430</x:v>
      </x:c>
      <x:c r="T49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4" s="22" t="str">
        <x:f>A494&amp;"|"&amp;B494</x:f>
        <x:v>기계·전기동|C-01021202</x:v>
      </x:c>
      <x:c r="V494" s="22" t="n">
        <x:f>IF(M494&gt;0,1,0)</x:f>
        <x:v>1</x:v>
      </x:c>
    </x:row>
    <x:row r="495" ht="28" customHeight="1">
      <x:c r="A495" s="22" t="str">
        <x:v>기계·전기동</x:v>
      </x:c>
      <x:c r="B495" s="31" t="str">
        <x:f>"C-01021202"</x:f>
        <x:v>C-01021202</x:v>
      </x:c>
      <x:c r="C495" s="25" t="str">
        <x:v>01021202  STEEL STRUCTURE WORKS</x:v>
      </x:c>
      <x:c r="D495" s="25" t="str">
        <x:v>Non Shrink Mortar</x:v>
      </x:c>
      <x:c r="E495" s="25" t="str">
        <x:v>330*330*30mm</x:v>
      </x:c>
      <x:c r="F495" s="22" t="str">
        <x:v>EA</x:v>
      </x:c>
      <x:c r="G495" s="28" t="n">
        <x:v>2</x:v>
      </x:c>
      <x:c r="H495" s="25" t="str">
        <x:v>453125479B7D7FE4C224BA002B55A</x:v>
      </x:c>
      <x:c r="I495" s="22" t="str">
        <x:v>복합일위대가</x:v>
      </x:c>
      <x:c r="J495" s="34" t="n">
        <x:v>216.95</x:v>
      </x:c>
      <x:c r="K495" s="34" t="n">
        <x:v>37.47</x:v>
      </x:c>
      <x:c r="L495" s="34" t="n">
        <x:v>0.97</x:v>
      </x:c>
      <x:c r="M495" s="34" t="n">
        <x:f>SUM(J495:L495)</x:f>
        <x:v>255.39</x:v>
      </x:c>
      <x:c r="N495" s="34" t="n">
        <x:f>G495*J495</x:f>
        <x:v>433.9</x:v>
      </x:c>
      <x:c r="O495" s="34" t="n">
        <x:f>G495*K495</x:f>
        <x:v>74.94</x:v>
      </x:c>
      <x:c r="P495" s="34" t="n">
        <x:f>G495*L495</x:f>
        <x:v>1.94</x:v>
      </x:c>
      <x:c r="Q495" s="34" t="n">
        <x:f>SUM(N495:P495)</x:f>
        <x:v>510.78</x:v>
      </x:c>
      <x:c r="R495" s="22" t="str">
        <x:f>IF(M495&gt;0,"복원","미복원")</x:f>
        <x:v>복원</x:v>
      </x:c>
      <x:c r="S495" s="37" t="n">
        <x:v>431</x:v>
      </x:c>
      <x:c r="T49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5" s="22" t="str">
        <x:f>A495&amp;"|"&amp;B495</x:f>
        <x:v>기계·전기동|C-01021202</x:v>
      </x:c>
      <x:c r="V495" s="22" t="n">
        <x:f>IF(M495&gt;0,1,0)</x:f>
        <x:v>1</x:v>
      </x:c>
    </x:row>
    <x:row r="496" ht="28" customHeight="1">
      <x:c r="A496" s="22" t="str">
        <x:v>기계·전기동</x:v>
      </x:c>
      <x:c r="B496" s="31" t="str">
        <x:f>"C-01021202"</x:f>
        <x:v>C-01021202</x:v>
      </x:c>
      <x:c r="C496" s="25" t="str">
        <x:v>01021202  STEEL STRUCTURE WORKS</x:v>
      </x:c>
      <x:c r="D496" s="25" t="str">
        <x:v>Non Shrink Mortar</x:v>
      </x:c>
      <x:c r="E496" s="25" t="str">
        <x:v>380*380*30mm</x:v>
      </x:c>
      <x:c r="F496" s="22" t="str">
        <x:v>EA</x:v>
      </x:c>
      <x:c r="G496" s="28" t="n">
        <x:v>4</x:v>
      </x:c>
      <x:c r="H496" s="25" t="str">
        <x:v>453125479B7D7FE4C224BA002B554</x:v>
      </x:c>
      <x:c r="I496" s="22" t="str">
        <x:v>복합일위대가</x:v>
      </x:c>
      <x:c r="J496" s="34" t="n">
        <x:v>341.15</x:v>
      </x:c>
      <x:c r="K496" s="34" t="n">
        <x:v>48.6</x:v>
      </x:c>
      <x:c r="L496" s="34" t="n">
        <x:v>1.26</x:v>
      </x:c>
      <x:c r="M496" s="34" t="n">
        <x:f>SUM(J496:L496)</x:f>
        <x:v>391.01</x:v>
      </x:c>
      <x:c r="N496" s="34" t="n">
        <x:f>G496*J496</x:f>
        <x:v>1364.6</x:v>
      </x:c>
      <x:c r="O496" s="34" t="n">
        <x:f>G496*K496</x:f>
        <x:v>194.4</x:v>
      </x:c>
      <x:c r="P496" s="34" t="n">
        <x:f>G496*L496</x:f>
        <x:v>5.04</x:v>
      </x:c>
      <x:c r="Q496" s="34" t="n">
        <x:f>SUM(N496:P496)</x:f>
        <x:v>1564.04</x:v>
      </x:c>
      <x:c r="R496" s="22" t="str">
        <x:f>IF(M496&gt;0,"복원","미복원")</x:f>
        <x:v>복원</x:v>
      </x:c>
      <x:c r="S496" s="37" t="n">
        <x:v>432</x:v>
      </x:c>
      <x:c r="T49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6" s="22" t="str">
        <x:f>A496&amp;"|"&amp;B496</x:f>
        <x:v>기계·전기동|C-01021202</x:v>
      </x:c>
      <x:c r="V496" s="22" t="n">
        <x:f>IF(M496&gt;0,1,0)</x:f>
        <x:v>1</x:v>
      </x:c>
    </x:row>
    <x:row r="497" ht="28" customHeight="1">
      <x:c r="A497" s="22" t="str">
        <x:v>기계·전기동</x:v>
      </x:c>
      <x:c r="B497" s="31" t="str">
        <x:f>"C-01021202"</x:f>
        <x:v>C-01021202</x:v>
      </x:c>
      <x:c r="C497" s="25" t="str">
        <x:v>01021202  STEEL STRUCTURE WORKS</x:v>
      </x:c>
      <x:c r="D497" s="25" t="str">
        <x:v>Rust Resisting Paint</x:v>
      </x:c>
      <x:c r="E497" s="25" t="str">
        <x:v>Steel Structure Face</x:v>
      </x:c>
      <x:c r="F497" s="22" t="str">
        <x:v>M2</x:v>
      </x:c>
      <x:c r="G497" s="28" t="n">
        <x:v>220</x:v>
      </x:c>
      <x:c r="H497" s="25" t="str">
        <x:v>453125479B7D7FE4C224BA002B288</x:v>
      </x:c>
      <x:c r="I497" s="22" t="str">
        <x:v>복합일위대가</x:v>
      </x:c>
      <x:c r="J497" s="34" t="n">
        <x:v>409.38</x:v>
      </x:c>
      <x:c r="K497" s="34" t="n">
        <x:v>48.6</x:v>
      </x:c>
      <x:c r="L497" s="34" t="n">
        <x:v>1.26</x:v>
      </x:c>
      <x:c r="M497" s="34" t="n">
        <x:f>SUM(J497:L497)</x:f>
        <x:v>459.24</x:v>
      </x:c>
      <x:c r="N497" s="34" t="n">
        <x:f>G497*J497</x:f>
        <x:v>90063.6</x:v>
      </x:c>
      <x:c r="O497" s="34" t="n">
        <x:f>G497*K497</x:f>
        <x:v>10692</x:v>
      </x:c>
      <x:c r="P497" s="34" t="n">
        <x:f>G497*L497</x:f>
        <x:v>277.2</x:v>
      </x:c>
      <x:c r="Q497" s="34" t="n">
        <x:f>SUM(N497:P497)</x:f>
        <x:v>101032.8</x:v>
      </x:c>
      <x:c r="R497" s="22" t="str">
        <x:f>IF(M497&gt;0,"복원","미복원")</x:f>
        <x:v>복원</x:v>
      </x:c>
      <x:c r="S497" s="37" t="n">
        <x:v>433</x:v>
      </x:c>
      <x:c r="T49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7" s="22" t="str">
        <x:f>A497&amp;"|"&amp;B497</x:f>
        <x:v>기계·전기동|C-01021202</x:v>
      </x:c>
      <x:c r="V497" s="22" t="n">
        <x:f>IF(M497&gt;0,1,0)</x:f>
        <x:v>1</x:v>
      </x:c>
    </x:row>
    <x:row r="498" ht="28" customHeight="1">
      <x:c r="A498" s="22" t="str">
        <x:v>기계·전기동</x:v>
      </x:c>
      <x:c r="B498" s="31" t="str">
        <x:f>"C-01021202"</x:f>
        <x:v>C-01021202</x:v>
      </x:c>
      <x:c r="C498" s="25" t="str">
        <x:v>01021202  STEEL STRUCTURE WORKS</x:v>
      </x:c>
      <x:c r="D498" s="25" t="str">
        <x:v>Ready Mixed Paint</x:v>
      </x:c>
      <x:c r="E498" s="25" t="str">
        <x:v>Steel Structure Face</x:v>
      </x:c>
      <x:c r="F498" s="22" t="str">
        <x:v>M2</x:v>
      </x:c>
      <x:c r="G498" s="28" t="n">
        <x:v>216</x:v>
      </x:c>
      <x:c r="H498" s="25" t="str">
        <x:v>453125479B7D7FE4C224BA002B28A</x:v>
      </x:c>
      <x:c r="I498" s="22" t="str">
        <x:v>복합일위대가</x:v>
      </x:c>
      <x:c r="J498" s="34" t="n">
        <x:v>253.11</x:v>
      </x:c>
      <x:c r="K498" s="34" t="n">
        <x:v>37.47</x:v>
      </x:c>
      <x:c r="L498" s="34" t="n">
        <x:v>0.97</x:v>
      </x:c>
      <x:c r="M498" s="34" t="n">
        <x:f>SUM(J498:L498)</x:f>
        <x:v>291.55000000000007</x:v>
      </x:c>
      <x:c r="N498" s="34" t="n">
        <x:f>G498*J498</x:f>
        <x:v>54671.76</x:v>
      </x:c>
      <x:c r="O498" s="34" t="n">
        <x:f>G498*K498</x:f>
        <x:v>8093.5199999999995</x:v>
      </x:c>
      <x:c r="P498" s="34" t="n">
        <x:f>G498*L498</x:f>
        <x:v>209.51999999999998</x:v>
      </x:c>
      <x:c r="Q498" s="34" t="n">
        <x:f>SUM(N498:P498)</x:f>
        <x:v>62974.799999999996</x:v>
      </x:c>
      <x:c r="R498" s="22" t="str">
        <x:f>IF(M498&gt;0,"복원","미복원")</x:f>
        <x:v>복원</x:v>
      </x:c>
      <x:c r="S498" s="37" t="n">
        <x:v>434</x:v>
      </x:c>
      <x:c r="T49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8" s="22" t="str">
        <x:f>A498&amp;"|"&amp;B498</x:f>
        <x:v>기계·전기동|C-01021202</x:v>
      </x:c>
      <x:c r="V498" s="22" t="n">
        <x:f>IF(M498&gt;0,1,0)</x:f>
        <x:v>1</x:v>
      </x:c>
    </x:row>
    <x:row r="499" ht="28" customHeight="1">
      <x:c r="A499" s="22" t="str">
        <x:v>기계·전기동</x:v>
      </x:c>
      <x:c r="B499" s="31" t="str">
        <x:f>"C-01021203"</x:f>
        <x:v>C-01021203</x:v>
      </x:c>
      <x:c r="C499" s="25" t="str">
        <x:v>01021203  FINISH WORKS</x:v>
      </x:c>
      <x:c r="D499" s="25" t="str">
        <x:v>0.1mm thick polyethylene sheet(2Layers) under blinding beds.</x:v>
      </x:c>
      <x:c r="E499" s="25" t="str"/>
      <x:c r="F499" s="22" t="str">
        <x:v>M2</x:v>
      </x:c>
      <x:c r="G499" s="28" t="n">
        <x:v>30</x:v>
      </x:c>
      <x:c r="H499" s="25" t="str">
        <x:v>453125479B7D7FE4C224BA002B280</x:v>
      </x:c>
      <x:c r="I499" s="22" t="str">
        <x:v>복합일위대가</x:v>
      </x:c>
      <x:c r="J499" s="34" t="n">
        <x:v>3074.34</x:v>
      </x:c>
      <x:c r="K499" s="34" t="n">
        <x:v>479.85</x:v>
      </x:c>
      <x:c r="L499" s="34" t="n">
        <x:v>0</x:v>
      </x:c>
      <x:c r="M499" s="34" t="n">
        <x:f>SUM(J499:L499)</x:f>
        <x:v>3554.19</x:v>
      </x:c>
      <x:c r="N499" s="34" t="n">
        <x:f>G499*J499</x:f>
        <x:v>92230.20000000001</x:v>
      </x:c>
      <x:c r="O499" s="34" t="n">
        <x:f>G499*K499</x:f>
        <x:v>14395.5</x:v>
      </x:c>
      <x:c r="P499" s="34" t="n">
        <x:f>G499*L499</x:f>
        <x:v>0</x:v>
      </x:c>
      <x:c r="Q499" s="34" t="n">
        <x:f>SUM(N499:P499)</x:f>
        <x:v>106625.70000000001</x:v>
      </x:c>
      <x:c r="R499" s="22" t="str">
        <x:f>IF(M499&gt;0,"복원","미복원")</x:f>
        <x:v>복원</x:v>
      </x:c>
      <x:c r="S499" s="37" t="n">
        <x:v>437</x:v>
      </x:c>
      <x:c r="T49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499" s="22" t="str">
        <x:f>A499&amp;"|"&amp;B499</x:f>
        <x:v>기계·전기동|C-01021203</x:v>
      </x:c>
      <x:c r="V499" s="22" t="n">
        <x:f>IF(M499&gt;0,1,0)</x:f>
        <x:v>1</x:v>
      </x:c>
    </x:row>
    <x:row r="500" ht="28" customHeight="1">
      <x:c r="A500" s="22" t="str">
        <x:v>기계·전기동</x:v>
      </x:c>
      <x:c r="B500" s="31" t="str">
        <x:f>"C-01021204"</x:f>
        <x:v>C-01021204</x:v>
      </x:c>
      <x:c r="C500" s="25" t="str">
        <x:v>01021204  METAL WORKS</x:v>
      </x:c>
      <x:c r="D500" s="25" t="str">
        <x:v>Supply and SST Cat Ladder</x:v>
      </x:c>
      <x:c r="E500" s="25" t="str">
        <x:v>400mm x 4.0m high</x:v>
      </x:c>
      <x:c r="F500" s="22" t="str">
        <x:v>EA</x:v>
      </x:c>
      <x:c r="G500" s="28" t="n">
        <x:v>1</x:v>
      </x:c>
      <x:c r="H500" s="25" t="str">
        <x:v>4531284DDC776A4702EA22A0C0638FB35014A</x:v>
      </x:c>
      <x:c r="I500" s="22" t="str">
        <x:v>직접자원단가</x:v>
      </x:c>
      <x:c r="J500" s="34" t="n">
        <x:v>50</x:v>
      </x:c>
      <x:c r="K500" s="34" t="n">
        <x:v>0</x:v>
      </x:c>
      <x:c r="L500" s="34" t="n">
        <x:v>0</x:v>
      </x:c>
      <x:c r="M500" s="34" t="n">
        <x:f>SUM(J500:L500)</x:f>
        <x:v>50</x:v>
      </x:c>
      <x:c r="N500" s="34" t="n">
        <x:f>G500*J500</x:f>
        <x:v>50</x:v>
      </x:c>
      <x:c r="O500" s="34" t="n">
        <x:f>G500*K500</x:f>
        <x:v>0</x:v>
      </x:c>
      <x:c r="P500" s="34" t="n">
        <x:f>G500*L500</x:f>
        <x:v>0</x:v>
      </x:c>
      <x:c r="Q500" s="34" t="n">
        <x:f>SUM(N500:P500)</x:f>
        <x:v>50</x:v>
      </x:c>
      <x:c r="R500" s="22" t="str">
        <x:f>IF(M500&gt;0,"복원","미복원")</x:f>
        <x:v>복원</x:v>
      </x:c>
      <x:c r="S500" s="37" t="n">
        <x:v>461</x:v>
      </x:c>
      <x:c r="T50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0" s="22" t="str">
        <x:f>A500&amp;"|"&amp;B500</x:f>
        <x:v>기계·전기동|C-01021204</x:v>
      </x:c>
      <x:c r="V500" s="22" t="n">
        <x:f>IF(M500&gt;0,1,0)</x:f>
        <x:v>1</x:v>
      </x:c>
    </x:row>
    <x:row r="501" ht="28" customHeight="1">
      <x:c r="A501" s="22" t="str">
        <x:v>기계·전기동</x:v>
      </x:c>
      <x:c r="B501" s="31" t="str">
        <x:f>"C-01021204"</x:f>
        <x:v>C-01021204</x:v>
      </x:c>
      <x:c r="C501" s="25" t="str">
        <x:v>01021204  METAL WORKS</x:v>
      </x:c>
      <x:c r="D501" s="25" t="str">
        <x:v>THK 0.7 CORRUGATED STEEL SHEET</x:v>
      </x:c>
      <x:c r="E501" s="25" t="str"/>
      <x:c r="F501" s="22" t="str">
        <x:v>M2</x:v>
      </x:c>
      <x:c r="G501" s="28" t="n">
        <x:v>27</x:v>
      </x:c>
      <x:c r="H501" s="25" t="str">
        <x:v>4531284DDC776A4702EA22A0C0638FB35014B</x:v>
      </x:c>
      <x:c r="I501" s="22" t="str">
        <x:v>직접자원단가</x:v>
      </x:c>
      <x:c r="J501" s="34" t="n">
        <x:v>50</x:v>
      </x:c>
      <x:c r="K501" s="34" t="n">
        <x:v>0</x:v>
      </x:c>
      <x:c r="L501" s="34" t="n">
        <x:v>0</x:v>
      </x:c>
      <x:c r="M501" s="34" t="n">
        <x:f>SUM(J501:L501)</x:f>
        <x:v>50</x:v>
      </x:c>
      <x:c r="N501" s="34" t="n">
        <x:f>G501*J501</x:f>
        <x:v>1350</x:v>
      </x:c>
      <x:c r="O501" s="34" t="n">
        <x:f>G501*K501</x:f>
        <x:v>0</x:v>
      </x:c>
      <x:c r="P501" s="34" t="n">
        <x:f>G501*L501</x:f>
        <x:v>0</x:v>
      </x:c>
      <x:c r="Q501" s="34" t="n">
        <x:f>SUM(N501:P501)</x:f>
        <x:v>1350</x:v>
      </x:c>
      <x:c r="R501" s="22" t="str">
        <x:f>IF(M501&gt;0,"복원","미복원")</x:f>
        <x:v>복원</x:v>
      </x:c>
      <x:c r="S501" s="37" t="n">
        <x:v>462</x:v>
      </x:c>
      <x:c r="T50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1" s="22" t="str">
        <x:f>A501&amp;"|"&amp;B501</x:f>
        <x:v>기계·전기동|C-01021204</x:v>
      </x:c>
      <x:c r="V501" s="22" t="n">
        <x:f>IF(M501&gt;0,1,0)</x:f>
        <x:v>1</x:v>
      </x:c>
    </x:row>
    <x:row r="502" ht="28" customHeight="1">
      <x:c r="A502" s="22" t="str">
        <x:v>기계·전기동</x:v>
      </x:c>
      <x:c r="B502" s="31" t="str">
        <x:f>"C-01021302"</x:f>
        <x:v>C-01021302</x:v>
      </x:c>
      <x:c r="C502" s="25" t="str">
        <x:v>01021302  STEEL STRUCTURE WORKS</x:v>
      </x:c>
      <x:c r="D502" s="25" t="str">
        <x:v>H Shape Steel</x:v>
      </x:c>
      <x:c r="E502" s="25" t="str">
        <x:v>SS275, 175*175*8*11mm</x:v>
      </x:c>
      <x:c r="F502" s="22" t="str">
        <x:v>TON</x:v>
      </x:c>
      <x:c r="G502" s="28" t="n">
        <x:v>0.867</x:v>
      </x:c>
      <x:c r="H502" s="25" t="str">
        <x:v>43AE2142BE773DD372E74EE2E1A955D5C7A4A</x:v>
      </x:c>
      <x:c r="I502" s="22" t="str">
        <x:v>직접자원단가</x:v>
      </x:c>
      <x:c r="J502" s="34" t="n">
        <x:v>16.29267570169592</x:v>
      </x:c>
      <x:c r="K502" s="34" t="n">
        <x:v>2.4113160038509966</x:v>
      </x:c>
      <x:c r="L502" s="34" t="n">
        <x:v>0</x:v>
      </x:c>
      <x:c r="M502" s="34" t="n">
        <x:f>SUM(J502:L502)</x:f>
        <x:v>18.703991705546915</x:v>
      </x:c>
      <x:c r="N502" s="34" t="n">
        <x:f>G502*J502</x:f>
        <x:v>14.125749833370362</x:v>
      </x:c>
      <x:c r="O502" s="34" t="n">
        <x:f>G502*K502</x:f>
        <x:v>2.090610975338814</x:v>
      </x:c>
      <x:c r="P502" s="34" t="n">
        <x:f>G502*L502</x:f>
        <x:v>0</x:v>
      </x:c>
      <x:c r="Q502" s="34" t="n">
        <x:f>SUM(N502:P502)</x:f>
        <x:v>16.216360808709176</x:v>
      </x:c>
      <x:c r="R502" s="22" t="str">
        <x:f>IF(M502&gt;0,"복원","미복원")</x:f>
        <x:v>복원</x:v>
      </x:c>
      <x:c r="S502" s="37" t="n">
        <x:v>509</x:v>
      </x:c>
      <x:c r="T50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2" s="22" t="str">
        <x:f>A502&amp;"|"&amp;B502</x:f>
        <x:v>기계·전기동|C-01021302</x:v>
      </x:c>
      <x:c r="V502" s="22" t="n">
        <x:f>IF(M502&gt;0,1,0)</x:f>
        <x:v>1</x:v>
      </x:c>
    </x:row>
    <x:row r="503" ht="28" customHeight="1">
      <x:c r="A503" s="22" t="str">
        <x:v>기계·전기동</x:v>
      </x:c>
      <x:c r="B503" s="31" t="str">
        <x:f>"C-01021302"</x:f>
        <x:v>C-01021302</x:v>
      </x:c>
      <x:c r="C503" s="25" t="str">
        <x:v>01021302  STEEL STRUCTURE WORKS</x:v>
      </x:c>
      <x:c r="D503" s="25" t="str">
        <x:v>H Shape Steel</x:v>
      </x:c>
      <x:c r="E503" s="25" t="str">
        <x:v>SS275, 194*150*6*9mm</x:v>
      </x:c>
      <x:c r="F503" s="22" t="str">
        <x:v>TON</x:v>
      </x:c>
      <x:c r="G503" s="28" t="n">
        <x:v>1.276</x:v>
      </x:c>
      <x:c r="H503" s="25" t="str">
        <x:v>43AE2142BE746970424045853B7FD2C14EBD8</x:v>
      </x:c>
      <x:c r="I503" s="22" t="str">
        <x:v>직접자원단가</x:v>
      </x:c>
      <x:c r="J503" s="34" t="n">
        <x:v>30.54876694067985</x:v>
      </x:c>
      <x:c r="K503" s="34" t="n">
        <x:v>0</x:v>
      </x:c>
      <x:c r="L503" s="34" t="n">
        <x:v>0</x:v>
      </x:c>
      <x:c r="M503" s="34" t="n">
        <x:f>SUM(J503:L503)</x:f>
        <x:v>30.54876694067985</x:v>
      </x:c>
      <x:c r="N503" s="34" t="n">
        <x:f>G503*J503</x:f>
        <x:v>38.98022661630749</x:v>
      </x:c>
      <x:c r="O503" s="34" t="n">
        <x:f>G503*K503</x:f>
        <x:v>0</x:v>
      </x:c>
      <x:c r="P503" s="34" t="n">
        <x:f>G503*L503</x:f>
        <x:v>0</x:v>
      </x:c>
      <x:c r="Q503" s="34" t="n">
        <x:f>SUM(N503:P503)</x:f>
        <x:v>38.98022661630749</x:v>
      </x:c>
      <x:c r="R503" s="22" t="str">
        <x:f>IF(M503&gt;0,"복원","미복원")</x:f>
        <x:v>복원</x:v>
      </x:c>
      <x:c r="S503" s="37" t="n">
        <x:v>510</x:v>
      </x:c>
      <x:c r="T50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3" s="22" t="str">
        <x:f>A503&amp;"|"&amp;B503</x:f>
        <x:v>기계·전기동|C-01021302</x:v>
      </x:c>
      <x:c r="V503" s="22" t="n">
        <x:f>IF(M503&gt;0,1,0)</x:f>
        <x:v>1</x:v>
      </x:c>
    </x:row>
    <x:row r="504" ht="28" customHeight="1">
      <x:c r="A504" s="22" t="str">
        <x:v>기계·전기동</x:v>
      </x:c>
      <x:c r="B504" s="31" t="str">
        <x:f>"C-01021302"</x:f>
        <x:v>C-01021302</x:v>
      </x:c>
      <x:c r="C504" s="25" t="str">
        <x:v>01021302  STEEL STRUCTURE WORKS</x:v>
      </x:c>
      <x:c r="D504" s="25" t="str">
        <x:v>Light Gage Steel</x:v>
      </x:c>
      <x:c r="E504" s="25" t="str">
        <x:v>C, 150*50*20, t3.2</x:v>
      </x:c>
      <x:c r="F504" s="22" t="str">
        <x:v>TON</x:v>
      </x:c>
      <x:c r="G504" s="28" t="n">
        <x:v>0.43</x:v>
      </x:c>
      <x:c r="H504" s="25" t="str">
        <x:v>43AE2142BE746970424045853B7FD2C14EA36</x:v>
      </x:c>
      <x:c r="I504" s="22" t="str">
        <x:v>직접자원단가</x:v>
      </x:c>
      <x:c r="J504" s="34" t="n">
        <x:v>30.54876694067985</x:v>
      </x:c>
      <x:c r="K504" s="34" t="n">
        <x:v>0</x:v>
      </x:c>
      <x:c r="L504" s="34" t="n">
        <x:v>0</x:v>
      </x:c>
      <x:c r="M504" s="34" t="n">
        <x:f>SUM(J504:L504)</x:f>
        <x:v>30.54876694067985</x:v>
      </x:c>
      <x:c r="N504" s="34" t="n">
        <x:f>G504*J504</x:f>
        <x:v>13.135969784492335</x:v>
      </x:c>
      <x:c r="O504" s="34" t="n">
        <x:f>G504*K504</x:f>
        <x:v>0</x:v>
      </x:c>
      <x:c r="P504" s="34" t="n">
        <x:f>G504*L504</x:f>
        <x:v>0</x:v>
      </x:c>
      <x:c r="Q504" s="34" t="n">
        <x:f>SUM(N504:P504)</x:f>
        <x:v>13.135969784492335</x:v>
      </x:c>
      <x:c r="R504" s="22" t="str">
        <x:f>IF(M504&gt;0,"복원","미복원")</x:f>
        <x:v>복원</x:v>
      </x:c>
      <x:c r="S504" s="37" t="n">
        <x:v>511</x:v>
      </x:c>
      <x:c r="T50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4" s="22" t="str">
        <x:f>A504&amp;"|"&amp;B504</x:f>
        <x:v>기계·전기동|C-01021302</x:v>
      </x:c>
      <x:c r="V504" s="22" t="n">
        <x:f>IF(M504&gt;0,1,0)</x:f>
        <x:v>1</x:v>
      </x:c>
    </x:row>
    <x:row r="505" ht="28" customHeight="1">
      <x:c r="A505" s="22" t="str">
        <x:v>기계·전기동</x:v>
      </x:c>
      <x:c r="B505" s="31" t="str">
        <x:f>"C-01021302"</x:f>
        <x:v>C-01021302</x:v>
      </x:c>
      <x:c r="C505" s="25" t="str">
        <x:v>01021302  STEEL STRUCTURE WORKS</x:v>
      </x:c>
      <x:c r="D505" s="25" t="str">
        <x:v>Steel Plate</x:v>
      </x:c>
      <x:c r="E505" s="25" t="str">
        <x:v>SS275, 6.0mm</x:v>
      </x:c>
      <x:c r="F505" s="22" t="str">
        <x:v>TON</x:v>
      </x:c>
      <x:c r="G505" s="28" t="n">
        <x:v>0.031</x:v>
      </x:c>
      <x:c r="H505" s="25" t="str">
        <x:v>4531284DDC776A4702EA22A0C0638FB35037B</x:v>
      </x:c>
      <x:c r="I505" s="22" t="str">
        <x:v>직접자원단가</x:v>
      </x:c>
      <x:c r="J505" s="34" t="n">
        <x:v>60</x:v>
      </x:c>
      <x:c r="K505" s="34" t="n">
        <x:v>0</x:v>
      </x:c>
      <x:c r="L505" s="34" t="n">
        <x:v>0</x:v>
      </x:c>
      <x:c r="M505" s="34" t="n">
        <x:f>SUM(J505:L505)</x:f>
        <x:v>60</x:v>
      </x:c>
      <x:c r="N505" s="34" t="n">
        <x:f>G505*J505</x:f>
        <x:v>1.8599999999999999</x:v>
      </x:c>
      <x:c r="O505" s="34" t="n">
        <x:f>G505*K505</x:f>
        <x:v>0</x:v>
      </x:c>
      <x:c r="P505" s="34" t="n">
        <x:f>G505*L505</x:f>
        <x:v>0</x:v>
      </x:c>
      <x:c r="Q505" s="34" t="n">
        <x:f>SUM(N505:P505)</x:f>
        <x:v>1.8599999999999999</x:v>
      </x:c>
      <x:c r="R505" s="22" t="str">
        <x:f>IF(M505&gt;0,"복원","미복원")</x:f>
        <x:v>복원</x:v>
      </x:c>
      <x:c r="S505" s="37" t="n">
        <x:v>512</x:v>
      </x:c>
      <x:c r="T50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5" s="22" t="str">
        <x:f>A505&amp;"|"&amp;B505</x:f>
        <x:v>기계·전기동|C-01021302</x:v>
      </x:c>
      <x:c r="V505" s="22" t="n">
        <x:f>IF(M505&gt;0,1,0)</x:f>
        <x:v>1</x:v>
      </x:c>
    </x:row>
    <x:row r="506" ht="28" customHeight="1">
      <x:c r="A506" s="22" t="str">
        <x:v>기계·전기동</x:v>
      </x:c>
      <x:c r="B506" s="31" t="str">
        <x:f>"C-01021302"</x:f>
        <x:v>C-01021302</x:v>
      </x:c>
      <x:c r="C506" s="25" t="str">
        <x:v>01021302  STEEL STRUCTURE WORKS</x:v>
      </x:c>
      <x:c r="D506" s="25" t="str">
        <x:v>Steel Plate</x:v>
      </x:c>
      <x:c r="E506" s="25" t="str">
        <x:v>SS275, 8.0mm</x:v>
      </x:c>
      <x:c r="F506" s="22" t="str">
        <x:v>TON</x:v>
      </x:c>
      <x:c r="G506" s="28" t="n">
        <x:v>0.047</x:v>
      </x:c>
      <x:c r="H506" s="25" t="str">
        <x:v>448227450275CD2FB281D8393CD64</x:v>
      </x:c>
      <x:c r="I506" s="22" t="str">
        <x:v>복합일위대가</x:v>
      </x:c>
      <x:c r="J506" s="34" t="n">
        <x:v>0.32</x:v>
      </x:c>
      <x:c r="K506" s="34" t="n">
        <x:v>0</x:v>
      </x:c>
      <x:c r="L506" s="34" t="n">
        <x:v>0</x:v>
      </x:c>
      <x:c r="M506" s="34" t="n">
        <x:f>SUM(J506:L506)</x:f>
        <x:v>0.32</x:v>
      </x:c>
      <x:c r="N506" s="34" t="n">
        <x:f>G506*J506</x:f>
        <x:v>0.01504</x:v>
      </x:c>
      <x:c r="O506" s="34" t="n">
        <x:f>G506*K506</x:f>
        <x:v>0</x:v>
      </x:c>
      <x:c r="P506" s="34" t="n">
        <x:f>G506*L506</x:f>
        <x:v>0</x:v>
      </x:c>
      <x:c r="Q506" s="34" t="n">
        <x:f>SUM(N506:P506)</x:f>
        <x:v>0.01504</x:v>
      </x:c>
      <x:c r="R506" s="22" t="str">
        <x:f>IF(M506&gt;0,"복원","미복원")</x:f>
        <x:v>복원</x:v>
      </x:c>
      <x:c r="S506" s="37" t="n">
        <x:v>513</x:v>
      </x:c>
      <x:c r="T50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6" s="22" t="str">
        <x:f>A506&amp;"|"&amp;B506</x:f>
        <x:v>기계·전기동|C-01021302</x:v>
      </x:c>
      <x:c r="V506" s="22" t="n">
        <x:f>IF(M506&gt;0,1,0)</x:f>
        <x:v>1</x:v>
      </x:c>
    </x:row>
    <x:row r="507" ht="28" customHeight="1">
      <x:c r="A507" s="22" t="str">
        <x:v>기계·전기동</x:v>
      </x:c>
      <x:c r="B507" s="31" t="str">
        <x:f>"C-01021302"</x:f>
        <x:v>C-01021302</x:v>
      </x:c>
      <x:c r="C507" s="25" t="str">
        <x:v>01021302  STEEL STRUCTURE WORKS</x:v>
      </x:c>
      <x:c r="D507" s="25" t="str">
        <x:v>Steel Plate</x:v>
      </x:c>
      <x:c r="E507" s="25" t="str">
        <x:v>SS275, 9.0mm</x:v>
      </x:c>
      <x:c r="F507" s="22" t="str">
        <x:v>TON</x:v>
      </x:c>
      <x:c r="G507" s="28" t="n">
        <x:v>0.056</x:v>
      </x:c>
      <x:c r="H507" s="25" t="str">
        <x:v>448227450275C8AE02615B1D5192C</x:v>
      </x:c>
      <x:c r="I507" s="22" t="str">
        <x:v>복합일위대가</x:v>
      </x:c>
      <x:c r="J507" s="34" t="n">
        <x:v>1.66</x:v>
      </x:c>
      <x:c r="K507" s="34" t="n">
        <x:v>0</x:v>
      </x:c>
      <x:c r="L507" s="34" t="n">
        <x:v>0</x:v>
      </x:c>
      <x:c r="M507" s="34" t="n">
        <x:f>SUM(J507:L507)</x:f>
        <x:v>1.66</x:v>
      </x:c>
      <x:c r="N507" s="34" t="n">
        <x:f>G507*J507</x:f>
        <x:v>0.09296</x:v>
      </x:c>
      <x:c r="O507" s="34" t="n">
        <x:f>G507*K507</x:f>
        <x:v>0</x:v>
      </x:c>
      <x:c r="P507" s="34" t="n">
        <x:f>G507*L507</x:f>
        <x:v>0</x:v>
      </x:c>
      <x:c r="Q507" s="34" t="n">
        <x:f>SUM(N507:P507)</x:f>
        <x:v>0.09296</x:v>
      </x:c>
      <x:c r="R507" s="22" t="str">
        <x:f>IF(M507&gt;0,"복원","미복원")</x:f>
        <x:v>복원</x:v>
      </x:c>
      <x:c r="S507" s="37" t="n">
        <x:v>514</x:v>
      </x:c>
      <x:c r="T50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7" s="22" t="str">
        <x:f>A507&amp;"|"&amp;B507</x:f>
        <x:v>기계·전기동|C-01021302</x:v>
      </x:c>
      <x:c r="V507" s="22" t="n">
        <x:f>IF(M507&gt;0,1,0)</x:f>
        <x:v>1</x:v>
      </x:c>
    </x:row>
    <x:row r="508" ht="28" customHeight="1">
      <x:c r="A508" s="22" t="str">
        <x:v>기계·전기동</x:v>
      </x:c>
      <x:c r="B508" s="31" t="str">
        <x:f>"C-01021302"</x:f>
        <x:v>C-01021302</x:v>
      </x:c>
      <x:c r="C508" s="25" t="str">
        <x:v>01021302  STEEL STRUCTURE WORKS</x:v>
      </x:c>
      <x:c r="D508" s="25" t="str">
        <x:v>Steel Plate</x:v>
      </x:c>
      <x:c r="E508" s="25" t="str">
        <x:v>SS275, 15mm</x:v>
      </x:c>
      <x:c r="F508" s="22" t="str">
        <x:v>TON</x:v>
      </x:c>
      <x:c r="G508" s="28" t="n">
        <x:v>0.046</x:v>
      </x:c>
      <x:c r="H508" s="25" t="str">
        <x:v>448227450275C8AE02615B1D51A33</x:v>
      </x:c>
      <x:c r="I508" s="22" t="str">
        <x:v>복합일위대가</x:v>
      </x:c>
      <x:c r="J508" s="34" t="n">
        <x:v>1.39</x:v>
      </x:c>
      <x:c r="K508" s="34" t="n">
        <x:v>0</x:v>
      </x:c>
      <x:c r="L508" s="34" t="n">
        <x:v>0</x:v>
      </x:c>
      <x:c r="M508" s="34" t="n">
        <x:f>SUM(J508:L508)</x:f>
        <x:v>1.39</x:v>
      </x:c>
      <x:c r="N508" s="34" t="n">
        <x:f>G508*J508</x:f>
        <x:v>0.06394</x:v>
      </x:c>
      <x:c r="O508" s="34" t="n">
        <x:f>G508*K508</x:f>
        <x:v>0</x:v>
      </x:c>
      <x:c r="P508" s="34" t="n">
        <x:f>G508*L508</x:f>
        <x:v>0</x:v>
      </x:c>
      <x:c r="Q508" s="34" t="n">
        <x:f>SUM(N508:P508)</x:f>
        <x:v>0.06394</x:v>
      </x:c>
      <x:c r="R508" s="22" t="str">
        <x:f>IF(M508&gt;0,"복원","미복원")</x:f>
        <x:v>복원</x:v>
      </x:c>
      <x:c r="S508" s="37" t="n">
        <x:v>515</x:v>
      </x:c>
      <x:c r="T508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8" s="22" t="str">
        <x:f>A508&amp;"|"&amp;B508</x:f>
        <x:v>기계·전기동|C-01021302</x:v>
      </x:c>
      <x:c r="V508" s="22" t="n">
        <x:f>IF(M508&gt;0,1,0)</x:f>
        <x:v>1</x:v>
      </x:c>
    </x:row>
    <x:row r="509" ht="28" customHeight="1">
      <x:c r="A509" s="22" t="str">
        <x:v>기계·전기동</x:v>
      </x:c>
      <x:c r="B509" s="31" t="str">
        <x:f>"C-01021302"</x:f>
        <x:v>C-01021302</x:v>
      </x:c>
      <x:c r="C509" s="25" t="str">
        <x:v>01021302  STEEL STRUCTURE WORKS</x:v>
      </x:c>
      <x:c r="D509" s="25" t="str">
        <x:v>Steel Plate</x:v>
      </x:c>
      <x:c r="E509" s="25" t="str">
        <x:v>SS275, 19mm</x:v>
      </x:c>
      <x:c r="F509" s="22" t="str">
        <x:v>TON</x:v>
      </x:c>
      <x:c r="G509" s="28" t="n">
        <x:v>0.08</x:v>
      </x:c>
      <x:c r="H509" s="25" t="str">
        <x:v>448227450275C8AE02615B1D51BD9</x:v>
      </x:c>
      <x:c r="I509" s="22" t="str">
        <x:v>복합일위대가</x:v>
      </x:c>
      <x:c r="J509" s="34" t="n">
        <x:v>1.02</x:v>
      </x:c>
      <x:c r="K509" s="34" t="n">
        <x:v>0</x:v>
      </x:c>
      <x:c r="L509" s="34" t="n">
        <x:v>0</x:v>
      </x:c>
      <x:c r="M509" s="34" t="n">
        <x:f>SUM(J509:L509)</x:f>
        <x:v>1.02</x:v>
      </x:c>
      <x:c r="N509" s="34" t="n">
        <x:f>G509*J509</x:f>
        <x:v>0.0816</x:v>
      </x:c>
      <x:c r="O509" s="34" t="n">
        <x:f>G509*K509</x:f>
        <x:v>0</x:v>
      </x:c>
      <x:c r="P509" s="34" t="n">
        <x:f>G509*L509</x:f>
        <x:v>0</x:v>
      </x:c>
      <x:c r="Q509" s="34" t="n">
        <x:f>SUM(N509:P509)</x:f>
        <x:v>0.0816</x:v>
      </x:c>
      <x:c r="R509" s="22" t="str">
        <x:f>IF(M509&gt;0,"복원","미복원")</x:f>
        <x:v>복원</x:v>
      </x:c>
      <x:c r="S509" s="37" t="n">
        <x:v>516</x:v>
      </x:c>
      <x:c r="T509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09" s="22" t="str">
        <x:f>A509&amp;"|"&amp;B509</x:f>
        <x:v>기계·전기동|C-01021302</x:v>
      </x:c>
      <x:c r="V509" s="22" t="n">
        <x:f>IF(M509&gt;0,1,0)</x:f>
        <x:v>1</x:v>
      </x:c>
    </x:row>
    <x:row r="510" ht="28" customHeight="1">
      <x:c r="A510" s="22" t="str">
        <x:v>기계·전기동</x:v>
      </x:c>
      <x:c r="B510" s="31" t="str">
        <x:f>"C-01021302"</x:f>
        <x:v>C-01021302</x:v>
      </x:c>
      <x:c r="C510" s="25" t="str">
        <x:v>01021302  STEEL STRUCTURE WORKS</x:v>
      </x:c>
      <x:c r="D510" s="25" t="str">
        <x:v>High Strength Bolt</x:v>
      </x:c>
      <x:c r="E510" s="25" t="str">
        <x:v>F10T, M20*50mm</x:v>
      </x:c>
      <x:c r="F510" s="22" t="str">
        <x:v>SET</x:v>
      </x:c>
      <x:c r="G510" s="28" t="n">
        <x:v>9</x:v>
      </x:c>
      <x:c r="H510" s="25" t="str">
        <x:v>44822343C377C36F323EA2A4272DE</x:v>
      </x:c>
      <x:c r="I510" s="22" t="str">
        <x:v>복합일위대가</x:v>
      </x:c>
      <x:c r="J510" s="34" t="n">
        <x:v>0</x:v>
      </x:c>
      <x:c r="K510" s="34" t="n">
        <x:v>10.11</x:v>
      </x:c>
      <x:c r="L510" s="34" t="n">
        <x:v>0</x:v>
      </x:c>
      <x:c r="M510" s="34" t="n">
        <x:f>SUM(J510:L510)</x:f>
        <x:v>10.11</x:v>
      </x:c>
      <x:c r="N510" s="34" t="n">
        <x:f>G510*J510</x:f>
        <x:v>0</x:v>
      </x:c>
      <x:c r="O510" s="34" t="n">
        <x:f>G510*K510</x:f>
        <x:v>90.99</x:v>
      </x:c>
      <x:c r="P510" s="34" t="n">
        <x:f>G510*L510</x:f>
        <x:v>0</x:v>
      </x:c>
      <x:c r="Q510" s="34" t="n">
        <x:f>SUM(N510:P510)</x:f>
        <x:v>90.99</x:v>
      </x:c>
      <x:c r="R510" s="22" t="str">
        <x:f>IF(M510&gt;0,"복원","미복원")</x:f>
        <x:v>복원</x:v>
      </x:c>
      <x:c r="S510" s="37" t="n">
        <x:v>517</x:v>
      </x:c>
      <x:c r="T510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0" s="22" t="str">
        <x:f>A510&amp;"|"&amp;B510</x:f>
        <x:v>기계·전기동|C-01021302</x:v>
      </x:c>
      <x:c r="V510" s="22" t="n">
        <x:f>IF(M510&gt;0,1,0)</x:f>
        <x:v>1</x:v>
      </x:c>
    </x:row>
    <x:row r="511" ht="28" customHeight="1">
      <x:c r="A511" s="22" t="str">
        <x:v>기계·전기동</x:v>
      </x:c>
      <x:c r="B511" s="31" t="str">
        <x:f>"C-01021302"</x:f>
        <x:v>C-01021302</x:v>
      </x:c>
      <x:c r="C511" s="25" t="str">
        <x:v>01021302  STEEL STRUCTURE WORKS</x:v>
      </x:c>
      <x:c r="D511" s="25" t="str">
        <x:v>High Strength Bolt</x:v>
      </x:c>
      <x:c r="E511" s="25" t="str">
        <x:v>F10T, M20*55mm</x:v>
      </x:c>
      <x:c r="F511" s="22" t="str">
        <x:v>SET</x:v>
      </x:c>
      <x:c r="G511" s="28" t="n">
        <x:v>33</x:v>
      </x:c>
      <x:c r="H511" s="25" t="str">
        <x:v>44822343C377C36F323EA2A427137</x:v>
      </x:c>
      <x:c r="I511" s="22" t="str">
        <x:v>복합일위대가</x:v>
      </x:c>
      <x:c r="J511" s="34" t="n">
        <x:v>0</x:v>
      </x:c>
      <x:c r="K511" s="34" t="n">
        <x:v>10.11</x:v>
      </x:c>
      <x:c r="L511" s="34" t="n">
        <x:v>0</x:v>
      </x:c>
      <x:c r="M511" s="34" t="n">
        <x:f>SUM(J511:L511)</x:f>
        <x:v>10.11</x:v>
      </x:c>
      <x:c r="N511" s="34" t="n">
        <x:f>G511*J511</x:f>
        <x:v>0</x:v>
      </x:c>
      <x:c r="O511" s="34" t="n">
        <x:f>G511*K511</x:f>
        <x:v>333.63</x:v>
      </x:c>
      <x:c r="P511" s="34" t="n">
        <x:f>G511*L511</x:f>
        <x:v>0</x:v>
      </x:c>
      <x:c r="Q511" s="34" t="n">
        <x:f>SUM(N511:P511)</x:f>
        <x:v>333.63</x:v>
      </x:c>
      <x:c r="R511" s="22" t="str">
        <x:f>IF(M511&gt;0,"복원","미복원")</x:f>
        <x:v>복원</x:v>
      </x:c>
      <x:c r="S511" s="37" t="n">
        <x:v>518</x:v>
      </x:c>
      <x:c r="T511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1" s="22" t="str">
        <x:f>A511&amp;"|"&amp;B511</x:f>
        <x:v>기계·전기동|C-01021302</x:v>
      </x:c>
      <x:c r="V511" s="22" t="n">
        <x:f>IF(M511&gt;0,1,0)</x:f>
        <x:v>1</x:v>
      </x:c>
    </x:row>
    <x:row r="512" ht="28" customHeight="1">
      <x:c r="A512" s="22" t="str">
        <x:v>기계·전기동</x:v>
      </x:c>
      <x:c r="B512" s="31" t="str">
        <x:f>"C-01021302"</x:f>
        <x:v>C-01021302</x:v>
      </x:c>
      <x:c r="C512" s="25" t="str">
        <x:v>01021302  STEEL STRUCTURE WORKS</x:v>
      </x:c>
      <x:c r="D512" s="25" t="str">
        <x:v>High Strength Bolt</x:v>
      </x:c>
      <x:c r="E512" s="25" t="str">
        <x:v>F10T, M20*65mm</x:v>
      </x:c>
      <x:c r="F512" s="22" t="str">
        <x:v>SET</x:v>
      </x:c>
      <x:c r="G512" s="28" t="n">
        <x:v>132</x:v>
      </x:c>
      <x:c r="H512" s="25" t="str">
        <x:v>448223433D7911ED22A70309B9BA2</x:v>
      </x:c>
      <x:c r="I512" s="22" t="str">
        <x:v>복합일위대가</x:v>
      </x:c>
      <x:c r="J512" s="34" t="n">
        <x:v>0</x:v>
      </x:c>
      <x:c r="K512" s="34" t="n">
        <x:v>10.26</x:v>
      </x:c>
      <x:c r="L512" s="34" t="n">
        <x:v>0</x:v>
      </x:c>
      <x:c r="M512" s="34" t="n">
        <x:f>SUM(J512:L512)</x:f>
        <x:v>10.26</x:v>
      </x:c>
      <x:c r="N512" s="34" t="n">
        <x:f>G512*J512</x:f>
        <x:v>0</x:v>
      </x:c>
      <x:c r="O512" s="34" t="n">
        <x:f>G512*K512</x:f>
        <x:v>1354.32</x:v>
      </x:c>
      <x:c r="P512" s="34" t="n">
        <x:f>G512*L512</x:f>
        <x:v>0</x:v>
      </x:c>
      <x:c r="Q512" s="34" t="n">
        <x:f>SUM(N512:P512)</x:f>
        <x:v>1354.32</x:v>
      </x:c>
      <x:c r="R512" s="22" t="str">
        <x:f>IF(M512&gt;0,"복원","미복원")</x:f>
        <x:v>복원</x:v>
      </x:c>
      <x:c r="S512" s="37" t="n">
        <x:v>519</x:v>
      </x:c>
      <x:c r="T512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2" s="22" t="str">
        <x:f>A512&amp;"|"&amp;B512</x:f>
        <x:v>기계·전기동|C-01021302</x:v>
      </x:c>
      <x:c r="V512" s="22" t="n">
        <x:f>IF(M512&gt;0,1,0)</x:f>
        <x:v>1</x:v>
      </x:c>
    </x:row>
    <x:row r="513" ht="28" customHeight="1">
      <x:c r="A513" s="22" t="str">
        <x:v>기계·전기동</x:v>
      </x:c>
      <x:c r="B513" s="31" t="str">
        <x:f>"C-01021302"</x:f>
        <x:v>C-01021302</x:v>
      </x:c>
      <x:c r="C513" s="25" t="str">
        <x:v>01021302  STEEL STRUCTURE WORKS</x:v>
      </x:c>
      <x:c r="D513" s="25" t="str">
        <x:v>Anchor Bolt Install</x:v>
      </x:c>
      <x:c r="E513" s="25" t="str">
        <x:v>M20*600mm</x:v>
      </x:c>
      <x:c r="F513" s="22" t="str">
        <x:v>EA</x:v>
      </x:c>
      <x:c r="G513" s="28" t="n">
        <x:v>17</x:v>
      </x:c>
      <x:c r="H513" s="25" t="str">
        <x:v>448223433D703D80122AB3ECE4AAB</x:v>
      </x:c>
      <x:c r="I513" s="22" t="str">
        <x:v>복합일위대가</x:v>
      </x:c>
      <x:c r="J513" s="34" t="n">
        <x:v>0.32</x:v>
      </x:c>
      <x:c r="K513" s="34" t="n">
        <x:v>0</x:v>
      </x:c>
      <x:c r="L513" s="34" t="n">
        <x:v>0</x:v>
      </x:c>
      <x:c r="M513" s="34" t="n">
        <x:f>SUM(J513:L513)</x:f>
        <x:v>0.32</x:v>
      </x:c>
      <x:c r="N513" s="34" t="n">
        <x:f>G513*J513</x:f>
        <x:v>5.44</x:v>
      </x:c>
      <x:c r="O513" s="34" t="n">
        <x:f>G513*K513</x:f>
        <x:v>0</x:v>
      </x:c>
      <x:c r="P513" s="34" t="n">
        <x:f>G513*L513</x:f>
        <x:v>0</x:v>
      </x:c>
      <x:c r="Q513" s="34" t="n">
        <x:f>SUM(N513:P513)</x:f>
        <x:v>5.44</x:v>
      </x:c>
      <x:c r="R513" s="22" t="str">
        <x:f>IF(M513&gt;0,"복원","미복원")</x:f>
        <x:v>복원</x:v>
      </x:c>
      <x:c r="S513" s="37" t="n">
        <x:v>520</x:v>
      </x:c>
      <x:c r="T513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3" s="22" t="str">
        <x:f>A513&amp;"|"&amp;B513</x:f>
        <x:v>기계·전기동|C-01021302</x:v>
      </x:c>
      <x:c r="V513" s="22" t="n">
        <x:f>IF(M513&gt;0,1,0)</x:f>
        <x:v>1</x:v>
      </x:c>
    </x:row>
    <x:row r="514" ht="28" customHeight="1">
      <x:c r="A514" s="22" t="str">
        <x:v>기계·전기동</x:v>
      </x:c>
      <x:c r="B514" s="31" t="str">
        <x:f>"C-01021302"</x:f>
        <x:v>C-01021302</x:v>
      </x:c>
      <x:c r="C514" s="25" t="str">
        <x:v>01021302  STEEL STRUCTURE WORKS</x:v>
      </x:c>
      <x:c r="D514" s="25" t="str">
        <x:v>Set Anchor Bolt Install</x:v>
      </x:c>
      <x:c r="E514" s="25" t="str">
        <x:v>M19*L150mm</x:v>
      </x:c>
      <x:c r="F514" s="22" t="str">
        <x:v>EA</x:v>
      </x:c>
      <x:c r="G514" s="28" t="n">
        <x:v>26</x:v>
      </x:c>
      <x:c r="H514" s="25" t="str">
        <x:v>448223432376421D520C7F991B12F</x:v>
      </x:c>
      <x:c r="I514" s="22" t="str">
        <x:v>복합일위대가</x:v>
      </x:c>
      <x:c r="J514" s="34" t="n">
        <x:v>39.44</x:v>
      </x:c>
      <x:c r="K514" s="34" t="n">
        <x:v>18.78</x:v>
      </x:c>
      <x:c r="L514" s="34" t="n">
        <x:v>0.11</x:v>
      </x:c>
      <x:c r="M514" s="34" t="n">
        <x:f>SUM(J514:L514)</x:f>
        <x:v>58.33</x:v>
      </x:c>
      <x:c r="N514" s="34" t="n">
        <x:f>G514*J514</x:f>
        <x:v>1025.44</x:v>
      </x:c>
      <x:c r="O514" s="34" t="n">
        <x:f>G514*K514</x:f>
        <x:v>488.28000000000003</x:v>
      </x:c>
      <x:c r="P514" s="34" t="n">
        <x:f>G514*L514</x:f>
        <x:v>2.86</x:v>
      </x:c>
      <x:c r="Q514" s="34" t="n">
        <x:f>SUM(N514:P514)</x:f>
        <x:v>1516.58</x:v>
      </x:c>
      <x:c r="R514" s="22" t="str">
        <x:f>IF(M514&gt;0,"복원","미복원")</x:f>
        <x:v>복원</x:v>
      </x:c>
      <x:c r="S514" s="37" t="n">
        <x:v>521</x:v>
      </x:c>
      <x:c r="T514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4" s="22" t="str">
        <x:f>A514&amp;"|"&amp;B514</x:f>
        <x:v>기계·전기동|C-01021302</x:v>
      </x:c>
      <x:c r="V514" s="22" t="n">
        <x:f>IF(M514&gt;0,1,0)</x:f>
        <x:v>1</x:v>
      </x:c>
    </x:row>
    <x:row r="515" ht="28" customHeight="1">
      <x:c r="A515" s="22" t="str">
        <x:v>기계·전기동</x:v>
      </x:c>
      <x:c r="B515" s="31" t="str">
        <x:f>"C-01021302"</x:f>
        <x:v>C-01021302</x:v>
      </x:c>
      <x:c r="C515" s="25" t="str">
        <x:v>01021302  STEEL STRUCTURE WORKS</x:v>
      </x:c>
      <x:c r="D515" s="25" t="str">
        <x:v>The Square Steel Pipe For The Construction Structure</x:v>
      </x:c>
      <x:c r="E515" s="25" t="str">
        <x:v>100*100*4.5mm(13.49kg)</x:v>
      </x:c>
      <x:c r="F515" s="22" t="str">
        <x:v>M</x:v>
      </x:c>
      <x:c r="G515" s="28" t="n">
        <x:v>23</x:v>
      </x:c>
      <x:c r="H515" s="25" t="str">
        <x:v>448223432376421D520C7F991B009</x:v>
      </x:c>
      <x:c r="I515" s="22" t="str">
        <x:v>복합일위대가</x:v>
      </x:c>
      <x:c r="J515" s="34" t="n">
        <x:v>60.53</x:v>
      </x:c>
      <x:c r="K515" s="34" t="n">
        <x:v>25.49</x:v>
      </x:c>
      <x:c r="L515" s="34" t="n">
        <x:v>0.11</x:v>
      </x:c>
      <x:c r="M515" s="34" t="n">
        <x:f>SUM(J515:L515)</x:f>
        <x:v>86.13</x:v>
      </x:c>
      <x:c r="N515" s="34" t="n">
        <x:f>G515*J515</x:f>
        <x:v>1392.19</x:v>
      </x:c>
      <x:c r="O515" s="34" t="n">
        <x:f>G515*K515</x:f>
        <x:v>586.27</x:v>
      </x:c>
      <x:c r="P515" s="34" t="n">
        <x:f>G515*L515</x:f>
        <x:v>2.53</x:v>
      </x:c>
      <x:c r="Q515" s="34" t="n">
        <x:f>SUM(N515:P515)</x:f>
        <x:v>1980.99</x:v>
      </x:c>
      <x:c r="R515" s="22" t="str">
        <x:f>IF(M515&gt;0,"복원","미복원")</x:f>
        <x:v>복원</x:v>
      </x:c>
      <x:c r="S515" s="37" t="n">
        <x:v>522</x:v>
      </x:c>
      <x:c r="T515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5" s="22" t="str">
        <x:f>A515&amp;"|"&amp;B515</x:f>
        <x:v>기계·전기동|C-01021302</x:v>
      </x:c>
      <x:c r="V515" s="22" t="n">
        <x:f>IF(M515&gt;0,1,0)</x:f>
        <x:v>1</x:v>
      </x:c>
    </x:row>
    <x:row r="516" ht="28" customHeight="1">
      <x:c r="A516" s="22" t="str">
        <x:v>기계·전기동</x:v>
      </x:c>
      <x:c r="B516" s="31" t="str">
        <x:f>"C-01021303"</x:f>
        <x:v>C-01021303</x:v>
      </x:c>
      <x:c r="C516" s="25" t="str">
        <x:v>01021303  FINISH WORKS</x:v>
      </x:c>
      <x:c r="D516" s="25" t="str">
        <x:v>0.1mm thick polyethylene sheet(2Layers) under blinding beds.</x:v>
      </x:c>
      <x:c r="E516" s="25" t="str"/>
      <x:c r="F516" s="22" t="str">
        <x:v>M2</x:v>
      </x:c>
      <x:c r="G516" s="28" t="n">
        <x:v>60</x:v>
      </x:c>
      <x:c r="H516" s="25" t="str">
        <x:v>4531284DDC776A4702EA22A0C0638FB35037A</x:v>
      </x:c>
      <x:c r="I516" s="22" t="str">
        <x:v>직접자원단가</x:v>
      </x:c>
      <x:c r="J516" s="34" t="n">
        <x:v>0.06</x:v>
      </x:c>
      <x:c r="K516" s="34" t="n">
        <x:v>0.75</x:v>
      </x:c>
      <x:c r="L516" s="34" t="n">
        <x:v>0</x:v>
      </x:c>
      <x:c r="M516" s="34" t="n">
        <x:f>SUM(J516:L516)</x:f>
        <x:v>0.81</x:v>
      </x:c>
      <x:c r="N516" s="34" t="n">
        <x:f>G516*J516</x:f>
        <x:v>3.5999999999999996</x:v>
      </x:c>
      <x:c r="O516" s="34" t="n">
        <x:f>G516*K516</x:f>
        <x:v>45</x:v>
      </x:c>
      <x:c r="P516" s="34" t="n">
        <x:f>G516*L516</x:f>
        <x:v>0</x:v>
      </x:c>
      <x:c r="Q516" s="34" t="n">
        <x:f>SUM(N516:P516)</x:f>
        <x:v>48.6</x:v>
      </x:c>
      <x:c r="R516" s="22" t="str">
        <x:f>IF(M516&gt;0,"복원","미복원")</x:f>
        <x:v>복원</x:v>
      </x:c>
      <x:c r="S516" s="37" t="n">
        <x:v>533</x:v>
      </x:c>
      <x:c r="T516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6" s="22" t="str">
        <x:f>A516&amp;"|"&amp;B516</x:f>
        <x:v>기계·전기동|C-01021303</x:v>
      </x:c>
      <x:c r="V516" s="22" t="n">
        <x:f>IF(M516&gt;0,1,0)</x:f>
        <x:v>1</x:v>
      </x:c>
    </x:row>
    <x:row r="517" ht="28" customHeight="1">
      <x:c r="A517" s="22" t="str">
        <x:v>기계·전기동</x:v>
      </x:c>
      <x:c r="B517" s="31" t="str">
        <x:f>"C-01021304"</x:f>
        <x:v>C-01021304</x:v>
      </x:c>
      <x:c r="C517" s="25" t="str">
        <x:v>01021304  METAL WORKS</x:v>
      </x:c>
      <x:c r="D517" s="25" t="str">
        <x:v>THK 0.7 CORRUGATED STEEL SHEET</x:v>
      </x:c>
      <x:c r="E517" s="25" t="str"/>
      <x:c r="F517" s="22" t="str">
        <x:v>M2</x:v>
      </x:c>
      <x:c r="G517" s="28" t="n">
        <x:v>56</x:v>
      </x:c>
      <x:c r="H517" s="25" t="str">
        <x:v>43AE2040227AB42452B29C82F0968C772EFD5</x:v>
      </x:c>
      <x:c r="I517" s="22" t="str">
        <x:v>직접자원단가</x:v>
      </x:c>
      <x:c r="J517" s="34" t="n">
        <x:v>23.624379767459086</x:v>
      </x:c>
      <x:c r="K517" s="34" t="n">
        <x:v>0</x:v>
      </x:c>
      <x:c r="L517" s="34" t="n">
        <x:v>0</x:v>
      </x:c>
      <x:c r="M517" s="34" t="n">
        <x:f>SUM(J517:L517)</x:f>
        <x:v>23.624379767459086</x:v>
      </x:c>
      <x:c r="N517" s="34" t="n">
        <x:f>G517*J517</x:f>
        <x:v>1322.9652669777088</x:v>
      </x:c>
      <x:c r="O517" s="34" t="n">
        <x:f>G517*K517</x:f>
        <x:v>0</x:v>
      </x:c>
      <x:c r="P517" s="34" t="n">
        <x:f>G517*L517</x:f>
        <x:v>0</x:v>
      </x:c>
      <x:c r="Q517" s="34" t="n">
        <x:f>SUM(N517:P517)</x:f>
        <x:v>1322.9652669777088</x:v>
      </x:c>
      <x:c r="R517" s="22" t="str">
        <x:f>IF(M517&gt;0,"복원","미복원")</x:f>
        <x:v>복원</x:v>
      </x:c>
      <x:c r="S517" s="37" t="n">
        <x:v>557</x:v>
      </x:c>
      <x:c r="T517" s="22" t="str">
        <x:v>data/unpacked/L2025-00085-1/붙임2. 현지입찰(신규입찰) 서류 및 계약서류(안)/IKHCC Section 4 - IKHCC BLANK BOQ 250903_최종/1 Architectural &amp; summery/BILL No1 -Architectural Works-02. MEP BUILDING(BLANK BILL).xlsx</x:v>
      </x:c>
      <x:c r="U517" s="22" t="str">
        <x:f>A517&amp;"|"&amp;B517</x:f>
        <x:v>기계·전기동|C-01021304</x:v>
      </x:c>
      <x:c r="V517" s="22" t="n">
        <x:f>IF(M517&gt;0,1,0)</x:f>
        <x:v>1</x:v>
      </x:c>
    </x:row>
    <x:row r="518" ht="28" customHeight="1">
      <x:c r="A518" s="22" t="str">
        <x:v>연결교량</x:v>
      </x:c>
      <x:c r="B518" s="31" t="str">
        <x:f>"C-010301"</x:f>
        <x:v>C-010301</x:v>
      </x:c>
      <x:c r="C518" s="25" t="str">
        <x:v>010301  STRUCTURE WORKS</x:v>
      </x:c>
      <x:c r="D518" s="25" t="str">
        <x:v>HD400 t10</x:v>
      </x:c>
      <x:c r="E518" s="25" t="str"/>
      <x:c r="F518" s="22" t="str">
        <x:v>TON</x:v>
      </x:c>
      <x:c r="G518" s="28" t="n">
        <x:v>5.644</x:v>
      </x:c>
      <x:c r="H518" s="25" t="str">
        <x:v>43AE2142BE7340A6C27E35B211B31B0401B47</x:v>
      </x:c>
      <x:c r="I518" s="22" t="str">
        <x:v>직접자원단가</x:v>
      </x:c>
      <x:c r="J518" s="34" t="n">
        <x:v>650</x:v>
      </x:c>
      <x:c r="K518" s="34" t="n">
        <x:v>50</x:v>
      </x:c>
      <x:c r="L518" s="34" t="n">
        <x:v>5</x:v>
      </x:c>
      <x:c r="M518" s="34" t="n">
        <x:f>SUM(J518:L518)</x:f>
        <x:v>705</x:v>
      </x:c>
      <x:c r="N518" s="34" t="n">
        <x:f>G518*J518</x:f>
        <x:v>3668.6</x:v>
      </x:c>
      <x:c r="O518" s="34" t="n">
        <x:f>G518*K518</x:f>
        <x:v>282.2</x:v>
      </x:c>
      <x:c r="P518" s="34" t="n">
        <x:f>G518*L518</x:f>
        <x:v>28.22</x:v>
      </x:c>
      <x:c r="Q518" s="34" t="n">
        <x:f>SUM(N518:P518)</x:f>
        <x:v>3979.0199999999995</x:v>
      </x:c>
      <x:c r="R518" s="22" t="str">
        <x:f>IF(M518&gt;0,"복원","미복원")</x:f>
        <x:v>복원</x:v>
      </x:c>
      <x:c r="S518" s="37" t="n">
        <x:v>5</x:v>
      </x:c>
      <x:c r="T518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18" s="22" t="str">
        <x:f>A518&amp;"|"&amp;B518</x:f>
        <x:v>연결교량|C-010301</x:v>
      </x:c>
      <x:c r="V518" s="22" t="n">
        <x:f>IF(M518&gt;0,1,0)</x:f>
        <x:v>1</x:v>
      </x:c>
    </x:row>
    <x:row r="519" ht="28" customHeight="1">
      <x:c r="A519" s="22" t="str">
        <x:v>연결교량</x:v>
      </x:c>
      <x:c r="B519" s="31" t="str">
        <x:f>"C-010301"</x:f>
        <x:v>C-010301</x:v>
      </x:c>
      <x:c r="C519" s="25" t="str">
        <x:v>010301  STRUCTURE WORKS</x:v>
      </x:c>
      <x:c r="D519" s="25" t="str">
        <x:v>HD400 t12</x:v>
      </x:c>
      <x:c r="E519" s="25" t="str"/>
      <x:c r="F519" s="22" t="str">
        <x:v>TON</x:v>
      </x:c>
      <x:c r="G519" s="28" t="n">
        <x:v>1.382</x:v>
      </x:c>
      <x:c r="H519" s="25" t="str">
        <x:v>43AE2142BE7340A6C27E35B211B31B0401B46</x:v>
      </x:c>
      <x:c r="I519" s="22" t="str">
        <x:v>직접자원단가</x:v>
      </x:c>
      <x:c r="J519" s="34" t="n">
        <x:v>650</x:v>
      </x:c>
      <x:c r="K519" s="34" t="n">
        <x:v>50</x:v>
      </x:c>
      <x:c r="L519" s="34" t="n">
        <x:v>5</x:v>
      </x:c>
      <x:c r="M519" s="34" t="n">
        <x:f>SUM(J519:L519)</x:f>
        <x:v>705</x:v>
      </x:c>
      <x:c r="N519" s="34" t="n">
        <x:f>G519*J519</x:f>
        <x:v>898.3</x:v>
      </x:c>
      <x:c r="O519" s="34" t="n">
        <x:f>G519*K519</x:f>
        <x:v>69.1</x:v>
      </x:c>
      <x:c r="P519" s="34" t="n">
        <x:f>G519*L519</x:f>
        <x:v>6.909999999999999</x:v>
      </x:c>
      <x:c r="Q519" s="34" t="n">
        <x:f>SUM(N519:P519)</x:f>
        <x:v>974.31</x:v>
      </x:c>
      <x:c r="R519" s="22" t="str">
        <x:f>IF(M519&gt;0,"복원","미복원")</x:f>
        <x:v>복원</x:v>
      </x:c>
      <x:c r="S519" s="37" t="n">
        <x:v>6</x:v>
      </x:c>
      <x:c r="T519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19" s="22" t="str">
        <x:f>A519&amp;"|"&amp;B519</x:f>
        <x:v>연결교량|C-010301</x:v>
      </x:c>
      <x:c r="V519" s="22" t="n">
        <x:f>IF(M519&gt;0,1,0)</x:f>
        <x:v>1</x:v>
      </x:c>
    </x:row>
    <x:row r="520" ht="28" customHeight="1">
      <x:c r="A520" s="22" t="str">
        <x:v>연결교량</x:v>
      </x:c>
      <x:c r="B520" s="31" t="str">
        <x:f>"C-010301"</x:f>
        <x:v>C-010301</x:v>
      </x:c>
      <x:c r="C520" s="25" t="str">
        <x:v>010301  STRUCTURE WORKS</x:v>
      </x:c>
      <x:c r="D520" s="25" t="str">
        <x:v>HD400 t16</x:v>
      </x:c>
      <x:c r="E520" s="25" t="str"/>
      <x:c r="F520" s="22" t="str">
        <x:v>TON</x:v>
      </x:c>
      <x:c r="G520" s="28" t="n">
        <x:v>0.465</x:v>
      </x:c>
      <x:c r="H520" s="25" t="str">
        <x:v>43AE2142BE7340A6C27E35B211B31B0401B44</x:v>
      </x:c>
      <x:c r="I520" s="22" t="str">
        <x:v>직접자원단가</x:v>
      </x:c>
      <x:c r="J520" s="34" t="n">
        <x:v>650</x:v>
      </x:c>
      <x:c r="K520" s="34" t="n">
        <x:v>50</x:v>
      </x:c>
      <x:c r="L520" s="34" t="n">
        <x:v>5</x:v>
      </x:c>
      <x:c r="M520" s="34" t="n">
        <x:f>SUM(J520:L520)</x:f>
        <x:v>705</x:v>
      </x:c>
      <x:c r="N520" s="34" t="n">
        <x:f>G520*J520</x:f>
        <x:v>302.25</x:v>
      </x:c>
      <x:c r="O520" s="34" t="n">
        <x:f>G520*K520</x:f>
        <x:v>23.25</x:v>
      </x:c>
      <x:c r="P520" s="34" t="n">
        <x:f>G520*L520</x:f>
        <x:v>2.325</x:v>
      </x:c>
      <x:c r="Q520" s="34" t="n">
        <x:f>SUM(N520:P520)</x:f>
        <x:v>327.825</x:v>
      </x:c>
      <x:c r="R520" s="22" t="str">
        <x:f>IF(M520&gt;0,"복원","미복원")</x:f>
        <x:v>복원</x:v>
      </x:c>
      <x:c r="S520" s="37" t="n">
        <x:v>7</x:v>
      </x:c>
      <x:c r="T520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0" s="22" t="str">
        <x:f>A520&amp;"|"&amp;B520</x:f>
        <x:v>연결교량|C-010301</x:v>
      </x:c>
      <x:c r="V520" s="22" t="n">
        <x:f>IF(M520&gt;0,1,0)</x:f>
        <x:v>1</x:v>
      </x:c>
    </x:row>
    <x:row r="521" ht="28" customHeight="1">
      <x:c r="A521" s="22" t="str">
        <x:v>연결교량</x:v>
      </x:c>
      <x:c r="B521" s="31" t="str">
        <x:f>"C-010301"</x:f>
        <x:v>C-010301</x:v>
      </x:c>
      <x:c r="C521" s="25" t="str">
        <x:v>010301  STRUCTURE WORKS</x:v>
      </x:c>
      <x:c r="D521" s="25" t="str">
        <x:v>HD400 t20</x:v>
      </x:c>
      <x:c r="E521" s="25" t="str"/>
      <x:c r="F521" s="22" t="str">
        <x:v>TON</x:v>
      </x:c>
      <x:c r="G521" s="28" t="n">
        <x:v>11.424</x:v>
      </x:c>
      <x:c r="H521" s="25" t="str">
        <x:v>43AE2142BE7340A6C27E35B211B31B0401B43</x:v>
      </x:c>
      <x:c r="I521" s="22" t="str">
        <x:v>직접자원단가</x:v>
      </x:c>
      <x:c r="J521" s="34" t="n">
        <x:v>650</x:v>
      </x:c>
      <x:c r="K521" s="34" t="n">
        <x:v>50</x:v>
      </x:c>
      <x:c r="L521" s="34" t="n">
        <x:v>5</x:v>
      </x:c>
      <x:c r="M521" s="34" t="n">
        <x:f>SUM(J521:L521)</x:f>
        <x:v>705</x:v>
      </x:c>
      <x:c r="N521" s="34" t="n">
        <x:f>G521*J521</x:f>
        <x:v>7425.599999999999</x:v>
      </x:c>
      <x:c r="O521" s="34" t="n">
        <x:f>G521*K521</x:f>
        <x:v>571.1999999999999</x:v>
      </x:c>
      <x:c r="P521" s="34" t="n">
        <x:f>G521*L521</x:f>
        <x:v>57.12</x:v>
      </x:c>
      <x:c r="Q521" s="34" t="n">
        <x:f>SUM(N521:P521)</x:f>
        <x:v>8053.919999999999</x:v>
      </x:c>
      <x:c r="R521" s="22" t="str">
        <x:f>IF(M521&gt;0,"복원","미복원")</x:f>
        <x:v>복원</x:v>
      </x:c>
      <x:c r="S521" s="37" t="n">
        <x:v>8</x:v>
      </x:c>
      <x:c r="T521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1" s="22" t="str">
        <x:f>A521&amp;"|"&amp;B521</x:f>
        <x:v>연결교량|C-010301</x:v>
      </x:c>
      <x:c r="V521" s="22" t="n">
        <x:f>IF(M521&gt;0,1,0)</x:f>
        <x:v>1</x:v>
      </x:c>
    </x:row>
    <x:row r="522" ht="28" customHeight="1">
      <x:c r="A522" s="22" t="str">
        <x:v>연결교량</x:v>
      </x:c>
      <x:c r="B522" s="31" t="str">
        <x:f>"C-010301"</x:f>
        <x:v>C-010301</x:v>
      </x:c>
      <x:c r="C522" s="25" t="str">
        <x:v>010301  STRUCTURE WORKS</x:v>
      </x:c>
      <x:c r="D522" s="25" t="str">
        <x:v>HD400 t25</x:v>
      </x:c>
      <x:c r="E522" s="25" t="str"/>
      <x:c r="F522" s="22" t="str">
        <x:v>TON</x:v>
      </x:c>
      <x:c r="G522" s="28" t="n">
        <x:v>4.279</x:v>
      </x:c>
      <x:c r="H522" s="25" t="str">
        <x:v>43AE2142BE7340A6C27E35B211B31B0401B42</x:v>
      </x:c>
      <x:c r="I522" s="22" t="str">
        <x:v>직접자원단가</x:v>
      </x:c>
      <x:c r="J522" s="34" t="n">
        <x:v>650</x:v>
      </x:c>
      <x:c r="K522" s="34" t="n">
        <x:v>50</x:v>
      </x:c>
      <x:c r="L522" s="34" t="n">
        <x:v>5</x:v>
      </x:c>
      <x:c r="M522" s="34" t="n">
        <x:f>SUM(J522:L522)</x:f>
        <x:v>705</x:v>
      </x:c>
      <x:c r="N522" s="34" t="n">
        <x:f>G522*J522</x:f>
        <x:v>2781.35</x:v>
      </x:c>
      <x:c r="O522" s="34" t="n">
        <x:f>G522*K522</x:f>
        <x:v>213.95</x:v>
      </x:c>
      <x:c r="P522" s="34" t="n">
        <x:f>G522*L522</x:f>
        <x:v>21.395</x:v>
      </x:c>
      <x:c r="Q522" s="34" t="n">
        <x:f>SUM(N522:P522)</x:f>
        <x:v>3016.6949999999997</x:v>
      </x:c>
      <x:c r="R522" s="22" t="str">
        <x:f>IF(M522&gt;0,"복원","미복원")</x:f>
        <x:v>복원</x:v>
      </x:c>
      <x:c r="S522" s="37" t="n">
        <x:v>9</x:v>
      </x:c>
      <x:c r="T522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2" s="22" t="str">
        <x:f>A522&amp;"|"&amp;B522</x:f>
        <x:v>연결교량|C-010301</x:v>
      </x:c>
      <x:c r="V522" s="22" t="n">
        <x:f>IF(M522&gt;0,1,0)</x:f>
        <x:v>1</x:v>
      </x:c>
    </x:row>
    <x:row r="523" ht="28" customHeight="1">
      <x:c r="A523" s="22" t="str">
        <x:v>연결교량</x:v>
      </x:c>
      <x:c r="B523" s="31" t="str">
        <x:f>"C-010301"</x:f>
        <x:v>C-010301</x:v>
      </x:c>
      <x:c r="C523" s="25" t="str">
        <x:v>010301  STRUCTURE WORKS</x:v>
      </x:c>
      <x:c r="D523" s="25" t="str">
        <x:v>concrete(reinforced concrete)</x:v>
      </x:c>
      <x:c r="E523" s="25" t="str">
        <x:v>'f'c 350mpa, foucdation</x:v>
      </x:c>
      <x:c r="F523" s="22" t="str">
        <x:v>M3</x:v>
      </x:c>
      <x:c r="G523" s="28" t="n">
        <x:v>100</x:v>
      </x:c>
      <x:c r="H523" s="25" t="str">
        <x:v>43AE2142BE72BAF102D45DD52A0CA81817C51</x:v>
      </x:c>
      <x:c r="I523" s="22" t="str">
        <x:v>직접자원단가</x:v>
      </x:c>
      <x:c r="J523" s="34" t="n">
        <x:v>90</x:v>
      </x:c>
      <x:c r="K523" s="34" t="n">
        <x:v>10</x:v>
      </x:c>
      <x:c r="L523" s="34" t="n">
        <x:v>5</x:v>
      </x:c>
      <x:c r="M523" s="34" t="n">
        <x:f>SUM(J523:L523)</x:f>
        <x:v>105</x:v>
      </x:c>
      <x:c r="N523" s="34" t="n">
        <x:f>G523*J523</x:f>
        <x:v>9000</x:v>
      </x:c>
      <x:c r="O523" s="34" t="n">
        <x:f>G523*K523</x:f>
        <x:v>1000</x:v>
      </x:c>
      <x:c r="P523" s="34" t="n">
        <x:f>G523*L523</x:f>
        <x:v>500</x:v>
      </x:c>
      <x:c r="Q523" s="34" t="n">
        <x:f>SUM(N523:P523)</x:f>
        <x:v>10500</x:v>
      </x:c>
      <x:c r="R523" s="22" t="str">
        <x:f>IF(M523&gt;0,"복원","미복원")</x:f>
        <x:v>복원</x:v>
      </x:c>
      <x:c r="S523" s="37" t="n">
        <x:v>10</x:v>
      </x:c>
      <x:c r="T523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3" s="22" t="str">
        <x:f>A523&amp;"|"&amp;B523</x:f>
        <x:v>연결교량|C-010301</x:v>
      </x:c>
      <x:c r="V523" s="22" t="n">
        <x:f>IF(M523&gt;0,1,0)</x:f>
        <x:v>1</x:v>
      </x:c>
    </x:row>
    <x:row r="524" ht="28" customHeight="1">
      <x:c r="A524" s="22" t="str">
        <x:v>연결교량</x:v>
      </x:c>
      <x:c r="B524" s="31" t="str">
        <x:f>"C-010301"</x:f>
        <x:v>C-010301</x:v>
      </x:c>
      <x:c r="C524" s="25" t="str">
        <x:v>010301  STRUCTURE WORKS</x:v>
      </x:c>
      <x:c r="D524" s="25" t="str">
        <x:v>concrete(reinforced concrete)</x:v>
      </x:c>
      <x:c r="E524" s="25" t="str">
        <x:v>'f'c 300mpa, all members except foundation</x:v>
      </x:c>
      <x:c r="F524" s="22" t="str">
        <x:v>M3</x:v>
      </x:c>
      <x:c r="G524" s="28" t="n">
        <x:v>70</x:v>
      </x:c>
      <x:c r="H524" s="25" t="str">
        <x:v>43AE2142BE72BAF102D45DD52A0CA81817F25</x:v>
      </x:c>
      <x:c r="I524" s="22" t="str">
        <x:v>직접자원단가</x:v>
      </x:c>
      <x:c r="J524" s="34" t="n">
        <x:v>90</x:v>
      </x:c>
      <x:c r="K524" s="34" t="n">
        <x:v>10</x:v>
      </x:c>
      <x:c r="L524" s="34" t="n">
        <x:v>5</x:v>
      </x:c>
      <x:c r="M524" s="34" t="n">
        <x:f>SUM(J524:L524)</x:f>
        <x:v>105</x:v>
      </x:c>
      <x:c r="N524" s="34" t="n">
        <x:f>G524*J524</x:f>
        <x:v>6300</x:v>
      </x:c>
      <x:c r="O524" s="34" t="n">
        <x:f>G524*K524</x:f>
        <x:v>700</x:v>
      </x:c>
      <x:c r="P524" s="34" t="n">
        <x:f>G524*L524</x:f>
        <x:v>350</x:v>
      </x:c>
      <x:c r="Q524" s="34" t="n">
        <x:f>SUM(N524:P524)</x:f>
        <x:v>7350</x:v>
      </x:c>
      <x:c r="R524" s="22" t="str">
        <x:f>IF(M524&gt;0,"복원","미복원")</x:f>
        <x:v>복원</x:v>
      </x:c>
      <x:c r="S524" s="37" t="n">
        <x:v>11</x:v>
      </x:c>
      <x:c r="T524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4" s="22" t="str">
        <x:f>A524&amp;"|"&amp;B524</x:f>
        <x:v>연결교량|C-010301</x:v>
      </x:c>
      <x:c r="V524" s="22" t="n">
        <x:f>IF(M524&gt;0,1,0)</x:f>
        <x:v>1</x:v>
      </x:c>
    </x:row>
    <x:row r="525" ht="28" customHeight="1">
      <x:c r="A525" s="22" t="str">
        <x:v>연결교량</x:v>
      </x:c>
      <x:c r="B525" s="31" t="str">
        <x:f>"C-010301"</x:f>
        <x:v>C-010301</x:v>
      </x:c>
      <x:c r="C525" s="25" t="str">
        <x:v>010301  STRUCTURE WORKS</x:v>
      </x:c>
      <x:c r="D525" s="25" t="str">
        <x:v>concrete(finish)</x:v>
      </x:c>
      <x:c r="E525" s="25" t="str">
        <x:v>'f'c 120mpa, finish work</x:v>
      </x:c>
      <x:c r="F525" s="22" t="str">
        <x:v>M3</x:v>
      </x:c>
      <x:c r="G525" s="28" t="n">
        <x:v>18</x:v>
      </x:c>
      <x:c r="H525" s="25" t="str">
        <x:v>43AE2142BE72BAF102D45DD52A0CA81817E1F</x:v>
      </x:c>
      <x:c r="I525" s="22" t="str">
        <x:v>직접자원단가</x:v>
      </x:c>
      <x:c r="J525" s="34" t="n">
        <x:v>65</x:v>
      </x:c>
      <x:c r="K525" s="34" t="n">
        <x:v>10</x:v>
      </x:c>
      <x:c r="L525" s="34" t="n">
        <x:v>2</x:v>
      </x:c>
      <x:c r="M525" s="34" t="n">
        <x:f>SUM(J525:L525)</x:f>
        <x:v>77</x:v>
      </x:c>
      <x:c r="N525" s="34" t="n">
        <x:f>G525*J525</x:f>
        <x:v>1170</x:v>
      </x:c>
      <x:c r="O525" s="34" t="n">
        <x:f>G525*K525</x:f>
        <x:v>180</x:v>
      </x:c>
      <x:c r="P525" s="34" t="n">
        <x:f>G525*L525</x:f>
        <x:v>36</x:v>
      </x:c>
      <x:c r="Q525" s="34" t="n">
        <x:f>SUM(N525:P525)</x:f>
        <x:v>1386</x:v>
      </x:c>
      <x:c r="R525" s="22" t="str">
        <x:f>IF(M525&gt;0,"복원","미복원")</x:f>
        <x:v>복원</x:v>
      </x:c>
      <x:c r="S525" s="37" t="n">
        <x:v>12</x:v>
      </x:c>
      <x:c r="T525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5" s="22" t="str">
        <x:f>A525&amp;"|"&amp;B525</x:f>
        <x:v>연결교량|C-010301</x:v>
      </x:c>
      <x:c r="V525" s="22" t="n">
        <x:f>IF(M525&gt;0,1,0)</x:f>
        <x:v>1</x:v>
      </x:c>
    </x:row>
    <x:row r="526" ht="28" customHeight="1">
      <x:c r="A526" s="22" t="str">
        <x:v>연결교량</x:v>
      </x:c>
      <x:c r="B526" s="31" t="str">
        <x:f>"C-010301"</x:f>
        <x:v>C-010301</x:v>
      </x:c>
      <x:c r="C526" s="25" t="str">
        <x:v>010301  STRUCTURE WORKS</x:v>
      </x:c>
      <x:c r="D526" s="25" t="str">
        <x:v>concrete(of leveling layer)</x:v>
      </x:c>
      <x:c r="E526" s="25" t="str">
        <x:v>'f'c 80mpa, for leveling layer</x:v>
      </x:c>
      <x:c r="F526" s="22" t="str">
        <x:v>M3</x:v>
      </x:c>
      <x:c r="G526" s="28" t="n">
        <x:v>8</x:v>
      </x:c>
      <x:c r="H526" s="25" t="str">
        <x:v>43AE2142BE72BAF102D45DD52A0CA8181799D</x:v>
      </x:c>
      <x:c r="I526" s="22" t="str">
        <x:v>직접자원단가</x:v>
      </x:c>
      <x:c r="J526" s="34" t="n">
        <x:v>60</x:v>
      </x:c>
      <x:c r="K526" s="34" t="n">
        <x:v>10</x:v>
      </x:c>
      <x:c r="L526" s="34" t="n">
        <x:v>2</x:v>
      </x:c>
      <x:c r="M526" s="34" t="n">
        <x:f>SUM(J526:L526)</x:f>
        <x:v>72</x:v>
      </x:c>
      <x:c r="N526" s="34" t="n">
        <x:f>G526*J526</x:f>
        <x:v>480</x:v>
      </x:c>
      <x:c r="O526" s="34" t="n">
        <x:f>G526*K526</x:f>
        <x:v>80</x:v>
      </x:c>
      <x:c r="P526" s="34" t="n">
        <x:f>G526*L526</x:f>
        <x:v>16</x:v>
      </x:c>
      <x:c r="Q526" s="34" t="n">
        <x:f>SUM(N526:P526)</x:f>
        <x:v>576</x:v>
      </x:c>
      <x:c r="R526" s="22" t="str">
        <x:f>IF(M526&gt;0,"복원","미복원")</x:f>
        <x:v>복원</x:v>
      </x:c>
      <x:c r="S526" s="37" t="n">
        <x:v>13</x:v>
      </x:c>
      <x:c r="T526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6" s="22" t="str">
        <x:f>A526&amp;"|"&amp;B526</x:f>
        <x:v>연결교량|C-010301</x:v>
      </x:c>
      <x:c r="V526" s="22" t="n">
        <x:f>IF(M526&gt;0,1,0)</x:f>
        <x:v>1</x:v>
      </x:c>
    </x:row>
    <x:row r="527" ht="28" customHeight="1">
      <x:c r="A527" s="22" t="str">
        <x:v>연결교량</x:v>
      </x:c>
      <x:c r="B527" s="31" t="str">
        <x:f>"C-010301"</x:f>
        <x:v>C-010301</x:v>
      </x:c>
      <x:c r="C527" s="25" t="str">
        <x:v>010301  STRUCTURE WORKS</x:v>
      </x:c>
      <x:c r="D527" s="25" t="str">
        <x:v>a mold for concrete</x:v>
      </x:c>
      <x:c r="E527" s="25" t="str"/>
      <x:c r="F527" s="22" t="str">
        <x:v>M2</x:v>
      </x:c>
      <x:c r="G527" s="28" t="n">
        <x:v>778</x:v>
      </x:c>
      <x:c r="H527" s="25" t="str">
        <x:v>44822B4F067B863B02B72E9E748F6</x:v>
      </x:c>
      <x:c r="I527" s="22" t="str">
        <x:v>복합일위대가</x:v>
      </x:c>
      <x:c r="J527" s="34" t="n">
        <x:v>5</x:v>
      </x:c>
      <x:c r="K527" s="34" t="n">
        <x:v>15</x:v>
      </x:c>
      <x:c r="L527" s="34" t="n">
        <x:v>0</x:v>
      </x:c>
      <x:c r="M527" s="34" t="n">
        <x:f>SUM(J527:L527)</x:f>
        <x:v>20</x:v>
      </x:c>
      <x:c r="N527" s="34" t="n">
        <x:f>G527*J527</x:f>
        <x:v>3890</x:v>
      </x:c>
      <x:c r="O527" s="34" t="n">
        <x:f>G527*K527</x:f>
        <x:v>11670</x:v>
      </x:c>
      <x:c r="P527" s="34" t="n">
        <x:f>G527*L527</x:f>
        <x:v>0</x:v>
      </x:c>
      <x:c r="Q527" s="34" t="n">
        <x:f>SUM(N527:P527)</x:f>
        <x:v>15560</x:v>
      </x:c>
      <x:c r="R527" s="22" t="str">
        <x:f>IF(M527&gt;0,"복원","미복원")</x:f>
        <x:v>복원</x:v>
      </x:c>
      <x:c r="S527" s="37" t="n">
        <x:v>14</x:v>
      </x:c>
      <x:c r="T527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7" s="22" t="str">
        <x:f>A527&amp;"|"&amp;B527</x:f>
        <x:v>연결교량|C-010301</x:v>
      </x:c>
      <x:c r="V527" s="22" t="n">
        <x:f>IF(M527&gt;0,1,0)</x:f>
        <x:v>1</x:v>
      </x:c>
    </x:row>
    <x:row r="528" ht="28" customHeight="1">
      <x:c r="A528" s="22" t="str">
        <x:v>연결교량</x:v>
      </x:c>
      <x:c r="B528" s="31" t="str">
        <x:f>"C-010302"</x:f>
        <x:v>C-010302</x:v>
      </x:c>
      <x:c r="C528" s="25" t="str">
        <x:v>010302  MASONRY WORKS</x:v>
      </x:c>
      <x:c r="D528" s="25" t="str">
        <x:v>Brick</x:v>
      </x:c>
      <x:c r="E528" s="25" t="str">
        <x:v>190*90*57, FOR Interior wall</x:v>
      </x:c>
      <x:c r="F528" s="22" t="str">
        <x:v>EA</x:v>
      </x:c>
      <x:c r="G528" s="28" t="n">
        <x:v>3559</x:v>
      </x:c>
      <x:c r="H528" s="25" t="str">
        <x:v>43AE2142BE7340A532FB6B275834A7AC3881A</x:v>
      </x:c>
      <x:c r="I528" s="22" t="str">
        <x:v>직접자원단가</x:v>
      </x:c>
      <x:c r="J528" s="34" t="n">
        <x:v>0.8146337850847961</x:v>
      </x:c>
      <x:c r="K528" s="34" t="n">
        <x:v>0</x:v>
      </x:c>
      <x:c r="L528" s="34" t="n">
        <x:v>0</x:v>
      </x:c>
      <x:c r="M528" s="34" t="n">
        <x:f>SUM(J528:L528)</x:f>
        <x:v>0.8146337850847961</x:v>
      </x:c>
      <x:c r="N528" s="34" t="n">
        <x:f>G528*J528</x:f>
        <x:v>2899.281641116789</x:v>
      </x:c>
      <x:c r="O528" s="34" t="n">
        <x:f>G528*K528</x:f>
        <x:v>0</x:v>
      </x:c>
      <x:c r="P528" s="34" t="n">
        <x:f>G528*L528</x:f>
        <x:v>0</x:v>
      </x:c>
      <x:c r="Q528" s="34" t="n">
        <x:f>SUM(N528:P528)</x:f>
        <x:v>2899.281641116789</x:v>
      </x:c>
      <x:c r="R528" s="22" t="str">
        <x:f>IF(M528&gt;0,"복원","미복원")</x:f>
        <x:v>복원</x:v>
      </x:c>
      <x:c r="S528" s="37" t="n">
        <x:v>29</x:v>
      </x:c>
      <x:c r="T528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8" s="22" t="str">
        <x:f>A528&amp;"|"&amp;B528</x:f>
        <x:v>연결교량|C-010302</x:v>
      </x:c>
      <x:c r="V528" s="22" t="n">
        <x:f>IF(M528&gt;0,1,0)</x:f>
        <x:v>1</x:v>
      </x:c>
    </x:row>
    <x:row r="529" ht="28" customHeight="1">
      <x:c r="A529" s="22" t="str">
        <x:v>연결교량</x:v>
      </x:c>
      <x:c r="B529" s="31" t="str">
        <x:f>"C-010302"</x:f>
        <x:v>C-010302</x:v>
      </x:c>
      <x:c r="C529" s="25" t="str">
        <x:v>010302  MASONRY WORKS</x:v>
      </x:c>
      <x:c r="D529" s="25" t="str">
        <x:v>100mm thick brick, Interior wall</x:v>
      </x:c>
      <x:c r="E529" s="25" t="str"/>
      <x:c r="F529" s="22" t="str">
        <x:v>M2</x:v>
      </x:c>
      <x:c r="G529" s="28" t="n">
        <x:v>21</x:v>
      </x:c>
      <x:c r="H529" s="25" t="str">
        <x:v>43AE2142BE7340A532FB6B275834A7AC3881B</x:v>
      </x:c>
      <x:c r="I529" s="22" t="str">
        <x:v>직접자원단가</x:v>
      </x:c>
      <x:c r="J529" s="34" t="n">
        <x:v>0.8146337850847961</x:v>
      </x:c>
      <x:c r="K529" s="34" t="n">
        <x:v>0</x:v>
      </x:c>
      <x:c r="L529" s="34" t="n">
        <x:v>0</x:v>
      </x:c>
      <x:c r="M529" s="34" t="n">
        <x:f>SUM(J529:L529)</x:f>
        <x:v>0.8146337850847961</x:v>
      </x:c>
      <x:c r="N529" s="34" t="n">
        <x:f>G529*J529</x:f>
        <x:v>17.107309486780718</x:v>
      </x:c>
      <x:c r="O529" s="34" t="n">
        <x:f>G529*K529</x:f>
        <x:v>0</x:v>
      </x:c>
      <x:c r="P529" s="34" t="n">
        <x:f>G529*L529</x:f>
        <x:v>0</x:v>
      </x:c>
      <x:c r="Q529" s="34" t="n">
        <x:f>SUM(N529:P529)</x:f>
        <x:v>17.107309486780718</x:v>
      </x:c>
      <x:c r="R529" s="22" t="str">
        <x:f>IF(M529&gt;0,"복원","미복원")</x:f>
        <x:v>복원</x:v>
      </x:c>
      <x:c r="S529" s="37" t="n">
        <x:v>30</x:v>
      </x:c>
      <x:c r="T529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29" s="22" t="str">
        <x:f>A529&amp;"|"&amp;B529</x:f>
        <x:v>연결교량|C-010302</x:v>
      </x:c>
      <x:c r="V529" s="22" t="n">
        <x:f>IF(M529&gt;0,1,0)</x:f>
        <x:v>1</x:v>
      </x:c>
    </x:row>
    <x:row r="530" ht="28" customHeight="1">
      <x:c r="A530" s="22" t="str">
        <x:v>연결교량</x:v>
      </x:c>
      <x:c r="B530" s="31" t="str">
        <x:f>"C-010302"</x:f>
        <x:v>C-010302</x:v>
      </x:c>
      <x:c r="C530" s="25" t="str">
        <x:v>010302  MASONRY WORKS</x:v>
      </x:c>
      <x:c r="D530" s="25" t="str">
        <x:v>200mm thick brick, Interior wall</x:v>
      </x:c>
      <x:c r="E530" s="25" t="str"/>
      <x:c r="F530" s="22" t="str">
        <x:v>M2</x:v>
      </x:c>
      <x:c r="G530" s="28" t="n">
        <x:v>13</x:v>
      </x:c>
      <x:c r="H530" s="25" t="str">
        <x:v>43AE204010766031C22ED812F512356699399</x:v>
      </x:c>
      <x:c r="I530" s="22" t="str">
        <x:v>직접자원단가</x:v>
      </x:c>
      <x:c r="J530" s="34" t="n">
        <x:v>1800</x:v>
      </x:c>
      <x:c r="K530" s="34" t="n">
        <x:v>0</x:v>
      </x:c>
      <x:c r="L530" s="34" t="n">
        <x:v>0</x:v>
      </x:c>
      <x:c r="M530" s="34" t="n">
        <x:f>SUM(J530:L530)</x:f>
        <x:v>1800</x:v>
      </x:c>
      <x:c r="N530" s="34" t="n">
        <x:f>G530*J530</x:f>
        <x:v>23400</x:v>
      </x:c>
      <x:c r="O530" s="34" t="n">
        <x:f>G530*K530</x:f>
        <x:v>0</x:v>
      </x:c>
      <x:c r="P530" s="34" t="n">
        <x:f>G530*L530</x:f>
        <x:v>0</x:v>
      </x:c>
      <x:c r="Q530" s="34" t="n">
        <x:f>SUM(N530:P530)</x:f>
        <x:v>23400</x:v>
      </x:c>
      <x:c r="R530" s="22" t="str">
        <x:f>IF(M530&gt;0,"복원","미복원")</x:f>
        <x:v>복원</x:v>
      </x:c>
      <x:c r="S530" s="37" t="n">
        <x:v>31</x:v>
      </x:c>
      <x:c r="T530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0" s="22" t="str">
        <x:f>A530&amp;"|"&amp;B530</x:f>
        <x:v>연결교량|C-010302</x:v>
      </x:c>
      <x:c r="V530" s="22" t="n">
        <x:f>IF(M530&gt;0,1,0)</x:f>
        <x:v>1</x:v>
      </x:c>
    </x:row>
    <x:row r="531" ht="28" customHeight="1">
      <x:c r="A531" s="22" t="str">
        <x:v>연결교량</x:v>
      </x:c>
      <x:c r="B531" s="31" t="str">
        <x:f>"C-010302"</x:f>
        <x:v>C-010302</x:v>
      </x:c>
      <x:c r="C531" s="25" t="str">
        <x:v>010302  MASONRY WORKS</x:v>
      </x:c>
      <x:c r="D531" s="25" t="str">
        <x:v>Concrete Lintel, 200mm thick</x:v>
      </x:c>
      <x:c r="E531" s="25" t="str"/>
      <x:c r="F531" s="22" t="str">
        <x:v>M</x:v>
      </x:c>
      <x:c r="G531" s="28" t="n">
        <x:v>3</x:v>
      </x:c>
      <x:c r="H531" s="25" t="str">
        <x:v>43AE204010766031C22ED812F51235669939A</x:v>
      </x:c>
      <x:c r="I531" s="22" t="str">
        <x:v>직접자원단가</x:v>
      </x:c>
      <x:c r="J531" s="34" t="n">
        <x:v>1800</x:v>
      </x:c>
      <x:c r="K531" s="34" t="n">
        <x:v>0</x:v>
      </x:c>
      <x:c r="L531" s="34" t="n">
        <x:v>0</x:v>
      </x:c>
      <x:c r="M531" s="34" t="n">
        <x:f>SUM(J531:L531)</x:f>
        <x:v>1800</x:v>
      </x:c>
      <x:c r="N531" s="34" t="n">
        <x:f>G531*J531</x:f>
        <x:v>5400</x:v>
      </x:c>
      <x:c r="O531" s="34" t="n">
        <x:f>G531*K531</x:f>
        <x:v>0</x:v>
      </x:c>
      <x:c r="P531" s="34" t="n">
        <x:f>G531*L531</x:f>
        <x:v>0</x:v>
      </x:c>
      <x:c r="Q531" s="34" t="n">
        <x:f>SUM(N531:P531)</x:f>
        <x:v>5400</x:v>
      </x:c>
      <x:c r="R531" s="22" t="str">
        <x:f>IF(M531&gt;0,"복원","미복원")</x:f>
        <x:v>복원</x:v>
      </x:c>
      <x:c r="S531" s="37" t="n">
        <x:v>32</x:v>
      </x:c>
      <x:c r="T531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1" s="22" t="str">
        <x:f>A531&amp;"|"&amp;B531</x:f>
        <x:v>연결교량|C-010302</x:v>
      </x:c>
      <x:c r="V531" s="22" t="n">
        <x:f>IF(M531&gt;0,1,0)</x:f>
        <x:v>1</x:v>
      </x:c>
    </x:row>
    <x:row r="532" ht="28" customHeight="1">
      <x:c r="A532" s="22" t="str">
        <x:v>연결교량</x:v>
      </x:c>
      <x:c r="B532" s="31" t="str">
        <x:f>"C-010303"</x:f>
        <x:v>C-010303</x:v>
      </x:c>
      <x:c r="C532" s="25" t="str">
        <x:v>010303  FINISH WORKS</x:v>
      </x:c>
      <x:c r="D532" s="25" t="str">
        <x:v>Thk 2mm,Vinyl Sheet (B / HEAVY DUTY), W/Plastering 58mm thick on concrete floors</x:v>
      </x:c>
      <x:c r="E532" s="25" t="str"/>
      <x:c r="F532" s="22" t="str">
        <x:v>M2</x:v>
      </x:c>
      <x:c r="G532" s="28" t="n">
        <x:v>104</x:v>
      </x:c>
      <x:c r="H532" s="25" t="str">
        <x:v>43AE204010766031C22ED812F5123566991E9</x:v>
      </x:c>
      <x:c r="I532" s="22" t="str">
        <x:v>직접자원단가</x:v>
      </x:c>
      <x:c r="J532" s="34" t="n">
        <x:v>3</x:v>
      </x:c>
      <x:c r="K532" s="34" t="n">
        <x:v>0</x:v>
      </x:c>
      <x:c r="L532" s="34" t="n">
        <x:v>0</x:v>
      </x:c>
      <x:c r="M532" s="34" t="n">
        <x:f>SUM(J532:L532)</x:f>
        <x:v>3</x:v>
      </x:c>
      <x:c r="N532" s="34" t="n">
        <x:f>G532*J532</x:f>
        <x:v>312</x:v>
      </x:c>
      <x:c r="O532" s="34" t="n">
        <x:f>G532*K532</x:f>
        <x:v>0</x:v>
      </x:c>
      <x:c r="P532" s="34" t="n">
        <x:f>G532*L532</x:f>
        <x:v>0</x:v>
      </x:c>
      <x:c r="Q532" s="34" t="n">
        <x:f>SUM(N532:P532)</x:f>
        <x:v>312</x:v>
      </x:c>
      <x:c r="R532" s="22" t="str">
        <x:f>IF(M532&gt;0,"복원","미복원")</x:f>
        <x:v>복원</x:v>
      </x:c>
      <x:c r="S532" s="37" t="n">
        <x:v>53</x:v>
      </x:c>
      <x:c r="T532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2" s="22" t="str">
        <x:f>A532&amp;"|"&amp;B532</x:f>
        <x:v>연결교량|C-010303</x:v>
      </x:c>
      <x:c r="V532" s="22" t="n">
        <x:f>IF(M532&gt;0,1,0)</x:f>
        <x:v>1</x:v>
      </x:c>
    </x:row>
    <x:row r="533" ht="28" customHeight="1">
      <x:c r="A533" s="22" t="str">
        <x:v>연결교량</x:v>
      </x:c>
      <x:c r="B533" s="31" t="str">
        <x:f>"C-010303"</x:f>
        <x:v>C-010303</x:v>
      </x:c>
      <x:c r="C533" s="25" t="str">
        <x:v>010303  FINISH WORKS</x:v>
      </x:c>
      <x:c r="D533" s="25" t="str">
        <x:v>Supplying and laying of 100mm (h), 2T Vinyl Sheet skirting.</x:v>
      </x:c>
      <x:c r="E533" s="25" t="str"/>
      <x:c r="F533" s="22" t="str">
        <x:v>M2</x:v>
      </x:c>
      <x:c r="G533" s="28" t="n">
        <x:v>3</x:v>
      </x:c>
      <x:c r="H533" s="25" t="str">
        <x:v>43AE204010766031C22ED812F5123566991EE</x:v>
      </x:c>
      <x:c r="I533" s="22" t="str">
        <x:v>직접자원단가</x:v>
      </x:c>
      <x:c r="J533" s="34" t="n">
        <x:v>3</x:v>
      </x:c>
      <x:c r="K533" s="34" t="n">
        <x:v>0</x:v>
      </x:c>
      <x:c r="L533" s="34" t="n">
        <x:v>0</x:v>
      </x:c>
      <x:c r="M533" s="34" t="n">
        <x:f>SUM(J533:L533)</x:f>
        <x:v>3</x:v>
      </x:c>
      <x:c r="N533" s="34" t="n">
        <x:f>G533*J533</x:f>
        <x:v>9</x:v>
      </x:c>
      <x:c r="O533" s="34" t="n">
        <x:f>G533*K533</x:f>
        <x:v>0</x:v>
      </x:c>
      <x:c r="P533" s="34" t="n">
        <x:f>G533*L533</x:f>
        <x:v>0</x:v>
      </x:c>
      <x:c r="Q533" s="34" t="n">
        <x:f>SUM(N533:P533)</x:f>
        <x:v>9</x:v>
      </x:c>
      <x:c r="R533" s="22" t="str">
        <x:f>IF(M533&gt;0,"복원","미복원")</x:f>
        <x:v>복원</x:v>
      </x:c>
      <x:c r="S533" s="37" t="n">
        <x:v>54</x:v>
      </x:c>
      <x:c r="T533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3" s="22" t="str">
        <x:f>A533&amp;"|"&amp;B533</x:f>
        <x:v>연결교량|C-010303</x:v>
      </x:c>
      <x:c r="V533" s="22" t="n">
        <x:f>IF(M533&gt;0,1,0)</x:f>
        <x:v>1</x:v>
      </x:c>
    </x:row>
    <x:row r="534" ht="28" customHeight="1">
      <x:c r="A534" s="22" t="str">
        <x:v>연결교량</x:v>
      </x:c>
      <x:c r="B534" s="31" t="str">
        <x:f>"C-010303"</x:f>
        <x:v>C-010303</x:v>
      </x:c>
      <x:c r="C534" s="25" t="str">
        <x:v>010303  FINISH WORKS</x:v>
      </x:c>
      <x:c r="D534" s="25" t="str">
        <x:v>High density Insulation board on Slab,Thk 100mm</x:v>
      </x:c>
      <x:c r="E534" s="25" t="str"/>
      <x:c r="F534" s="22" t="str">
        <x:v>M2</x:v>
      </x:c>
      <x:c r="G534" s="28" t="n">
        <x:v>106</x:v>
      </x:c>
      <x:c r="H534" s="25" t="str">
        <x:v>43AE204010766031C22ED812F5123566991EF</x:v>
      </x:c>
      <x:c r="I534" s="22" t="str">
        <x:v>직접자원단가</x:v>
      </x:c>
      <x:c r="J534" s="34" t="n">
        <x:v>3</x:v>
      </x:c>
      <x:c r="K534" s="34" t="n">
        <x:v>0</x:v>
      </x:c>
      <x:c r="L534" s="34" t="n">
        <x:v>0</x:v>
      </x:c>
      <x:c r="M534" s="34" t="n">
        <x:f>SUM(J534:L534)</x:f>
        <x:v>3</x:v>
      </x:c>
      <x:c r="N534" s="34" t="n">
        <x:f>G534*J534</x:f>
        <x:v>318</x:v>
      </x:c>
      <x:c r="O534" s="34" t="n">
        <x:f>G534*K534</x:f>
        <x:v>0</x:v>
      </x:c>
      <x:c r="P534" s="34" t="n">
        <x:f>G534*L534</x:f>
        <x:v>0</x:v>
      </x:c>
      <x:c r="Q534" s="34" t="n">
        <x:f>SUM(N534:P534)</x:f>
        <x:v>318</x:v>
      </x:c>
      <x:c r="R534" s="22" t="str">
        <x:f>IF(M534&gt;0,"복원","미복원")</x:f>
        <x:v>복원</x:v>
      </x:c>
      <x:c r="S534" s="37" t="n">
        <x:v>55</x:v>
      </x:c>
      <x:c r="T534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4" s="22" t="str">
        <x:f>A534&amp;"|"&amp;B534</x:f>
        <x:v>연결교량|C-010303</x:v>
      </x:c>
      <x:c r="V534" s="22" t="n">
        <x:f>IF(M534&gt;0,1,0)</x:f>
        <x:v>1</x:v>
      </x:c>
    </x:row>
    <x:row r="535" ht="28" customHeight="1">
      <x:c r="A535" s="22" t="str">
        <x:v>연결교량</x:v>
      </x:c>
      <x:c r="B535" s="31" t="str">
        <x:f>"C-010303"</x:f>
        <x:v>C-010303</x:v>
      </x:c>
      <x:c r="C535" s="25" t="str">
        <x:v>010303  FINISH WORKS</x:v>
      </x:c>
      <x:c r="D535" s="25" t="str">
        <x:v>High density Insulation board under Slab,Thk 50mm</x:v>
      </x:c>
      <x:c r="E535" s="25" t="str"/>
      <x:c r="F535" s="22" t="str">
        <x:v>M2</x:v>
      </x:c>
      <x:c r="G535" s="28" t="n">
        <x:v>149</x:v>
      </x:c>
      <x:c r="H535" s="25" t="str">
        <x:v>43AE204010766031C22ED812F5123566991EC</x:v>
      </x:c>
      <x:c r="I535" s="22" t="str">
        <x:v>직접자원단가</x:v>
      </x:c>
      <x:c r="J535" s="34" t="n">
        <x:v>20</x:v>
      </x:c>
      <x:c r="K535" s="34" t="n">
        <x:v>19.76</x:v>
      </x:c>
      <x:c r="L535" s="34" t="n">
        <x:v>0.4</x:v>
      </x:c>
      <x:c r="M535" s="34" t="n">
        <x:f>SUM(J535:L535)</x:f>
        <x:v>40.160000000000004</x:v>
      </x:c>
      <x:c r="N535" s="34" t="n">
        <x:f>G535*J535</x:f>
        <x:v>2980</x:v>
      </x:c>
      <x:c r="O535" s="34" t="n">
        <x:f>G535*K535</x:f>
        <x:v>2944.2400000000002</x:v>
      </x:c>
      <x:c r="P535" s="34" t="n">
        <x:f>G535*L535</x:f>
        <x:v>59.6</x:v>
      </x:c>
      <x:c r="Q535" s="34" t="n">
        <x:f>SUM(N535:P535)</x:f>
        <x:v>5983.84</x:v>
      </x:c>
      <x:c r="R535" s="22" t="str">
        <x:f>IF(M535&gt;0,"복원","미복원")</x:f>
        <x:v>복원</x:v>
      </x:c>
      <x:c r="S535" s="37" t="n">
        <x:v>56</x:v>
      </x:c>
      <x:c r="T535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5" s="22" t="str">
        <x:f>A535&amp;"|"&amp;B535</x:f>
        <x:v>연결교량|C-010303</x:v>
      </x:c>
      <x:c r="V535" s="22" t="n">
        <x:f>IF(M535&gt;0,1,0)</x:f>
        <x:v>1</x:v>
      </x:c>
    </x:row>
    <x:row r="536" ht="28" customHeight="1">
      <x:c r="A536" s="22" t="str">
        <x:v>연결교량</x:v>
      </x:c>
      <x:c r="B536" s="31" t="str">
        <x:f>"C-010303"</x:f>
        <x:v>C-010303</x:v>
      </x:c>
      <x:c r="C536" s="25" t="str">
        <x:v>010303  FINISH WORKS</x:v>
      </x:c>
      <x:c r="D536" s="25" t="str">
        <x:v>EXPANDED POLYSTYRENE,Thk 20mm</x:v>
      </x:c>
      <x:c r="E536" s="25" t="str"/>
      <x:c r="F536" s="22" t="str">
        <x:v>M2</x:v>
      </x:c>
      <x:c r="G536" s="28" t="n">
        <x:v>10</x:v>
      </x:c>
      <x:c r="H536" s="25" t="str">
        <x:v>43AE204010766031C22ED812F5123566991ED</x:v>
      </x:c>
      <x:c r="I536" s="22" t="str">
        <x:v>직접자원단가</x:v>
      </x:c>
      <x:c r="J536" s="34" t="n">
        <x:v>0.79</x:v>
      </x:c>
      <x:c r="K536" s="34" t="n">
        <x:v>0.19</x:v>
      </x:c>
      <x:c r="L536" s="34" t="n">
        <x:v>0.05</x:v>
      </x:c>
      <x:c r="M536" s="34" t="n">
        <x:f>SUM(J536:L536)</x:f>
        <x:v>1.03</x:v>
      </x:c>
      <x:c r="N536" s="34" t="n">
        <x:f>G536*J536</x:f>
        <x:v>7.9</x:v>
      </x:c>
      <x:c r="O536" s="34" t="n">
        <x:f>G536*K536</x:f>
        <x:v>1.9</x:v>
      </x:c>
      <x:c r="P536" s="34" t="n">
        <x:f>G536*L536</x:f>
        <x:v>0.5</x:v>
      </x:c>
      <x:c r="Q536" s="34" t="n">
        <x:f>SUM(N536:P536)</x:f>
        <x:v>10.3</x:v>
      </x:c>
      <x:c r="R536" s="22" t="str">
        <x:f>IF(M536&gt;0,"복원","미복원")</x:f>
        <x:v>복원</x:v>
      </x:c>
      <x:c r="S536" s="37" t="n">
        <x:v>57</x:v>
      </x:c>
      <x:c r="T536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6" s="22" t="str">
        <x:f>A536&amp;"|"&amp;B536</x:f>
        <x:v>연결교량|C-010303</x:v>
      </x:c>
      <x:c r="V536" s="22" t="n">
        <x:f>IF(M536&gt;0,1,0)</x:f>
        <x:v>1</x:v>
      </x:c>
    </x:row>
    <x:row r="537" ht="28" customHeight="1">
      <x:c r="A537" s="22" t="str">
        <x:v>연결교량</x:v>
      </x:c>
      <x:c r="B537" s="31" t="str">
        <x:f>"C-010303"</x:f>
        <x:v>C-010303</x:v>
      </x:c>
      <x:c r="C537" s="25" t="str">
        <x:v>010303  FINISH WORKS</x:v>
      </x:c>
      <x:c r="D537" s="25" t="str">
        <x:v>THK0.1 PE FILM 2Layers</x:v>
      </x:c>
      <x:c r="E537" s="25" t="str"/>
      <x:c r="F537" s="22" t="str">
        <x:v>M2</x:v>
      </x:c>
      <x:c r="G537" s="28" t="n">
        <x:v>115</x:v>
      </x:c>
      <x:c r="H537" s="25" t="str">
        <x:v>43AE204010766031C22ED812F5123566991E2</x:v>
      </x:c>
      <x:c r="I537" s="22" t="str">
        <x:v>직접자원단가</x:v>
      </x:c>
      <x:c r="J537" s="34" t="n">
        <x:v>6.88</x:v>
      </x:c>
      <x:c r="K537" s="34" t="n">
        <x:v>22.65</x:v>
      </x:c>
      <x:c r="L537" s="34" t="n">
        <x:v>0</x:v>
      </x:c>
      <x:c r="M537" s="34" t="n">
        <x:f>SUM(J537:L537)</x:f>
        <x:v>29.529999999999998</x:v>
      </x:c>
      <x:c r="N537" s="34" t="n">
        <x:f>G537*J537</x:f>
        <x:v>791.1999999999999</x:v>
      </x:c>
      <x:c r="O537" s="34" t="n">
        <x:f>G537*K537</x:f>
        <x:v>2604.75</x:v>
      </x:c>
      <x:c r="P537" s="34" t="n">
        <x:f>G537*L537</x:f>
        <x:v>0</x:v>
      </x:c>
      <x:c r="Q537" s="34" t="n">
        <x:f>SUM(N537:P537)</x:f>
        <x:v>3395.95</x:v>
      </x:c>
      <x:c r="R537" s="22" t="str">
        <x:f>IF(M537&gt;0,"복원","미복원")</x:f>
        <x:v>복원</x:v>
      </x:c>
      <x:c r="S537" s="37" t="n">
        <x:v>58</x:v>
      </x:c>
      <x:c r="T537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7" s="22" t="str">
        <x:f>A537&amp;"|"&amp;B537</x:f>
        <x:v>연결교량|C-010303</x:v>
      </x:c>
      <x:c r="V537" s="22" t="n">
        <x:f>IF(M537&gt;0,1,0)</x:f>
        <x:v>1</x:v>
      </x:c>
    </x:row>
    <x:row r="538" ht="28" customHeight="1">
      <x:c r="A538" s="22" t="str">
        <x:v>연결교량</x:v>
      </x:c>
      <x:c r="B538" s="31" t="str">
        <x:f>"C-010303"</x:f>
        <x:v>C-010303</x:v>
      </x:c>
      <x:c r="C538" s="25" t="str">
        <x:v>010303  FINISH WORKS</x:v>
      </x:c>
      <x:c r="D538" s="25" t="str">
        <x:v>0.1mm thick polyethylene sheet(2Layers) under blinding beds.</x:v>
      </x:c>
      <x:c r="E538" s="25" t="str"/>
      <x:c r="F538" s="22" t="str">
        <x:v>M2</x:v>
      </x:c>
      <x:c r="G538" s="28" t="n">
        <x:v>121</x:v>
      </x:c>
      <x:c r="H538" s="25" t="str">
        <x:v>43AE204010766031C22ED812F5123566991E3</x:v>
      </x:c>
      <x:c r="I538" s="22" t="str">
        <x:v>직접자원단가</x:v>
      </x:c>
      <x:c r="J538" s="34" t="n">
        <x:v>1</x:v>
      </x:c>
      <x:c r="K538" s="34" t="n">
        <x:v>0.29</x:v>
      </x:c>
      <x:c r="L538" s="34" t="n">
        <x:v>0.03</x:v>
      </x:c>
      <x:c r="M538" s="34" t="n">
        <x:f>SUM(J538:L538)</x:f>
        <x:v>1.32</x:v>
      </x:c>
      <x:c r="N538" s="34" t="n">
        <x:f>G538*J538</x:f>
        <x:v>121</x:v>
      </x:c>
      <x:c r="O538" s="34" t="n">
        <x:f>G538*K538</x:f>
        <x:v>35.089999999999996</x:v>
      </x:c>
      <x:c r="P538" s="34" t="n">
        <x:f>G538*L538</x:f>
        <x:v>3.63</x:v>
      </x:c>
      <x:c r="Q538" s="34" t="n">
        <x:f>SUM(N538:P538)</x:f>
        <x:v>159.72</x:v>
      </x:c>
      <x:c r="R538" s="22" t="str">
        <x:f>IF(M538&gt;0,"복원","미복원")</x:f>
        <x:v>복원</x:v>
      </x:c>
      <x:c r="S538" s="37" t="n">
        <x:v>59</x:v>
      </x:c>
      <x:c r="T538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8" s="22" t="str">
        <x:f>A538&amp;"|"&amp;B538</x:f>
        <x:v>연결교량|C-010303</x:v>
      </x:c>
      <x:c r="V538" s="22" t="n">
        <x:f>IF(M538&gt;0,1,0)</x:f>
        <x:v>1</x:v>
      </x:c>
    </x:row>
    <x:row r="539" ht="28" customHeight="1">
      <x:c r="A539" s="22" t="str">
        <x:v>연결교량</x:v>
      </x:c>
      <x:c r="B539" s="31" t="str">
        <x:f>"C-010303"</x:f>
        <x:v>C-010303</x:v>
      </x:c>
      <x:c r="C539" s="25" t="str">
        <x:v>010303  FINISH WORKS</x:v>
      </x:c>
      <x:c r="D539" s="25" t="str">
        <x:v>EXT. INSUL. FIN. SYS.</x:v>
      </x:c>
      <x:c r="E539" s="25" t="str">
        <x:v>50mm</x:v>
      </x:c>
      <x:c r="F539" s="22" t="str">
        <x:v>M2</x:v>
      </x:c>
      <x:c r="G539" s="28" t="n">
        <x:v>274</x:v>
      </x:c>
      <x:c r="H539" s="25" t="str">
        <x:v>43AE204010766031C22ED812F5123566990C4</x:v>
      </x:c>
      <x:c r="I539" s="22" t="str">
        <x:v>직접자원단가</x:v>
      </x:c>
      <x:c r="J539" s="34" t="n">
        <x:v>1</x:v>
      </x:c>
      <x:c r="K539" s="34" t="n">
        <x:v>0.58</x:v>
      </x:c>
      <x:c r="L539" s="34" t="n">
        <x:v>0.06</x:v>
      </x:c>
      <x:c r="M539" s="34" t="n">
        <x:f>SUM(J539:L539)</x:f>
        <x:v>1.6400000000000001</x:v>
      </x:c>
      <x:c r="N539" s="34" t="n">
        <x:f>G539*J539</x:f>
        <x:v>274</x:v>
      </x:c>
      <x:c r="O539" s="34" t="n">
        <x:f>G539*K539</x:f>
        <x:v>158.92</x:v>
      </x:c>
      <x:c r="P539" s="34" t="n">
        <x:f>G539*L539</x:f>
        <x:v>16.439999999999998</x:v>
      </x:c>
      <x:c r="Q539" s="34" t="n">
        <x:f>SUM(N539:P539)</x:f>
        <x:v>449.35999999999996</x:v>
      </x:c>
      <x:c r="R539" s="22" t="str">
        <x:f>IF(M539&gt;0,"복원","미복원")</x:f>
        <x:v>복원</x:v>
      </x:c>
      <x:c r="S539" s="37" t="n">
        <x:v>60</x:v>
      </x:c>
      <x:c r="T539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39" s="22" t="str">
        <x:f>A539&amp;"|"&amp;B539</x:f>
        <x:v>연결교량|C-010303</x:v>
      </x:c>
      <x:c r="V539" s="22" t="n">
        <x:f>IF(M539&gt;0,1,0)</x:f>
        <x:v>1</x:v>
      </x:c>
    </x:row>
    <x:row r="540" ht="28" customHeight="1">
      <x:c r="A540" s="22" t="str">
        <x:v>연결교량</x:v>
      </x:c>
      <x:c r="B540" s="31" t="str">
        <x:f>"C-010304"</x:f>
        <x:v>C-010304</x:v>
      </x:c>
      <x:c r="C540" s="25" t="str">
        <x:v>010304  WATERPROOFING WORKS</x:v>
      </x:c>
      <x:c r="D540" s="25" t="str">
        <x:v>Caulking</x:v>
      </x:c>
      <x:c r="E540" s="25" t="str">
        <x:v>Size 10mm * 10mm, Around The door &amp; window</x:v>
      </x:c>
      <x:c r="F540" s="22" t="str">
        <x:v>M</x:v>
      </x:c>
      <x:c r="G540" s="28" t="n">
        <x:v>301</x:v>
      </x:c>
      <x:c r="H540" s="25" t="str">
        <x:v>43AE2142BE708CFFD20BAA9FB5BFCB1E3CD03</x:v>
      </x:c>
      <x:c r="I540" s="22" t="str">
        <x:v>직접자원단가</x:v>
      </x:c>
      <x:c r="J540" s="34" t="n">
        <x:v>0.3</x:v>
      </x:c>
      <x:c r="K540" s="34" t="n">
        <x:v>0.03</x:v>
      </x:c>
      <x:c r="L540" s="34" t="n">
        <x:v>0</x:v>
      </x:c>
      <x:c r="M540" s="34" t="n">
        <x:f>SUM(J540:L540)</x:f>
        <x:v>0.32999999999999996</x:v>
      </x:c>
      <x:c r="N540" s="34" t="n">
        <x:f>G540*J540</x:f>
        <x:v>90.3</x:v>
      </x:c>
      <x:c r="O540" s="34" t="n">
        <x:f>G540*K540</x:f>
        <x:v>9.03</x:v>
      </x:c>
      <x:c r="P540" s="34" t="n">
        <x:f>G540*L540</x:f>
        <x:v>0</x:v>
      </x:c>
      <x:c r="Q540" s="34" t="n">
        <x:f>SUM(N540:P540)</x:f>
        <x:v>99.33</x:v>
      </x:c>
      <x:c r="R540" s="22" t="str">
        <x:f>IF(M540&gt;0,"복원","미복원")</x:f>
        <x:v>복원</x:v>
      </x:c>
      <x:c r="S540" s="37" t="n">
        <x:v>77</x:v>
      </x:c>
      <x:c r="T540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0" s="22" t="str">
        <x:f>A540&amp;"|"&amp;B540</x:f>
        <x:v>연결교량|C-010304</x:v>
      </x:c>
      <x:c r="V540" s="22" t="n">
        <x:f>IF(M540&gt;0,1,0)</x:f>
        <x:v>1</x:v>
      </x:c>
    </x:row>
    <x:row r="541" ht="28" customHeight="1">
      <x:c r="A541" s="22" t="str">
        <x:v>연결교량</x:v>
      </x:c>
      <x:c r="B541" s="31" t="str">
        <x:f>"C-010304"</x:f>
        <x:v>C-010304</x:v>
      </x:c>
      <x:c r="C541" s="25" t="str">
        <x:v>010304  WATERPROOFING WORKS</x:v>
      </x:c>
      <x:c r="D541" s="25" t="str">
        <x:v>Expansion joint, On Roof @3000x3000</x:v>
      </x:c>
      <x:c r="E541" s="25" t="str"/>
      <x:c r="F541" s="22" t="str">
        <x:v>M</x:v>
      </x:c>
      <x:c r="G541" s="28" t="n">
        <x:v>111</x:v>
      </x:c>
      <x:c r="H541" s="25" t="str">
        <x:v>4531284DDC776A4702EA22A0C0638FB35052E</x:v>
      </x:c>
      <x:c r="I541" s="22" t="str">
        <x:v>직접자원단가</x:v>
      </x:c>
      <x:c r="J541" s="34" t="n">
        <x:v>6</x:v>
      </x:c>
      <x:c r="K541" s="34" t="n">
        <x:v>4</x:v>
      </x:c>
      <x:c r="L541" s="34" t="n">
        <x:v>0.21</x:v>
      </x:c>
      <x:c r="M541" s="34" t="n">
        <x:f>SUM(J541:L541)</x:f>
        <x:v>10.21</x:v>
      </x:c>
      <x:c r="N541" s="34" t="n">
        <x:f>G541*J541</x:f>
        <x:v>666</x:v>
      </x:c>
      <x:c r="O541" s="34" t="n">
        <x:f>G541*K541</x:f>
        <x:v>444</x:v>
      </x:c>
      <x:c r="P541" s="34" t="n">
        <x:f>G541*L541</x:f>
        <x:v>23.31</x:v>
      </x:c>
      <x:c r="Q541" s="34" t="n">
        <x:f>SUM(N541:P541)</x:f>
        <x:v>1133.31</x:v>
      </x:c>
      <x:c r="R541" s="22" t="str">
        <x:f>IF(M541&gt;0,"복원","미복원")</x:f>
        <x:v>복원</x:v>
      </x:c>
      <x:c r="S541" s="37" t="n">
        <x:v>78</x:v>
      </x:c>
      <x:c r="T541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1" s="22" t="str">
        <x:f>A541&amp;"|"&amp;B541</x:f>
        <x:v>연결교량|C-010304</x:v>
      </x:c>
      <x:c r="V541" s="22" t="n">
        <x:f>IF(M541&gt;0,1,0)</x:f>
        <x:v>1</x:v>
      </x:c>
    </x:row>
    <x:row r="542" ht="28" customHeight="1">
      <x:c r="A542" s="22" t="str">
        <x:v>연결교량</x:v>
      </x:c>
      <x:c r="B542" s="31" t="str">
        <x:f>"C-010304"</x:f>
        <x:v>C-010304</x:v>
      </x:c>
      <x:c r="C542" s="25" t="str">
        <x:v>010304  WATERPROOFING WORKS</x:v>
      </x:c>
      <x:c r="D542" s="25" t="str">
        <x:v>Multi-layer composite waterproofin</x:v>
      </x:c>
      <x:c r="E542" s="25" t="str">
        <x:v>FLOOR</x:v>
      </x:c>
      <x:c r="F542" s="22" t="str">
        <x:v>M2</x:v>
      </x:c>
      <x:c r="G542" s="28" t="n">
        <x:v>115</x:v>
      </x:c>
      <x:c r="H542" s="25" t="str">
        <x:v>4531284DDC776A4702EA22A0C0638FB350521</x:v>
      </x:c>
      <x:c r="I542" s="22" t="str">
        <x:v>직접자원단가</x:v>
      </x:c>
      <x:c r="J542" s="34" t="n">
        <x:v>7</x:v>
      </x:c>
      <x:c r="K542" s="34" t="n">
        <x:v>4</x:v>
      </x:c>
      <x:c r="L542" s="34" t="n">
        <x:v>0.21</x:v>
      </x:c>
      <x:c r="M542" s="34" t="n">
        <x:f>SUM(J542:L542)</x:f>
        <x:v>11.21</x:v>
      </x:c>
      <x:c r="N542" s="34" t="n">
        <x:f>G542*J542</x:f>
        <x:v>805</x:v>
      </x:c>
      <x:c r="O542" s="34" t="n">
        <x:f>G542*K542</x:f>
        <x:v>460</x:v>
      </x:c>
      <x:c r="P542" s="34" t="n">
        <x:f>G542*L542</x:f>
        <x:v>24.15</x:v>
      </x:c>
      <x:c r="Q542" s="34" t="n">
        <x:f>SUM(N542:P542)</x:f>
        <x:v>1289.15</x:v>
      </x:c>
      <x:c r="R542" s="22" t="str">
        <x:f>IF(M542&gt;0,"복원","미복원")</x:f>
        <x:v>복원</x:v>
      </x:c>
      <x:c r="S542" s="37" t="n">
        <x:v>79</x:v>
      </x:c>
      <x:c r="T542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2" s="22" t="str">
        <x:f>A542&amp;"|"&amp;B542</x:f>
        <x:v>연결교량|C-010304</x:v>
      </x:c>
      <x:c r="V542" s="22" t="n">
        <x:f>IF(M542&gt;0,1,0)</x:f>
        <x:v>1</x:v>
      </x:c>
    </x:row>
    <x:row r="543" ht="28" customHeight="1">
      <x:c r="A543" s="22" t="str">
        <x:v>연결교량</x:v>
      </x:c>
      <x:c r="B543" s="31" t="str">
        <x:f>"C-010304"</x:f>
        <x:v>C-010304</x:v>
      </x:c>
      <x:c r="C543" s="25" t="str">
        <x:v>010304  WATERPROOFING WORKS</x:v>
      </x:c>
      <x:c r="D543" s="25" t="str">
        <x:v>Multi-layer composite waterproofin</x:v>
      </x:c>
      <x:c r="E543" s="25" t="str">
        <x:v>WALL</x:v>
      </x:c>
      <x:c r="F543" s="22" t="str">
        <x:v>M2</x:v>
      </x:c>
      <x:c r="G543" s="28" t="n">
        <x:v>37</x:v>
      </x:c>
      <x:c r="H543" s="25" t="str">
        <x:v>4531284DDC776A4702EA22A0C0638FB350520</x:v>
      </x:c>
      <x:c r="I543" s="22" t="str">
        <x:v>직접자원단가</x:v>
      </x:c>
      <x:c r="J543" s="34" t="n">
        <x:v>4</x:v>
      </x:c>
      <x:c r="K543" s="34" t="n">
        <x:v>5</x:v>
      </x:c>
      <x:c r="L543" s="34" t="n">
        <x:v>0</x:v>
      </x:c>
      <x:c r="M543" s="34" t="n">
        <x:f>SUM(J543:L543)</x:f>
        <x:v>9</x:v>
      </x:c>
      <x:c r="N543" s="34" t="n">
        <x:f>G543*J543</x:f>
        <x:v>148</x:v>
      </x:c>
      <x:c r="O543" s="34" t="n">
        <x:f>G543*K543</x:f>
        <x:v>185</x:v>
      </x:c>
      <x:c r="P543" s="34" t="n">
        <x:f>G543*L543</x:f>
        <x:v>0</x:v>
      </x:c>
      <x:c r="Q543" s="34" t="n">
        <x:f>SUM(N543:P543)</x:f>
        <x:v>333</x:v>
      </x:c>
      <x:c r="R543" s="22" t="str">
        <x:f>IF(M543&gt;0,"복원","미복원")</x:f>
        <x:v>복원</x:v>
      </x:c>
      <x:c r="S543" s="37" t="n">
        <x:v>80</x:v>
      </x:c>
      <x:c r="T543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3" s="22" t="str">
        <x:f>A543&amp;"|"&amp;B543</x:f>
        <x:v>연결교량|C-010304</x:v>
      </x:c>
      <x:c r="V543" s="22" t="n">
        <x:f>IF(M543&gt;0,1,0)</x:f>
        <x:v>1</x:v>
      </x:c>
    </x:row>
    <x:row r="544" ht="28" customHeight="1">
      <x:c r="A544" s="22" t="str">
        <x:v>연결교량</x:v>
      </x:c>
      <x:c r="B544" s="31" t="str">
        <x:f>"C-010305"</x:f>
        <x:v>C-010305</x:v>
      </x:c>
      <x:c r="C544" s="25" t="str">
        <x:v>010305  METAL WORKS</x:v>
      </x:c>
      <x:c r="D544" s="25" t="str">
        <x:v>Suspended PVC Ceiling on M-Bar System</x:v>
      </x:c>
      <x:c r="E544" s="25" t="str"/>
      <x:c r="F544" s="22" t="str">
        <x:v>M2</x:v>
      </x:c>
      <x:c r="G544" s="28" t="n">
        <x:v>104</x:v>
      </x:c>
      <x:c r="H544" s="25" t="str">
        <x:v>4531284DDC776A4702EA22A0C0638FB350402</x:v>
      </x:c>
      <x:c r="I544" s="22" t="str">
        <x:v>직접자원단가</x:v>
      </x:c>
      <x:c r="J544" s="34" t="n">
        <x:v>69</x:v>
      </x:c>
      <x:c r="K544" s="34" t="n">
        <x:v>0</x:v>
      </x:c>
      <x:c r="L544" s="34" t="n">
        <x:v>0</x:v>
      </x:c>
      <x:c r="M544" s="34" t="n">
        <x:f>SUM(J544:L544)</x:f>
        <x:v>69</x:v>
      </x:c>
      <x:c r="N544" s="34" t="n">
        <x:f>G544*J544</x:f>
        <x:v>7176</x:v>
      </x:c>
      <x:c r="O544" s="34" t="n">
        <x:f>G544*K544</x:f>
        <x:v>0</x:v>
      </x:c>
      <x:c r="P544" s="34" t="n">
        <x:f>G544*L544</x:f>
        <x:v>0</x:v>
      </x:c>
      <x:c r="Q544" s="34" t="n">
        <x:f>SUM(N544:P544)</x:f>
        <x:v>7176</x:v>
      </x:c>
      <x:c r="R544" s="22" t="str">
        <x:f>IF(M544&gt;0,"복원","미복원")</x:f>
        <x:v>복원</x:v>
      </x:c>
      <x:c r="S544" s="37" t="n">
        <x:v>101</x:v>
      </x:c>
      <x:c r="T544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4" s="22" t="str">
        <x:f>A544&amp;"|"&amp;B544</x:f>
        <x:v>연결교량|C-010305</x:v>
      </x:c>
      <x:c r="V544" s="22" t="n">
        <x:f>IF(M544&gt;0,1,0)</x:f>
        <x:v>1</x:v>
      </x:c>
    </x:row>
    <x:row r="545" ht="28" customHeight="1">
      <x:c r="A545" s="22" t="str">
        <x:v>연결교량</x:v>
      </x:c>
      <x:c r="B545" s="31" t="str">
        <x:f>"C-010305"</x:f>
        <x:v>C-010305</x:v>
      </x:c>
      <x:c r="C545" s="25" t="str">
        <x:v>010305  METAL WORKS</x:v>
      </x:c>
      <x:c r="D545" s="25" t="str">
        <x:v>AL moulding W-type,15*15*15*15*1.0mm</x:v>
      </x:c>
      <x:c r="E545" s="25" t="str"/>
      <x:c r="F545" s="22" t="str">
        <x:v>M</x:v>
      </x:c>
      <x:c r="G545" s="28" t="n">
        <x:v>72</x:v>
      </x:c>
      <x:c r="H545" s="25" t="str">
        <x:v>4482224D7C7851A6F27977E396BAC</x:v>
      </x:c>
      <x:c r="I545" s="22" t="str">
        <x:v>복합일위대가</x:v>
      </x:c>
      <x:c r="J545" s="34" t="n">
        <x:v>20</x:v>
      </x:c>
      <x:c r="K545" s="34" t="n">
        <x:v>10</x:v>
      </x:c>
      <x:c r="L545" s="34" t="n">
        <x:v>5</x:v>
      </x:c>
      <x:c r="M545" s="34" t="n">
        <x:f>SUM(J545:L545)</x:f>
        <x:v>35</x:v>
      </x:c>
      <x:c r="N545" s="34" t="n">
        <x:f>G545*J545</x:f>
        <x:v>1440</x:v>
      </x:c>
      <x:c r="O545" s="34" t="n">
        <x:f>G545*K545</x:f>
        <x:v>720</x:v>
      </x:c>
      <x:c r="P545" s="34" t="n">
        <x:f>G545*L545</x:f>
        <x:v>360</x:v>
      </x:c>
      <x:c r="Q545" s="34" t="n">
        <x:f>SUM(N545:P545)</x:f>
        <x:v>2520</x:v>
      </x:c>
      <x:c r="R545" s="22" t="str">
        <x:f>IF(M545&gt;0,"복원","미복원")</x:f>
        <x:v>복원</x:v>
      </x:c>
      <x:c r="S545" s="37" t="n">
        <x:v>102</x:v>
      </x:c>
      <x:c r="T545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5" s="22" t="str">
        <x:f>A545&amp;"|"&amp;B545</x:f>
        <x:v>연결교량|C-010305</x:v>
      </x:c>
      <x:c r="V545" s="22" t="n">
        <x:f>IF(M545&gt;0,1,0)</x:f>
        <x:v>1</x:v>
      </x:c>
    </x:row>
    <x:row r="546" ht="28" customHeight="1">
      <x:c r="A546" s="22" t="str">
        <x:v>연결교량</x:v>
      </x:c>
      <x:c r="B546" s="31" t="str">
        <x:f>"C-010305"</x:f>
        <x:v>C-010305</x:v>
      </x:c>
      <x:c r="C546" s="25" t="str">
        <x:v>010305  METAL WORKS</x:v>
      </x:c>
      <x:c r="D546" s="25" t="str">
        <x:v>Supply and fixed of Wiremesh On Floor, #8-150*150</x:v>
      </x:c>
      <x:c r="E546" s="25" t="str"/>
      <x:c r="F546" s="22" t="str">
        <x:v>M2</x:v>
      </x:c>
      <x:c r="G546" s="28" t="n">
        <x:v>115</x:v>
      </x:c>
      <x:c r="H546" s="25" t="str">
        <x:v>4482224D7C7851A6F27977E3968D8</x:v>
      </x:c>
      <x:c r="I546" s="22" t="str">
        <x:v>복합일위대가</x:v>
      </x:c>
      <x:c r="J546" s="34" t="n">
        <x:v>60</x:v>
      </x:c>
      <x:c r="K546" s="34" t="n">
        <x:v>5</x:v>
      </x:c>
      <x:c r="L546" s="34" t="n">
        <x:v>2</x:v>
      </x:c>
      <x:c r="M546" s="34" t="n">
        <x:f>SUM(J546:L546)</x:f>
        <x:v>67</x:v>
      </x:c>
      <x:c r="N546" s="34" t="n">
        <x:f>G546*J546</x:f>
        <x:v>6900</x:v>
      </x:c>
      <x:c r="O546" s="34" t="n">
        <x:f>G546*K546</x:f>
        <x:v>575</x:v>
      </x:c>
      <x:c r="P546" s="34" t="n">
        <x:f>G546*L546</x:f>
        <x:v>230</x:v>
      </x:c>
      <x:c r="Q546" s="34" t="n">
        <x:f>SUM(N546:P546)</x:f>
        <x:v>7705</x:v>
      </x:c>
      <x:c r="R546" s="22" t="str">
        <x:f>IF(M546&gt;0,"복원","미복원")</x:f>
        <x:v>복원</x:v>
      </x:c>
      <x:c r="S546" s="37" t="n">
        <x:v>103</x:v>
      </x:c>
      <x:c r="T546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6" s="22" t="str">
        <x:f>A546&amp;"|"&amp;B546</x:f>
        <x:v>연결교량|C-010305</x:v>
      </x:c>
      <x:c r="V546" s="22" t="n">
        <x:f>IF(M546&gt;0,1,0)</x:f>
        <x:v>1</x:v>
      </x:c>
    </x:row>
    <x:row r="547" ht="28" customHeight="1">
      <x:c r="A547" s="22" t="str">
        <x:v>연결교량</x:v>
      </x:c>
      <x:c r="B547" s="31" t="str">
        <x:f>"C-010305"</x:f>
        <x:v>C-010305</x:v>
      </x:c>
      <x:c r="C547" s="25" t="str">
        <x:v>010305  METAL WORKS</x:v>
      </x:c>
      <x:c r="D547" s="25" t="str">
        <x:v>Expansion joint, On Floor</x:v>
      </x:c>
      <x:c r="E547" s="25" t="str"/>
      <x:c r="F547" s="22" t="str">
        <x:v>M</x:v>
      </x:c>
      <x:c r="G547" s="28" t="n">
        <x:v>4</x:v>
      </x:c>
      <x:c r="H547" s="25" t="str">
        <x:v>4482224D7C7851A6F27977E3969FE</x:v>
      </x:c>
      <x:c r="I547" s="22" t="str">
        <x:v>복합일위대가</x:v>
      </x:c>
      <x:c r="J547" s="34" t="n">
        <x:v>65.26</x:v>
      </x:c>
      <x:c r="K547" s="34" t="n">
        <x:v>27.74</x:v>
      </x:c>
      <x:c r="L547" s="34" t="n">
        <x:v>0</x:v>
      </x:c>
      <x:c r="M547" s="34" t="n">
        <x:f>SUM(J547:L547)</x:f>
        <x:v>93</x:v>
      </x:c>
      <x:c r="N547" s="34" t="n">
        <x:f>G547*J547</x:f>
        <x:v>261.04</x:v>
      </x:c>
      <x:c r="O547" s="34" t="n">
        <x:f>G547*K547</x:f>
        <x:v>110.96</x:v>
      </x:c>
      <x:c r="P547" s="34" t="n">
        <x:f>G547*L547</x:f>
        <x:v>0</x:v>
      </x:c>
      <x:c r="Q547" s="34" t="n">
        <x:f>SUM(N547:P547)</x:f>
        <x:v>372</x:v>
      </x:c>
      <x:c r="R547" s="22" t="str">
        <x:f>IF(M547&gt;0,"복원","미복원")</x:f>
        <x:v>복원</x:v>
      </x:c>
      <x:c r="S547" s="37" t="n">
        <x:v>104</x:v>
      </x:c>
      <x:c r="T547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7" s="22" t="str">
        <x:f>A547&amp;"|"&amp;B547</x:f>
        <x:v>연결교량|C-010305</x:v>
      </x:c>
      <x:c r="V547" s="22" t="n">
        <x:f>IF(M547&gt;0,1,0)</x:f>
        <x:v>1</x:v>
      </x:c>
    </x:row>
    <x:row r="548" ht="28" customHeight="1">
      <x:c r="A548" s="22" t="str">
        <x:v>연결교량</x:v>
      </x:c>
      <x:c r="B548" s="31" t="str">
        <x:f>"C-010305"</x:f>
        <x:v>C-010305</x:v>
      </x:c>
      <x:c r="C548" s="25" t="str">
        <x:v>010305  METAL WORKS</x:v>
      </x:c>
      <x:c r="D548" s="25" t="str">
        <x:v>Expansion joint, On Wall</x:v>
      </x:c>
      <x:c r="E548" s="25" t="str"/>
      <x:c r="F548" s="22" t="str">
        <x:v>M</x:v>
      </x:c>
      <x:c r="G548" s="28" t="n">
        <x:v>6</x:v>
      </x:c>
      <x:c r="H548" s="25" t="str">
        <x:v>4482224D7C7A0028821FB2B683454</x:v>
      </x:c>
      <x:c r="I548" s="22" t="str">
        <x:v>복합일위대가</x:v>
      </x:c>
      <x:c r="J548" s="34" t="n">
        <x:v>60</x:v>
      </x:c>
      <x:c r="K548" s="34" t="n">
        <x:v>5</x:v>
      </x:c>
      <x:c r="L548" s="34" t="n">
        <x:v>2</x:v>
      </x:c>
      <x:c r="M548" s="34" t="n">
        <x:f>SUM(J548:L548)</x:f>
        <x:v>67</x:v>
      </x:c>
      <x:c r="N548" s="34" t="n">
        <x:f>G548*J548</x:f>
        <x:v>360</x:v>
      </x:c>
      <x:c r="O548" s="34" t="n">
        <x:f>G548*K548</x:f>
        <x:v>30</x:v>
      </x:c>
      <x:c r="P548" s="34" t="n">
        <x:f>G548*L548</x:f>
        <x:v>12</x:v>
      </x:c>
      <x:c r="Q548" s="34" t="n">
        <x:f>SUM(N548:P548)</x:f>
        <x:v>402</x:v>
      </x:c>
      <x:c r="R548" s="22" t="str">
        <x:f>IF(M548&gt;0,"복원","미복원")</x:f>
        <x:v>복원</x:v>
      </x:c>
      <x:c r="S548" s="37" t="n">
        <x:v>105</x:v>
      </x:c>
      <x:c r="T548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8" s="22" t="str">
        <x:f>A548&amp;"|"&amp;B548</x:f>
        <x:v>연결교량|C-010305</x:v>
      </x:c>
      <x:c r="V548" s="22" t="n">
        <x:f>IF(M548&gt;0,1,0)</x:f>
        <x:v>1</x:v>
      </x:c>
    </x:row>
    <x:row r="549" ht="28" customHeight="1">
      <x:c r="A549" s="22" t="str">
        <x:v>연결교량</x:v>
      </x:c>
      <x:c r="B549" s="31" t="str">
        <x:f>"C-010305"</x:f>
        <x:v>C-010305</x:v>
      </x:c>
      <x:c r="C549" s="25" t="str">
        <x:v>010305  METAL WORKS</x:v>
      </x:c>
      <x:c r="D549" s="25" t="str">
        <x:v>Expansion joint, On PARAPET</x:v>
      </x:c>
      <x:c r="E549" s="25" t="str"/>
      <x:c r="F549" s="22" t="str">
        <x:v>M</x:v>
      </x:c>
      <x:c r="G549" s="28" t="n">
        <x:v>4</x:v>
      </x:c>
      <x:c r="H549" s="25" t="str">
        <x:v>4531284DDC776A4702EA22A0C0638FB350401</x:v>
      </x:c>
      <x:c r="I549" s="22" t="str">
        <x:v>직접자원단가</x:v>
      </x:c>
      <x:c r="J549" s="34" t="n">
        <x:v>3</x:v>
      </x:c>
      <x:c r="K549" s="34" t="n">
        <x:v>2.09</x:v>
      </x:c>
      <x:c r="L549" s="34" t="n">
        <x:v>0.03</x:v>
      </x:c>
      <x:c r="M549" s="34" t="n">
        <x:f>SUM(J549:L549)</x:f>
        <x:v>5.12</x:v>
      </x:c>
      <x:c r="N549" s="34" t="n">
        <x:f>G549*J549</x:f>
        <x:v>12</x:v>
      </x:c>
      <x:c r="O549" s="34" t="n">
        <x:f>G549*K549</x:f>
        <x:v>8.36</x:v>
      </x:c>
      <x:c r="P549" s="34" t="n">
        <x:f>G549*L549</x:f>
        <x:v>0.12</x:v>
      </x:c>
      <x:c r="Q549" s="34" t="n">
        <x:f>SUM(N549:P549)</x:f>
        <x:v>20.48</x:v>
      </x:c>
      <x:c r="R549" s="22" t="str">
        <x:f>IF(M549&gt;0,"복원","미복원")</x:f>
        <x:v>복원</x:v>
      </x:c>
      <x:c r="S549" s="37" t="n">
        <x:v>106</x:v>
      </x:c>
      <x:c r="T549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49" s="22" t="str">
        <x:f>A549&amp;"|"&amp;B549</x:f>
        <x:v>연결교량|C-010305</x:v>
      </x:c>
      <x:c r="V549" s="22" t="n">
        <x:f>IF(M549&gt;0,1,0)</x:f>
        <x:v>1</x:v>
      </x:c>
    </x:row>
    <x:row r="550" ht="28" customHeight="1">
      <x:c r="A550" s="22" t="str">
        <x:v>연결교량</x:v>
      </x:c>
      <x:c r="B550" s="31" t="str">
        <x:f>"C-010305"</x:f>
        <x:v>C-010305</x:v>
      </x:c>
      <x:c r="C550" s="25" t="str">
        <x:v>010305  METAL WORKS</x:v>
      </x:c>
      <x:c r="D550" s="25" t="str">
        <x:v>Expansion joint, On CEILING</x:v>
      </x:c>
      <x:c r="E550" s="25" t="str"/>
      <x:c r="F550" s="22" t="str">
        <x:v>M</x:v>
      </x:c>
      <x:c r="G550" s="28" t="n">
        <x:v>4</x:v>
      </x:c>
      <x:c r="H550" s="25" t="str">
        <x:v>4482204849760A9E127F495A4C95F</x:v>
      </x:c>
      <x:c r="I550" s="22" t="str">
        <x:v>복합일위대가</x:v>
      </x:c>
      <x:c r="J550" s="34" t="n">
        <x:v>47.44</x:v>
      </x:c>
      <x:c r="K550" s="34" t="n">
        <x:v>34.64</x:v>
      </x:c>
      <x:c r="L550" s="34" t="n">
        <x:v>0.68</x:v>
      </x:c>
      <x:c r="M550" s="34" t="n">
        <x:f>SUM(J550:L550)</x:f>
        <x:v>82.76</x:v>
      </x:c>
      <x:c r="N550" s="34" t="n">
        <x:f>G550*J550</x:f>
        <x:v>189.76</x:v>
      </x:c>
      <x:c r="O550" s="34" t="n">
        <x:f>G550*K550</x:f>
        <x:v>138.56</x:v>
      </x:c>
      <x:c r="P550" s="34" t="n">
        <x:f>G550*L550</x:f>
        <x:v>2.72</x:v>
      </x:c>
      <x:c r="Q550" s="34" t="n">
        <x:f>SUM(N550:P550)</x:f>
        <x:v>331.04</x:v>
      </x:c>
      <x:c r="R550" s="22" t="str">
        <x:f>IF(M550&gt;0,"복원","미복원")</x:f>
        <x:v>복원</x:v>
      </x:c>
      <x:c r="S550" s="37" t="n">
        <x:v>107</x:v>
      </x:c>
      <x:c r="T550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0" s="22" t="str">
        <x:f>A550&amp;"|"&amp;B550</x:f>
        <x:v>연결교량|C-010305</x:v>
      </x:c>
      <x:c r="V550" s="22" t="n">
        <x:f>IF(M550&gt;0,1,0)</x:f>
        <x:v>1</x:v>
      </x:c>
    </x:row>
    <x:row r="551" ht="28" customHeight="1">
      <x:c r="A551" s="22" t="str">
        <x:v>연결교량</x:v>
      </x:c>
      <x:c r="B551" s="31" t="str">
        <x:f>"C-010306"</x:f>
        <x:v>C-010306</x:v>
      </x:c>
      <x:c r="C551" s="25" t="str">
        <x:v>010306  PLASTER WORKS</x:v>
      </x:c>
      <x:c r="D551" s="25" t="str">
        <x:v>Mortar, W/Plastering 20mm thick on concrete walls</x:v>
      </x:c>
      <x:c r="E551" s="25" t="str"/>
      <x:c r="F551" s="22" t="str">
        <x:v>M2</x:v>
      </x:c>
      <x:c r="G551" s="28" t="n">
        <x:v>124</x:v>
      </x:c>
      <x:c r="H551" s="25" t="str">
        <x:v>4482224D47745562E22E70D7BC09A</x:v>
      </x:c>
      <x:c r="I551" s="22" t="str">
        <x:v>복합일위대가</x:v>
      </x:c>
      <x:c r="J551" s="34" t="n">
        <x:v>2</x:v>
      </x:c>
      <x:c r="K551" s="34" t="n">
        <x:v>3</x:v>
      </x:c>
      <x:c r="L551" s="34" t="n">
        <x:v>0</x:v>
      </x:c>
      <x:c r="M551" s="34" t="n">
        <x:f>SUM(J551:L551)</x:f>
        <x:v>5</x:v>
      </x:c>
      <x:c r="N551" s="34" t="n">
        <x:f>G551*J551</x:f>
        <x:v>248</x:v>
      </x:c>
      <x:c r="O551" s="34" t="n">
        <x:f>G551*K551</x:f>
        <x:v>372</x:v>
      </x:c>
      <x:c r="P551" s="34" t="n">
        <x:f>G551*L551</x:f>
        <x:v>0</x:v>
      </x:c>
      <x:c r="Q551" s="34" t="n">
        <x:f>SUM(N551:P551)</x:f>
        <x:v>620</x:v>
      </x:c>
      <x:c r="R551" s="22" t="str">
        <x:f>IF(M551&gt;0,"복원","미복원")</x:f>
        <x:v>복원</x:v>
      </x:c>
      <x:c r="S551" s="37" t="n">
        <x:v>125</x:v>
      </x:c>
      <x:c r="T551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1" s="22" t="str">
        <x:f>A551&amp;"|"&amp;B551</x:f>
        <x:v>연결교량|C-010306</x:v>
      </x:c>
      <x:c r="V551" s="22" t="n">
        <x:f>IF(M551&gt;0,1,0)</x:f>
        <x:v>1</x:v>
      </x:c>
    </x:row>
    <x:row r="552" ht="28" customHeight="1">
      <x:c r="A552" s="22" t="str">
        <x:v>연결교량</x:v>
      </x:c>
      <x:c r="B552" s="31" t="str">
        <x:f>"C-010306"</x:f>
        <x:v>C-010306</x:v>
      </x:c>
      <x:c r="C552" s="25" t="str">
        <x:v>010306  PLASTER WORKS</x:v>
      </x:c>
      <x:c r="D552" s="25" t="str">
        <x:v>CONCRETE SURFACE TREATMENT</x:v>
      </x:c>
      <x:c r="E552" s="25" t="str">
        <x:v>WALL</x:v>
      </x:c>
      <x:c r="F552" s="22" t="str">
        <x:v>M2</x:v>
      </x:c>
      <x:c r="G552" s="28" t="n">
        <x:v>37</x:v>
      </x:c>
      <x:c r="H552" s="25" t="str">
        <x:v>4531284DDC776A4702EA22A0C0638FB350406</x:v>
      </x:c>
      <x:c r="I552" s="22" t="str">
        <x:v>직접자원단가</x:v>
      </x:c>
      <x:c r="J552" s="34" t="n">
        <x:v>1.65</x:v>
      </x:c>
      <x:c r="K552" s="34" t="n">
        <x:v>3</x:v>
      </x:c>
      <x:c r="L552" s="34" t="n">
        <x:v>0</x:v>
      </x:c>
      <x:c r="M552" s="34" t="n">
        <x:f>SUM(J552:L552)</x:f>
        <x:v>4.65</x:v>
      </x:c>
      <x:c r="N552" s="34" t="n">
        <x:f>G552*J552</x:f>
        <x:v>61.05</x:v>
      </x:c>
      <x:c r="O552" s="34" t="n">
        <x:f>G552*K552</x:f>
        <x:v>111</x:v>
      </x:c>
      <x:c r="P552" s="34" t="n">
        <x:f>G552*L552</x:f>
        <x:v>0</x:v>
      </x:c>
      <x:c r="Q552" s="34" t="n">
        <x:f>SUM(N552:P552)</x:f>
        <x:v>172.05</x:v>
      </x:c>
      <x:c r="R552" s="22" t="str">
        <x:f>IF(M552&gt;0,"복원","미복원")</x:f>
        <x:v>복원</x:v>
      </x:c>
      <x:c r="S552" s="37" t="n">
        <x:v>126</x:v>
      </x:c>
      <x:c r="T552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2" s="22" t="str">
        <x:f>A552&amp;"|"&amp;B552</x:f>
        <x:v>연결교량|C-010306</x:v>
      </x:c>
      <x:c r="V552" s="22" t="n">
        <x:f>IF(M552&gt;0,1,0)</x:f>
        <x:v>1</x:v>
      </x:c>
    </x:row>
    <x:row r="553" ht="28" customHeight="1">
      <x:c r="A553" s="22" t="str">
        <x:v>연결교량</x:v>
      </x:c>
      <x:c r="B553" s="31" t="str">
        <x:f>"C-010306"</x:f>
        <x:v>C-010306</x:v>
      </x:c>
      <x:c r="C553" s="25" t="str">
        <x:v>010306  PLASTER WORKS</x:v>
      </x:c>
      <x:c r="D553" s="25" t="str">
        <x:v>Steel Troweled</x:v>
      </x:c>
      <x:c r="E553" s="25" t="str">
        <x:v>Floor</x:v>
      </x:c>
      <x:c r="F553" s="22" t="str">
        <x:v>M2</x:v>
      </x:c>
      <x:c r="G553" s="28" t="n">
        <x:v>230</x:v>
      </x:c>
      <x:c r="H553" s="25" t="str">
        <x:v>4531284DDC776A4702EA22A0C0638FB350407</x:v>
      </x:c>
      <x:c r="I553" s="22" t="str">
        <x:v>직접자원단가</x:v>
      </x:c>
      <x:c r="J553" s="34" t="n">
        <x:v>2.71</x:v>
      </x:c>
      <x:c r="K553" s="34" t="n">
        <x:v>3</x:v>
      </x:c>
      <x:c r="L553" s="34" t="n">
        <x:v>0</x:v>
      </x:c>
      <x:c r="M553" s="34" t="n">
        <x:f>SUM(J553:L553)</x:f>
        <x:v>5.71</x:v>
      </x:c>
      <x:c r="N553" s="34" t="n">
        <x:f>G553*J553</x:f>
        <x:v>623.3</x:v>
      </x:c>
      <x:c r="O553" s="34" t="n">
        <x:f>G553*K553</x:f>
        <x:v>690</x:v>
      </x:c>
      <x:c r="P553" s="34" t="n">
        <x:f>G553*L553</x:f>
        <x:v>0</x:v>
      </x:c>
      <x:c r="Q553" s="34" t="n">
        <x:f>SUM(N553:P553)</x:f>
        <x:v>1313.3</x:v>
      </x:c>
      <x:c r="R553" s="22" t="str">
        <x:f>IF(M553&gt;0,"복원","미복원")</x:f>
        <x:v>복원</x:v>
      </x:c>
      <x:c r="S553" s="37" t="n">
        <x:v>127</x:v>
      </x:c>
      <x:c r="T553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3" s="22" t="str">
        <x:f>A553&amp;"|"&amp;B553</x:f>
        <x:v>연결교량|C-010306</x:v>
      </x:c>
      <x:c r="V553" s="22" t="n">
        <x:f>IF(M553&gt;0,1,0)</x:f>
        <x:v>1</x:v>
      </x:c>
    </x:row>
    <x:row r="554" ht="28" customHeight="1">
      <x:c r="A554" s="22" t="str">
        <x:v>연결교량</x:v>
      </x:c>
      <x:c r="B554" s="31" t="str">
        <x:f>"C-010306"</x:f>
        <x:v>C-010306</x:v>
      </x:c>
      <x:c r="C554" s="25" t="str">
        <x:v>010306  PLASTER WORKS</x:v>
      </x:c>
      <x:c r="D554" s="25" t="str">
        <x:v>Mortar Infill</x:v>
      </x:c>
      <x:c r="E554" s="25" t="str">
        <x:v>Around The door &amp; window</x:v>
      </x:c>
      <x:c r="F554" s="22" t="str">
        <x:v>M</x:v>
      </x:c>
      <x:c r="G554" s="28" t="n">
        <x:v>42</x:v>
      </x:c>
      <x:c r="H554" s="25" t="str">
        <x:v>4531284DDC776A4702EA22A0C0638FB350404</x:v>
      </x:c>
      <x:c r="I554" s="22" t="str">
        <x:v>직접자원단가</x:v>
      </x:c>
      <x:c r="J554" s="34" t="n">
        <x:v>3.37</x:v>
      </x:c>
      <x:c r="K554" s="34" t="n">
        <x:v>3</x:v>
      </x:c>
      <x:c r="L554" s="34" t="n">
        <x:v>0</x:v>
      </x:c>
      <x:c r="M554" s="34" t="n">
        <x:f>SUM(J554:L554)</x:f>
        <x:v>6.37</x:v>
      </x:c>
      <x:c r="N554" s="34" t="n">
        <x:f>G554*J554</x:f>
        <x:v>141.54</x:v>
      </x:c>
      <x:c r="O554" s="34" t="n">
        <x:f>G554*K554</x:f>
        <x:v>126</x:v>
      </x:c>
      <x:c r="P554" s="34" t="n">
        <x:f>G554*L554</x:f>
        <x:v>0</x:v>
      </x:c>
      <x:c r="Q554" s="34" t="n">
        <x:f>SUM(N554:P554)</x:f>
        <x:v>267.53999999999996</x:v>
      </x:c>
      <x:c r="R554" s="22" t="str">
        <x:f>IF(M554&gt;0,"복원","미복원")</x:f>
        <x:v>복원</x:v>
      </x:c>
      <x:c r="S554" s="37" t="n">
        <x:v>128</x:v>
      </x:c>
      <x:c r="T554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4" s="22" t="str">
        <x:f>A554&amp;"|"&amp;B554</x:f>
        <x:v>연결교량|C-010306</x:v>
      </x:c>
      <x:c r="V554" s="22" t="n">
        <x:f>IF(M554&gt;0,1,0)</x:f>
        <x:v>1</x:v>
      </x:c>
    </x:row>
    <x:row r="555" ht="28" customHeight="1">
      <x:c r="A555" s="22" t="str">
        <x:v>연결교량</x:v>
      </x:c>
      <x:c r="B555" s="31" t="str">
        <x:f>"C-010306"</x:f>
        <x:v>C-010306</x:v>
      </x:c>
      <x:c r="C555" s="25" t="str">
        <x:v>010306  PLASTER WORKS</x:v>
      </x:c>
      <x:c r="D555" s="25" t="str">
        <x:v>Urethane Foam Filling</x:v>
      </x:c>
      <x:c r="E555" s="25" t="str">
        <x:v>Around The door &amp; window</x:v>
      </x:c>
      <x:c r="F555" s="22" t="str">
        <x:v>M</x:v>
      </x:c>
      <x:c r="G555" s="28" t="n">
        <x:v>109</x:v>
      </x:c>
      <x:c r="H555" s="25" t="str">
        <x:v>4531284DDC776A4702EA22A0C0638FB350405</x:v>
      </x:c>
      <x:c r="I555" s="22" t="str">
        <x:v>직접자원단가</x:v>
      </x:c>
      <x:c r="J555" s="34" t="n">
        <x:v>1.52</x:v>
      </x:c>
      <x:c r="K555" s="34" t="n">
        <x:v>3</x:v>
      </x:c>
      <x:c r="L555" s="34" t="n">
        <x:v>0</x:v>
      </x:c>
      <x:c r="M555" s="34" t="n">
        <x:f>SUM(J555:L555)</x:f>
        <x:v>4.52</x:v>
      </x:c>
      <x:c r="N555" s="34" t="n">
        <x:f>G555*J555</x:f>
        <x:v>165.68</x:v>
      </x:c>
      <x:c r="O555" s="34" t="n">
        <x:f>G555*K555</x:f>
        <x:v>327</x:v>
      </x:c>
      <x:c r="P555" s="34" t="n">
        <x:f>G555*L555</x:f>
        <x:v>0</x:v>
      </x:c>
      <x:c r="Q555" s="34" t="n">
        <x:f>SUM(N555:P555)</x:f>
        <x:v>492.68</x:v>
      </x:c>
      <x:c r="R555" s="22" t="str">
        <x:f>IF(M555&gt;0,"복원","미복원")</x:f>
        <x:v>복원</x:v>
      </x:c>
      <x:c r="S555" s="37" t="n">
        <x:v>129</x:v>
      </x:c>
      <x:c r="T555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5" s="22" t="str">
        <x:f>A555&amp;"|"&amp;B555</x:f>
        <x:v>연결교량|C-010306</x:v>
      </x:c>
      <x:c r="V555" s="22" t="n">
        <x:f>IF(M555&gt;0,1,0)</x:f>
        <x:v>1</x:v>
      </x:c>
    </x:row>
    <x:row r="556" ht="28" customHeight="1">
      <x:c r="A556" s="22" t="str">
        <x:v>연결교량</x:v>
      </x:c>
      <x:c r="B556" s="31" t="str">
        <x:f>"C-010307"</x:f>
        <x:v>C-010307</x:v>
      </x:c>
      <x:c r="C556" s="25" t="str">
        <x:v>010307  DOORS &amp; WINDOWS WORKS-1</x:v>
      </x:c>
      <x:c r="D556" s="25" t="str">
        <x:v>AW19/01. HOSPITAL/60*150 AL</x:v>
      </x:c>
      <x:c r="E556" s="25" t="str">
        <x:v>3.200 x 2.400 = 7.680</x:v>
      </x:c>
      <x:c r="F556" s="22" t="str">
        <x:v>EA</x:v>
      </x:c>
      <x:c r="G556" s="28" t="n">
        <x:v>4</x:v>
      </x:c>
      <x:c r="H556" s="25" t="str">
        <x:v>43AE2142BE750E32422BE6D9DD3406C76FA01</x:v>
      </x:c>
      <x:c r="I556" s="22" t="str">
        <x:v>직접자원단가</x:v>
      </x:c>
      <x:c r="J556" s="34" t="n">
        <x:v>5</x:v>
      </x:c>
      <x:c r="K556" s="34" t="n">
        <x:v>0</x:v>
      </x:c>
      <x:c r="L556" s="34" t="n">
        <x:v>0</x:v>
      </x:c>
      <x:c r="M556" s="34" t="n">
        <x:f>SUM(J556:L556)</x:f>
        <x:v>5</x:v>
      </x:c>
      <x:c r="N556" s="34" t="n">
        <x:f>G556*J556</x:f>
        <x:v>20</x:v>
      </x:c>
      <x:c r="O556" s="34" t="n">
        <x:f>G556*K556</x:f>
        <x:v>0</x:v>
      </x:c>
      <x:c r="P556" s="34" t="n">
        <x:f>G556*L556</x:f>
        <x:v>0</x:v>
      </x:c>
      <x:c r="Q556" s="34" t="n">
        <x:f>SUM(N556:P556)</x:f>
        <x:v>20</x:v>
      </x:c>
      <x:c r="R556" s="22" t="str">
        <x:f>IF(M556&gt;0,"복원","미복원")</x:f>
        <x:v>복원</x:v>
      </x:c>
      <x:c r="S556" s="37" t="n">
        <x:v>149</x:v>
      </x:c>
      <x:c r="T556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6" s="22" t="str">
        <x:f>A556&amp;"|"&amp;B556</x:f>
        <x:v>연결교량|C-010307</x:v>
      </x:c>
      <x:c r="V556" s="22" t="n">
        <x:f>IF(M556&gt;0,1,0)</x:f>
        <x:v>1</x:v>
      </x:c>
    </x:row>
    <x:row r="557" ht="28" customHeight="1">
      <x:c r="A557" s="22" t="str">
        <x:v>연결교량</x:v>
      </x:c>
      <x:c r="B557" s="31" t="str">
        <x:f>"C-010307"</x:f>
        <x:v>C-010307</x:v>
      </x:c>
      <x:c r="C557" s="25" t="str">
        <x:v>010307  DOORS &amp; WINDOWS WORKS-1</x:v>
      </x:c>
      <x:c r="D557" s="25" t="str">
        <x:v>AW19A/01. HOSPITAL/60*150 AL</x:v>
      </x:c>
      <x:c r="E557" s="25" t="str">
        <x:v>3.200 x 2.400 = 7.680</x:v>
      </x:c>
      <x:c r="F557" s="22" t="str">
        <x:v>EA</x:v>
      </x:c>
      <x:c r="G557" s="28" t="n">
        <x:v>2</x:v>
      </x:c>
      <x:c r="H557" s="25" t="str">
        <x:v>4531284DDC776A4702EA22A0C0638FB35040A</x:v>
      </x:c>
      <x:c r="I557" s="22" t="str">
        <x:v>직접자원단가</x:v>
      </x:c>
      <x:c r="J557" s="34" t="n">
        <x:v>110</x:v>
      </x:c>
      <x:c r="K557" s="34" t="n">
        <x:v>20</x:v>
      </x:c>
      <x:c r="L557" s="34" t="n">
        <x:v>0</x:v>
      </x:c>
      <x:c r="M557" s="34" t="n">
        <x:f>SUM(J557:L557)</x:f>
        <x:v>130</x:v>
      </x:c>
      <x:c r="N557" s="34" t="n">
        <x:f>G557*J557</x:f>
        <x:v>220</x:v>
      </x:c>
      <x:c r="O557" s="34" t="n">
        <x:f>G557*K557</x:f>
        <x:v>40</x:v>
      </x:c>
      <x:c r="P557" s="34" t="n">
        <x:f>G557*L557</x:f>
        <x:v>0</x:v>
      </x:c>
      <x:c r="Q557" s="34" t="n">
        <x:f>SUM(N557:P557)</x:f>
        <x:v>260</x:v>
      </x:c>
      <x:c r="R557" s="22" t="str">
        <x:f>IF(M557&gt;0,"복원","미복원")</x:f>
        <x:v>복원</x:v>
      </x:c>
      <x:c r="S557" s="37" t="n">
        <x:v>150</x:v>
      </x:c>
      <x:c r="T557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7" s="22" t="str">
        <x:f>A557&amp;"|"&amp;B557</x:f>
        <x:v>연결교량|C-010307</x:v>
      </x:c>
      <x:c r="V557" s="22" t="n">
        <x:f>IF(M557&gt;0,1,0)</x:f>
        <x:v>1</x:v>
      </x:c>
    </x:row>
    <x:row r="558" ht="28" customHeight="1">
      <x:c r="A558" s="22" t="str">
        <x:v>연결교량</x:v>
      </x:c>
      <x:c r="B558" s="31" t="str">
        <x:f>"C-010307"</x:f>
        <x:v>C-010307</x:v>
      </x:c>
      <x:c r="C558" s="25" t="str">
        <x:v>010307  DOORS &amp; WINDOWS WORKS-1</x:v>
      </x:c>
      <x:c r="D558" s="25" t="str">
        <x:v>AW19B/01. HOSPITAL/60*150 AL</x:v>
      </x:c>
      <x:c r="E558" s="25" t="str">
        <x:v>3.200 x 2.400 = 7.680</x:v>
      </x:c>
      <x:c r="F558" s="22" t="str">
        <x:v>EA</x:v>
      </x:c>
      <x:c r="G558" s="28" t="n">
        <x:v>6</x:v>
      </x:c>
      <x:c r="H558" s="25" t="str">
        <x:v>4531284DDC776A4702EA22A0C0638FB35040B</x:v>
      </x:c>
      <x:c r="I558" s="22" t="str">
        <x:v>직접자원단가</x:v>
      </x:c>
      <x:c r="J558" s="34" t="n">
        <x:v>130</x:v>
      </x:c>
      <x:c r="K558" s="34" t="n">
        <x:v>0</x:v>
      </x:c>
      <x:c r="L558" s="34" t="n">
        <x:v>0</x:v>
      </x:c>
      <x:c r="M558" s="34" t="n">
        <x:f>SUM(J558:L558)</x:f>
        <x:v>130</x:v>
      </x:c>
      <x:c r="N558" s="34" t="n">
        <x:f>G558*J558</x:f>
        <x:v>780</x:v>
      </x:c>
      <x:c r="O558" s="34" t="n">
        <x:f>G558*K558</x:f>
        <x:v>0</x:v>
      </x:c>
      <x:c r="P558" s="34" t="n">
        <x:f>G558*L558</x:f>
        <x:v>0</x:v>
      </x:c>
      <x:c r="Q558" s="34" t="n">
        <x:f>SUM(N558:P558)</x:f>
        <x:v>780</x:v>
      </x:c>
      <x:c r="R558" s="22" t="str">
        <x:f>IF(M558&gt;0,"복원","미복원")</x:f>
        <x:v>복원</x:v>
      </x:c>
      <x:c r="S558" s="37" t="n">
        <x:v>151</x:v>
      </x:c>
      <x:c r="T558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8" s="22" t="str">
        <x:f>A558&amp;"|"&amp;B558</x:f>
        <x:v>연결교량|C-010307</x:v>
      </x:c>
      <x:c r="V558" s="22" t="n">
        <x:f>IF(M558&gt;0,1,0)</x:f>
        <x:v>1</x:v>
      </x:c>
    </x:row>
    <x:row r="559" ht="28" customHeight="1">
      <x:c r="A559" s="22" t="str">
        <x:v>연결교량</x:v>
      </x:c>
      <x:c r="B559" s="31" t="str">
        <x:f>"C-010307"</x:f>
        <x:v>C-010307</x:v>
      </x:c>
      <x:c r="C559" s="25" t="str">
        <x:v>010307  DOORS &amp; WINDOWS WORKS-1</x:v>
      </x:c>
      <x:c r="D559" s="25" t="str">
        <x:v>FSD02/01. HOSPITAL/STL DOUBLE DOOR</x:v>
      </x:c>
      <x:c r="E559" s="25" t="str">
        <x:v>1.800 x 2.200 = 3.960</x:v>
      </x:c>
      <x:c r="F559" s="22" t="str">
        <x:v>EA</x:v>
      </x:c>
      <x:c r="G559" s="28" t="n">
        <x:v>2</x:v>
      </x:c>
      <x:c r="H559" s="25" t="str">
        <x:v>4531284DDC776A4702EA22A0C0638FB3507D6</x:v>
      </x:c>
      <x:c r="I559" s="22" t="str">
        <x:v>직접자원단가</x:v>
      </x:c>
      <x:c r="J559" s="34" t="n">
        <x:v>15</x:v>
      </x:c>
      <x:c r="K559" s="34" t="n">
        <x:v>2.04</x:v>
      </x:c>
      <x:c r="L559" s="34" t="n">
        <x:v>0</x:v>
      </x:c>
      <x:c r="M559" s="34" t="n">
        <x:f>SUM(J559:L559)</x:f>
        <x:v>17.04</x:v>
      </x:c>
      <x:c r="N559" s="34" t="n">
        <x:f>G559*J559</x:f>
        <x:v>30</x:v>
      </x:c>
      <x:c r="O559" s="34" t="n">
        <x:f>G559*K559</x:f>
        <x:v>4.08</x:v>
      </x:c>
      <x:c r="P559" s="34" t="n">
        <x:f>G559*L559</x:f>
        <x:v>0</x:v>
      </x:c>
      <x:c r="Q559" s="34" t="n">
        <x:f>SUM(N559:P559)</x:f>
        <x:v>34.08</x:v>
      </x:c>
      <x:c r="R559" s="22" t="str">
        <x:f>IF(M559&gt;0,"복원","미복원")</x:f>
        <x:v>복원</x:v>
      </x:c>
      <x:c r="S559" s="37" t="n">
        <x:v>152</x:v>
      </x:c>
      <x:c r="T559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59" s="22" t="str">
        <x:f>A559&amp;"|"&amp;B559</x:f>
        <x:v>연결교량|C-010307</x:v>
      </x:c>
      <x:c r="V559" s="22" t="n">
        <x:f>IF(M559&gt;0,1,0)</x:f>
        <x:v>1</x:v>
      </x:c>
    </x:row>
    <x:row r="560" ht="28" customHeight="1">
      <x:c r="A560" s="22" t="str">
        <x:v>연결교량</x:v>
      </x:c>
      <x:c r="B560" s="31" t="str">
        <x:f>"C-010308"</x:f>
        <x:v>C-010308</x:v>
      </x:c>
      <x:c r="C560" s="25" t="str">
        <x:v>010308  GLASS WORKS</x:v>
      </x:c>
      <x:c r="D560" s="25" t="str">
        <x:v>Double Glazing</x:v>
      </x:c>
      <x:c r="E560" s="25" t="str">
        <x:v>Double glazing, Transparent, 24 mm</x:v>
      </x:c>
      <x:c r="F560" s="22" t="str">
        <x:v>M2</x:v>
      </x:c>
      <x:c r="G560" s="28" t="n">
        <x:v>93</x:v>
      </x:c>
      <x:c r="H560" s="25" t="str">
        <x:v>4531284DDC776A4702EA22A0C0638FB347F74</x:v>
      </x:c>
      <x:c r="I560" s="22" t="str">
        <x:v>직접자원단가</x:v>
      </x:c>
      <x:c r="J560" s="34" t="n">
        <x:v>40</x:v>
      </x:c>
      <x:c r="K560" s="34" t="n">
        <x:v>10</x:v>
      </x:c>
      <x:c r="L560" s="34" t="n">
        <x:v>0.19</x:v>
      </x:c>
      <x:c r="M560" s="34" t="n">
        <x:f>SUM(J560:L560)</x:f>
        <x:v>50.19</x:v>
      </x:c>
      <x:c r="N560" s="34" t="n">
        <x:f>G560*J560</x:f>
        <x:v>3720</x:v>
      </x:c>
      <x:c r="O560" s="34" t="n">
        <x:f>G560*K560</x:f>
        <x:v>930</x:v>
      </x:c>
      <x:c r="P560" s="34" t="n">
        <x:f>G560*L560</x:f>
        <x:v>17.67</x:v>
      </x:c>
      <x:c r="Q560" s="34" t="n">
        <x:f>SUM(N560:P560)</x:f>
        <x:v>4667.67</x:v>
      </x:c>
      <x:c r="R560" s="22" t="str">
        <x:f>IF(M560&gt;0,"복원","미복원")</x:f>
        <x:v>복원</x:v>
      </x:c>
      <x:c r="S560" s="37" t="n">
        <x:v>173</x:v>
      </x:c>
      <x:c r="T560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0" s="22" t="str">
        <x:f>A560&amp;"|"&amp;B560</x:f>
        <x:v>연결교량|C-010308</x:v>
      </x:c>
      <x:c r="V560" s="22" t="n">
        <x:f>IF(M560&gt;0,1,0)</x:f>
        <x:v>1</x:v>
      </x:c>
    </x:row>
    <x:row r="561" ht="28" customHeight="1">
      <x:c r="A561" s="22" t="str">
        <x:v>연결교량</x:v>
      </x:c>
      <x:c r="B561" s="31" t="str">
        <x:f>"C-010308"</x:f>
        <x:v>C-010308</x:v>
      </x:c>
      <x:c r="C561" s="25" t="str">
        <x:v>010308  GLASS WORKS</x:v>
      </x:c>
      <x:c r="D561" s="25" t="str">
        <x:v>Window Glass Installation / Double Glazing</x:v>
      </x:c>
      <x:c r="E561" s="25" t="str">
        <x:v>Glass thickness less than 24mm</x:v>
      </x:c>
      <x:c r="F561" s="22" t="str">
        <x:v>M2</x:v>
      </x:c>
      <x:c r="G561" s="28" t="n">
        <x:v>93</x:v>
      </x:c>
      <x:c r="H561" s="25" t="str">
        <x:v>4482204849760A9E127F4949DD94E</x:v>
      </x:c>
      <x:c r="I561" s="22" t="str">
        <x:v>복합일위대가</x:v>
      </x:c>
      <x:c r="J561" s="34" t="n">
        <x:v>9</x:v>
      </x:c>
      <x:c r="K561" s="34" t="n">
        <x:v>0</x:v>
      </x:c>
      <x:c r="L561" s="34" t="n">
        <x:v>0</x:v>
      </x:c>
      <x:c r="M561" s="34" t="n">
        <x:f>SUM(J561:L561)</x:f>
        <x:v>9</x:v>
      </x:c>
      <x:c r="N561" s="34" t="n">
        <x:f>G561*J561</x:f>
        <x:v>837</x:v>
      </x:c>
      <x:c r="O561" s="34" t="n">
        <x:f>G561*K561</x:f>
        <x:v>0</x:v>
      </x:c>
      <x:c r="P561" s="34" t="n">
        <x:f>G561*L561</x:f>
        <x:v>0</x:v>
      </x:c>
      <x:c r="Q561" s="34" t="n">
        <x:f>SUM(N561:P561)</x:f>
        <x:v>837</x:v>
      </x:c>
      <x:c r="R561" s="22" t="str">
        <x:f>IF(M561&gt;0,"복원","미복원")</x:f>
        <x:v>복원</x:v>
      </x:c>
      <x:c r="S561" s="37" t="n">
        <x:v>174</x:v>
      </x:c>
      <x:c r="T561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1" s="22" t="str">
        <x:f>A561&amp;"|"&amp;B561</x:f>
        <x:v>연결교량|C-010308</x:v>
      </x:c>
      <x:c r="V561" s="22" t="n">
        <x:f>IF(M561&gt;0,1,0)</x:f>
        <x:v>1</x:v>
      </x:c>
    </x:row>
    <x:row r="562" ht="28" customHeight="1">
      <x:c r="A562" s="22" t="str">
        <x:v>연결교량</x:v>
      </x:c>
      <x:c r="B562" s="31" t="str">
        <x:f>"C-010308"</x:f>
        <x:v>C-010308</x:v>
      </x:c>
      <x:c r="C562" s="25" t="str">
        <x:v>010308  GLASS WORKS</x:v>
      </x:c>
      <x:c r="D562" s="25" t="str">
        <x:v>Caulking around double glazing</x:v>
      </x:c>
      <x:c r="E562" s="25" t="str">
        <x:v>5*5, silicone</x:v>
      </x:c>
      <x:c r="F562" s="22" t="str">
        <x:v>M</x:v>
      </x:c>
      <x:c r="G562" s="28" t="n">
        <x:v>726</x:v>
      </x:c>
      <x:c r="H562" s="25" t="str">
        <x:v>4482204849760A9E127F4949C332C</x:v>
      </x:c>
      <x:c r="I562" s="22" t="str">
        <x:v>복합일위대가</x:v>
      </x:c>
      <x:c r="J562" s="34" t="n">
        <x:v>33.36</x:v>
      </x:c>
      <x:c r="K562" s="34" t="n">
        <x:v>0</x:v>
      </x:c>
      <x:c r="L562" s="34" t="n">
        <x:v>0</x:v>
      </x:c>
      <x:c r="M562" s="34" t="n">
        <x:f>SUM(J562:L562)</x:f>
        <x:v>33.36</x:v>
      </x:c>
      <x:c r="N562" s="34" t="n">
        <x:f>G562*J562</x:f>
        <x:v>24219.36</x:v>
      </x:c>
      <x:c r="O562" s="34" t="n">
        <x:f>G562*K562</x:f>
        <x:v>0</x:v>
      </x:c>
      <x:c r="P562" s="34" t="n">
        <x:f>G562*L562</x:f>
        <x:v>0</x:v>
      </x:c>
      <x:c r="Q562" s="34" t="n">
        <x:f>SUM(N562:P562)</x:f>
        <x:v>24219.36</x:v>
      </x:c>
      <x:c r="R562" s="22" t="str">
        <x:f>IF(M562&gt;0,"복원","미복원")</x:f>
        <x:v>복원</x:v>
      </x:c>
      <x:c r="S562" s="37" t="n">
        <x:v>175</x:v>
      </x:c>
      <x:c r="T562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2" s="22" t="str">
        <x:f>A562&amp;"|"&amp;B562</x:f>
        <x:v>연결교량|C-010308</x:v>
      </x:c>
      <x:c r="V562" s="22" t="n">
        <x:f>IF(M562&gt;0,1,0)</x:f>
        <x:v>1</x:v>
      </x:c>
    </x:row>
    <x:row r="563" ht="28" customHeight="1">
      <x:c r="A563" s="22" t="str">
        <x:v>연결교량</x:v>
      </x:c>
      <x:c r="B563" s="31" t="str">
        <x:f>"C-010309"</x:f>
        <x:v>C-010309</x:v>
      </x:c>
      <x:c r="C563" s="25" t="str">
        <x:v>010309  PAINTERS WORKS</x:v>
      </x:c>
      <x:c r="D563" s="25" t="str">
        <x:v>Rust Resisting Paint</x:v>
      </x:c>
      <x:c r="E563" s="25" t="str">
        <x:v>Steel Frame Face</x:v>
      </x:c>
      <x:c r="F563" s="22" t="str">
        <x:v>M2</x:v>
      </x:c>
      <x:c r="G563" s="28" t="n">
        <x:v>4</x:v>
      </x:c>
      <x:c r="H563" s="25" t="str">
        <x:v>4530234CF57486DF6239DCFA4C4</x:v>
      </x:c>
      <x:c r="I563" s="22" t="str">
        <x:v>직접자원단가</x:v>
      </x:c>
      <x:c r="J563" s="34" t="n">
        <x:v>4887.802710508777</x:v>
      </x:c>
      <x:c r="K563" s="34" t="n">
        <x:v>602.8290009627491</x:v>
      </x:c>
      <x:c r="L563" s="34" t="n">
        <x:v>325.85351403391843</x:v>
      </x:c>
      <x:c r="M563" s="34" t="n">
        <x:f>SUM(J563:L563)</x:f>
        <x:v>5816.485225505444</x:v>
      </x:c>
      <x:c r="N563" s="34" t="n">
        <x:f>G563*J563</x:f>
        <x:v>19551.210842035107</x:v>
      </x:c>
      <x:c r="O563" s="34" t="n">
        <x:f>G563*K563</x:f>
        <x:v>2411.3160038509964</x:v>
      </x:c>
      <x:c r="P563" s="34" t="n">
        <x:f>G563*L563</x:f>
        <x:v>1303.4140561356737</x:v>
      </x:c>
      <x:c r="Q563" s="34" t="n">
        <x:f>SUM(N563:P563)</x:f>
        <x:v>23265.940902021775</x:v>
      </x:c>
      <x:c r="R563" s="22" t="str">
        <x:f>IF(M563&gt;0,"복원","미복원")</x:f>
        <x:v>복원</x:v>
      </x:c>
      <x:c r="S563" s="37" t="n">
        <x:v>197</x:v>
      </x:c>
      <x:c r="T563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3" s="22" t="str">
        <x:f>A563&amp;"|"&amp;B563</x:f>
        <x:v>연결교량|C-010309</x:v>
      </x:c>
      <x:c r="V563" s="22" t="n">
        <x:f>IF(M563&gt;0,1,0)</x:f>
        <x:v>1</x:v>
      </x:c>
    </x:row>
    <x:row r="564" ht="28" customHeight="1">
      <x:c r="A564" s="22" t="str">
        <x:v>연결교량</x:v>
      </x:c>
      <x:c r="B564" s="31" t="str">
        <x:f>"C-010309"</x:f>
        <x:v>C-010309</x:v>
      </x:c>
      <x:c r="C564" s="25" t="str">
        <x:v>010309  PAINTERS WORKS</x:v>
      </x:c>
      <x:c r="D564" s="25" t="str">
        <x:v>Ready Mixed Paint</x:v>
      </x:c>
      <x:c r="E564" s="25" t="str">
        <x:v>Steel Frame Face</x:v>
      </x:c>
      <x:c r="F564" s="22" t="str">
        <x:v>M2</x:v>
      </x:c>
      <x:c r="G564" s="28" t="n">
        <x:v>4</x:v>
      </x:c>
      <x:c r="H564" s="25" t="str">
        <x:v>4530234CF57486DF6239DCFA4CB</x:v>
      </x:c>
      <x:c r="I564" s="22" t="str">
        <x:v>직접자원단가</x:v>
      </x:c>
      <x:c r="J564" s="34" t="n">
        <x:v>651.7070280678369</x:v>
      </x:c>
      <x:c r="K564" s="34" t="n">
        <x:v>90.42435014441236</x:v>
      </x:c>
      <x:c r="L564" s="34" t="n">
        <x:v>44.80485817966378</x:v>
      </x:c>
      <x:c r="M564" s="34" t="n">
        <x:f>SUM(J564:L564)</x:f>
        <x:v>786.9362363919131</x:v>
      </x:c>
      <x:c r="N564" s="34" t="n">
        <x:f>G564*J564</x:f>
        <x:v>2606.8281122713474</x:v>
      </x:c>
      <x:c r="O564" s="34" t="n">
        <x:f>G564*K564</x:f>
        <x:v>361.69740057764943</x:v>
      </x:c>
      <x:c r="P564" s="34" t="n">
        <x:f>G564*L564</x:f>
        <x:v>179.21943271865513</x:v>
      </x:c>
      <x:c r="Q564" s="34" t="n">
        <x:f>SUM(N564:P564)</x:f>
        <x:v>3147.7449455676524</x:v>
      </x:c>
      <x:c r="R564" s="22" t="str">
        <x:f>IF(M564&gt;0,"복원","미복원")</x:f>
        <x:v>복원</x:v>
      </x:c>
      <x:c r="S564" s="37" t="n">
        <x:v>198</x:v>
      </x:c>
      <x:c r="T564" s="22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4" s="22" t="str">
        <x:f>A564&amp;"|"&amp;B564</x:f>
        <x:v>연결교량|C-010309</x:v>
      </x:c>
      <x:c r="V564" s="22" t="n">
        <x:f>IF(M564&gt;0,1,0)</x:f>
        <x:v>1</x:v>
      </x:c>
    </x:row>
    <x:row r="565" ht="28" customHeight="1">
      <x:c r="A565" s="23" t="str">
        <x:v>연결교량</x:v>
      </x:c>
      <x:c r="B565" s="32" t="str">
        <x:f>"C-010309"</x:f>
        <x:v>C-010309</x:v>
      </x:c>
      <x:c r="C565" s="26" t="str">
        <x:v>010309  PAINTERS WORKS</x:v>
      </x:c>
      <x:c r="D565" s="26" t="str">
        <x:v>Painting on plastered surfaces including Emulsion Paint as per drawing and as specified. (Plastering measured seperately</x:v>
      </x:c>
      <x:c r="E565" s="26" t="str"/>
      <x:c r="F565" s="23" t="str">
        <x:v>M2</x:v>
      </x:c>
      <x:c r="G565" s="29" t="n">
        <x:v>124</x:v>
      </x:c>
      <x:c r="H565" s="26" t="str">
        <x:v>4530234CF57486DF6239DCFA4CA</x:v>
      </x:c>
      <x:c r="I565" s="23" t="str">
        <x:v>직접자원단가</x:v>
      </x:c>
      <x:c r="J565" s="35" t="n">
        <x:v>162.92675701695921</x:v>
      </x:c>
      <x:c r="K565" s="35" t="n">
        <x:v>15.070725024068727</x:v>
      </x:c>
      <x:c r="L565" s="35" t="n">
        <x:v>10.182922313559951</x:v>
      </x:c>
      <x:c r="M565" s="35" t="n">
        <x:f>SUM(J565:L565)</x:f>
        <x:v>188.1804043545879</x:v>
      </x:c>
      <x:c r="N565" s="35" t="n">
        <x:f>G565*J565</x:f>
        <x:v>20202.91787010294</x:v>
      </x:c>
      <x:c r="O565" s="35" t="n">
        <x:f>G565*K565</x:f>
        <x:v>1868.769902984522</x:v>
      </x:c>
      <x:c r="P565" s="35" t="n">
        <x:f>G565*L565</x:f>
        <x:v>1262.6823668814338</x:v>
      </x:c>
      <x:c r="Q565" s="35" t="n">
        <x:f>SUM(N565:P565)</x:f>
        <x:v>23334.370139968894</x:v>
      </x:c>
      <x:c r="R565" s="23" t="str">
        <x:f>IF(M565&gt;0,"복원","미복원")</x:f>
        <x:v>복원</x:v>
      </x:c>
      <x:c r="S565" s="38" t="n">
        <x:v>199</x:v>
      </x:c>
      <x:c r="T565" s="23" t="str">
        <x:v>data/unpacked/L2025-00085-1/붙임2. 현지입찰(신규입찰) 서류 및 계약서류(안)/IKHCC Section 4 - IKHCC BLANK BOQ 250903_최종/1 Architectural &amp; summery/BILL No1 -Architectural Works-03. BRIDGE(BLANK BILL).xlsx</x:v>
      </x:c>
      <x:c r="U565" s="23" t="str">
        <x:f>A565&amp;"|"&amp;B565</x:f>
        <x:v>연결교량|C-010309</x:v>
      </x:c>
      <x:c r="V565" s="23" t="n">
        <x:f>IF(M565&gt;0,1,0)</x:f>
        <x:v>1</x:v>
      </x:c>
    </x:row>
  </x:sheetData>
  <x:mergeCells>
    <x:mergeCell ref="A1:V1"/>
    <x:mergeCell ref="A2:V2"/>
  </x:mergeCells>
  <x:conditionalFormatting sqref="R5:R565">
    <x:cfRule type="containsText" dxfId="0" priority="1" operator="containsText" text="복원"/>
  </x:conditionalFormatting>
  <x:pageMargins left="0.7" right="0.7" top="0.75" bottom="0.75" header="0.3" footer="0.3"/>
  <x:tableParts count="1">
    <x:tablePart xmlns:r="http://schemas.openxmlformats.org/officeDocument/2006/relationships" r:id="Rc15a48994fff4b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38" hidden="0" customWidth="1"/>
    <x:col min="4" max="4" width="30" hidden="0" customWidth="1"/>
    <x:col min="5" max="5" width="9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6" hidden="0" customWidth="1"/>
    <x:col min="11" max="11" width="15" hidden="0" customWidth="1"/>
    <x:col min="12" max="12" width="20" hidden="0" customWidth="1"/>
    <x:col min="13" max="13" width="14" hidden="0" customWidth="1"/>
    <x:col min="14" max="14" width="9" hidden="0" customWidth="1"/>
    <x:col min="15" max="15" width="48" hidden="0" customWidth="1"/>
    <x:col min="16" max="16" width="24" hidden="0" customWidth="1"/>
    <x:col min="17" max="17" width="20" hidden="0" customWidth="1"/>
  </x:cols>
  <x:sheetData>
    <x:row r="1" ht="34" customHeight="1">
      <x:c r="A1" s="3" t="str">
        <x:v>IKHCC 숨김 설계단가 라이브러리</x:v>
      </x:c>
    </x:row>
    <x:row r="2" ht="38" customHeight="1">
      <x:c r="A2" s="7" t="str">
        <x:v>숨김 시트 ‘일위대가목록’ 298행과 ‘단가대비표’ 346행을 복원했습니다. I열은 F:H의 수식 합계입니다.</x:v>
      </x:c>
    </x:row>
    <x:row r="4" ht="30" customHeight="1">
      <x:c r="A4" s="44" t="str">
        <x:v>단가유형</x:v>
      </x:c>
      <x:c r="B4" s="44" t="str">
        <x:v>품목코드</x:v>
      </x:c>
      <x:c r="C4" s="44" t="str">
        <x:v>품명</x:v>
      </x:c>
      <x:c r="D4" s="44" t="str">
        <x:v>규격</x:v>
      </x:c>
      <x:c r="E4" s="44" t="str">
        <x:v>단위</x:v>
      </x:c>
      <x:c r="F4" s="44" t="str">
        <x:v>재료비 USD</x:v>
      </x:c>
      <x:c r="G4" s="44" t="str">
        <x:v>노무비 USD</x:v>
      </x:c>
      <x:c r="H4" s="44" t="str">
        <x:v>경비 USD</x:v>
      </x:c>
      <x:c r="I4" s="44" t="str">
        <x:v>합계 USD</x:v>
      </x:c>
      <x:c r="J4" s="44" t="str">
        <x:v>가격후보</x:v>
      </x:c>
      <x:c r="K4" s="44" t="str">
        <x:v>가격면·쪽</x:v>
      </x:c>
      <x:c r="L4" s="44" t="str">
        <x:v>비고</x:v>
      </x:c>
      <x:c r="M4" s="44" t="str">
        <x:v>숨김시트</x:v>
      </x:c>
      <x:c r="N4" s="44" t="str">
        <x:v>원본행</x:v>
      </x:c>
      <x:c r="O4" s="44" t="str">
        <x:v>원본파일</x:v>
      </x:c>
      <x:c r="P4" s="44" t="str">
        <x:v>SHA-256</x:v>
      </x:c>
      <x:c r="Q4" s="44" t="str">
        <x:v>원본 합계수식</x:v>
      </x:c>
    </x:row>
    <x:row r="5">
      <x:c r="A5" s="21" t="str">
        <x:v>복합일위대가</x:v>
      </x:c>
      <x:c r="B5" s="21" t="str">
        <x:v>44822B4F067B863B02B72E9E748F6</x:v>
      </x:c>
      <x:c r="C5" s="24" t="str">
        <x:v>a mold for concrete</x:v>
      </x:c>
      <x:c r="D5" s="24" t="str"/>
      <x:c r="E5" s="21" t="str">
        <x:v>M2</x:v>
      </x:c>
      <x:c r="F5" s="33" t="n">
        <x:v>5</x:v>
      </x:c>
      <x:c r="G5" s="33" t="n">
        <x:v>15</x:v>
      </x:c>
      <x:c r="H5" s="33" t="n">
        <x:v>0</x:v>
      </x:c>
      <x:c r="I5" s="33" t="n">
        <x:f>SUM(F5:H5)</x:f>
        <x:v>20</x:v>
      </x:c>
      <x:c r="J5" s="21" t="str"/>
      <x:c r="K5" s="21" t="str"/>
      <x:c r="L5" s="21" t="str"/>
      <x:c r="M5" s="21" t="str">
        <x:v>일위대가목록</x:v>
      </x:c>
      <x:c r="N5" s="36" t="n">
        <x:v>4</x:v>
      </x:c>
      <x:c r="O5" s="21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" s="21" t="str">
        <x:v>47d79c95e2c3273f84778935276c94526e369cc1b1bc057f6b03c998f44e253f</x:v>
      </x:c>
      <x:c r="Q5" s="21" t="str">
        <x:v>=E4+F4+G4</x:v>
      </x:c>
    </x:row>
    <x:row r="6">
      <x:c r="A6" s="22" t="str">
        <x:v>복합일위대가</x:v>
      </x:c>
      <x:c r="B6" s="22" t="str">
        <x:v>44822B4F947183A3D2A5CC3AF9726</x:v>
      </x:c>
      <x:c r="C6" s="25" t="str">
        <x:v>PVC water stop, 300 mm wid</x:v>
      </x:c>
      <x:c r="D6" s="25" t="str"/>
      <x:c r="E6" s="22" t="str">
        <x:v>M</x:v>
      </x:c>
      <x:c r="F6" s="34" t="n">
        <x:v>1.5</x:v>
      </x:c>
      <x:c r="G6" s="34" t="n">
        <x:v>0.25</x:v>
      </x:c>
      <x:c r="H6" s="34" t="n">
        <x:v>0</x:v>
      </x:c>
      <x:c r="I6" s="34" t="n">
        <x:f>SUM(F6:H6)</x:f>
        <x:v>1.75</x:v>
      </x:c>
      <x:c r="J6" s="22" t="str"/>
      <x:c r="K6" s="22" t="str"/>
      <x:c r="L6" s="22" t="str"/>
      <x:c r="M6" s="22" t="str">
        <x:v>일위대가목록</x:v>
      </x:c>
      <x:c r="N6" s="37" t="n">
        <x:v>5</x:v>
      </x:c>
      <x:c r="O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" s="22" t="str">
        <x:v>47d79c95e2c3273f84778935276c94526e369cc1b1bc057f6b03c998f44e253f</x:v>
      </x:c>
      <x:c r="Q6" s="22" t="str">
        <x:v>=E5+F5+G5</x:v>
      </x:c>
    </x:row>
    <x:row r="7">
      <x:c r="A7" s="22" t="str">
        <x:v>복합일위대가</x:v>
      </x:c>
      <x:c r="B7" s="22" t="str">
        <x:v>4482294B6B783411C23D19F244E22</x:v>
      </x:c>
      <x:c r="C7" s="25" t="str">
        <x:v>Concrete Curbs, 200mm thick</x:v>
      </x:c>
      <x:c r="D7" s="25" t="str"/>
      <x:c r="E7" s="22" t="str">
        <x:v>M</x:v>
      </x:c>
      <x:c r="F7" s="34" t="n">
        <x:v>7.94</x:v>
      </x:c>
      <x:c r="G7" s="34" t="n">
        <x:v>9.51</x:v>
      </x:c>
      <x:c r="H7" s="34" t="n">
        <x:v>0.22</x:v>
      </x:c>
      <x:c r="I7" s="34" t="n">
        <x:f>SUM(F7:H7)</x:f>
        <x:v>17.669999999999998</x:v>
      </x:c>
      <x:c r="J7" s="22" t="str"/>
      <x:c r="K7" s="22" t="str"/>
      <x:c r="L7" s="22" t="str"/>
      <x:c r="M7" s="22" t="str">
        <x:v>일위대가목록</x:v>
      </x:c>
      <x:c r="N7" s="37" t="n">
        <x:v>6</x:v>
      </x:c>
      <x:c r="O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" s="22" t="str">
        <x:v>47d79c95e2c3273f84778935276c94526e369cc1b1bc057f6b03c998f44e253f</x:v>
      </x:c>
      <x:c r="Q7" s="22" t="str">
        <x:v>=E6+F6+G6</x:v>
      </x:c>
    </x:row>
    <x:row r="8">
      <x:c r="A8" s="22" t="str">
        <x:v>복합일위대가</x:v>
      </x:c>
      <x:c r="B8" s="22" t="str">
        <x:v>4482294B6B783411C23D2A6157EE3</x:v>
      </x:c>
      <x:c r="C8" s="25" t="str">
        <x:v>Concrete Curbs, 100mm thick</x:v>
      </x:c>
      <x:c r="D8" s="25" t="str"/>
      <x:c r="E8" s="22" t="str">
        <x:v>M</x:v>
      </x:c>
      <x:c r="F8" s="34" t="n">
        <x:v>6.94</x:v>
      </x:c>
      <x:c r="G8" s="34" t="n">
        <x:v>6.51</x:v>
      </x:c>
      <x:c r="H8" s="34" t="n">
        <x:v>0.22</x:v>
      </x:c>
      <x:c r="I8" s="34" t="n">
        <x:f>SUM(F8:H8)</x:f>
        <x:v>13.67</x:v>
      </x:c>
      <x:c r="J8" s="22" t="str"/>
      <x:c r="K8" s="22" t="str"/>
      <x:c r="L8" s="22" t="str"/>
      <x:c r="M8" s="22" t="str">
        <x:v>일위대가목록</x:v>
      </x:c>
      <x:c r="N8" s="37" t="n">
        <x:v>7</x:v>
      </x:c>
      <x:c r="O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" s="22" t="str">
        <x:v>47d79c95e2c3273f84778935276c94526e369cc1b1bc057f6b03c998f44e253f</x:v>
      </x:c>
      <x:c r="Q8" s="22" t="str">
        <x:v>=E7+F7+G7</x:v>
      </x:c>
    </x:row>
    <x:row r="9">
      <x:c r="A9" s="22" t="str">
        <x:v>복합일위대가</x:v>
      </x:c>
      <x:c r="B9" s="22" t="str">
        <x:v>4482224D7C7851A6F27977E396BAC</x:v>
      </x:c>
      <x:c r="C9" s="25" t="str">
        <x:v>Supply &amp; Fixing of Limestone(thickness: 50mm) cladding with pattern including fixing accessories</x:v>
      </x:c>
      <x:c r="D9" s="25" t="str"/>
      <x:c r="E9" s="22" t="str">
        <x:v>M2</x:v>
      </x:c>
      <x:c r="F9" s="34" t="n">
        <x:v>20</x:v>
      </x:c>
      <x:c r="G9" s="34" t="n">
        <x:v>10</x:v>
      </x:c>
      <x:c r="H9" s="34" t="n">
        <x:v>5</x:v>
      </x:c>
      <x:c r="I9" s="34" t="n">
        <x:f>SUM(F9:H9)</x:f>
        <x:v>35</x:v>
      </x:c>
      <x:c r="J9" s="22" t="str"/>
      <x:c r="K9" s="22" t="str"/>
      <x:c r="L9" s="22" t="str"/>
      <x:c r="M9" s="22" t="str">
        <x:v>일위대가목록</x:v>
      </x:c>
      <x:c r="N9" s="37" t="n">
        <x:v>8</x:v>
      </x:c>
      <x:c r="O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" s="22" t="str">
        <x:v>47d79c95e2c3273f84778935276c94526e369cc1b1bc057f6b03c998f44e253f</x:v>
      </x:c>
      <x:c r="Q9" s="22" t="str">
        <x:v>=E8+F8+G8</x:v>
      </x:c>
    </x:row>
    <x:row r="10">
      <x:c r="A10" s="22" t="str">
        <x:v>복합일위대가</x:v>
      </x:c>
      <x:c r="B10" s="22" t="str">
        <x:v>4482224D7C7851A6F27977E3968D8</x:v>
      </x:c>
      <x:c r="C10" s="25" t="str">
        <x:v>Supply &amp; Fixing of GRANITE(thickness: 30mm) cladding with pattern including fixing accessories</x:v>
      </x:c>
      <x:c r="D10" s="25" t="str"/>
      <x:c r="E10" s="22" t="str">
        <x:v>M2</x:v>
      </x:c>
      <x:c r="F10" s="34" t="n">
        <x:v>60</x:v>
      </x:c>
      <x:c r="G10" s="34" t="n">
        <x:v>5</x:v>
      </x:c>
      <x:c r="H10" s="34" t="n">
        <x:v>2</x:v>
      </x:c>
      <x:c r="I10" s="34" t="n">
        <x:f>SUM(F10:H10)</x:f>
        <x:v>67</x:v>
      </x:c>
      <x:c r="J10" s="22" t="str"/>
      <x:c r="K10" s="22" t="str"/>
      <x:c r="L10" s="22" t="str"/>
      <x:c r="M10" s="22" t="str">
        <x:v>일위대가목록</x:v>
      </x:c>
      <x:c r="N10" s="37" t="n">
        <x:v>9</x:v>
      </x:c>
      <x:c r="O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" s="22" t="str">
        <x:v>47d79c95e2c3273f84778935276c94526e369cc1b1bc057f6b03c998f44e253f</x:v>
      </x:c>
      <x:c r="Q10" s="22" t="str">
        <x:v>=E9+F9+G9</x:v>
      </x:c>
    </x:row>
    <x:row r="11">
      <x:c r="A11" s="22" t="str">
        <x:v>복합일위대가</x:v>
      </x:c>
      <x:c r="B11" s="22" t="str">
        <x:v>4482224D7C7851A6F27977E3969FE</x:v>
      </x:c>
      <x:c r="C11" s="25" t="str">
        <x:v>Supply &amp; Fixing of Marble(thickness: 30mm) cladding with pattern including fixing accessories;</x:v>
      </x:c>
      <x:c r="D11" s="25" t="str"/>
      <x:c r="E11" s="22" t="str">
        <x:v>M2</x:v>
      </x:c>
      <x:c r="F11" s="34" t="n">
        <x:v>65.26</x:v>
      </x:c>
      <x:c r="G11" s="34" t="n">
        <x:v>27.74</x:v>
      </x:c>
      <x:c r="H11" s="34" t="n">
        <x:v>0</x:v>
      </x:c>
      <x:c r="I11" s="34" t="n">
        <x:f>SUM(F11:H11)</x:f>
        <x:v>93</x:v>
      </x:c>
      <x:c r="J11" s="22" t="str"/>
      <x:c r="K11" s="22" t="str"/>
      <x:c r="L11" s="22" t="str"/>
      <x:c r="M11" s="22" t="str">
        <x:v>일위대가목록</x:v>
      </x:c>
      <x:c r="N11" s="37" t="n">
        <x:v>10</x:v>
      </x:c>
      <x:c r="O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" s="22" t="str">
        <x:v>47d79c95e2c3273f84778935276c94526e369cc1b1bc057f6b03c998f44e253f</x:v>
      </x:c>
      <x:c r="Q11" s="22" t="str">
        <x:v>=E10+F10+G10</x:v>
      </x:c>
    </x:row>
    <x:row r="12">
      <x:c r="A12" s="22" t="str">
        <x:v>복합일위대가</x:v>
      </x:c>
      <x:c r="B12" s="22" t="str">
        <x:v>4482224D7C7A0028821FB2B683454</x:v>
      </x:c>
      <x:c r="C12" s="25" t="str">
        <x:v>GRANITE</x:v>
      </x:c>
      <x:c r="D12" s="25" t="str">
        <x:v>Floor, 30mm</x:v>
      </x:c>
      <x:c r="E12" s="22" t="str">
        <x:v>M2</x:v>
      </x:c>
      <x:c r="F12" s="34" t="n">
        <x:v>60</x:v>
      </x:c>
      <x:c r="G12" s="34" t="n">
        <x:v>5</x:v>
      </x:c>
      <x:c r="H12" s="34" t="n">
        <x:v>2</x:v>
      </x:c>
      <x:c r="I12" s="34" t="n">
        <x:f>SUM(F12:H12)</x:f>
        <x:v>67</x:v>
      </x:c>
      <x:c r="J12" s="22" t="str"/>
      <x:c r="K12" s="22" t="str"/>
      <x:c r="L12" s="22" t="str"/>
      <x:c r="M12" s="22" t="str">
        <x:v>일위대가목록</x:v>
      </x:c>
      <x:c r="N12" s="37" t="n">
        <x:v>11</x:v>
      </x:c>
      <x:c r="O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" s="22" t="str">
        <x:v>47d79c95e2c3273f84778935276c94526e369cc1b1bc057f6b03c998f44e253f</x:v>
      </x:c>
      <x:c r="Q12" s="22" t="str">
        <x:v>=E11+F11+G11</x:v>
      </x:c>
    </x:row>
    <x:row r="13">
      <x:c r="A13" s="22" t="str">
        <x:v>복합일위대가</x:v>
      </x:c>
      <x:c r="B13" s="22" t="str">
        <x:v>4482204849760A9E127F495A4C95F</x:v>
      </x:c>
      <x:c r="C13" s="25" t="str">
        <x:v>Supply &amp; Fixing of LLimestone Capping 675*30mm, PLYWOOD 1PLY</x:v>
      </x:c>
      <x:c r="D13" s="25" t="str"/>
      <x:c r="E13" s="22" t="str">
        <x:v>M</x:v>
      </x:c>
      <x:c r="F13" s="34" t="n">
        <x:v>47.44</x:v>
      </x:c>
      <x:c r="G13" s="34" t="n">
        <x:v>34.64</x:v>
      </x:c>
      <x:c r="H13" s="34" t="n">
        <x:v>0.68</x:v>
      </x:c>
      <x:c r="I13" s="34" t="n">
        <x:f>SUM(F13:H13)</x:f>
        <x:v>82.76</x:v>
      </x:c>
      <x:c r="J13" s="22" t="str"/>
      <x:c r="K13" s="22" t="str"/>
      <x:c r="L13" s="22" t="str"/>
      <x:c r="M13" s="22" t="str">
        <x:v>일위대가목록</x:v>
      </x:c>
      <x:c r="N13" s="37" t="n">
        <x:v>12</x:v>
      </x:c>
      <x:c r="O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" s="22" t="str">
        <x:v>47d79c95e2c3273f84778935276c94526e369cc1b1bc057f6b03c998f44e253f</x:v>
      </x:c>
      <x:c r="Q13" s="22" t="str">
        <x:v>=E12+F12+G12</x:v>
      </x:c>
    </x:row>
    <x:row r="14">
      <x:c r="A14" s="22" t="str">
        <x:v>복합일위대가</x:v>
      </x:c>
      <x:c r="B14" s="22" t="str">
        <x:v>4482204849760A9E127F495A4C950</x:v>
      </x:c>
      <x:c r="C14" s="25" t="str">
        <x:v>Supply &amp; Fixing of Mable Capping 340*60mm, Mortar 30mm</x:v>
      </x:c>
      <x:c r="D14" s="25" t="str"/>
      <x:c r="E14" s="22" t="str">
        <x:v>M</x:v>
      </x:c>
      <x:c r="F14" s="34" t="n">
        <x:v>31.69</x:v>
      </x:c>
      <x:c r="G14" s="34" t="n">
        <x:v>10.61</x:v>
      </x:c>
      <x:c r="H14" s="34" t="n">
        <x:v>0.09</x:v>
      </x:c>
      <x:c r="I14" s="34" t="n">
        <x:f>SUM(F14:H14)</x:f>
        <x:v>42.39</x:v>
      </x:c>
      <x:c r="J14" s="22" t="str"/>
      <x:c r="K14" s="22" t="str"/>
      <x:c r="L14" s="22" t="str"/>
      <x:c r="M14" s="22" t="str">
        <x:v>일위대가목록</x:v>
      </x:c>
      <x:c r="N14" s="37" t="n">
        <x:v>13</x:v>
      </x:c>
      <x:c r="O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" s="22" t="str">
        <x:v>47d79c95e2c3273f84778935276c94526e369cc1b1bc057f6b03c998f44e253f</x:v>
      </x:c>
      <x:c r="Q14" s="22" t="str">
        <x:v>=E13+F13+G13</x:v>
      </x:c>
    </x:row>
    <x:row r="15">
      <x:c r="A15" s="22" t="str">
        <x:v>복합일위대가</x:v>
      </x:c>
      <x:c r="B15" s="22" t="str">
        <x:v>44822048037FF7135292CF3DC6268</x:v>
      </x:c>
      <x:c r="C15" s="25" t="str">
        <x:v>Material separator</x:v>
      </x:c>
      <x:c r="D15" s="25" t="str">
        <x:v>GRANITE, 100*30mm, Mortar 30mm</x:v>
      </x:c>
      <x:c r="E15" s="22" t="str">
        <x:v>M</x:v>
      </x:c>
      <x:c r="F15" s="34" t="n">
        <x:v>6.21</x:v>
      </x:c>
      <x:c r="G15" s="34" t="n">
        <x:v>3.62</x:v>
      </x:c>
      <x:c r="H15" s="34" t="n">
        <x:v>0.23</x:v>
      </x:c>
      <x:c r="I15" s="34" t="n">
        <x:f>SUM(F15:H15)</x:f>
        <x:v>10.06</x:v>
      </x:c>
      <x:c r="J15" s="22" t="str"/>
      <x:c r="K15" s="22" t="str"/>
      <x:c r="L15" s="22" t="str"/>
      <x:c r="M15" s="22" t="str">
        <x:v>일위대가목록</x:v>
      </x:c>
      <x:c r="N15" s="37" t="n">
        <x:v>14</x:v>
      </x:c>
      <x:c r="O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" s="22" t="str">
        <x:v>47d79c95e2c3273f84778935276c94526e369cc1b1bc057f6b03c998f44e253f</x:v>
      </x:c>
      <x:c r="Q15" s="22" t="str">
        <x:v>=E14+F14+G14</x:v>
      </x:c>
    </x:row>
    <x:row r="16">
      <x:c r="A16" s="22" t="str">
        <x:v>복합일위대가</x:v>
      </x:c>
      <x:c r="B16" s="22" t="str">
        <x:v>448224420B78C77B626AE4A7825D9</x:v>
      </x:c>
      <x:c r="C16" s="25" t="str">
        <x:v>PRECAST UNIT PAVER(T:80+20)</x:v>
      </x:c>
      <x:c r="D16" s="25" t="str"/>
      <x:c r="E16" s="22" t="str">
        <x:v>M2</x:v>
      </x:c>
      <x:c r="F16" s="34" t="n">
        <x:v>6.4</x:v>
      </x:c>
      <x:c r="G16" s="34" t="n">
        <x:v>1.8</x:v>
      </x:c>
      <x:c r="H16" s="34" t="n">
        <x:v>0.5</x:v>
      </x:c>
      <x:c r="I16" s="34" t="n">
        <x:f>SUM(F16:H16)</x:f>
        <x:v>8.700000000000001</x:v>
      </x:c>
      <x:c r="J16" s="22" t="str"/>
      <x:c r="K16" s="22" t="str"/>
      <x:c r="L16" s="22" t="str"/>
      <x:c r="M16" s="22" t="str">
        <x:v>일위대가목록</x:v>
      </x:c>
      <x:c r="N16" s="37" t="n">
        <x:v>15</x:v>
      </x:c>
      <x:c r="O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" s="22" t="str">
        <x:v>47d79c95e2c3273f84778935276c94526e369cc1b1bc057f6b03c998f44e253f</x:v>
      </x:c>
      <x:c r="Q16" s="22" t="str">
        <x:v>=E15+F15+G15</x:v>
      </x:c>
    </x:row>
    <x:row r="17">
      <x:c r="A17" s="22" t="str">
        <x:v>복합일위대가</x:v>
      </x:c>
      <x:c r="B17" s="22" t="str">
        <x:v>4482224D47745562E22E70D7BC09A</x:v>
      </x:c>
      <x:c r="C17" s="25" t="str">
        <x:v>THK3 TILE ADHESIVE</x:v>
      </x:c>
      <x:c r="D17" s="25" t="str"/>
      <x:c r="E17" s="22" t="str">
        <x:v>M2</x:v>
      </x:c>
      <x:c r="F17" s="34" t="n">
        <x:v>2</x:v>
      </x:c>
      <x:c r="G17" s="34" t="n">
        <x:v>3</x:v>
      </x:c>
      <x:c r="H17" s="34" t="n">
        <x:v>0</x:v>
      </x:c>
      <x:c r="I17" s="34" t="n">
        <x:f>SUM(F17:H17)</x:f>
        <x:v>5</x:v>
      </x:c>
      <x:c r="J17" s="22" t="str"/>
      <x:c r="K17" s="22" t="str"/>
      <x:c r="L17" s="22" t="str"/>
      <x:c r="M17" s="22" t="str">
        <x:v>일위대가목록</x:v>
      </x:c>
      <x:c r="N17" s="37" t="n">
        <x:v>16</x:v>
      </x:c>
      <x:c r="O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" s="22" t="str">
        <x:v>47d79c95e2c3273f84778935276c94526e369cc1b1bc057f6b03c998f44e253f</x:v>
      </x:c>
      <x:c r="Q17" s="22" t="str">
        <x:v>=E16+F16+G16</x:v>
      </x:c>
    </x:row>
    <x:row r="18">
      <x:c r="A18" s="22" t="str">
        <x:v>복합일위대가</x:v>
      </x:c>
      <x:c r="B18" s="22" t="str">
        <x:v>4482204864700D277296005B1854F</x:v>
      </x:c>
      <x:c r="C18" s="25" t="str">
        <x:v>Size, Thk 9mm Porcelain tiles</x:v>
      </x:c>
      <x:c r="D18" s="25" t="str"/>
      <x:c r="E18" s="22" t="str">
        <x:v>M2</x:v>
      </x:c>
      <x:c r="F18" s="34" t="n">
        <x:v>20</x:v>
      </x:c>
      <x:c r="G18" s="34" t="n">
        <x:v>3</x:v>
      </x:c>
      <x:c r="H18" s="34" t="n">
        <x:v>0</x:v>
      </x:c>
      <x:c r="I18" s="34" t="n">
        <x:f>SUM(F18:H18)</x:f>
        <x:v>23</x:v>
      </x:c>
      <x:c r="J18" s="22" t="str"/>
      <x:c r="K18" s="22" t="str"/>
      <x:c r="L18" s="22" t="str"/>
      <x:c r="M18" s="22" t="str">
        <x:v>일위대가목록</x:v>
      </x:c>
      <x:c r="N18" s="37" t="n">
        <x:v>17</x:v>
      </x:c>
      <x:c r="O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" s="22" t="str">
        <x:v>47d79c95e2c3273f84778935276c94526e369cc1b1bc057f6b03c998f44e253f</x:v>
      </x:c>
      <x:c r="Q18" s="22" t="str">
        <x:v>=E17+F17+G17</x:v>
      </x:c>
    </x:row>
    <x:row r="19">
      <x:c r="A19" s="22" t="str">
        <x:v>복합일위대가</x:v>
      </x:c>
      <x:c r="B19" s="22" t="str">
        <x:v>4482204864700D277296005B0E574</x:v>
      </x:c>
      <x:c r="C19" s="25" t="str">
        <x:v>Size, Thk 9mm Porcelain tiles (Non-Slip)</x:v>
      </x:c>
      <x:c r="D19" s="25" t="str"/>
      <x:c r="E19" s="22" t="str">
        <x:v>M2</x:v>
      </x:c>
      <x:c r="F19" s="34" t="n">
        <x:v>25</x:v>
      </x:c>
      <x:c r="G19" s="34" t="n">
        <x:v>3</x:v>
      </x:c>
      <x:c r="H19" s="34" t="n">
        <x:v>0</x:v>
      </x:c>
      <x:c r="I19" s="34" t="n">
        <x:f>SUM(F19:H19)</x:f>
        <x:v>28</x:v>
      </x:c>
      <x:c r="J19" s="22" t="str"/>
      <x:c r="K19" s="22" t="str"/>
      <x:c r="L19" s="22" t="str"/>
      <x:c r="M19" s="22" t="str">
        <x:v>일위대가목록</x:v>
      </x:c>
      <x:c r="N19" s="37" t="n">
        <x:v>18</x:v>
      </x:c>
      <x:c r="O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" s="22" t="str">
        <x:v>47d79c95e2c3273f84778935276c94526e369cc1b1bc057f6b03c998f44e253f</x:v>
      </x:c>
      <x:c r="Q19" s="22" t="str">
        <x:v>=E18+F18+G18</x:v>
      </x:c>
    </x:row>
    <x:row r="20">
      <x:c r="A20" s="22" t="str">
        <x:v>복합일위대가</x:v>
      </x:c>
      <x:c r="B20" s="22" t="str">
        <x:v>4482204864700D277296005B0ED4A</x:v>
      </x:c>
      <x:c r="C20" s="25" t="str">
        <x:v>Size, Thk 25mm Terrazzo tiles</x:v>
      </x:c>
      <x:c r="D20" s="25" t="str"/>
      <x:c r="E20" s="22" t="str">
        <x:v>M2</x:v>
      </x:c>
      <x:c r="F20" s="34" t="n">
        <x:v>9</x:v>
      </x:c>
      <x:c r="G20" s="34" t="n">
        <x:v>3</x:v>
      </x:c>
      <x:c r="H20" s="34" t="n">
        <x:v>0</x:v>
      </x:c>
      <x:c r="I20" s="34" t="n">
        <x:f>SUM(F20:H20)</x:f>
        <x:v>12</x:v>
      </x:c>
      <x:c r="J20" s="22" t="str"/>
      <x:c r="K20" s="22" t="str"/>
      <x:c r="L20" s="22" t="str"/>
      <x:c r="M20" s="22" t="str">
        <x:v>일위대가목록</x:v>
      </x:c>
      <x:c r="N20" s="37" t="n">
        <x:v>19</x:v>
      </x:c>
      <x:c r="O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" s="22" t="str">
        <x:v>47d79c95e2c3273f84778935276c94526e369cc1b1bc057f6b03c998f44e253f</x:v>
      </x:c>
      <x:c r="Q20" s="22" t="str">
        <x:v>=E19+F19+G19</x:v>
      </x:c>
    </x:row>
    <x:row r="21">
      <x:c r="A21" s="22" t="str">
        <x:v>복합일위대가</x:v>
      </x:c>
      <x:c r="B21" s="22" t="str">
        <x:v>4482204864700D277296005B0ECA3</x:v>
      </x:c>
      <x:c r="C21" s="25" t="str">
        <x:v>Size, ThK 7mm Ceramic tiles(Toilet &amp; Shower, Staff)</x:v>
      </x:c>
      <x:c r="D21" s="25" t="str"/>
      <x:c r="E21" s="22" t="str">
        <x:v>M2</x:v>
      </x:c>
      <x:c r="F21" s="34" t="n">
        <x:v>20</x:v>
      </x:c>
      <x:c r="G21" s="34" t="n">
        <x:v>3</x:v>
      </x:c>
      <x:c r="H21" s="34" t="n">
        <x:v>0</x:v>
      </x:c>
      <x:c r="I21" s="34" t="n">
        <x:f>SUM(F21:H21)</x:f>
        <x:v>23</x:v>
      </x:c>
      <x:c r="J21" s="22" t="str"/>
      <x:c r="K21" s="22" t="str"/>
      <x:c r="L21" s="22" t="str"/>
      <x:c r="M21" s="22" t="str">
        <x:v>일위대가목록</x:v>
      </x:c>
      <x:c r="N21" s="37" t="n">
        <x:v>20</x:v>
      </x:c>
      <x:c r="O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" s="22" t="str">
        <x:v>47d79c95e2c3273f84778935276c94526e369cc1b1bc057f6b03c998f44e253f</x:v>
      </x:c>
      <x:c r="Q21" s="22" t="str">
        <x:v>=E20+F20+G20</x:v>
      </x:c>
    </x:row>
    <x:row r="22">
      <x:c r="A22" s="22" t="str">
        <x:v>복합일위대가</x:v>
      </x:c>
      <x:c r="B22" s="22" t="str">
        <x:v>4482204849760A9E127F495D0F384</x:v>
      </x:c>
      <x:c r="C22" s="25" t="str">
        <x:v>DRY WALL DW6(W75), 1-Sided Drywall System,(ON 50*45*0.8 DRY WALL D6(W100), General DrSTUD @450+52*40*0.8 R</x:v>
      </x:c>
      <x:c r="D22" s="25" t="str">
        <x:v>(T12.5 General Gypsum Board) 2LAYER+Glass Wool Nature 24K 50mm</x:v>
      </x:c>
      <x:c r="E22" s="22" t="str">
        <x:v>M2</x:v>
      </x:c>
      <x:c r="F22" s="34" t="n">
        <x:v>44</x:v>
      </x:c>
      <x:c r="G22" s="34" t="n">
        <x:v>10</x:v>
      </x:c>
      <x:c r="H22" s="34" t="n">
        <x:v>0.19</x:v>
      </x:c>
      <x:c r="I22" s="34" t="n">
        <x:f>SUM(F22:H22)</x:f>
        <x:v>54.19</x:v>
      </x:c>
      <x:c r="J22" s="22" t="str"/>
      <x:c r="K22" s="22" t="str"/>
      <x:c r="L22" s="22" t="str"/>
      <x:c r="M22" s="22" t="str">
        <x:v>일위대가목록</x:v>
      </x:c>
      <x:c r="N22" s="37" t="n">
        <x:v>21</x:v>
      </x:c>
      <x:c r="O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" s="22" t="str">
        <x:v>47d79c95e2c3273f84778935276c94526e369cc1b1bc057f6b03c998f44e253f</x:v>
      </x:c>
      <x:c r="Q22" s="22" t="str">
        <x:v>=E21+F21+G21</x:v>
      </x:c>
    </x:row>
    <x:row r="23">
      <x:c r="A23" s="22" t="str">
        <x:v>복합일위대가</x:v>
      </x:c>
      <x:c r="B23" s="22" t="str">
        <x:v>4482204849760A9E127F4949DD94E</x:v>
      </x:c>
      <x:c r="C23" s="25" t="str">
        <x:v>GLASS BACK</x:v>
      </x:c>
      <x:c r="D23" s="25" t="str">
        <x:v>THK50 INSULATION+THK0.8 COLOR STEEL SHEET</x:v>
      </x:c>
      <x:c r="E23" s="22" t="str">
        <x:v>M2</x:v>
      </x:c>
      <x:c r="F23" s="34" t="n">
        <x:v>9</x:v>
      </x:c>
      <x:c r="G23" s="34" t="n">
        <x:v>0</x:v>
      </x:c>
      <x:c r="H23" s="34" t="n">
        <x:v>0</x:v>
      </x:c>
      <x:c r="I23" s="34" t="n">
        <x:f>SUM(F23:H23)</x:f>
        <x:v>9</x:v>
      </x:c>
      <x:c r="J23" s="22" t="str"/>
      <x:c r="K23" s="22" t="str"/>
      <x:c r="L23" s="22" t="str"/>
      <x:c r="M23" s="22" t="str">
        <x:v>일위대가목록</x:v>
      </x:c>
      <x:c r="N23" s="37" t="n">
        <x:v>22</x:v>
      </x:c>
      <x:c r="O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" s="22" t="str">
        <x:v>47d79c95e2c3273f84778935276c94526e369cc1b1bc057f6b03c998f44e253f</x:v>
      </x:c>
      <x:c r="Q23" s="22" t="str">
        <x:v>=E22+F22+G22</x:v>
      </x:c>
    </x:row>
    <x:row r="24">
      <x:c r="A24" s="22" t="str">
        <x:v>복합일위대가</x:v>
      </x:c>
      <x:c r="B24" s="22" t="str">
        <x:v>4482204849760A9E127F4949C332C</x:v>
      </x:c>
      <x:c r="C24" s="25" t="str">
        <x:v>Holding door</x:v>
      </x:c>
      <x:c r="D24" s="25" t="str"/>
      <x:c r="E24" s="22" t="str">
        <x:v>M2</x:v>
      </x:c>
      <x:c r="F24" s="34" t="n">
        <x:v>33.36</x:v>
      </x:c>
      <x:c r="G24" s="34" t="n">
        <x:v>0</x:v>
      </x:c>
      <x:c r="H24" s="34" t="n">
        <x:v>0</x:v>
      </x:c>
      <x:c r="I24" s="34" t="n">
        <x:f>SUM(F24:H24)</x:f>
        <x:v>33.36</x:v>
      </x:c>
      <x:c r="J24" s="22" t="str"/>
      <x:c r="K24" s="22" t="str"/>
      <x:c r="L24" s="22" t="str"/>
      <x:c r="M24" s="22" t="str">
        <x:v>일위대가목록</x:v>
      </x:c>
      <x:c r="N24" s="37" t="n">
        <x:v>23</x:v>
      </x:c>
      <x:c r="O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" s="22" t="str">
        <x:v>47d79c95e2c3273f84778935276c94526e369cc1b1bc057f6b03c998f44e253f</x:v>
      </x:c>
      <x:c r="Q24" s="22" t="str">
        <x:v>=E23+F23+G23</x:v>
      </x:c>
    </x:row>
    <x:row r="25">
      <x:c r="A25" s="22" t="str">
        <x:v>복합일위대가</x:v>
      </x:c>
      <x:c r="B25" s="22" t="str">
        <x:v>44822048387C4468A2D648548B59A</x:v>
      </x:c>
      <x:c r="C25" s="25" t="str">
        <x:v>High density Insulation board on Wall,Thk 50mm</x:v>
      </x:c>
      <x:c r="D25" s="25" t="str"/>
      <x:c r="E25" s="22" t="str">
        <x:v>M2</x:v>
      </x:c>
      <x:c r="F25" s="34" t="n">
        <x:v>4</x:v>
      </x:c>
      <x:c r="G25" s="34" t="n">
        <x:v>0</x:v>
      </x:c>
      <x:c r="H25" s="34" t="n">
        <x:v>0</x:v>
      </x:c>
      <x:c r="I25" s="34" t="n">
        <x:f>SUM(F25:H25)</x:f>
        <x:v>4</x:v>
      </x:c>
      <x:c r="J25" s="22" t="str"/>
      <x:c r="K25" s="22" t="str"/>
      <x:c r="L25" s="22" t="str"/>
      <x:c r="M25" s="22" t="str">
        <x:v>일위대가목록</x:v>
      </x:c>
      <x:c r="N25" s="37" t="n">
        <x:v>24</x:v>
      </x:c>
      <x:c r="O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" s="22" t="str">
        <x:v>47d79c95e2c3273f84778935276c94526e369cc1b1bc057f6b03c998f44e253f</x:v>
      </x:c>
      <x:c r="Q25" s="22" t="str">
        <x:v>=E24+F24+G24</x:v>
      </x:c>
    </x:row>
    <x:row r="26">
      <x:c r="A26" s="22" t="str">
        <x:v>복합일위대가</x:v>
      </x:c>
      <x:c r="B26" s="22" t="str">
        <x:v>44822048387C4468A2D648548B6A1</x:v>
      </x:c>
      <x:c r="C26" s="25" t="str">
        <x:v>High density Insulation board on Slab,Thk 50mm</x:v>
      </x:c>
      <x:c r="D26" s="25" t="str"/>
      <x:c r="E26" s="22" t="str">
        <x:v>M2</x:v>
      </x:c>
      <x:c r="F26" s="34" t="n">
        <x:v>4</x:v>
      </x:c>
      <x:c r="G26" s="34" t="n">
        <x:v>0</x:v>
      </x:c>
      <x:c r="H26" s="34" t="n">
        <x:v>0</x:v>
      </x:c>
      <x:c r="I26" s="34" t="n">
        <x:f>SUM(F26:H26)</x:f>
        <x:v>4</x:v>
      </x:c>
      <x:c r="J26" s="22" t="str"/>
      <x:c r="K26" s="22" t="str"/>
      <x:c r="L26" s="22" t="str"/>
      <x:c r="M26" s="22" t="str">
        <x:v>일위대가목록</x:v>
      </x:c>
      <x:c r="N26" s="37" t="n">
        <x:v>25</x:v>
      </x:c>
      <x:c r="O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" s="22" t="str">
        <x:v>47d79c95e2c3273f84778935276c94526e369cc1b1bc057f6b03c998f44e253f</x:v>
      </x:c>
      <x:c r="Q26" s="22" t="str">
        <x:v>=E25+F25+G25</x:v>
      </x:c>
    </x:row>
    <x:row r="27">
      <x:c r="A27" s="22" t="str">
        <x:v>복합일위대가</x:v>
      </x:c>
      <x:c r="B27" s="22" t="str">
        <x:v>44822048387C4468A2D648548B748</x:v>
      </x:c>
      <x:c r="C27" s="25" t="str">
        <x:v>High density Insulation board on Slab,Thk 100mm</x:v>
      </x:c>
      <x:c r="D27" s="25" t="str"/>
      <x:c r="E27" s="22" t="str">
        <x:v>M2</x:v>
      </x:c>
      <x:c r="F27" s="34" t="n">
        <x:v>8</x:v>
      </x:c>
      <x:c r="G27" s="34" t="n">
        <x:v>0</x:v>
      </x:c>
      <x:c r="H27" s="34" t="n">
        <x:v>0</x:v>
      </x:c>
      <x:c r="I27" s="34" t="n">
        <x:f>SUM(F27:H27)</x:f>
        <x:v>8</x:v>
      </x:c>
      <x:c r="J27" s="22" t="str"/>
      <x:c r="K27" s="22" t="str"/>
      <x:c r="L27" s="22" t="str"/>
      <x:c r="M27" s="22" t="str">
        <x:v>일위대가목록</x:v>
      </x:c>
      <x:c r="N27" s="37" t="n">
        <x:v>26</x:v>
      </x:c>
      <x:c r="O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" s="22" t="str">
        <x:v>47d79c95e2c3273f84778935276c94526e369cc1b1bc057f6b03c998f44e253f</x:v>
      </x:c>
      <x:c r="Q27" s="22" t="str">
        <x:v>=E26+F26+G26</x:v>
      </x:c>
    </x:row>
    <x:row r="28">
      <x:c r="A28" s="22" t="str">
        <x:v>복합일위대가</x:v>
      </x:c>
      <x:c r="B28" s="22" t="str">
        <x:v>44822048387C4468A2D648548B019</x:v>
      </x:c>
      <x:c r="C28" s="25" t="str">
        <x:v>High density Insulation board under Slab,Thk 50mm</x:v>
      </x:c>
      <x:c r="D28" s="25" t="str"/>
      <x:c r="E28" s="22" t="str">
        <x:v>M2</x:v>
      </x:c>
      <x:c r="F28" s="34" t="n">
        <x:v>4</x:v>
      </x:c>
      <x:c r="G28" s="34" t="n">
        <x:v>0</x:v>
      </x:c>
      <x:c r="H28" s="34" t="n">
        <x:v>0</x:v>
      </x:c>
      <x:c r="I28" s="34" t="n">
        <x:f>SUM(F28:H28)</x:f>
        <x:v>4</x:v>
      </x:c>
      <x:c r="J28" s="22" t="str"/>
      <x:c r="K28" s="22" t="str"/>
      <x:c r="L28" s="22" t="str"/>
      <x:c r="M28" s="22" t="str">
        <x:v>일위대가목록</x:v>
      </x:c>
      <x:c r="N28" s="37" t="n">
        <x:v>27</x:v>
      </x:c>
      <x:c r="O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" s="22" t="str">
        <x:v>47d79c95e2c3273f84778935276c94526e369cc1b1bc057f6b03c998f44e253f</x:v>
      </x:c>
      <x:c r="Q28" s="22" t="str">
        <x:v>=E27+F27+G27</x:v>
      </x:c>
    </x:row>
    <x:row r="29">
      <x:c r="A29" s="22" t="str">
        <x:v>복합일위대가</x:v>
      </x:c>
      <x:c r="B29" s="22" t="str">
        <x:v>44822048387C4468A2D648548B13F</x:v>
      </x:c>
      <x:c r="C29" s="25" t="str">
        <x:v>High density Insulation board under Slab,Thk 100mm</x:v>
      </x:c>
      <x:c r="D29" s="25" t="str"/>
      <x:c r="E29" s="22" t="str">
        <x:v>M2</x:v>
      </x:c>
      <x:c r="F29" s="34" t="n">
        <x:v>8</x:v>
      </x:c>
      <x:c r="G29" s="34" t="n">
        <x:v>0</x:v>
      </x:c>
      <x:c r="H29" s="34" t="n">
        <x:v>0</x:v>
      </x:c>
      <x:c r="I29" s="34" t="n">
        <x:f>SUM(F29:H29)</x:f>
        <x:v>8</x:v>
      </x:c>
      <x:c r="J29" s="22" t="str"/>
      <x:c r="K29" s="22" t="str"/>
      <x:c r="L29" s="22" t="str"/>
      <x:c r="M29" s="22" t="str">
        <x:v>일위대가목록</x:v>
      </x:c>
      <x:c r="N29" s="37" t="n">
        <x:v>28</x:v>
      </x:c>
      <x:c r="O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" s="22" t="str">
        <x:v>47d79c95e2c3273f84778935276c94526e369cc1b1bc057f6b03c998f44e253f</x:v>
      </x:c>
      <x:c r="Q29" s="22" t="str">
        <x:v>=E28+F28+G28</x:v>
      </x:c>
    </x:row>
    <x:row r="30">
      <x:c r="A30" s="22" t="str">
        <x:v>복합일위대가</x:v>
      </x:c>
      <x:c r="B30" s="22" t="str">
        <x:v>44822048387C4468A2D64854B09DA</x:v>
      </x:c>
      <x:c r="C30" s="25" t="str">
        <x:v>EXPANDED POLYSTYRENE,Thk 20mm</x:v>
      </x:c>
      <x:c r="D30" s="25" t="str"/>
      <x:c r="E30" s="22" t="str">
        <x:v>M2</x:v>
      </x:c>
      <x:c r="F30" s="34" t="n">
        <x:v>5.38</x:v>
      </x:c>
      <x:c r="G30" s="34" t="n">
        <x:v>1.28</x:v>
      </x:c>
      <x:c r="H30" s="34" t="n">
        <x:v>0</x:v>
      </x:c>
      <x:c r="I30" s="34" t="n">
        <x:f>SUM(F30:H30)</x:f>
        <x:v>6.66</x:v>
      </x:c>
      <x:c r="J30" s="22" t="str"/>
      <x:c r="K30" s="22" t="str"/>
      <x:c r="L30" s="22" t="str"/>
      <x:c r="M30" s="22" t="str">
        <x:v>일위대가목록</x:v>
      </x:c>
      <x:c r="N30" s="37" t="n">
        <x:v>29</x:v>
      </x:c>
      <x:c r="O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" s="22" t="str">
        <x:v>47d79c95e2c3273f84778935276c94526e369cc1b1bc057f6b03c998f44e253f</x:v>
      </x:c>
      <x:c r="Q30" s="22" t="str">
        <x:v>=E29+F29+G29</x:v>
      </x:c>
    </x:row>
    <x:row r="31">
      <x:c r="A31" s="22" t="str">
        <x:v>복합일위대가</x:v>
      </x:c>
      <x:c r="B31" s="22" t="str">
        <x:v>44822048387E72678210683B19F6B</x:v>
      </x:c>
      <x:c r="C31" s="25" t="str">
        <x:v>THK0.1 PE FILM 2Layers</x:v>
      </x:c>
      <x:c r="D31" s="25" t="str"/>
      <x:c r="E31" s="22" t="str">
        <x:v>M2</x:v>
      </x:c>
      <x:c r="F31" s="34" t="n">
        <x:v>1</x:v>
      </x:c>
      <x:c r="G31" s="34" t="n">
        <x:v>0</x:v>
      </x:c>
      <x:c r="H31" s="34" t="n">
        <x:v>0</x:v>
      </x:c>
      <x:c r="I31" s="34" t="n">
        <x:f>SUM(F31:H31)</x:f>
        <x:v>1</x:v>
      </x:c>
      <x:c r="J31" s="22" t="str"/>
      <x:c r="K31" s="22" t="str"/>
      <x:c r="L31" s="22" t="str"/>
      <x:c r="M31" s="22" t="str">
        <x:v>일위대가목록</x:v>
      </x:c>
      <x:c r="N31" s="37" t="n">
        <x:v>30</x:v>
      </x:c>
      <x:c r="O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" s="22" t="str">
        <x:v>47d79c95e2c3273f84778935276c94526e369cc1b1bc057f6b03c998f44e253f</x:v>
      </x:c>
      <x:c r="Q31" s="22" t="str">
        <x:v>=E30+F30+G30</x:v>
      </x:c>
    </x:row>
    <x:row r="32">
      <x:c r="A32" s="22" t="str">
        <x:v>복합일위대가</x:v>
      </x:c>
      <x:c r="B32" s="22" t="str">
        <x:v>44822048387E72678210683B2A4AF</x:v>
      </x:c>
      <x:c r="C32" s="25" t="str">
        <x:v>0.1mm thick polyethylene sheet(2Layers) under blinding beds.</x:v>
      </x:c>
      <x:c r="D32" s="25" t="str"/>
      <x:c r="E32" s="22" t="str">
        <x:v>M2</x:v>
      </x:c>
      <x:c r="F32" s="34" t="n">
        <x:v>1</x:v>
      </x:c>
      <x:c r="G32" s="34" t="n">
        <x:v>0</x:v>
      </x:c>
      <x:c r="H32" s="34" t="n">
        <x:v>0</x:v>
      </x:c>
      <x:c r="I32" s="34" t="n">
        <x:f>SUM(F32:H32)</x:f>
        <x:v>1</x:v>
      </x:c>
      <x:c r="J32" s="22" t="str"/>
      <x:c r="K32" s="22" t="str"/>
      <x:c r="L32" s="22" t="str"/>
      <x:c r="M32" s="22" t="str">
        <x:v>일위대가목록</x:v>
      </x:c>
      <x:c r="N32" s="37" t="n">
        <x:v>31</x:v>
      </x:c>
      <x:c r="O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" s="22" t="str">
        <x:v>47d79c95e2c3273f84778935276c94526e369cc1b1bc057f6b03c998f44e253f</x:v>
      </x:c>
      <x:c r="Q32" s="22" t="str">
        <x:v>=E31+F31+G31</x:v>
      </x:c>
    </x:row>
    <x:row r="33">
      <x:c r="A33" s="22" t="str">
        <x:v>복합일위대가</x:v>
      </x:c>
      <x:c r="B33" s="22" t="str">
        <x:v>44822048BC7207B6A2FCD230E04C9</x:v>
      </x:c>
      <x:c r="C33" s="25" t="str">
        <x:v>EXT. INSUL. FIN. SYS.</x:v>
      </x:c>
      <x:c r="D33" s="25" t="str">
        <x:v>50mm</x:v>
      </x:c>
      <x:c r="E33" s="22" t="str">
        <x:v>M2</x:v>
      </x:c>
      <x:c r="F33" s="34" t="n">
        <x:v>54.46</x:v>
      </x:c>
      <x:c r="G33" s="34" t="n">
        <x:v>0</x:v>
      </x:c>
      <x:c r="H33" s="34" t="n">
        <x:v>0</x:v>
      </x:c>
      <x:c r="I33" s="34" t="n">
        <x:f>SUM(F33:H33)</x:f>
        <x:v>54.46</x:v>
      </x:c>
      <x:c r="J33" s="22" t="str"/>
      <x:c r="K33" s="22" t="str"/>
      <x:c r="L33" s="22" t="str"/>
      <x:c r="M33" s="22" t="str">
        <x:v>일위대가목록</x:v>
      </x:c>
      <x:c r="N33" s="37" t="n">
        <x:v>32</x:v>
      </x:c>
      <x:c r="O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" s="22" t="str">
        <x:v>47d79c95e2c3273f84778935276c94526e369cc1b1bc057f6b03c998f44e253f</x:v>
      </x:c>
      <x:c r="Q33" s="22" t="str">
        <x:v>=E32+F32+G32</x:v>
      </x:c>
    </x:row>
    <x:row r="34">
      <x:c r="A34" s="22" t="str">
        <x:v>복합일위대가</x:v>
      </x:c>
      <x:c r="B34" s="22" t="str">
        <x:v>44822048BC7207B6A2FCD230E079E</x:v>
      </x:c>
      <x:c r="C34" s="25" t="str">
        <x:v>EXT. INSUL. FIN. SYS.</x:v>
      </x:c>
      <x:c r="D34" s="25" t="str">
        <x:v>150mm</x:v>
      </x:c>
      <x:c r="E34" s="22" t="str">
        <x:v>M2</x:v>
      </x:c>
      <x:c r="F34" s="34" t="n">
        <x:v>62.46</x:v>
      </x:c>
      <x:c r="G34" s="34" t="n">
        <x:v>0</x:v>
      </x:c>
      <x:c r="H34" s="34" t="n">
        <x:v>0</x:v>
      </x:c>
      <x:c r="I34" s="34" t="n">
        <x:f>SUM(F34:H34)</x:f>
        <x:v>62.46</x:v>
      </x:c>
      <x:c r="J34" s="22" t="str"/>
      <x:c r="K34" s="22" t="str"/>
      <x:c r="L34" s="22" t="str"/>
      <x:c r="M34" s="22" t="str">
        <x:v>일위대가목록</x:v>
      </x:c>
      <x:c r="N34" s="37" t="n">
        <x:v>33</x:v>
      </x:c>
      <x:c r="O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" s="22" t="str">
        <x:v>47d79c95e2c3273f84778935276c94526e369cc1b1bc057f6b03c998f44e253f</x:v>
      </x:c>
      <x:c r="Q34" s="22" t="str">
        <x:v>=E33+F33+G33</x:v>
      </x:c>
    </x:row>
    <x:row r="35">
      <x:c r="A35" s="22" t="str">
        <x:v>복합일위대가</x:v>
      </x:c>
      <x:c r="B35" s="22" t="str">
        <x:v>44822048BC7207B6A2FCD230D7F25</x:v>
      </x:c>
      <x:c r="C35" s="25" t="str">
        <x:v>FIRE STRIP</x:v>
      </x:c>
      <x:c r="D35" s="25" t="str">
        <x:v>W=200</x:v>
      </x:c>
      <x:c r="E35" s="22" t="str">
        <x:v>M</x:v>
      </x:c>
      <x:c r="F35" s="34" t="n">
        <x:v>0.79</x:v>
      </x:c>
      <x:c r="G35" s="34" t="n">
        <x:v>0.4</x:v>
      </x:c>
      <x:c r="H35" s="34" t="n">
        <x:v>0</x:v>
      </x:c>
      <x:c r="I35" s="34" t="n">
        <x:f>SUM(F35:H35)</x:f>
        <x:v>1.19</x:v>
      </x:c>
      <x:c r="J35" s="22" t="str"/>
      <x:c r="K35" s="22" t="str"/>
      <x:c r="L35" s="22" t="str"/>
      <x:c r="M35" s="22" t="str">
        <x:v>일위대가목록</x:v>
      </x:c>
      <x:c r="N35" s="37" t="n">
        <x:v>34</x:v>
      </x:c>
      <x:c r="O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" s="22" t="str">
        <x:v>47d79c95e2c3273f84778935276c94526e369cc1b1bc057f6b03c998f44e253f</x:v>
      </x:c>
      <x:c r="Q35" s="22" t="str">
        <x:v>=E34+F34+G34</x:v>
      </x:c>
    </x:row>
    <x:row r="36">
      <x:c r="A36" s="22" t="str">
        <x:v>복합일위대가</x:v>
      </x:c>
      <x:c r="B36" s="22" t="str">
        <x:v>44822048A37E48FFE2C3E6452A42C</x:v>
      </x:c>
      <x:c r="C36" s="25" t="str">
        <x:v>Thick50 Glass Wool W/ Glass Cloth,Wall</x:v>
      </x:c>
      <x:c r="D36" s="25" t="str">
        <x:v>Wall</x:v>
      </x:c>
      <x:c r="E36" s="22" t="str">
        <x:v>M2</x:v>
      </x:c>
      <x:c r="F36" s="34" t="n">
        <x:v>4</x:v>
      </x:c>
      <x:c r="G36" s="34" t="n">
        <x:v>0</x:v>
      </x:c>
      <x:c r="H36" s="34" t="n">
        <x:v>0</x:v>
      </x:c>
      <x:c r="I36" s="34" t="n">
        <x:f>SUM(F36:H36)</x:f>
        <x:v>4</x:v>
      </x:c>
      <x:c r="J36" s="22" t="str"/>
      <x:c r="K36" s="22" t="str"/>
      <x:c r="L36" s="22" t="str"/>
      <x:c r="M36" s="22" t="str">
        <x:v>일위대가목록</x:v>
      </x:c>
      <x:c r="N36" s="37" t="n">
        <x:v>35</x:v>
      </x:c>
      <x:c r="O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" s="22" t="str">
        <x:v>47d79c95e2c3273f84778935276c94526e369cc1b1bc057f6b03c998f44e253f</x:v>
      </x:c>
      <x:c r="Q36" s="22" t="str">
        <x:v>=E35+F35+G35</x:v>
      </x:c>
    </x:row>
    <x:row r="37">
      <x:c r="A37" s="22" t="str">
        <x:v>복합일위대가</x:v>
      </x:c>
      <x:c r="B37" s="22" t="str">
        <x:v>44822048A37E48FFE2C3E6452A7E0</x:v>
      </x:c>
      <x:c r="C37" s="25" t="str">
        <x:v>Thick50 Glass Wool W/ Glass Cloth</x:v>
      </x:c>
      <x:c r="D37" s="25" t="str">
        <x:v>Ceiling</x:v>
      </x:c>
      <x:c r="E37" s="22" t="str">
        <x:v>M2</x:v>
      </x:c>
      <x:c r="F37" s="34" t="n">
        <x:v>4</x:v>
      </x:c>
      <x:c r="G37" s="34" t="n">
        <x:v>0</x:v>
      </x:c>
      <x:c r="H37" s="34" t="n">
        <x:v>0</x:v>
      </x:c>
      <x:c r="I37" s="34" t="n">
        <x:f>SUM(F37:H37)</x:f>
        <x:v>4</x:v>
      </x:c>
      <x:c r="J37" s="22" t="str"/>
      <x:c r="K37" s="22" t="str"/>
      <x:c r="L37" s="22" t="str"/>
      <x:c r="M37" s="22" t="str">
        <x:v>일위대가목록</x:v>
      </x:c>
      <x:c r="N37" s="37" t="n">
        <x:v>36</x:v>
      </x:c>
      <x:c r="O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" s="22" t="str">
        <x:v>47d79c95e2c3273f84778935276c94526e369cc1b1bc057f6b03c998f44e253f</x:v>
      </x:c>
      <x:c r="Q37" s="22" t="str">
        <x:v>=E36+F36+G36</x:v>
      </x:c>
    </x:row>
    <x:row r="38">
      <x:c r="A38" s="22" t="str">
        <x:v>복합일위대가</x:v>
      </x:c>
      <x:c r="B38" s="22" t="str">
        <x:v>448227450276D253F2E49D1ED6B64</x:v>
      </x:c>
      <x:c r="C38" s="25" t="str">
        <x:v>Caulking</x:v>
      </x:c>
      <x:c r="D38" s="25" t="str">
        <x:v>Antibacterial Caulking</x:v>
      </x:c>
      <x:c r="E38" s="22" t="str">
        <x:v>M</x:v>
      </x:c>
      <x:c r="F38" s="34" t="n">
        <x:v>0.21</x:v>
      </x:c>
      <x:c r="G38" s="34" t="n">
        <x:v>0.3</x:v>
      </x:c>
      <x:c r="H38" s="34" t="n">
        <x:v>0</x:v>
      </x:c>
      <x:c r="I38" s="34" t="n">
        <x:f>SUM(F38:H38)</x:f>
        <x:v>0.51</x:v>
      </x:c>
      <x:c r="J38" s="22" t="str"/>
      <x:c r="K38" s="22" t="str"/>
      <x:c r="L38" s="22" t="str"/>
      <x:c r="M38" s="22" t="str">
        <x:v>일위대가목록</x:v>
      </x:c>
      <x:c r="N38" s="37" t="n">
        <x:v>37</x:v>
      </x:c>
      <x:c r="O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" s="22" t="str">
        <x:v>47d79c95e2c3273f84778935276c94526e369cc1b1bc057f6b03c998f44e253f</x:v>
      </x:c>
      <x:c r="Q38" s="22" t="str">
        <x:v>=E37+F37+G37</x:v>
      </x:c>
    </x:row>
    <x:row r="39">
      <x:c r="A39" s="22" t="str">
        <x:v>복합일위대가</x:v>
      </x:c>
      <x:c r="B39" s="22" t="str">
        <x:v>4482274502742434921703B609301</x:v>
      </x:c>
      <x:c r="C39" s="25" t="str">
        <x:v>Caulking</x:v>
      </x:c>
      <x:c r="D39" s="25" t="str">
        <x:v>Size 10mm * 10mm, Around The door &amp; window</x:v>
      </x:c>
      <x:c r="E39" s="22" t="str">
        <x:v>M</x:v>
      </x:c>
      <x:c r="F39" s="34" t="n">
        <x:v>0.21</x:v>
      </x:c>
      <x:c r="G39" s="34" t="n">
        <x:v>0.3</x:v>
      </x:c>
      <x:c r="H39" s="34" t="n">
        <x:v>0</x:v>
      </x:c>
      <x:c r="I39" s="34" t="n">
        <x:f>SUM(F39:H39)</x:f>
        <x:v>0.51</x:v>
      </x:c>
      <x:c r="J39" s="22" t="str"/>
      <x:c r="K39" s="22" t="str"/>
      <x:c r="L39" s="22" t="str"/>
      <x:c r="M39" s="22" t="str">
        <x:v>일위대가목록</x:v>
      </x:c>
      <x:c r="N39" s="37" t="n">
        <x:v>38</x:v>
      </x:c>
      <x:c r="O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" s="22" t="str">
        <x:v>47d79c95e2c3273f84778935276c94526e369cc1b1bc057f6b03c998f44e253f</x:v>
      </x:c>
      <x:c r="Q39" s="22" t="str">
        <x:v>=E38+F38+G38</x:v>
      </x:c>
    </x:row>
    <x:row r="40">
      <x:c r="A40" s="22" t="str">
        <x:v>복합일위대가</x:v>
      </x:c>
      <x:c r="B40" s="22" t="str">
        <x:v>4482274502731FF3C29CCC201CB4B</x:v>
      </x:c>
      <x:c r="C40" s="25" t="str">
        <x:v>Expansion joint, On Roof @3000x3000</x:v>
      </x:c>
      <x:c r="D40" s="25" t="str"/>
      <x:c r="E40" s="22" t="str">
        <x:v>M</x:v>
      </x:c>
      <x:c r="F40" s="34" t="n">
        <x:v>0</x:v>
      </x:c>
      <x:c r="G40" s="34" t="n">
        <x:v>0.38</x:v>
      </x:c>
      <x:c r="H40" s="34" t="n">
        <x:v>0</x:v>
      </x:c>
      <x:c r="I40" s="34" t="n">
        <x:f>SUM(F40:H40)</x:f>
        <x:v>0.38</x:v>
      </x:c>
      <x:c r="J40" s="22" t="str"/>
      <x:c r="K40" s="22" t="str"/>
      <x:c r="L40" s="22" t="str"/>
      <x:c r="M40" s="22" t="str">
        <x:v>일위대가목록</x:v>
      </x:c>
      <x:c r="N40" s="37" t="n">
        <x:v>39</x:v>
      </x:c>
      <x:c r="O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" s="22" t="str">
        <x:v>47d79c95e2c3273f84778935276c94526e369cc1b1bc057f6b03c998f44e253f</x:v>
      </x:c>
      <x:c r="Q40" s="22" t="str">
        <x:v>=E39+F39+G39</x:v>
      </x:c>
    </x:row>
    <x:row r="41">
      <x:c r="A41" s="22" t="str">
        <x:v>복합일위대가</x:v>
      </x:c>
      <x:c r="B41" s="22" t="str">
        <x:v>448227451C7D1C0DC28CEFFB045AB</x:v>
      </x:c>
      <x:c r="C41" s="25" t="str">
        <x:v>Waterproof Mortar</x:v>
      </x:c>
      <x:c r="D41" s="25" t="str">
        <x:v>Less Than 20mm, Trench</x:v>
      </x:c>
      <x:c r="E41" s="22" t="str">
        <x:v>M2</x:v>
      </x:c>
      <x:c r="F41" s="34" t="n">
        <x:v>1.4</x:v>
      </x:c>
      <x:c r="G41" s="34" t="n">
        <x:v>0</x:v>
      </x:c>
      <x:c r="H41" s="34" t="n">
        <x:v>0</x:v>
      </x:c>
      <x:c r="I41" s="34" t="n">
        <x:f>SUM(F41:H41)</x:f>
        <x:v>1.4</x:v>
      </x:c>
      <x:c r="J41" s="22" t="str"/>
      <x:c r="K41" s="22" t="str"/>
      <x:c r="L41" s="22" t="str"/>
      <x:c r="M41" s="22" t="str">
        <x:v>일위대가목록</x:v>
      </x:c>
      <x:c r="N41" s="37" t="n">
        <x:v>40</x:v>
      </x:c>
      <x:c r="O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" s="22" t="str">
        <x:v>47d79c95e2c3273f84778935276c94526e369cc1b1bc057f6b03c998f44e253f</x:v>
      </x:c>
      <x:c r="Q41" s="22" t="str">
        <x:v>=E40+F40+G40</x:v>
      </x:c>
    </x:row>
    <x:row r="42">
      <x:c r="A42" s="22" t="str">
        <x:v>복합일위대가</x:v>
      </x:c>
      <x:c r="B42" s="22" t="str">
        <x:v>44822745FA7C21D7222D3828CFB51</x:v>
      </x:c>
      <x:c r="C42" s="25" t="str">
        <x:v>LIQUID WATERPROOFING</x:v>
      </x:c>
      <x:c r="D42" s="25" t="str">
        <x:v>FLOOR</x:v>
      </x:c>
      <x:c r="E42" s="22" t="str">
        <x:v>M2</x:v>
      </x:c>
      <x:c r="F42" s="34" t="n">
        <x:v>1.37</x:v>
      </x:c>
      <x:c r="G42" s="34" t="n">
        <x:v>3.18</x:v>
      </x:c>
      <x:c r="H42" s="34" t="n">
        <x:v>0</x:v>
      </x:c>
      <x:c r="I42" s="34" t="n">
        <x:f>SUM(F42:H42)</x:f>
        <x:v>4.550000000000001</x:v>
      </x:c>
      <x:c r="J42" s="22" t="str"/>
      <x:c r="K42" s="22" t="str"/>
      <x:c r="L42" s="22" t="str"/>
      <x:c r="M42" s="22" t="str">
        <x:v>일위대가목록</x:v>
      </x:c>
      <x:c r="N42" s="37" t="n">
        <x:v>41</x:v>
      </x:c>
      <x:c r="O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" s="22" t="str">
        <x:v>47d79c95e2c3273f84778935276c94526e369cc1b1bc057f6b03c998f44e253f</x:v>
      </x:c>
      <x:c r="Q42" s="22" t="str">
        <x:v>=E41+F41+G41</x:v>
      </x:c>
    </x:row>
    <x:row r="43">
      <x:c r="A43" s="22" t="str">
        <x:v>복합일위대가</x:v>
      </x:c>
      <x:c r="B43" s="22" t="str">
        <x:v>44822745FA7C21D7222D3828CFA4A</x:v>
      </x:c>
      <x:c r="C43" s="25" t="str">
        <x:v>LIQUID WATERPROOFING</x:v>
      </x:c>
      <x:c r="D43" s="25" t="str">
        <x:v>WALL</x:v>
      </x:c>
      <x:c r="E43" s="22" t="str">
        <x:v>M2</x:v>
      </x:c>
      <x:c r="F43" s="34" t="n">
        <x:v>1.92</x:v>
      </x:c>
      <x:c r="G43" s="34" t="n">
        <x:v>3.62</x:v>
      </x:c>
      <x:c r="H43" s="34" t="n">
        <x:v>0</x:v>
      </x:c>
      <x:c r="I43" s="34" t="n">
        <x:f>SUM(F43:H43)</x:f>
        <x:v>5.54</x:v>
      </x:c>
      <x:c r="J43" s="22" t="str"/>
      <x:c r="K43" s="22" t="str"/>
      <x:c r="L43" s="22" t="str"/>
      <x:c r="M43" s="22" t="str">
        <x:v>일위대가목록</x:v>
      </x:c>
      <x:c r="N43" s="37" t="n">
        <x:v>42</x:v>
      </x:c>
      <x:c r="O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" s="22" t="str">
        <x:v>47d79c95e2c3273f84778935276c94526e369cc1b1bc057f6b03c998f44e253f</x:v>
      </x:c>
      <x:c r="Q43" s="22" t="str">
        <x:v>=E42+F42+G42</x:v>
      </x:c>
    </x:row>
    <x:row r="44">
      <x:c r="A44" s="22" t="str">
        <x:v>복합일위대가</x:v>
      </x:c>
      <x:c r="B44" s="22" t="str">
        <x:v>44822745FA7C21D7222D381E61813</x:v>
      </x:c>
      <x:c r="C44" s="25" t="str">
        <x:v>ELASTIC WATERPROOFING</x:v>
      </x:c>
      <x:c r="D44" s="25" t="str">
        <x:v>FLOOR</x:v>
      </x:c>
      <x:c r="E44" s="22" t="str">
        <x:v>M2</x:v>
      </x:c>
      <x:c r="F44" s="34" t="n">
        <x:v>3.75</x:v>
      </x:c>
      <x:c r="G44" s="34" t="n">
        <x:v>0</x:v>
      </x:c>
      <x:c r="H44" s="34" t="n">
        <x:v>0</x:v>
      </x:c>
      <x:c r="I44" s="34" t="n">
        <x:f>SUM(F44:H44)</x:f>
        <x:v>3.75</x:v>
      </x:c>
      <x:c r="J44" s="22" t="str"/>
      <x:c r="K44" s="22" t="str"/>
      <x:c r="L44" s="22" t="str"/>
      <x:c r="M44" s="22" t="str">
        <x:v>일위대가목록</x:v>
      </x:c>
      <x:c r="N44" s="37" t="n">
        <x:v>43</x:v>
      </x:c>
      <x:c r="O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" s="22" t="str">
        <x:v>47d79c95e2c3273f84778935276c94526e369cc1b1bc057f6b03c998f44e253f</x:v>
      </x:c>
      <x:c r="Q44" s="22" t="str">
        <x:v>=E43+F43+G43</x:v>
      </x:c>
    </x:row>
    <x:row r="45">
      <x:c r="A45" s="22" t="str">
        <x:v>복합일위대가</x:v>
      </x:c>
      <x:c r="B45" s="22" t="str">
        <x:v>44822745FA7C21D7222D381E6193A</x:v>
      </x:c>
      <x:c r="C45" s="25" t="str">
        <x:v>ELASTIC WATERPROOFING</x:v>
      </x:c>
      <x:c r="D45" s="25" t="str">
        <x:v>WALL</x:v>
      </x:c>
      <x:c r="E45" s="22" t="str">
        <x:v>M2</x:v>
      </x:c>
      <x:c r="F45" s="34" t="n">
        <x:v>3.75</x:v>
      </x:c>
      <x:c r="G45" s="34" t="n">
        <x:v>0</x:v>
      </x:c>
      <x:c r="H45" s="34" t="n">
        <x:v>0</x:v>
      </x:c>
      <x:c r="I45" s="34" t="n">
        <x:f>SUM(F45:H45)</x:f>
        <x:v>3.75</x:v>
      </x:c>
      <x:c r="J45" s="22" t="str"/>
      <x:c r="K45" s="22" t="str"/>
      <x:c r="L45" s="22" t="str"/>
      <x:c r="M45" s="22" t="str">
        <x:v>일위대가목록</x:v>
      </x:c>
      <x:c r="N45" s="37" t="n">
        <x:v>44</x:v>
      </x:c>
      <x:c r="O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" s="22" t="str">
        <x:v>47d79c95e2c3273f84778935276c94526e369cc1b1bc057f6b03c998f44e253f</x:v>
      </x:c>
      <x:c r="Q45" s="22" t="str">
        <x:v>=E44+F44+G44</x:v>
      </x:c>
    </x:row>
    <x:row r="46">
      <x:c r="A46" s="22" t="str">
        <x:v>복합일위대가</x:v>
      </x:c>
      <x:c r="B46" s="22" t="str">
        <x:v>44822745FA7C21D7222D380DF265B</x:v>
      </x:c>
      <x:c r="C46" s="25" t="str">
        <x:v>Multi-layer composite waterproofin</x:v>
      </x:c>
      <x:c r="D46" s="25" t="str">
        <x:v>FLOOR</x:v>
      </x:c>
      <x:c r="E46" s="22" t="str">
        <x:v>M2</x:v>
      </x:c>
      <x:c r="F46" s="34" t="n">
        <x:v>2</x:v>
      </x:c>
      <x:c r="G46" s="34" t="n">
        <x:v>0</x:v>
      </x:c>
      <x:c r="H46" s="34" t="n">
        <x:v>0</x:v>
      </x:c>
      <x:c r="I46" s="34" t="n">
        <x:f>SUM(F46:H46)</x:f>
        <x:v>2</x:v>
      </x:c>
      <x:c r="J46" s="22" t="str"/>
      <x:c r="K46" s="22" t="str"/>
      <x:c r="L46" s="22" t="str"/>
      <x:c r="M46" s="22" t="str">
        <x:v>일위대가목록</x:v>
      </x:c>
      <x:c r="N46" s="37" t="n">
        <x:v>45</x:v>
      </x:c>
      <x:c r="O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" s="22" t="str">
        <x:v>47d79c95e2c3273f84778935276c94526e369cc1b1bc057f6b03c998f44e253f</x:v>
      </x:c>
      <x:c r="Q46" s="22" t="str">
        <x:v>=E45+F45+G45</x:v>
      </x:c>
    </x:row>
    <x:row r="47">
      <x:c r="A47" s="22" t="str">
        <x:v>복합일위대가</x:v>
      </x:c>
      <x:c r="B47" s="22" t="str">
        <x:v>44822745FA7C21D7222D380DF2762</x:v>
      </x:c>
      <x:c r="C47" s="25" t="str">
        <x:v>Multi-layer composite waterproofin</x:v>
      </x:c>
      <x:c r="D47" s="25" t="str">
        <x:v>WALL</x:v>
      </x:c>
      <x:c r="E47" s="22" t="str">
        <x:v>M2</x:v>
      </x:c>
      <x:c r="F47" s="34" t="n">
        <x:v>5.75</x:v>
      </x:c>
      <x:c r="G47" s="34" t="n">
        <x:v>0</x:v>
      </x:c>
      <x:c r="H47" s="34" t="n">
        <x:v>0</x:v>
      </x:c>
      <x:c r="I47" s="34" t="n">
        <x:f>SUM(F47:H47)</x:f>
        <x:v>5.75</x:v>
      </x:c>
      <x:c r="J47" s="22" t="str"/>
      <x:c r="K47" s="22" t="str"/>
      <x:c r="L47" s="22" t="str"/>
      <x:c r="M47" s="22" t="str">
        <x:v>일위대가목록</x:v>
      </x:c>
      <x:c r="N47" s="37" t="n">
        <x:v>46</x:v>
      </x:c>
      <x:c r="O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" s="22" t="str">
        <x:v>47d79c95e2c3273f84778935276c94526e369cc1b1bc057f6b03c998f44e253f</x:v>
      </x:c>
      <x:c r="Q47" s="22" t="str">
        <x:v>=E46+F46+G46</x:v>
      </x:c>
    </x:row>
    <x:row r="48">
      <x:c r="A48" s="22" t="str">
        <x:v>복합일위대가</x:v>
      </x:c>
      <x:c r="B48" s="22" t="str">
        <x:v>44822745FA7C21D7222D3870E361A</x:v>
      </x:c>
      <x:c r="C48" s="25" t="str">
        <x:v>Corner Reinforcement Waterproofing</x:v>
      </x:c>
      <x:c r="D48" s="25" t="str">
        <x:v>W:300</x:v>
      </x:c>
      <x:c r="E48" s="22" t="str">
        <x:v>M</x:v>
      </x:c>
      <x:c r="F48" s="34" t="n">
        <x:v>0.6</x:v>
      </x:c>
      <x:c r="G48" s="34" t="n">
        <x:v>0</x:v>
      </x:c>
      <x:c r="H48" s="34" t="n">
        <x:v>0</x:v>
      </x:c>
      <x:c r="I48" s="34" t="n">
        <x:f>SUM(F48:H48)</x:f>
        <x:v>0.6</x:v>
      </x:c>
      <x:c r="J48" s="22" t="str"/>
      <x:c r="K48" s="22" t="str"/>
      <x:c r="L48" s="22" t="str"/>
      <x:c r="M48" s="22" t="str">
        <x:v>일위대가목록</x:v>
      </x:c>
      <x:c r="N48" s="37" t="n">
        <x:v>47</x:v>
      </x:c>
      <x:c r="O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" s="22" t="str">
        <x:v>47d79c95e2c3273f84778935276c94526e369cc1b1bc057f6b03c998f44e253f</x:v>
      </x:c>
      <x:c r="Q48" s="22" t="str">
        <x:v>=E47+F47+G47</x:v>
      </x:c>
    </x:row>
    <x:row r="49">
      <x:c r="A49" s="22" t="str">
        <x:v>복합일위대가</x:v>
      </x:c>
      <x:c r="B49" s="22" t="str">
        <x:v>44822745FA7C21D7222D3870FDCBC</x:v>
      </x:c>
      <x:c r="C49" s="25" t="str">
        <x:v>Drain Reinforcement Waterproofing</x:v>
      </x:c>
      <x:c r="D49" s="25" t="str"/>
      <x:c r="E49" s="22" t="str">
        <x:v>EA</x:v>
      </x:c>
      <x:c r="F49" s="34" t="n">
        <x:v>0.21</x:v>
      </x:c>
      <x:c r="G49" s="34" t="n">
        <x:v>0</x:v>
      </x:c>
      <x:c r="H49" s="34" t="n">
        <x:v>0</x:v>
      </x:c>
      <x:c r="I49" s="34" t="n">
        <x:f>SUM(F49:H49)</x:f>
        <x:v>0.21</x:v>
      </x:c>
      <x:c r="J49" s="22" t="str"/>
      <x:c r="K49" s="22" t="str"/>
      <x:c r="L49" s="22" t="str"/>
      <x:c r="M49" s="22" t="str">
        <x:v>일위대가목록</x:v>
      </x:c>
      <x:c r="N49" s="37" t="n">
        <x:v>48</x:v>
      </x:c>
      <x:c r="O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" s="22" t="str">
        <x:v>47d79c95e2c3273f84778935276c94526e369cc1b1bc057f6b03c998f44e253f</x:v>
      </x:c>
      <x:c r="Q49" s="22" t="str">
        <x:v>=E48+F48+G48</x:v>
      </x:c>
    </x:row>
    <x:row r="50">
      <x:c r="A50" s="22" t="str">
        <x:v>복합일위대가</x:v>
      </x:c>
      <x:c r="B50" s="22" t="str">
        <x:v>448224421470A2F9A241EAE1B4AAA</x:v>
      </x:c>
      <x:c r="C50" s="25" t="str">
        <x:v>Roof Drain in roof area, Diameter 125mm</x:v>
      </x:c>
      <x:c r="D50" s="25" t="str"/>
      <x:c r="E50" s="22" t="str">
        <x:v>ea</x:v>
      </x:c>
      <x:c r="F50" s="34" t="n">
        <x:v>105.65</x:v>
      </x:c>
      <x:c r="G50" s="34" t="n">
        <x:v>13.76</x:v>
      </x:c>
      <x:c r="H50" s="34" t="n">
        <x:v>0</x:v>
      </x:c>
      <x:c r="I50" s="34" t="n">
        <x:f>SUM(F50:H50)</x:f>
        <x:v>119.41000000000001</x:v>
      </x:c>
      <x:c r="J50" s="22" t="str"/>
      <x:c r="K50" s="22" t="str"/>
      <x:c r="L50" s="22" t="str"/>
      <x:c r="M50" s="22" t="str">
        <x:v>일위대가목록</x:v>
      </x:c>
      <x:c r="N50" s="37" t="n">
        <x:v>49</x:v>
      </x:c>
      <x:c r="O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" s="22" t="str">
        <x:v>47d79c95e2c3273f84778935276c94526e369cc1b1bc057f6b03c998f44e253f</x:v>
      </x:c>
      <x:c r="Q50" s="22" t="str">
        <x:v>=E49+F49+G49</x:v>
      </x:c>
    </x:row>
    <x:row r="51">
      <x:c r="A51" s="22" t="str">
        <x:v>복합일위대가</x:v>
      </x:c>
      <x:c r="B51" s="22" t="str">
        <x:v>448224421470A2F9A241EAE1B4983</x:v>
      </x:c>
      <x:c r="C51" s="25" t="str">
        <x:v>SST Downspout Diameter 125mm</x:v>
      </x:c>
      <x:c r="D51" s="25" t="str"/>
      <x:c r="E51" s="22" t="str">
        <x:v>m</x:v>
      </x:c>
      <x:c r="F51" s="34" t="n">
        <x:v>16.57</x:v>
      </x:c>
      <x:c r="G51" s="34" t="n">
        <x:v>7.23</x:v>
      </x:c>
      <x:c r="H51" s="34" t="n">
        <x:v>0.13</x:v>
      </x:c>
      <x:c r="I51" s="34" t="n">
        <x:f>SUM(F51:H51)</x:f>
        <x:v>23.93</x:v>
      </x:c>
      <x:c r="J51" s="22" t="str"/>
      <x:c r="K51" s="22" t="str"/>
      <x:c r="L51" s="22" t="str"/>
      <x:c r="M51" s="22" t="str">
        <x:v>일위대가목록</x:v>
      </x:c>
      <x:c r="N51" s="37" t="n">
        <x:v>50</x:v>
      </x:c>
      <x:c r="O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" s="22" t="str">
        <x:v>47d79c95e2c3273f84778935276c94526e369cc1b1bc057f6b03c998f44e253f</x:v>
      </x:c>
      <x:c r="Q51" s="22" t="str">
        <x:v>=E50+F50+G50</x:v>
      </x:c>
    </x:row>
    <x:row r="52">
      <x:c r="A52" s="22" t="str">
        <x:v>복합일위대가</x:v>
      </x:c>
      <x:c r="B52" s="22" t="str">
        <x:v>448224421470A2F9A241EAE1B48FC</x:v>
      </x:c>
      <x:c r="C52" s="25" t="str">
        <x:v>Floor Drain in Wet Areas, Diameter 100mm</x:v>
      </x:c>
      <x:c r="D52" s="25" t="str"/>
      <x:c r="E52" s="22" t="str">
        <x:v>ea</x:v>
      </x:c>
      <x:c r="F52" s="34" t="n">
        <x:v>35</x:v>
      </x:c>
      <x:c r="G52" s="34" t="n">
        <x:v>0</x:v>
      </x:c>
      <x:c r="H52" s="34" t="n">
        <x:v>0</x:v>
      </x:c>
      <x:c r="I52" s="34" t="n">
        <x:f>SUM(F52:H52)</x:f>
        <x:v>35</x:v>
      </x:c>
      <x:c r="J52" s="22" t="str"/>
      <x:c r="K52" s="22" t="str"/>
      <x:c r="L52" s="22" t="str"/>
      <x:c r="M52" s="22" t="str">
        <x:v>일위대가목록</x:v>
      </x:c>
      <x:c r="N52" s="37" t="n">
        <x:v>51</x:v>
      </x:c>
      <x:c r="O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" s="22" t="str">
        <x:v>47d79c95e2c3273f84778935276c94526e369cc1b1bc057f6b03c998f44e253f</x:v>
      </x:c>
      <x:c r="Q52" s="22" t="str">
        <x:v>=E51+F51+G51</x:v>
      </x:c>
    </x:row>
    <x:row r="53">
      <x:c r="A53" s="22" t="str">
        <x:v>복합일위대가</x:v>
      </x:c>
      <x:c r="B53" s="22" t="str">
        <x:v>4482204864700D2772960003098B7</x:v>
      </x:c>
      <x:c r="C53" s="25" t="str">
        <x:v>Thick 9.5 suspended Gypsum Board 2Ply with Vinyl Paint on M-Bar System</x:v>
      </x:c>
      <x:c r="D53" s="25" t="str"/>
      <x:c r="E53" s="22" t="str">
        <x:v>M2</x:v>
      </x:c>
      <x:c r="F53" s="34" t="n">
        <x:v>16</x:v>
      </x:c>
      <x:c r="G53" s="34" t="n">
        <x:v>0</x:v>
      </x:c>
      <x:c r="H53" s="34" t="n">
        <x:v>0</x:v>
      </x:c>
      <x:c r="I53" s="34" t="n">
        <x:f>SUM(F53:H53)</x:f>
        <x:v>16</x:v>
      </x:c>
      <x:c r="J53" s="22" t="str"/>
      <x:c r="K53" s="22" t="str"/>
      <x:c r="L53" s="22" t="str"/>
      <x:c r="M53" s="22" t="str">
        <x:v>일위대가목록</x:v>
      </x:c>
      <x:c r="N53" s="37" t="n">
        <x:v>52</x:v>
      </x:c>
      <x:c r="O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" s="22" t="str">
        <x:v>47d79c95e2c3273f84778935276c94526e369cc1b1bc057f6b03c998f44e253f</x:v>
      </x:c>
      <x:c r="Q53" s="22" t="str">
        <x:v>=E52+F52+G52</x:v>
      </x:c>
    </x:row>
    <x:row r="54">
      <x:c r="A54" s="22" t="str">
        <x:v>복합일위대가</x:v>
      </x:c>
      <x:c r="B54" s="22" t="str">
        <x:v>4482204864700D277296000309B0B</x:v>
      </x:c>
      <x:c r="C54" s="25" t="str">
        <x:v>Thick 9.5 suspended Gypsum Board 2Ply with Anti-bacterial Paint on M-Bar System</x:v>
      </x:c>
      <x:c r="D54" s="25" t="str"/>
      <x:c r="E54" s="22" t="str">
        <x:v>M2</x:v>
      </x:c>
      <x:c r="F54" s="34" t="n">
        <x:v>13</x:v>
      </x:c>
      <x:c r="G54" s="34" t="n">
        <x:v>0</x:v>
      </x:c>
      <x:c r="H54" s="34" t="n">
        <x:v>0</x:v>
      </x:c>
      <x:c r="I54" s="34" t="n">
        <x:f>SUM(F54:H54)</x:f>
        <x:v>13</x:v>
      </x:c>
      <x:c r="J54" s="22" t="str"/>
      <x:c r="K54" s="22" t="str"/>
      <x:c r="L54" s="22" t="str"/>
      <x:c r="M54" s="22" t="str">
        <x:v>일위대가목록</x:v>
      </x:c>
      <x:c r="N54" s="37" t="n">
        <x:v>53</x:v>
      </x:c>
      <x:c r="O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" s="22" t="str">
        <x:v>47d79c95e2c3273f84778935276c94526e369cc1b1bc057f6b03c998f44e253f</x:v>
      </x:c>
      <x:c r="Q54" s="22" t="str">
        <x:v>=E53+F53+G53</x:v>
      </x:c>
    </x:row>
    <x:row r="55">
      <x:c r="A55" s="22" t="str">
        <x:v>복합일위대가</x:v>
      </x:c>
      <x:c r="B55" s="22" t="str">
        <x:v>4482254042708488C255237AA3726</x:v>
      </x:c>
      <x:c r="C55" s="25" t="str">
        <x:v>Steel Frame, Thicknes of 1.2mm with Enamel Paint</x:v>
      </x:c>
      <x:c r="D55" s="25" t="str">
        <x:v>60*200</x:v>
      </x:c>
      <x:c r="E55" s="22" t="str">
        <x:v>M</x:v>
      </x:c>
      <x:c r="F55" s="34" t="n">
        <x:v>5.91</x:v>
      </x:c>
      <x:c r="G55" s="34" t="n">
        <x:v>11.64</x:v>
      </x:c>
      <x:c r="H55" s="34" t="n">
        <x:v>0.43</x:v>
      </x:c>
      <x:c r="I55" s="34" t="n">
        <x:f>SUM(F55:H55)</x:f>
        <x:v>17.98</x:v>
      </x:c>
      <x:c r="J55" s="22" t="str"/>
      <x:c r="K55" s="22" t="str"/>
      <x:c r="L55" s="22" t="str"/>
      <x:c r="M55" s="22" t="str">
        <x:v>일위대가목록</x:v>
      </x:c>
      <x:c r="N55" s="37" t="n">
        <x:v>54</x:v>
      </x:c>
      <x:c r="O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" s="22" t="str">
        <x:v>47d79c95e2c3273f84778935276c94526e369cc1b1bc057f6b03c998f44e253f</x:v>
      </x:c>
      <x:c r="Q55" s="22" t="str">
        <x:v>=E54+F54+G54</x:v>
      </x:c>
    </x:row>
    <x:row r="56">
      <x:c r="A56" s="22" t="str">
        <x:v>복합일위대가</x:v>
      </x:c>
      <x:c r="B56" s="22" t="str">
        <x:v>4482254042708488C255237AA30F6</x:v>
      </x:c>
      <x:c r="C56" s="25" t="str">
        <x:v>Steel Frame, Thicknes of 1.2mm with Enamel Paint</x:v>
      </x:c>
      <x:c r="D56" s="25" t="str">
        <x:v>300*300</x:v>
      </x:c>
      <x:c r="E56" s="22" t="str">
        <x:v>M</x:v>
      </x:c>
      <x:c r="F56" s="34" t="n">
        <x:v>7.69</x:v>
      </x:c>
      <x:c r="G56" s="34" t="n">
        <x:v>15.19</x:v>
      </x:c>
      <x:c r="H56" s="34" t="n">
        <x:v>0.56</x:v>
      </x:c>
      <x:c r="I56" s="34" t="n">
        <x:f>SUM(F56:H56)</x:f>
        <x:v>23.439999999999998</x:v>
      </x:c>
      <x:c r="J56" s="22" t="str"/>
      <x:c r="K56" s="22" t="str"/>
      <x:c r="L56" s="22" t="str"/>
      <x:c r="M56" s="22" t="str">
        <x:v>일위대가목록</x:v>
      </x:c>
      <x:c r="N56" s="37" t="n">
        <x:v>55</x:v>
      </x:c>
      <x:c r="O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" s="22" t="str">
        <x:v>47d79c95e2c3273f84778935276c94526e369cc1b1bc057f6b03c998f44e253f</x:v>
      </x:c>
      <x:c r="Q56" s="22" t="str">
        <x:v>=E55+F55+G55</x:v>
      </x:c>
    </x:row>
    <x:row r="57">
      <x:c r="A57" s="22" t="str">
        <x:v>복합일위대가</x:v>
      </x:c>
      <x:c r="B57" s="22" t="str">
        <x:v>4482254042708488C255237AA319D</x:v>
      </x:c>
      <x:c r="C57" s="25" t="str">
        <x:v>Steel Frame, Thicknes of 1.6mm with Enamel Paint</x:v>
      </x:c>
      <x:c r="D57" s="25" t="str">
        <x:v>500*300</x:v>
      </x:c>
      <x:c r="E57" s="22" t="str">
        <x:v>M</x:v>
      </x:c>
      <x:c r="F57" s="34" t="n">
        <x:v>14.97</x:v>
      </x:c>
      <x:c r="G57" s="34" t="n">
        <x:v>32.37</x:v>
      </x:c>
      <x:c r="H57" s="34" t="n">
        <x:v>1.23</x:v>
      </x:c>
      <x:c r="I57" s="34" t="n">
        <x:f>SUM(F57:H57)</x:f>
        <x:v>48.56999999999999</x:v>
      </x:c>
      <x:c r="J57" s="22" t="str"/>
      <x:c r="K57" s="22" t="str"/>
      <x:c r="L57" s="22" t="str"/>
      <x:c r="M57" s="22" t="str">
        <x:v>일위대가목록</x:v>
      </x:c>
      <x:c r="N57" s="37" t="n">
        <x:v>56</x:v>
      </x:c>
      <x:c r="O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" s="22" t="str">
        <x:v>47d79c95e2c3273f84778935276c94526e369cc1b1bc057f6b03c998f44e253f</x:v>
      </x:c>
      <x:c r="Q57" s="22" t="str">
        <x:v>=E56+F56+G56</x:v>
      </x:c>
    </x:row>
    <x:row r="58">
      <x:c r="A58" s="22" t="str">
        <x:v>복합일위대가</x:v>
      </x:c>
      <x:c r="B58" s="22" t="str">
        <x:v>44822048E975DE1D9278198E7A89C</x:v>
      </x:c>
      <x:c r="C58" s="25" t="str">
        <x:v>AL moulding W-type,15*15*15*15*1.0mm</x:v>
      </x:c>
      <x:c r="D58" s="25" t="str"/>
      <x:c r="E58" s="22" t="str">
        <x:v>M</x:v>
      </x:c>
      <x:c r="F58" s="34" t="n">
        <x:v>2.23</x:v>
      </x:c>
      <x:c r="G58" s="34" t="n">
        <x:v>2.57</x:v>
      </x:c>
      <x:c r="H58" s="34" t="n">
        <x:v>0</x:v>
      </x:c>
      <x:c r="I58" s="34" t="n">
        <x:f>SUM(F58:H58)</x:f>
        <x:v>4.8</x:v>
      </x:c>
      <x:c r="J58" s="22" t="str"/>
      <x:c r="K58" s="22" t="str"/>
      <x:c r="L58" s="22" t="str"/>
      <x:c r="M58" s="22" t="str">
        <x:v>일위대가목록</x:v>
      </x:c>
      <x:c r="N58" s="37" t="n">
        <x:v>57</x:v>
      </x:c>
      <x:c r="O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" s="22" t="str">
        <x:v>47d79c95e2c3273f84778935276c94526e369cc1b1bc057f6b03c998f44e253f</x:v>
      </x:c>
      <x:c r="Q58" s="22" t="str">
        <x:v>=E57+F57+G57</x:v>
      </x:c>
    </x:row>
    <x:row r="59">
      <x:c r="A59" s="22" t="str">
        <x:v>복합일위대가</x:v>
      </x:c>
      <x:c r="B59" s="22" t="str">
        <x:v>44822048E975DE1D9278198E7AB50</x:v>
      </x:c>
      <x:c r="C59" s="25" t="str">
        <x:v>AL moulding Round-type, 50*50*1.3mm</x:v>
      </x:c>
      <x:c r="D59" s="25" t="str"/>
      <x:c r="E59" s="22" t="str">
        <x:v>M</x:v>
      </x:c>
      <x:c r="F59" s="34" t="n">
        <x:v>2.4</x:v>
      </x:c>
      <x:c r="G59" s="34" t="n">
        <x:v>2.57</x:v>
      </x:c>
      <x:c r="H59" s="34" t="n">
        <x:v>0</x:v>
      </x:c>
      <x:c r="I59" s="34" t="n">
        <x:f>SUM(F59:H59)</x:f>
        <x:v>4.97</x:v>
      </x:c>
      <x:c r="J59" s="22" t="str"/>
      <x:c r="K59" s="22" t="str"/>
      <x:c r="L59" s="22" t="str"/>
      <x:c r="M59" s="22" t="str">
        <x:v>일위대가목록</x:v>
      </x:c>
      <x:c r="N59" s="37" t="n">
        <x:v>58</x:v>
      </x:c>
      <x:c r="O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" s="22" t="str">
        <x:v>47d79c95e2c3273f84778935276c94526e369cc1b1bc057f6b03c998f44e253f</x:v>
      </x:c>
      <x:c r="Q59" s="22" t="str">
        <x:v>=E58+F58+G58</x:v>
      </x:c>
    </x:row>
    <x:row r="60">
      <x:c r="A60" s="22" t="str">
        <x:v>복합일위대가</x:v>
      </x:c>
      <x:c r="B60" s="22" t="str">
        <x:v>4482284B7870782B32642A2276CCE</x:v>
      </x:c>
      <x:c r="C60" s="25" t="str">
        <x:v>Tile Corner Guard</x:v>
      </x:c>
      <x:c r="D60" s="25" t="str">
        <x:v>Stainless Steel 1.2t*30*30(Caulking 5*5)</x:v>
      </x:c>
      <x:c r="E60" s="22" t="str">
        <x:v>M</x:v>
      </x:c>
      <x:c r="F60" s="34" t="n">
        <x:v>4.13</x:v>
      </x:c>
      <x:c r="G60" s="34" t="n">
        <x:v>6.57</x:v>
      </x:c>
      <x:c r="H60" s="34" t="n">
        <x:v>0.17</x:v>
      </x:c>
      <x:c r="I60" s="34" t="n">
        <x:f>SUM(F60:H60)</x:f>
        <x:v>10.87</x:v>
      </x:c>
      <x:c r="J60" s="22" t="str"/>
      <x:c r="K60" s="22" t="str"/>
      <x:c r="L60" s="22" t="str"/>
      <x:c r="M60" s="22" t="str">
        <x:v>일위대가목록</x:v>
      </x:c>
      <x:c r="N60" s="37" t="n">
        <x:v>59</x:v>
      </x:c>
      <x:c r="O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" s="22" t="str">
        <x:v>47d79c95e2c3273f84778935276c94526e369cc1b1bc057f6b03c998f44e253f</x:v>
      </x:c>
      <x:c r="Q60" s="22" t="str">
        <x:v>=E59+F59+G59</x:v>
      </x:c>
    </x:row>
    <x:row r="61">
      <x:c r="A61" s="22" t="str">
        <x:v>복합일위대가</x:v>
      </x:c>
      <x:c r="B61" s="22" t="str">
        <x:v>44822540B573CE783226E40F9A622</x:v>
      </x:c>
      <x:c r="C61" s="25" t="str">
        <x:v>Supply and SST Cat Ladder in Roof, 400mm x 5000mm high</x:v>
      </x:c>
      <x:c r="D61" s="25" t="str"/>
      <x:c r="E61" s="22" t="str">
        <x:v>EA</x:v>
      </x:c>
      <x:c r="F61" s="34" t="n">
        <x:v>114.4</x:v>
      </x:c>
      <x:c r="G61" s="34" t="n">
        <x:v>53.05</x:v>
      </x:c>
      <x:c r="H61" s="34" t="n">
        <x:v>2.15</x:v>
      </x:c>
      <x:c r="I61" s="34" t="n">
        <x:f>SUM(F61:H61)</x:f>
        <x:v>169.6</x:v>
      </x:c>
      <x:c r="J61" s="22" t="str"/>
      <x:c r="K61" s="22" t="str"/>
      <x:c r="L61" s="22" t="str"/>
      <x:c r="M61" s="22" t="str">
        <x:v>일위대가목록</x:v>
      </x:c>
      <x:c r="N61" s="37" t="n">
        <x:v>60</x:v>
      </x:c>
      <x:c r="O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" s="22" t="str">
        <x:v>47d79c95e2c3273f84778935276c94526e369cc1b1bc057f6b03c998f44e253f</x:v>
      </x:c>
      <x:c r="Q61" s="22" t="str">
        <x:v>=E60+F60+G60</x:v>
      </x:c>
    </x:row>
    <x:row r="62">
      <x:c r="A62" s="22" t="str">
        <x:v>복합일위대가</x:v>
      </x:c>
      <x:c r="B62" s="22" t="str">
        <x:v>44822540B573CE783226E40F9A474</x:v>
      </x:c>
      <x:c r="C62" s="25" t="str">
        <x:v>Supply and fixed of SST Ladder in E.V pit</x:v>
      </x:c>
      <x:c r="D62" s="25" t="str">
        <x:v>400mm x 3.15m high</x:v>
      </x:c>
      <x:c r="E62" s="22" t="str">
        <x:v>EA</x:v>
      </x:c>
      <x:c r="F62" s="34" t="n">
        <x:v>72.08</x:v>
      </x:c>
      <x:c r="G62" s="34" t="n">
        <x:v>33.43</x:v>
      </x:c>
      <x:c r="H62" s="34" t="n">
        <x:v>1.36</x:v>
      </x:c>
      <x:c r="I62" s="34" t="n">
        <x:f>SUM(F62:H62)</x:f>
        <x:v>106.86999999999999</x:v>
      </x:c>
      <x:c r="J62" s="22" t="str"/>
      <x:c r="K62" s="22" t="str"/>
      <x:c r="L62" s="22" t="str"/>
      <x:c r="M62" s="22" t="str">
        <x:v>일위대가목록</x:v>
      </x:c>
      <x:c r="N62" s="37" t="n">
        <x:v>61</x:v>
      </x:c>
      <x:c r="O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" s="22" t="str">
        <x:v>47d79c95e2c3273f84778935276c94526e369cc1b1bc057f6b03c998f44e253f</x:v>
      </x:c>
      <x:c r="Q62" s="22" t="str">
        <x:v>=E61+F61+G61</x:v>
      </x:c>
    </x:row>
    <x:row r="63">
      <x:c r="A63" s="22" t="str">
        <x:v>복합일위대가</x:v>
      </x:c>
      <x:c r="B63" s="22" t="str">
        <x:v>44822540A47860F2421589785981A</x:v>
      </x:c>
      <x:c r="C63" s="25" t="str">
        <x:v>HR-1</x:v>
      </x:c>
      <x:c r="D63" s="25" t="str"/>
      <x:c r="E63" s="22" t="str">
        <x:v>M</x:v>
      </x:c>
      <x:c r="F63" s="34" t="n">
        <x:v>80.13</x:v>
      </x:c>
      <x:c r="G63" s="34" t="n">
        <x:v>38.64</x:v>
      </x:c>
      <x:c r="H63" s="34" t="n">
        <x:v>0.3</x:v>
      </x:c>
      <x:c r="I63" s="34" t="n">
        <x:f>SUM(F63:H63)</x:f>
        <x:v>119.07</x:v>
      </x:c>
      <x:c r="J63" s="22" t="str"/>
      <x:c r="K63" s="22" t="str"/>
      <x:c r="L63" s="22" t="str"/>
      <x:c r="M63" s="22" t="str">
        <x:v>일위대가목록</x:v>
      </x:c>
      <x:c r="N63" s="37" t="n">
        <x:v>62</x:v>
      </x:c>
      <x:c r="O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" s="22" t="str">
        <x:v>47d79c95e2c3273f84778935276c94526e369cc1b1bc057f6b03c998f44e253f</x:v>
      </x:c>
      <x:c r="Q63" s="22" t="str">
        <x:v>=E62+F62+G62</x:v>
      </x:c>
    </x:row>
    <x:row r="64">
      <x:c r="A64" s="22" t="str">
        <x:v>복합일위대가</x:v>
      </x:c>
      <x:c r="B64" s="22" t="str">
        <x:v>44822540A47860F24215897859BEE</x:v>
      </x:c>
      <x:c r="C64" s="25" t="str">
        <x:v>HR-2</x:v>
      </x:c>
      <x:c r="D64" s="25" t="str"/>
      <x:c r="E64" s="22" t="str">
        <x:v>M</x:v>
      </x:c>
      <x:c r="F64" s="34" t="n">
        <x:v>58.34</x:v>
      </x:c>
      <x:c r="G64" s="34" t="n">
        <x:v>115.97</x:v>
      </x:c>
      <x:c r="H64" s="34" t="n">
        <x:v>5.15</x:v>
      </x:c>
      <x:c r="I64" s="34" t="n">
        <x:f>SUM(F64:H64)</x:f>
        <x:v>179.46</x:v>
      </x:c>
      <x:c r="J64" s="22" t="str"/>
      <x:c r="K64" s="22" t="str"/>
      <x:c r="L64" s="22" t="str"/>
      <x:c r="M64" s="22" t="str">
        <x:v>일위대가목록</x:v>
      </x:c>
      <x:c r="N64" s="37" t="n">
        <x:v>63</x:v>
      </x:c>
      <x:c r="O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" s="22" t="str">
        <x:v>47d79c95e2c3273f84778935276c94526e369cc1b1bc057f6b03c998f44e253f</x:v>
      </x:c>
      <x:c r="Q64" s="22" t="str">
        <x:v>=E63+F63+G63</x:v>
      </x:c>
    </x:row>
    <x:row r="65">
      <x:c r="A65" s="22" t="str">
        <x:v>복합일위대가</x:v>
      </x:c>
      <x:c r="B65" s="22" t="str">
        <x:v>44822540A47860F24215897859AC7</x:v>
      </x:c>
      <x:c r="C65" s="25" t="str">
        <x:v>HR-3</x:v>
      </x:c>
      <x:c r="D65" s="25" t="str"/>
      <x:c r="E65" s="22" t="str">
        <x:v>M</x:v>
      </x:c>
      <x:c r="F65" s="34" t="n">
        <x:v>44.72</x:v>
      </x:c>
      <x:c r="G65" s="34" t="n">
        <x:v>90.18</x:v>
      </x:c>
      <x:c r="H65" s="34" t="n">
        <x:v>3.97</x:v>
      </x:c>
      <x:c r="I65" s="34" t="n">
        <x:f>SUM(F65:H65)</x:f>
        <x:v>138.87</x:v>
      </x:c>
      <x:c r="J65" s="22" t="str"/>
      <x:c r="K65" s="22" t="str"/>
      <x:c r="L65" s="22" t="str"/>
      <x:c r="M65" s="22" t="str">
        <x:v>일위대가목록</x:v>
      </x:c>
      <x:c r="N65" s="37" t="n">
        <x:v>64</x:v>
      </x:c>
      <x:c r="O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5" s="22" t="str">
        <x:v>47d79c95e2c3273f84778935276c94526e369cc1b1bc057f6b03c998f44e253f</x:v>
      </x:c>
      <x:c r="Q65" s="22" t="str">
        <x:v>=E64+F64+G64</x:v>
      </x:c>
    </x:row>
    <x:row r="66">
      <x:c r="A66" s="22" t="str">
        <x:v>복합일위대가</x:v>
      </x:c>
      <x:c r="B66" s="22" t="str">
        <x:v>44822540A47860F24215897859D9C</x:v>
      </x:c>
      <x:c r="C66" s="25" t="str">
        <x:v>HR-4</x:v>
      </x:c>
      <x:c r="D66" s="25" t="str"/>
      <x:c r="E66" s="22" t="str">
        <x:v>M</x:v>
      </x:c>
      <x:c r="F66" s="34" t="n">
        <x:v>16.95</x:v>
      </x:c>
      <x:c r="G66" s="34" t="n">
        <x:v>19.13</x:v>
      </x:c>
      <x:c r="H66" s="34" t="n">
        <x:v>0.9</x:v>
      </x:c>
      <x:c r="I66" s="34" t="n">
        <x:f>SUM(F66:H66)</x:f>
        <x:v>36.98</x:v>
      </x:c>
      <x:c r="J66" s="22" t="str"/>
      <x:c r="K66" s="22" t="str"/>
      <x:c r="L66" s="22" t="str"/>
      <x:c r="M66" s="22" t="str">
        <x:v>일위대가목록</x:v>
      </x:c>
      <x:c r="N66" s="37" t="n">
        <x:v>65</x:v>
      </x:c>
      <x:c r="O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6" s="22" t="str">
        <x:v>47d79c95e2c3273f84778935276c94526e369cc1b1bc057f6b03c998f44e253f</x:v>
      </x:c>
      <x:c r="Q66" s="22" t="str">
        <x:v>=E65+F65+G65</x:v>
      </x:c>
    </x:row>
    <x:row r="67">
      <x:c r="A67" s="22" t="str">
        <x:v>복합일위대가</x:v>
      </x:c>
      <x:c r="B67" s="22" t="str">
        <x:v>44822540A47860F24215897859CF5</x:v>
      </x:c>
      <x:c r="C67" s="25" t="str">
        <x:v>HR-5</x:v>
      </x:c>
      <x:c r="D67" s="25" t="str"/>
      <x:c r="E67" s="22" t="str">
        <x:v>M</x:v>
      </x:c>
      <x:c r="F67" s="34" t="n">
        <x:v>17.29</x:v>
      </x:c>
      <x:c r="G67" s="34" t="n">
        <x:v>9.06</x:v>
      </x:c>
      <x:c r="H67" s="34" t="n">
        <x:v>0.22</x:v>
      </x:c>
      <x:c r="I67" s="34" t="n">
        <x:f>SUM(F67:H67)</x:f>
        <x:v>26.57</x:v>
      </x:c>
      <x:c r="J67" s="22" t="str"/>
      <x:c r="K67" s="22" t="str"/>
      <x:c r="L67" s="22" t="str"/>
      <x:c r="M67" s="22" t="str">
        <x:v>일위대가목록</x:v>
      </x:c>
      <x:c r="N67" s="37" t="n">
        <x:v>66</x:v>
      </x:c>
      <x:c r="O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7" s="22" t="str">
        <x:v>47d79c95e2c3273f84778935276c94526e369cc1b1bc057f6b03c998f44e253f</x:v>
      </x:c>
      <x:c r="Q67" s="22" t="str">
        <x:v>=E66+F66+G66</x:v>
      </x:c>
    </x:row>
    <x:row r="68">
      <x:c r="A68" s="22" t="str">
        <x:v>복합일위대가</x:v>
      </x:c>
      <x:c r="B68" s="22" t="str">
        <x:v>44822540A47860F24215897859F49</x:v>
      </x:c>
      <x:c r="C68" s="25" t="str">
        <x:v>HR-6</x:v>
      </x:c>
      <x:c r="D68" s="25" t="str"/>
      <x:c r="E68" s="22" t="str">
        <x:v>M</x:v>
      </x:c>
      <x:c r="F68" s="34" t="n">
        <x:v>58.34</x:v>
      </x:c>
      <x:c r="G68" s="34" t="n">
        <x:v>115.97</x:v>
      </x:c>
      <x:c r="H68" s="34" t="n">
        <x:v>5.15</x:v>
      </x:c>
      <x:c r="I68" s="34" t="n">
        <x:f>SUM(F68:H68)</x:f>
        <x:v>179.46</x:v>
      </x:c>
      <x:c r="J68" s="22" t="str"/>
      <x:c r="K68" s="22" t="str"/>
      <x:c r="L68" s="22" t="str"/>
      <x:c r="M68" s="22" t="str">
        <x:v>일위대가목록</x:v>
      </x:c>
      <x:c r="N68" s="37" t="n">
        <x:v>67</x:v>
      </x:c>
      <x:c r="O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8" s="22" t="str">
        <x:v>47d79c95e2c3273f84778935276c94526e369cc1b1bc057f6b03c998f44e253f</x:v>
      </x:c>
      <x:c r="Q68" s="22" t="str">
        <x:v>=E67+F67+G67</x:v>
      </x:c>
    </x:row>
    <x:row r="69">
      <x:c r="A69" s="22" t="str">
        <x:v>복합일위대가</x:v>
      </x:c>
      <x:c r="B69" s="22" t="str">
        <x:v>44822540D17E8D4602588173AE071</x:v>
      </x:c>
      <x:c r="C69" s="25" t="str">
        <x:v>Supply and fixed of Wiremesh On Floor, #8-150*150</x:v>
      </x:c>
      <x:c r="D69" s="25" t="str"/>
      <x:c r="E69" s="22" t="str">
        <x:v>M2</x:v>
      </x:c>
      <x:c r="F69" s="34" t="n">
        <x:v>6</x:v>
      </x:c>
      <x:c r="G69" s="34" t="n">
        <x:v>0</x:v>
      </x:c>
      <x:c r="H69" s="34" t="n">
        <x:v>0</x:v>
      </x:c>
      <x:c r="I69" s="34" t="n">
        <x:f>SUM(F69:H69)</x:f>
        <x:v>6</x:v>
      </x:c>
      <x:c r="J69" s="22" t="str"/>
      <x:c r="K69" s="22" t="str"/>
      <x:c r="L69" s="22" t="str"/>
      <x:c r="M69" s="22" t="str">
        <x:v>일위대가목록</x:v>
      </x:c>
      <x:c r="N69" s="37" t="n">
        <x:v>68</x:v>
      </x:c>
      <x:c r="O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9" s="22" t="str">
        <x:v>47d79c95e2c3273f84778935276c94526e369cc1b1bc057f6b03c998f44e253f</x:v>
      </x:c>
      <x:c r="Q69" s="22" t="str">
        <x:v>=E68+F68+G68</x:v>
      </x:c>
    </x:row>
    <x:row r="70">
      <x:c r="A70" s="22" t="str">
        <x:v>복합일위대가</x:v>
      </x:c>
      <x:c r="B70" s="22" t="str">
        <x:v>44822540E277AD1B92F0277963016</x:v>
      </x:c>
      <x:c r="C70" s="25" t="str">
        <x:v>Supply and fixed of Steel cover</x:v>
      </x:c>
      <x:c r="D70" s="25" t="str">
        <x:v>T4.5 STL CHECKERED PL 1000*1000</x:v>
      </x:c>
      <x:c r="E70" s="22" t="str">
        <x:v>EA</x:v>
      </x:c>
      <x:c r="F70" s="34" t="n">
        <x:v>53.85</x:v>
      </x:c>
      <x:c r="G70" s="34" t="n">
        <x:v>105.12</x:v>
      </x:c>
      <x:c r="H70" s="34" t="n">
        <x:v>4.39</x:v>
      </x:c>
      <x:c r="I70" s="34" t="n">
        <x:f>SUM(F70:H70)</x:f>
        <x:v>163.35999999999999</x:v>
      </x:c>
      <x:c r="J70" s="22" t="str"/>
      <x:c r="K70" s="22" t="str"/>
      <x:c r="L70" s="22" t="str"/>
      <x:c r="M70" s="22" t="str">
        <x:v>일위대가목록</x:v>
      </x:c>
      <x:c r="N70" s="37" t="n">
        <x:v>69</x:v>
      </x:c>
      <x:c r="O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0" s="22" t="str">
        <x:v>47d79c95e2c3273f84778935276c94526e369cc1b1bc057f6b03c998f44e253f</x:v>
      </x:c>
      <x:c r="Q70" s="22" t="str">
        <x:v>=E69+F69+G69</x:v>
      </x:c>
    </x:row>
    <x:row r="71">
      <x:c r="A71" s="22" t="str">
        <x:v>복합일위대가</x:v>
      </x:c>
      <x:c r="B71" s="22" t="str">
        <x:v>44822540E2707C9F62530C63082EE</x:v>
      </x:c>
      <x:c r="C71" s="25" t="str">
        <x:v>Open Trench</x:v>
      </x:c>
      <x:c r="D71" s="25" t="str">
        <x:v>TWO SIDE, L-25*25*3t Galvanized</x:v>
      </x:c>
      <x:c r="E71" s="22" t="str">
        <x:v>M</x:v>
      </x:c>
      <x:c r="F71" s="34" t="n">
        <x:v>2.92</x:v>
      </x:c>
      <x:c r="G71" s="34" t="n">
        <x:v>5.08</x:v>
      </x:c>
      <x:c r="H71" s="34" t="n">
        <x:v>0.26</x:v>
      </x:c>
      <x:c r="I71" s="34" t="n">
        <x:f>SUM(F71:H71)</x:f>
        <x:v>8.26</x:v>
      </x:c>
      <x:c r="J71" s="22" t="str"/>
      <x:c r="K71" s="22" t="str"/>
      <x:c r="L71" s="22" t="str"/>
      <x:c r="M71" s="22" t="str">
        <x:v>일위대가목록</x:v>
      </x:c>
      <x:c r="N71" s="37" t="n">
        <x:v>70</x:v>
      </x:c>
      <x:c r="O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1" s="22" t="str">
        <x:v>47d79c95e2c3273f84778935276c94526e369cc1b1bc057f6b03c998f44e253f</x:v>
      </x:c>
      <x:c r="Q71" s="22" t="str">
        <x:v>=E70+F70+G70</x:v>
      </x:c>
    </x:row>
    <x:row r="72">
      <x:c r="A72" s="22" t="str">
        <x:v>복합일위대가</x:v>
      </x:c>
      <x:c r="B72" s="22" t="str">
        <x:v>4482254042708488C255237DA7814</x:v>
      </x:c>
      <x:c r="C72" s="25" t="str">
        <x:v>P.V.D.F coated Aluminum Sheet, Thicknes of 0.7mm</x:v>
      </x:c>
      <x:c r="D72" s="25" t="str"/>
      <x:c r="E72" s="22" t="str">
        <x:v>M2</x:v>
      </x:c>
      <x:c r="F72" s="34" t="n">
        <x:v>159.67</x:v>
      </x:c>
      <x:c r="G72" s="34" t="n">
        <x:v>0</x:v>
      </x:c>
      <x:c r="H72" s="34" t="n">
        <x:v>0</x:v>
      </x:c>
      <x:c r="I72" s="34" t="n">
        <x:f>SUM(F72:H72)</x:f>
        <x:v>159.67</x:v>
      </x:c>
      <x:c r="J72" s="22" t="str"/>
      <x:c r="K72" s="22" t="str"/>
      <x:c r="L72" s="22" t="str"/>
      <x:c r="M72" s="22" t="str">
        <x:v>일위대가목록</x:v>
      </x:c>
      <x:c r="N72" s="37" t="n">
        <x:v>71</x:v>
      </x:c>
      <x:c r="O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2" s="22" t="str">
        <x:v>47d79c95e2c3273f84778935276c94526e369cc1b1bc057f6b03c998f44e253f</x:v>
      </x:c>
      <x:c r="Q72" s="22" t="str">
        <x:v>=E71+F71+G71</x:v>
      </x:c>
    </x:row>
    <x:row r="73">
      <x:c r="A73" s="22" t="str">
        <x:v>복합일위대가</x:v>
      </x:c>
      <x:c r="B73" s="22" t="str">
        <x:v>4482254042708488C255237DA793B</x:v>
      </x:c>
      <x:c r="C73" s="25" t="str">
        <x:v>AL SHEET FLASHING</x:v>
      </x:c>
      <x:c r="D73" s="25" t="str">
        <x:v>100*400</x:v>
      </x:c>
      <x:c r="E73" s="22" t="str">
        <x:v>M</x:v>
      </x:c>
      <x:c r="F73" s="34" t="n">
        <x:v>113.37</x:v>
      </x:c>
      <x:c r="G73" s="34" t="n">
        <x:v>0</x:v>
      </x:c>
      <x:c r="H73" s="34" t="n">
        <x:v>0</x:v>
      </x:c>
      <x:c r="I73" s="34" t="n">
        <x:f>SUM(F73:H73)</x:f>
        <x:v>113.37</x:v>
      </x:c>
      <x:c r="J73" s="22" t="str"/>
      <x:c r="K73" s="22" t="str"/>
      <x:c r="L73" s="22" t="str"/>
      <x:c r="M73" s="22" t="str">
        <x:v>일위대가목록</x:v>
      </x:c>
      <x:c r="N73" s="37" t="n">
        <x:v>72</x:v>
      </x:c>
      <x:c r="O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3" s="22" t="str">
        <x:v>47d79c95e2c3273f84778935276c94526e369cc1b1bc057f6b03c998f44e253f</x:v>
      </x:c>
      <x:c r="Q73" s="22" t="str">
        <x:v>=E72+F72+G72</x:v>
      </x:c>
    </x:row>
    <x:row r="74">
      <x:c r="A74" s="22" t="str">
        <x:v>복합일위대가</x:v>
      </x:c>
      <x:c r="B74" s="22" t="str">
        <x:v>4482254042708488C255237DA7AC2</x:v>
      </x:c>
      <x:c r="C74" s="25" t="str">
        <x:v>AL SHEET FLASHING</x:v>
      </x:c>
      <x:c r="D74" s="25" t="str">
        <x:v>100*300</x:v>
      </x:c>
      <x:c r="E74" s="22" t="str">
        <x:v>M</x:v>
      </x:c>
      <x:c r="F74" s="34" t="n">
        <x:v>86.23</x:v>
      </x:c>
      <x:c r="G74" s="34" t="n">
        <x:v>0</x:v>
      </x:c>
      <x:c r="H74" s="34" t="n">
        <x:v>0</x:v>
      </x:c>
      <x:c r="I74" s="34" t="n">
        <x:f>SUM(F74:H74)</x:f>
        <x:v>86.23</x:v>
      </x:c>
      <x:c r="J74" s="22" t="str"/>
      <x:c r="K74" s="22" t="str"/>
      <x:c r="L74" s="22" t="str"/>
      <x:c r="M74" s="22" t="str">
        <x:v>일위대가목록</x:v>
      </x:c>
      <x:c r="N74" s="37" t="n">
        <x:v>73</x:v>
      </x:c>
      <x:c r="O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4" s="22" t="str">
        <x:v>47d79c95e2c3273f84778935276c94526e369cc1b1bc057f6b03c998f44e253f</x:v>
      </x:c>
      <x:c r="Q74" s="22" t="str">
        <x:v>=E73+F73+G73</x:v>
      </x:c>
    </x:row>
    <x:row r="75">
      <x:c r="A75" s="22" t="str">
        <x:v>복합일위대가</x:v>
      </x:c>
      <x:c r="B75" s="22" t="str">
        <x:v>4482254042708488C255237DA7BE9</x:v>
      </x:c>
      <x:c r="C75" s="25" t="str">
        <x:v>AL SHEET FLASHING</x:v>
      </x:c>
      <x:c r="D75" s="25" t="str">
        <x:v>100*520</x:v>
      </x:c>
      <x:c r="E75" s="22" t="str">
        <x:v>M</x:v>
      </x:c>
      <x:c r="F75" s="34" t="n">
        <x:v>132.53</x:v>
      </x:c>
      <x:c r="G75" s="34" t="n">
        <x:v>0</x:v>
      </x:c>
      <x:c r="H75" s="34" t="n">
        <x:v>0</x:v>
      </x:c>
      <x:c r="I75" s="34" t="n">
        <x:f>SUM(F75:H75)</x:f>
        <x:v>132.53</x:v>
      </x:c>
      <x:c r="J75" s="22" t="str"/>
      <x:c r="K75" s="22" t="str"/>
      <x:c r="L75" s="22" t="str"/>
      <x:c r="M75" s="22" t="str">
        <x:v>일위대가목록</x:v>
      </x:c>
      <x:c r="N75" s="37" t="n">
        <x:v>74</x:v>
      </x:c>
      <x:c r="O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5" s="22" t="str">
        <x:v>47d79c95e2c3273f84778935276c94526e369cc1b1bc057f6b03c998f44e253f</x:v>
      </x:c>
      <x:c r="Q75" s="22" t="str">
        <x:v>=E74+F74+G74</x:v>
      </x:c>
    </x:row>
    <x:row r="76">
      <x:c r="A76" s="22" t="str">
        <x:v>복합일위대가</x:v>
      </x:c>
      <x:c r="B76" s="22" t="str">
        <x:v>4482254042708488C255237DA7C8F</x:v>
      </x:c>
      <x:c r="C76" s="25" t="str">
        <x:v>AL SHEET FLASHING</x:v>
      </x:c>
      <x:c r="D76" s="25" t="str">
        <x:v>100*650</x:v>
      </x:c>
      <x:c r="E76" s="22" t="str">
        <x:v>M</x:v>
      </x:c>
      <x:c r="F76" s="34" t="n">
        <x:v>143.71</x:v>
      </x:c>
      <x:c r="G76" s="34" t="n">
        <x:v>0</x:v>
      </x:c>
      <x:c r="H76" s="34" t="n">
        <x:v>0</x:v>
      </x:c>
      <x:c r="I76" s="34" t="n">
        <x:f>SUM(F76:H76)</x:f>
        <x:v>143.71</x:v>
      </x:c>
      <x:c r="J76" s="22" t="str"/>
      <x:c r="K76" s="22" t="str"/>
      <x:c r="L76" s="22" t="str"/>
      <x:c r="M76" s="22" t="str">
        <x:v>일위대가목록</x:v>
      </x:c>
      <x:c r="N76" s="37" t="n">
        <x:v>75</x:v>
      </x:c>
      <x:c r="O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6" s="22" t="str">
        <x:v>47d79c95e2c3273f84778935276c94526e369cc1b1bc057f6b03c998f44e253f</x:v>
      </x:c>
      <x:c r="Q76" s="22" t="str">
        <x:v>=E75+F75+G75</x:v>
      </x:c>
    </x:row>
    <x:row r="77">
      <x:c r="A77" s="22" t="str">
        <x:v>복합일위대가</x:v>
      </x:c>
      <x:c r="B77" s="22" t="str">
        <x:v>4482254042708488C255237DA7D96</x:v>
      </x:c>
      <x:c r="C77" s="25" t="str">
        <x:v>AL MOULDING</x:v>
      </x:c>
      <x:c r="D77" s="25" t="str">
        <x:v>W=50</x:v>
      </x:c>
      <x:c r="E77" s="22" t="str">
        <x:v>M</x:v>
      </x:c>
      <x:c r="F77" s="34" t="n">
        <x:v>19.17</x:v>
      </x:c>
      <x:c r="G77" s="34" t="n">
        <x:v>0</x:v>
      </x:c>
      <x:c r="H77" s="34" t="n">
        <x:v>0</x:v>
      </x:c>
      <x:c r="I77" s="34" t="n">
        <x:f>SUM(F77:H77)</x:f>
        <x:v>19.17</x:v>
      </x:c>
      <x:c r="J77" s="22" t="str"/>
      <x:c r="K77" s="22" t="str"/>
      <x:c r="L77" s="22" t="str"/>
      <x:c r="M77" s="22" t="str">
        <x:v>일위대가목록</x:v>
      </x:c>
      <x:c r="N77" s="37" t="n">
        <x:v>76</x:v>
      </x:c>
      <x:c r="O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7" s="22" t="str">
        <x:v>47d79c95e2c3273f84778935276c94526e369cc1b1bc057f6b03c998f44e253f</x:v>
      </x:c>
      <x:c r="Q77" s="22" t="str">
        <x:v>=E76+F76+G76</x:v>
      </x:c>
    </x:row>
    <x:row r="78">
      <x:c r="A78" s="22" t="str">
        <x:v>복합일위대가</x:v>
      </x:c>
      <x:c r="B78" s="22" t="str">
        <x:v>4482254042750415127D43074ABFE</x:v>
      </x:c>
      <x:c r="C78" s="25" t="str">
        <x:v>Supply and fixed of Parapet Ring(for cleaning), SST, D100*19t</x:v>
      </x:c>
      <x:c r="D78" s="25" t="str"/>
      <x:c r="E78" s="22" t="str">
        <x:v>no</x:v>
      </x:c>
      <x:c r="F78" s="34" t="n">
        <x:v>8.05</x:v>
      </x:c>
      <x:c r="G78" s="34" t="n">
        <x:v>4.39</x:v>
      </x:c>
      <x:c r="H78" s="34" t="n">
        <x:v>0.18</x:v>
      </x:c>
      <x:c r="I78" s="34" t="n">
        <x:f>SUM(F78:H78)</x:f>
        <x:v>12.620000000000001</x:v>
      </x:c>
      <x:c r="J78" s="22" t="str"/>
      <x:c r="K78" s="22" t="str"/>
      <x:c r="L78" s="22" t="str"/>
      <x:c r="M78" s="22" t="str">
        <x:v>일위대가목록</x:v>
      </x:c>
      <x:c r="N78" s="37" t="n">
        <x:v>77</x:v>
      </x:c>
      <x:c r="O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8" s="22" t="str">
        <x:v>47d79c95e2c3273f84778935276c94526e369cc1b1bc057f6b03c998f44e253f</x:v>
      </x:c>
      <x:c r="Q78" s="22" t="str">
        <x:v>=E77+F77+G77</x:v>
      </x:c>
    </x:row>
    <x:row r="79">
      <x:c r="A79" s="22" t="str">
        <x:v>복합일위대가</x:v>
      </x:c>
      <x:c r="B79" s="22" t="str">
        <x:v>448225404275053C32FA817ED1475</x:v>
      </x:c>
      <x:c r="C79" s="25" t="str">
        <x:v>Supply and fixed of Elevator hook</x:v>
      </x:c>
      <x:c r="D79" s="25" t="str">
        <x:v>Ø100*22t STL</x:v>
      </x:c>
      <x:c r="E79" s="22" t="str">
        <x:v>EA</x:v>
      </x:c>
      <x:c r="F79" s="34" t="n">
        <x:v>0.78</x:v>
      </x:c>
      <x:c r="G79" s="34" t="n">
        <x:v>1.74</x:v>
      </x:c>
      <x:c r="H79" s="34" t="n">
        <x:v>0.07</x:v>
      </x:c>
      <x:c r="I79" s="34" t="n">
        <x:f>SUM(F79:H79)</x:f>
        <x:v>2.59</x:v>
      </x:c>
      <x:c r="J79" s="22" t="str"/>
      <x:c r="K79" s="22" t="str"/>
      <x:c r="L79" s="22" t="str"/>
      <x:c r="M79" s="22" t="str">
        <x:v>일위대가목록</x:v>
      </x:c>
      <x:c r="N79" s="37" t="n">
        <x:v>78</x:v>
      </x:c>
      <x:c r="O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79" s="22" t="str">
        <x:v>47d79c95e2c3273f84778935276c94526e369cc1b1bc057f6b03c998f44e253f</x:v>
      </x:c>
      <x:c r="Q79" s="22" t="str">
        <x:v>=E78+F78+G78</x:v>
      </x:c>
    </x:row>
    <x:row r="80">
      <x:c r="A80" s="22" t="str">
        <x:v>복합일위대가</x:v>
      </x:c>
      <x:c r="B80" s="22" t="str">
        <x:v>448220480378444AE2DDFBB1E17A4</x:v>
      </x:c>
      <x:c r="C80" s="25" t="str">
        <x:v>Stainless steel material separator</x:v>
      </x:c>
      <x:c r="D80" s="25" t="str">
        <x:v>FLOOR, W45*H20*1.5t</x:v>
      </x:c>
      <x:c r="E80" s="22" t="str">
        <x:v>M</x:v>
      </x:c>
      <x:c r="F80" s="34" t="n">
        <x:v>5.26</x:v>
      </x:c>
      <x:c r="G80" s="34" t="n">
        <x:v>5.85</x:v>
      </x:c>
      <x:c r="H80" s="34" t="n">
        <x:v>0.29</x:v>
      </x:c>
      <x:c r="I80" s="34" t="n">
        <x:f>SUM(F80:H80)</x:f>
        <x:v>11.399999999999999</x:v>
      </x:c>
      <x:c r="J80" s="22" t="str"/>
      <x:c r="K80" s="22" t="str"/>
      <x:c r="L80" s="22" t="str"/>
      <x:c r="M80" s="22" t="str">
        <x:v>일위대가목록</x:v>
      </x:c>
      <x:c r="N80" s="37" t="n">
        <x:v>79</x:v>
      </x:c>
      <x:c r="O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0" s="22" t="str">
        <x:v>47d79c95e2c3273f84778935276c94526e369cc1b1bc057f6b03c998f44e253f</x:v>
      </x:c>
      <x:c r="Q80" s="22" t="str">
        <x:v>=E79+F79+G79</x:v>
      </x:c>
    </x:row>
    <x:row r="81">
      <x:c r="A81" s="22" t="str">
        <x:v>복합일위대가</x:v>
      </x:c>
      <x:c r="B81" s="22" t="str">
        <x:v>448220480378444AE2DDFBB1E169E</x:v>
      </x:c>
      <x:c r="C81" s="25" t="str">
        <x:v>Stainless steel material separator</x:v>
      </x:c>
      <x:c r="D81" s="25" t="str">
        <x:v>FLOOR, W20*H20*2.0t</x:v>
      </x:c>
      <x:c r="E81" s="22" t="str">
        <x:v>M</x:v>
      </x:c>
      <x:c r="F81" s="34" t="n">
        <x:v>3.89</x:v>
      </x:c>
      <x:c r="G81" s="34" t="n">
        <x:v>4.22</x:v>
      </x:c>
      <x:c r="H81" s="34" t="n">
        <x:v>0.21</x:v>
      </x:c>
      <x:c r="I81" s="34" t="n">
        <x:f>SUM(F81:H81)</x:f>
        <x:v>8.32</x:v>
      </x:c>
      <x:c r="J81" s="22" t="str"/>
      <x:c r="K81" s="22" t="str"/>
      <x:c r="L81" s="22" t="str"/>
      <x:c r="M81" s="22" t="str">
        <x:v>일위대가목록</x:v>
      </x:c>
      <x:c r="N81" s="37" t="n">
        <x:v>80</x:v>
      </x:c>
      <x:c r="O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1" s="22" t="str">
        <x:v>47d79c95e2c3273f84778935276c94526e369cc1b1bc057f6b03c998f44e253f</x:v>
      </x:c>
      <x:c r="Q81" s="22" t="str">
        <x:v>=E80+F80+G80</x:v>
      </x:c>
    </x:row>
    <x:row r="82">
      <x:c r="A82" s="22" t="str">
        <x:v>복합일위대가</x:v>
      </x:c>
      <x:c r="B82" s="22" t="str">
        <x:v>44822048FB7FB9F1222D3F8F96C2D</x:v>
      </x:c>
      <x:c r="C82" s="25" t="str">
        <x:v>Curtain box(type-ㄷ)</x:v>
      </x:c>
      <x:c r="D82" s="25" t="str">
        <x:v>150mm x 150mm x Thick 1.2mm, Stl plate frame,with Paint</x:v>
      </x:c>
      <x:c r="E82" s="22" t="str">
        <x:v>M</x:v>
      </x:c>
      <x:c r="F82" s="34" t="n">
        <x:v>6.17</x:v>
      </x:c>
      <x:c r="G82" s="34" t="n">
        <x:v>12.27</x:v>
      </x:c>
      <x:c r="H82" s="34" t="n">
        <x:v>0.48</x:v>
      </x:c>
      <x:c r="I82" s="34" t="n">
        <x:f>SUM(F82:H82)</x:f>
        <x:v>18.919999999999998</x:v>
      </x:c>
      <x:c r="J82" s="22" t="str"/>
      <x:c r="K82" s="22" t="str"/>
      <x:c r="L82" s="22" t="str"/>
      <x:c r="M82" s="22" t="str">
        <x:v>일위대가목록</x:v>
      </x:c>
      <x:c r="N82" s="37" t="n">
        <x:v>81</x:v>
      </x:c>
      <x:c r="O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2" s="22" t="str">
        <x:v>47d79c95e2c3273f84778935276c94526e369cc1b1bc057f6b03c998f44e253f</x:v>
      </x:c>
      <x:c r="Q82" s="22" t="str">
        <x:v>=E81+F81+G81</x:v>
      </x:c>
    </x:row>
    <x:row r="83">
      <x:c r="A83" s="22" t="str">
        <x:v>복합일위대가</x:v>
      </x:c>
      <x:c r="B83" s="22" t="str">
        <x:v>4482284BC0735B256231C4073E69B</x:v>
      </x:c>
      <x:c r="C83" s="25" t="str">
        <x:v>Mortar, W/Plastering 20mm thick on concrete Ceiling</x:v>
      </x:c>
      <x:c r="D83" s="25" t="str"/>
      <x:c r="E83" s="22" t="str">
        <x:v>M2</x:v>
      </x:c>
      <x:c r="F83" s="34" t="n">
        <x:v>1.05</x:v>
      </x:c>
      <x:c r="G83" s="34" t="n">
        <x:v>0</x:v>
      </x:c>
      <x:c r="H83" s="34" t="n">
        <x:v>0</x:v>
      </x:c>
      <x:c r="I83" s="34" t="n">
        <x:f>SUM(F83:H83)</x:f>
        <x:v>1.05</x:v>
      </x:c>
      <x:c r="J83" s="22" t="str"/>
      <x:c r="K83" s="22" t="str"/>
      <x:c r="L83" s="22" t="str"/>
      <x:c r="M83" s="22" t="str">
        <x:v>일위대가목록</x:v>
      </x:c>
      <x:c r="N83" s="37" t="n">
        <x:v>82</x:v>
      </x:c>
      <x:c r="O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3" s="22" t="str">
        <x:v>47d79c95e2c3273f84778935276c94526e369cc1b1bc057f6b03c998f44e253f</x:v>
      </x:c>
      <x:c r="Q83" s="22" t="str">
        <x:v>=E82+F82+G82</x:v>
      </x:c>
    </x:row>
    <x:row r="84">
      <x:c r="A84" s="22" t="str">
        <x:v>복합일위대가</x:v>
      </x:c>
      <x:c r="B84" s="22" t="str">
        <x:v>4482284BC0735B256231C550138F1</x:v>
      </x:c>
      <x:c r="C84" s="25" t="str">
        <x:v>Mortar, W/Plastering 9mm thick on concrete walls</x:v>
      </x:c>
      <x:c r="D84" s="25" t="str"/>
      <x:c r="E84" s="22" t="str">
        <x:v>M2</x:v>
      </x:c>
      <x:c r="F84" s="34" t="n">
        <x:v>0.63</x:v>
      </x:c>
      <x:c r="G84" s="34" t="n">
        <x:v>0</x:v>
      </x:c>
      <x:c r="H84" s="34" t="n">
        <x:v>0</x:v>
      </x:c>
      <x:c r="I84" s="34" t="n">
        <x:f>SUM(F84:H84)</x:f>
        <x:v>0.63</x:v>
      </x:c>
      <x:c r="J84" s="22" t="str"/>
      <x:c r="K84" s="22" t="str"/>
      <x:c r="L84" s="22" t="str"/>
      <x:c r="M84" s="22" t="str">
        <x:v>일위대가목록</x:v>
      </x:c>
      <x:c r="N84" s="37" t="n">
        <x:v>83</x:v>
      </x:c>
      <x:c r="O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4" s="22" t="str">
        <x:v>47d79c95e2c3273f84778935276c94526e369cc1b1bc057f6b03c998f44e253f</x:v>
      </x:c>
      <x:c r="Q84" s="22" t="str">
        <x:v>=E83+F83+G83</x:v>
      </x:c>
    </x:row>
    <x:row r="85">
      <x:c r="A85" s="22" t="str">
        <x:v>복합일위대가</x:v>
      </x:c>
      <x:c r="B85" s="22" t="str">
        <x:v>4482284BC0735B256231C547A6415</x:v>
      </x:c>
      <x:c r="C85" s="25" t="str">
        <x:v>Mortar, W/Plastering 20mm thick on concrete walls</x:v>
      </x:c>
      <x:c r="D85" s="25" t="str"/>
      <x:c r="E85" s="22" t="str">
        <x:v>M2</x:v>
      </x:c>
      <x:c r="F85" s="34" t="n">
        <x:v>14</x:v>
      </x:c>
      <x:c r="G85" s="34" t="n">
        <x:v>0</x:v>
      </x:c>
      <x:c r="H85" s="34" t="n">
        <x:v>0</x:v>
      </x:c>
      <x:c r="I85" s="34" t="n">
        <x:f>SUM(F85:H85)</x:f>
        <x:v>14</x:v>
      </x:c>
      <x:c r="J85" s="22" t="str"/>
      <x:c r="K85" s="22" t="str"/>
      <x:c r="L85" s="22" t="str"/>
      <x:c r="M85" s="22" t="str">
        <x:v>일위대가목록</x:v>
      </x:c>
      <x:c r="N85" s="37" t="n">
        <x:v>84</x:v>
      </x:c>
      <x:c r="O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5" s="22" t="str">
        <x:v>47d79c95e2c3273f84778935276c94526e369cc1b1bc057f6b03c998f44e253f</x:v>
      </x:c>
      <x:c r="Q85" s="22" t="str">
        <x:v>=E84+F84+G84</x:v>
      </x:c>
    </x:row>
    <x:row r="86">
      <x:c r="A86" s="22" t="str">
        <x:v>복합일위대가</x:v>
      </x:c>
      <x:c r="B86" s="22" t="str">
        <x:v>4482284BC0735979B2D256C17F168</x:v>
      </x:c>
      <x:c r="C86" s="25" t="str">
        <x:v>20mm thick on concrete to receive receive tile finish</x:v>
      </x:c>
      <x:c r="D86" s="25" t="str"/>
      <x:c r="E86" s="22" t="str">
        <x:v>M2</x:v>
      </x:c>
      <x:c r="F86" s="34" t="n">
        <x:v>1.4</x:v>
      </x:c>
      <x:c r="G86" s="34" t="n">
        <x:v>0</x:v>
      </x:c>
      <x:c r="H86" s="34" t="n">
        <x:v>0</x:v>
      </x:c>
      <x:c r="I86" s="34" t="n">
        <x:f>SUM(F86:H86)</x:f>
        <x:v>1.4</x:v>
      </x:c>
      <x:c r="J86" s="22" t="str"/>
      <x:c r="K86" s="22" t="str"/>
      <x:c r="L86" s="22" t="str"/>
      <x:c r="M86" s="22" t="str">
        <x:v>일위대가목록</x:v>
      </x:c>
      <x:c r="N86" s="37" t="n">
        <x:v>85</x:v>
      </x:c>
      <x:c r="O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6" s="22" t="str">
        <x:v>47d79c95e2c3273f84778935276c94526e369cc1b1bc057f6b03c998f44e253f</x:v>
      </x:c>
      <x:c r="Q86" s="22" t="str">
        <x:v>=E85+F85+G85</x:v>
      </x:c>
    </x:row>
    <x:row r="87">
      <x:c r="A87" s="22" t="str">
        <x:v>복합일위대가</x:v>
      </x:c>
      <x:c r="B87" s="22" t="str">
        <x:v>4482284BC0735979B2D250AFDAC78</x:v>
      </x:c>
      <x:c r="C87" s="25" t="str">
        <x:v>50mm thick on concrete to receive receive tile finish</x:v>
      </x:c>
      <x:c r="D87" s="25" t="str"/>
      <x:c r="E87" s="22" t="str">
        <x:v>M2</x:v>
      </x:c>
      <x:c r="F87" s="34" t="n">
        <x:v>3.5</x:v>
      </x:c>
      <x:c r="G87" s="34" t="n">
        <x:v>0</x:v>
      </x:c>
      <x:c r="H87" s="34" t="n">
        <x:v>0</x:v>
      </x:c>
      <x:c r="I87" s="34" t="n">
        <x:f>SUM(F87:H87)</x:f>
        <x:v>3.5</x:v>
      </x:c>
      <x:c r="J87" s="22" t="str"/>
      <x:c r="K87" s="22" t="str"/>
      <x:c r="L87" s="22" t="str"/>
      <x:c r="M87" s="22" t="str">
        <x:v>일위대가목록</x:v>
      </x:c>
      <x:c r="N87" s="37" t="n">
        <x:v>86</x:v>
      </x:c>
      <x:c r="O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7" s="22" t="str">
        <x:v>47d79c95e2c3273f84778935276c94526e369cc1b1bc057f6b03c998f44e253f</x:v>
      </x:c>
      <x:c r="Q87" s="22" t="str">
        <x:v>=E86+F86+G86</x:v>
      </x:c>
    </x:row>
    <x:row r="88">
      <x:c r="A88" s="22" t="str">
        <x:v>복합일위대가</x:v>
      </x:c>
      <x:c r="B88" s="22" t="str">
        <x:v>4482284BC0735979B2D250AFDAC7D</x:v>
      </x:c>
      <x:c r="C88" s="25" t="str">
        <x:v>55mm thick on concrete to receive receive tile finish</x:v>
      </x:c>
      <x:c r="D88" s="25" t="str"/>
      <x:c r="E88" s="22" t="str">
        <x:v>M2</x:v>
      </x:c>
      <x:c r="F88" s="34" t="n">
        <x:v>3.85</x:v>
      </x:c>
      <x:c r="G88" s="34" t="n">
        <x:v>0</x:v>
      </x:c>
      <x:c r="H88" s="34" t="n">
        <x:v>0</x:v>
      </x:c>
      <x:c r="I88" s="34" t="n">
        <x:f>SUM(F88:H88)</x:f>
        <x:v>3.85</x:v>
      </x:c>
      <x:c r="J88" s="22" t="str"/>
      <x:c r="K88" s="22" t="str"/>
      <x:c r="L88" s="22" t="str"/>
      <x:c r="M88" s="22" t="str">
        <x:v>일위대가목록</x:v>
      </x:c>
      <x:c r="N88" s="37" t="n">
        <x:v>87</x:v>
      </x:c>
      <x:c r="O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8" s="22" t="str">
        <x:v>47d79c95e2c3273f84778935276c94526e369cc1b1bc057f6b03c998f44e253f</x:v>
      </x:c>
      <x:c r="Q88" s="22" t="str">
        <x:v>=E87+F87+G87</x:v>
      </x:c>
    </x:row>
    <x:row r="89">
      <x:c r="A89" s="22" t="str">
        <x:v>복합일위대가</x:v>
      </x:c>
      <x:c r="B89" s="22" t="str">
        <x:v>4482284BC0735979B2D250AFDAC7B</x:v>
      </x:c>
      <x:c r="C89" s="25" t="str">
        <x:v>Mortar, W/Plastering 60mm thick on concrete floors</x:v>
      </x:c>
      <x:c r="D89" s="25" t="str"/>
      <x:c r="E89" s="22" t="str">
        <x:v>M2</x:v>
      </x:c>
      <x:c r="F89" s="34" t="n">
        <x:v>4.2</x:v>
      </x:c>
      <x:c r="G89" s="34" t="n">
        <x:v>0</x:v>
      </x:c>
      <x:c r="H89" s="34" t="n">
        <x:v>0</x:v>
      </x:c>
      <x:c r="I89" s="34" t="n">
        <x:f>SUM(F89:H89)</x:f>
        <x:v>4.2</x:v>
      </x:c>
      <x:c r="J89" s="22" t="str"/>
      <x:c r="K89" s="22" t="str"/>
      <x:c r="L89" s="22" t="str"/>
      <x:c r="M89" s="22" t="str">
        <x:v>일위대가목록</x:v>
      </x:c>
      <x:c r="N89" s="37" t="n">
        <x:v>88</x:v>
      </x:c>
      <x:c r="O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89" s="22" t="str">
        <x:v>47d79c95e2c3273f84778935276c94526e369cc1b1bc057f6b03c998f44e253f</x:v>
      </x:c>
      <x:c r="Q89" s="22" t="str">
        <x:v>=E88+F88+G88</x:v>
      </x:c>
    </x:row>
    <x:row r="90">
      <x:c r="A90" s="22" t="str">
        <x:v>복합일위대가</x:v>
      </x:c>
      <x:c r="B90" s="22" t="str">
        <x:v>4482284BC0735979B2D250AFDAC7A</x:v>
      </x:c>
      <x:c r="C90" s="25" t="str">
        <x:v>Mortar, W/Plastering 15mm thick on concrete ceiling</x:v>
      </x:c>
      <x:c r="D90" s="25" t="str"/>
      <x:c r="E90" s="22" t="str">
        <x:v>M2</x:v>
      </x:c>
      <x:c r="F90" s="34" t="n">
        <x:v>1.05</x:v>
      </x:c>
      <x:c r="G90" s="34" t="n">
        <x:v>0</x:v>
      </x:c>
      <x:c r="H90" s="34" t="n">
        <x:v>0</x:v>
      </x:c>
      <x:c r="I90" s="34" t="n">
        <x:f>SUM(F90:H90)</x:f>
        <x:v>1.05</x:v>
      </x:c>
      <x:c r="J90" s="22" t="str"/>
      <x:c r="K90" s="22" t="str"/>
      <x:c r="L90" s="22" t="str"/>
      <x:c r="M90" s="22" t="str">
        <x:v>일위대가목록</x:v>
      </x:c>
      <x:c r="N90" s="37" t="n">
        <x:v>89</x:v>
      </x:c>
      <x:c r="O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0" s="22" t="str">
        <x:v>47d79c95e2c3273f84778935276c94526e369cc1b1bc057f6b03c998f44e253f</x:v>
      </x:c>
      <x:c r="Q90" s="22" t="str">
        <x:v>=E89+F89+G89</x:v>
      </x:c>
    </x:row>
    <x:row r="91">
      <x:c r="A91" s="22" t="str">
        <x:v>복합일위대가</x:v>
      </x:c>
      <x:c r="B91" s="22" t="str">
        <x:v>4482284BC0735979B2D256C143E89</x:v>
      </x:c>
      <x:c r="C91" s="25" t="str">
        <x:v>Resin Mortar, W/Plastering 5mm thick on concrete floors</x:v>
      </x:c>
      <x:c r="D91" s="25" t="str"/>
      <x:c r="E91" s="22" t="str">
        <x:v>M2</x:v>
      </x:c>
      <x:c r="F91" s="34" t="n">
        <x:v>7.15</x:v>
      </x:c>
      <x:c r="G91" s="34" t="n">
        <x:v>0</x:v>
      </x:c>
      <x:c r="H91" s="34" t="n">
        <x:v>0</x:v>
      </x:c>
      <x:c r="I91" s="34" t="n">
        <x:f>SUM(F91:H91)</x:f>
        <x:v>7.15</x:v>
      </x:c>
      <x:c r="J91" s="22" t="str"/>
      <x:c r="K91" s="22" t="str"/>
      <x:c r="L91" s="22" t="str"/>
      <x:c r="M91" s="22" t="str">
        <x:v>일위대가목록</x:v>
      </x:c>
      <x:c r="N91" s="37" t="n">
        <x:v>90</x:v>
      </x:c>
      <x:c r="O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1" s="22" t="str">
        <x:v>47d79c95e2c3273f84778935276c94526e369cc1b1bc057f6b03c998f44e253f</x:v>
      </x:c>
      <x:c r="Q91" s="22" t="str">
        <x:v>=E90+F90+G90</x:v>
      </x:c>
    </x:row>
    <x:row r="92">
      <x:c r="A92" s="22" t="str">
        <x:v>복합일위대가</x:v>
      </x:c>
      <x:c r="B92" s="22" t="str">
        <x:v>4482284BC070874912CC359D94171</x:v>
      </x:c>
      <x:c r="C92" s="25" t="str">
        <x:v>CONCRETE SURFACE TREATMENT</x:v>
      </x:c>
      <x:c r="D92" s="25" t="str">
        <x:v>WALL</x:v>
      </x:c>
      <x:c r="E92" s="22" t="str">
        <x:v>M2</x:v>
      </x:c>
      <x:c r="F92" s="34" t="n">
        <x:v>3</x:v>
      </x:c>
      <x:c r="G92" s="34" t="n">
        <x:v>0</x:v>
      </x:c>
      <x:c r="H92" s="34" t="n">
        <x:v>0</x:v>
      </x:c>
      <x:c r="I92" s="34" t="n">
        <x:f>SUM(F92:H92)</x:f>
        <x:v>3</x:v>
      </x:c>
      <x:c r="J92" s="22" t="str"/>
      <x:c r="K92" s="22" t="str"/>
      <x:c r="L92" s="22" t="str"/>
      <x:c r="M92" s="22" t="str">
        <x:v>일위대가목록</x:v>
      </x:c>
      <x:c r="N92" s="37" t="n">
        <x:v>91</x:v>
      </x:c>
      <x:c r="O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2" s="22" t="str">
        <x:v>47d79c95e2c3273f84778935276c94526e369cc1b1bc057f6b03c998f44e253f</x:v>
      </x:c>
      <x:c r="Q92" s="22" t="str">
        <x:v>=E91+F91+G91</x:v>
      </x:c>
    </x:row>
    <x:row r="93">
      <x:c r="A93" s="22" t="str">
        <x:v>복합일위대가</x:v>
      </x:c>
      <x:c r="B93" s="22" t="str">
        <x:v>4482284BC070874912CC359D94218</x:v>
      </x:c>
      <x:c r="C93" s="25" t="str">
        <x:v>CONCRETE SURFACE TREATMENT</x:v>
      </x:c>
      <x:c r="D93" s="25" t="str">
        <x:v>CEILING</x:v>
      </x:c>
      <x:c r="E93" s="22" t="str">
        <x:v>M2</x:v>
      </x:c>
      <x:c r="F93" s="34" t="n">
        <x:v>3</x:v>
      </x:c>
      <x:c r="G93" s="34" t="n">
        <x:v>0</x:v>
      </x:c>
      <x:c r="H93" s="34" t="n">
        <x:v>0</x:v>
      </x:c>
      <x:c r="I93" s="34" t="n">
        <x:f>SUM(F93:H93)</x:f>
        <x:v>3</x:v>
      </x:c>
      <x:c r="J93" s="22" t="str"/>
      <x:c r="K93" s="22" t="str"/>
      <x:c r="L93" s="22" t="str"/>
      <x:c r="M93" s="22" t="str">
        <x:v>일위대가목록</x:v>
      </x:c>
      <x:c r="N93" s="37" t="n">
        <x:v>92</x:v>
      </x:c>
      <x:c r="O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3" s="22" t="str">
        <x:v>47d79c95e2c3273f84778935276c94526e369cc1b1bc057f6b03c998f44e253f</x:v>
      </x:c>
      <x:c r="Q93" s="22" t="str">
        <x:v>=E92+F92+G92</x:v>
      </x:c>
    </x:row>
    <x:row r="94">
      <x:c r="A94" s="22" t="str">
        <x:v>복합일위대가</x:v>
      </x:c>
      <x:c r="B94" s="22" t="str">
        <x:v>4482284BC0762C32527F32009D274</x:v>
      </x:c>
      <x:c r="C94" s="25" t="str">
        <x:v>Steel Troweled</x:v>
      </x:c>
      <x:c r="D94" s="25" t="str">
        <x:v>Floor</x:v>
      </x:c>
      <x:c r="E94" s="22" t="str">
        <x:v>M2</x:v>
      </x:c>
      <x:c r="F94" s="34" t="n">
        <x:v>3</x:v>
      </x:c>
      <x:c r="G94" s="34" t="n">
        <x:v>0</x:v>
      </x:c>
      <x:c r="H94" s="34" t="n">
        <x:v>0</x:v>
      </x:c>
      <x:c r="I94" s="34" t="n">
        <x:f>SUM(F94:H94)</x:f>
        <x:v>3</x:v>
      </x:c>
      <x:c r="J94" s="22" t="str"/>
      <x:c r="K94" s="22" t="str"/>
      <x:c r="L94" s="22" t="str"/>
      <x:c r="M94" s="22" t="str">
        <x:v>일위대가목록</x:v>
      </x:c>
      <x:c r="N94" s="37" t="n">
        <x:v>93</x:v>
      </x:c>
      <x:c r="O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4" s="22" t="str">
        <x:v>47d79c95e2c3273f84778935276c94526e369cc1b1bc057f6b03c998f44e253f</x:v>
      </x:c>
      <x:c r="Q94" s="22" t="str">
        <x:v>=E93+F93+G93</x:v>
      </x:c>
    </x:row>
    <x:row r="95">
      <x:c r="A95" s="22" t="str">
        <x:v>복합일위대가</x:v>
      </x:c>
      <x:c r="B95" s="22" t="str">
        <x:v>44822343DD798A2812ACA2BC9896B</x:v>
      </x:c>
      <x:c r="C95" s="25" t="str">
        <x:v>Mortar Infill</x:v>
      </x:c>
      <x:c r="D95" s="25" t="str">
        <x:v>Around The door &amp; window</x:v>
      </x:c>
      <x:c r="E95" s="22" t="str">
        <x:v>M</x:v>
      </x:c>
      <x:c r="F95" s="34" t="n">
        <x:v>0.54</x:v>
      </x:c>
      <x:c r="G95" s="34" t="n">
        <x:v>1.33</x:v>
      </x:c>
      <x:c r="H95" s="34" t="n">
        <x:v>0.03</x:v>
      </x:c>
      <x:c r="I95" s="34" t="n">
        <x:f>SUM(F95:H95)</x:f>
        <x:v>1.9000000000000001</x:v>
      </x:c>
      <x:c r="J95" s="22" t="str"/>
      <x:c r="K95" s="22" t="str"/>
      <x:c r="L95" s="22" t="str"/>
      <x:c r="M95" s="22" t="str">
        <x:v>일위대가목록</x:v>
      </x:c>
      <x:c r="N95" s="37" t="n">
        <x:v>94</x:v>
      </x:c>
      <x:c r="O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5" s="22" t="str">
        <x:v>47d79c95e2c3273f84778935276c94526e369cc1b1bc057f6b03c998f44e253f</x:v>
      </x:c>
      <x:c r="Q95" s="22" t="str">
        <x:v>=E94+F94+G94</x:v>
      </x:c>
    </x:row>
    <x:row r="96">
      <x:c r="A96" s="22" t="str">
        <x:v>복합일위대가</x:v>
      </x:c>
      <x:c r="B96" s="22" t="str">
        <x:v>44822343DD798A292213C43685E09</x:v>
      </x:c>
      <x:c r="C96" s="25" t="str">
        <x:v>Urethane Foam Filling</x:v>
      </x:c>
      <x:c r="D96" s="25" t="str">
        <x:v>Around The door &amp; window</x:v>
      </x:c>
      <x:c r="E96" s="22" t="str">
        <x:v>M</x:v>
      </x:c>
      <x:c r="F96" s="34" t="n">
        <x:v>0.39</x:v>
      </x:c>
      <x:c r="G96" s="34" t="n">
        <x:v>0.8</x:v>
      </x:c>
      <x:c r="H96" s="34" t="n">
        <x:v>0</x:v>
      </x:c>
      <x:c r="I96" s="34" t="n">
        <x:f>SUM(F96:H96)</x:f>
        <x:v>1.19</x:v>
      </x:c>
      <x:c r="J96" s="22" t="str"/>
      <x:c r="K96" s="22" t="str"/>
      <x:c r="L96" s="22" t="str"/>
      <x:c r="M96" s="22" t="str">
        <x:v>일위대가목록</x:v>
      </x:c>
      <x:c r="N96" s="37" t="n">
        <x:v>95</x:v>
      </x:c>
      <x:c r="O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6" s="22" t="str">
        <x:v>47d79c95e2c3273f84778935276c94526e369cc1b1bc057f6b03c998f44e253f</x:v>
      </x:c>
      <x:c r="Q96" s="22" t="str">
        <x:v>=E95+F95+G95</x:v>
      </x:c>
    </x:row>
    <x:row r="97">
      <x:c r="A97" s="22" t="str">
        <x:v>복합일위대가</x:v>
      </x:c>
      <x:c r="B97" s="22" t="str">
        <x:v>453125479B7D7FE4C224A493677E6</x:v>
      </x:c>
      <x:c r="C97" s="25" t="str">
        <x:v>AD01/01. HOSPITAL/60*150 AL</x:v>
      </x:c>
      <x:c r="D97" s="25" t="str">
        <x:v>0.900 x 1.800 = 1.620</x:v>
      </x:c>
      <x:c r="E97" s="22" t="str">
        <x:v>EA</x:v>
      </x:c>
      <x:c r="F97" s="34" t="n">
        <x:v>299.7</x:v>
      </x:c>
      <x:c r="G97" s="34" t="n">
        <x:v>0</x:v>
      </x:c>
      <x:c r="H97" s="34" t="n">
        <x:v>0</x:v>
      </x:c>
      <x:c r="I97" s="34" t="n">
        <x:f>SUM(F97:H97)</x:f>
        <x:v>299.7</x:v>
      </x:c>
      <x:c r="J97" s="22" t="str"/>
      <x:c r="K97" s="22" t="str"/>
      <x:c r="L97" s="22" t="str"/>
      <x:c r="M97" s="22" t="str">
        <x:v>일위대가목록</x:v>
      </x:c>
      <x:c r="N97" s="37" t="n">
        <x:v>96</x:v>
      </x:c>
      <x:c r="O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7" s="22" t="str">
        <x:v>47d79c95e2c3273f84778935276c94526e369cc1b1bc057f6b03c998f44e253f</x:v>
      </x:c>
      <x:c r="Q97" s="22" t="str">
        <x:v>=E96+F96+G96</x:v>
      </x:c>
    </x:row>
    <x:row r="98">
      <x:c r="A98" s="22" t="str">
        <x:v>복합일위대가</x:v>
      </x:c>
      <x:c r="B98" s="22" t="str">
        <x:v>453125479B7D7FE4C224BA0035DEF</x:v>
      </x:c>
      <x:c r="C98" s="25" t="str">
        <x:v>AG01/01. HOSPITAL/AL.Louver</x:v>
      </x:c>
      <x:c r="D98" s="25" t="str">
        <x:v>2.475 x 1.800 = 4.455</x:v>
      </x:c>
      <x:c r="E98" s="22" t="str">
        <x:v>EA</x:v>
      </x:c>
      <x:c r="F98" s="34" t="n">
        <x:v>824.18</x:v>
      </x:c>
      <x:c r="G98" s="34" t="n">
        <x:v>0</x:v>
      </x:c>
      <x:c r="H98" s="34" t="n">
        <x:v>0</x:v>
      </x:c>
      <x:c r="I98" s="34" t="n">
        <x:f>SUM(F98:H98)</x:f>
        <x:v>824.18</x:v>
      </x:c>
      <x:c r="J98" s="22" t="str"/>
      <x:c r="K98" s="22" t="str"/>
      <x:c r="L98" s="22" t="str"/>
      <x:c r="M98" s="22" t="str">
        <x:v>일위대가목록</x:v>
      </x:c>
      <x:c r="N98" s="37" t="n">
        <x:v>97</x:v>
      </x:c>
      <x:c r="O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8" s="22" t="str">
        <x:v>47d79c95e2c3273f84778935276c94526e369cc1b1bc057f6b03c998f44e253f</x:v>
      </x:c>
      <x:c r="Q98" s="22" t="str">
        <x:v>=E97+F97+G97</x:v>
      </x:c>
    </x:row>
    <x:row r="99">
      <x:c r="A99" s="22" t="str">
        <x:v>복합일위대가</x:v>
      </x:c>
      <x:c r="B99" s="22" t="str">
        <x:v>453125479B7D7FE4C224BA0035DED</x:v>
      </x:c>
      <x:c r="C99" s="25" t="str">
        <x:v>AG02/01. HOSPITAL/AL.Louver</x:v>
      </x:c>
      <x:c r="D99" s="25" t="str">
        <x:v>2.475 x 1.800 = 4.455</x:v>
      </x:c>
      <x:c r="E99" s="22" t="str">
        <x:v>EA</x:v>
      </x:c>
      <x:c r="F99" s="34" t="n">
        <x:v>824.18</x:v>
      </x:c>
      <x:c r="G99" s="34" t="n">
        <x:v>0</x:v>
      </x:c>
      <x:c r="H99" s="34" t="n">
        <x:v>0</x:v>
      </x:c>
      <x:c r="I99" s="34" t="n">
        <x:f>SUM(F99:H99)</x:f>
        <x:v>824.18</x:v>
      </x:c>
      <x:c r="J99" s="22" t="str"/>
      <x:c r="K99" s="22" t="str"/>
      <x:c r="L99" s="22" t="str"/>
      <x:c r="M99" s="22" t="str">
        <x:v>일위대가목록</x:v>
      </x:c>
      <x:c r="N99" s="37" t="n">
        <x:v>98</x:v>
      </x:c>
      <x:c r="O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99" s="22" t="str">
        <x:v>47d79c95e2c3273f84778935276c94526e369cc1b1bc057f6b03c998f44e253f</x:v>
      </x:c>
      <x:c r="Q99" s="22" t="str">
        <x:v>=E98+F98+G98</x:v>
      </x:c>
    </x:row>
    <x:row r="100">
      <x:c r="A100" s="22" t="str">
        <x:v>복합일위대가</x:v>
      </x:c>
      <x:c r="B100" s="22" t="str">
        <x:v>453125479B7D7FE4C224A493677E4</x:v>
      </x:c>
      <x:c r="C100" s="25" t="str">
        <x:v>AG02A/01. HOSPITAL/AL.Louver</x:v>
      </x:c>
      <x:c r="D100" s="25" t="str">
        <x:v>1.420 x 2.400 = 3.408</x:v>
      </x:c>
      <x:c r="E100" s="22" t="str">
        <x:v>EA</x:v>
      </x:c>
      <x:c r="F100" s="34" t="n">
        <x:v>630.48</x:v>
      </x:c>
      <x:c r="G100" s="34" t="n">
        <x:v>0</x:v>
      </x:c>
      <x:c r="H100" s="34" t="n">
        <x:v>0</x:v>
      </x:c>
      <x:c r="I100" s="34" t="n">
        <x:f>SUM(F100:H100)</x:f>
        <x:v>630.48</x:v>
      </x:c>
      <x:c r="J100" s="22" t="str"/>
      <x:c r="K100" s="22" t="str"/>
      <x:c r="L100" s="22" t="str"/>
      <x:c r="M100" s="22" t="str">
        <x:v>일위대가목록</x:v>
      </x:c>
      <x:c r="N100" s="37" t="n">
        <x:v>99</x:v>
      </x:c>
      <x:c r="O1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0" s="22" t="str">
        <x:v>47d79c95e2c3273f84778935276c94526e369cc1b1bc057f6b03c998f44e253f</x:v>
      </x:c>
      <x:c r="Q100" s="22" t="str">
        <x:v>=E99+F99+G99</x:v>
      </x:c>
    </x:row>
    <x:row r="101">
      <x:c r="A101" s="22" t="str">
        <x:v>복합일위대가</x:v>
      </x:c>
      <x:c r="B101" s="22" t="str">
        <x:v>453125479B7D7FE4C224BA0035DEB</x:v>
      </x:c>
      <x:c r="C101" s="25" t="str">
        <x:v>AG03/01. HOSPITAL/AL.Louver</x:v>
      </x:c>
      <x:c r="D101" s="25" t="str">
        <x:v>2.450 x 0.550 = 1.347</x:v>
      </x:c>
      <x:c r="E101" s="22" t="str">
        <x:v>EA</x:v>
      </x:c>
      <x:c r="F101" s="34" t="n">
        <x:v>249.2</x:v>
      </x:c>
      <x:c r="G101" s="34" t="n">
        <x:v>0</x:v>
      </x:c>
      <x:c r="H101" s="34" t="n">
        <x:v>0</x:v>
      </x:c>
      <x:c r="I101" s="34" t="n">
        <x:f>SUM(F101:H101)</x:f>
        <x:v>249.2</x:v>
      </x:c>
      <x:c r="J101" s="22" t="str"/>
      <x:c r="K101" s="22" t="str"/>
      <x:c r="L101" s="22" t="str"/>
      <x:c r="M101" s="22" t="str">
        <x:v>일위대가목록</x:v>
      </x:c>
      <x:c r="N101" s="37" t="n">
        <x:v>100</x:v>
      </x:c>
      <x:c r="O1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1" s="22" t="str">
        <x:v>47d79c95e2c3273f84778935276c94526e369cc1b1bc057f6b03c998f44e253f</x:v>
      </x:c>
      <x:c r="Q101" s="22" t="str">
        <x:v>=E100+F100+G100</x:v>
      </x:c>
    </x:row>
    <x:row r="102">
      <x:c r="A102" s="22" t="str">
        <x:v>복합일위대가</x:v>
      </x:c>
      <x:c r="B102" s="22" t="str">
        <x:v>453125479B7D7FE4C224BA0035DE9</x:v>
      </x:c>
      <x:c r="C102" s="25" t="str">
        <x:v>ASD01/01. HOSPITAL/45*150 ST [AUTO]</x:v>
      </x:c>
      <x:c r="D102" s="25" t="str">
        <x:v>3.000 x 2.300 = 6.900</x:v>
      </x:c>
      <x:c r="E102" s="22" t="str">
        <x:v>EA</x:v>
      </x:c>
      <x:c r="F102" s="34" t="n">
        <x:v>3097.65</x:v>
      </x:c>
      <x:c r="G102" s="34" t="n">
        <x:v>528.99</x:v>
      </x:c>
      <x:c r="H102" s="34" t="n">
        <x:v>238.29</x:v>
      </x:c>
      <x:c r="I102" s="34" t="n">
        <x:f>SUM(F102:H102)</x:f>
        <x:v>3864.9300000000003</x:v>
      </x:c>
      <x:c r="J102" s="22" t="str"/>
      <x:c r="K102" s="22" t="str"/>
      <x:c r="L102" s="22" t="str"/>
      <x:c r="M102" s="22" t="str">
        <x:v>일위대가목록</x:v>
      </x:c>
      <x:c r="N102" s="37" t="n">
        <x:v>101</x:v>
      </x:c>
      <x:c r="O1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2" s="22" t="str">
        <x:v>47d79c95e2c3273f84778935276c94526e369cc1b1bc057f6b03c998f44e253f</x:v>
      </x:c>
      <x:c r="Q102" s="22" t="str">
        <x:v>=E101+F101+G101</x:v>
      </x:c>
    </x:row>
    <x:row r="103">
      <x:c r="A103" s="22" t="str">
        <x:v>복합일위대가</x:v>
      </x:c>
      <x:c r="B103" s="22" t="str">
        <x:v>453125479B7D7FE4C224BA0035DE7</x:v>
      </x:c>
      <x:c r="C103" s="25" t="str">
        <x:v>ASD01A/01. HOSPITAL/45*150 ST [AUTO]</x:v>
      </x:c>
      <x:c r="D103" s="25" t="str">
        <x:v>3.000 x 2.300 = 6.900</x:v>
      </x:c>
      <x:c r="E103" s="22" t="str">
        <x:v>EA</x:v>
      </x:c>
      <x:c r="F103" s="34" t="n">
        <x:v>3097.65</x:v>
      </x:c>
      <x:c r="G103" s="34" t="n">
        <x:v>528.99</x:v>
      </x:c>
      <x:c r="H103" s="34" t="n">
        <x:v>238.29</x:v>
      </x:c>
      <x:c r="I103" s="34" t="n">
        <x:f>SUM(F103:H103)</x:f>
        <x:v>3864.9300000000003</x:v>
      </x:c>
      <x:c r="J103" s="22" t="str"/>
      <x:c r="K103" s="22" t="str"/>
      <x:c r="L103" s="22" t="str"/>
      <x:c r="M103" s="22" t="str">
        <x:v>일위대가목록</x:v>
      </x:c>
      <x:c r="N103" s="37" t="n">
        <x:v>102</x:v>
      </x:c>
      <x:c r="O1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3" s="22" t="str">
        <x:v>47d79c95e2c3273f84778935276c94526e369cc1b1bc057f6b03c998f44e253f</x:v>
      </x:c>
      <x:c r="Q103" s="22" t="str">
        <x:v>=E102+F102+G102</x:v>
      </x:c>
    </x:row>
    <x:row r="104">
      <x:c r="A104" s="22" t="str">
        <x:v>복합일위대가</x:v>
      </x:c>
      <x:c r="B104" s="22" t="str">
        <x:v>453125479B7D7FE4C224BA0035CC6</x:v>
      </x:c>
      <x:c r="C104" s="25" t="str">
        <x:v>ASD02/01. HOSPITAL/45*150 ST [AUTO]</x:v>
      </x:c>
      <x:c r="D104" s="25" t="str">
        <x:v>2.600 x 2.700 = 7.020</x:v>
      </x:c>
      <x:c r="E104" s="22" t="str">
        <x:v>EA</x:v>
      </x:c>
      <x:c r="F104" s="34" t="n">
        <x:v>3044.7</x:v>
      </x:c>
      <x:c r="G104" s="34" t="n">
        <x:v>519.95</x:v>
      </x:c>
      <x:c r="H104" s="34" t="n">
        <x:v>234.21</x:v>
      </x:c>
      <x:c r="I104" s="34" t="n">
        <x:f>SUM(F104:H104)</x:f>
        <x:v>3798.8599999999997</x:v>
      </x:c>
      <x:c r="J104" s="22" t="str"/>
      <x:c r="K104" s="22" t="str"/>
      <x:c r="L104" s="22" t="str"/>
      <x:c r="M104" s="22" t="str">
        <x:v>일위대가목록</x:v>
      </x:c>
      <x:c r="N104" s="37" t="n">
        <x:v>103</x:v>
      </x:c>
      <x:c r="O1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4" s="22" t="str">
        <x:v>47d79c95e2c3273f84778935276c94526e369cc1b1bc057f6b03c998f44e253f</x:v>
      </x:c>
      <x:c r="Q104" s="22" t="str">
        <x:v>=E103+F103+G103</x:v>
      </x:c>
    </x:row>
    <x:row r="105">
      <x:c r="A105" s="22" t="str">
        <x:v>복합일위대가</x:v>
      </x:c>
      <x:c r="B105" s="22" t="str">
        <x:v>453125479B7D7FE4C224BA0035CC4</x:v>
      </x:c>
      <x:c r="C105" s="25" t="str">
        <x:v>ASD03/01. HOSPITAL/45*150 ST [AUTO]</x:v>
      </x:c>
      <x:c r="D105" s="25" t="str">
        <x:v>3.000 x 2.700 = 8.100</x:v>
      </x:c>
      <x:c r="E105" s="22" t="str">
        <x:v>EA</x:v>
      </x:c>
      <x:c r="F105" s="34" t="n">
        <x:v>3309.45</x:v>
      </x:c>
      <x:c r="G105" s="34" t="n">
        <x:v>565.16</x:v>
      </x:c>
      <x:c r="H105" s="34" t="n">
        <x:v>254.58</x:v>
      </x:c>
      <x:c r="I105" s="34" t="n">
        <x:f>SUM(F105:H105)</x:f>
        <x:v>4129.19</x:v>
      </x:c>
      <x:c r="J105" s="22" t="str"/>
      <x:c r="K105" s="22" t="str"/>
      <x:c r="L105" s="22" t="str"/>
      <x:c r="M105" s="22" t="str">
        <x:v>일위대가목록</x:v>
      </x:c>
      <x:c r="N105" s="37" t="n">
        <x:v>104</x:v>
      </x:c>
      <x:c r="O1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5" s="22" t="str">
        <x:v>47d79c95e2c3273f84778935276c94526e369cc1b1bc057f6b03c998f44e253f</x:v>
      </x:c>
      <x:c r="Q105" s="22" t="str">
        <x:v>=E104+F104+G104</x:v>
      </x:c>
    </x:row>
    <x:row r="106">
      <x:c r="A106" s="22" t="str">
        <x:v>복합일위대가</x:v>
      </x:c>
      <x:c r="B106" s="22" t="str">
        <x:v>453125479B7D7FE4C224BA0035CC2</x:v>
      </x:c>
      <x:c r="C106" s="25" t="str">
        <x:v>ASD04/01. HOSPITAL/45*150 ST [AUTO]</x:v>
      </x:c>
      <x:c r="D106" s="25" t="str">
        <x:v>2.150 x 2.700 = 5.805</x:v>
      </x:c>
      <x:c r="E106" s="22" t="str">
        <x:v>EA</x:v>
      </x:c>
      <x:c r="F106" s="34" t="n">
        <x:v>2462.24</x:v>
      </x:c>
      <x:c r="G106" s="34" t="n">
        <x:v>420.48</x:v>
      </x:c>
      <x:c r="H106" s="34" t="n">
        <x:v>189.41</x:v>
      </x:c>
      <x:c r="I106" s="34" t="n">
        <x:f>SUM(F106:H106)</x:f>
        <x:v>3072.1299999999997</x:v>
      </x:c>
      <x:c r="J106" s="22" t="str"/>
      <x:c r="K106" s="22" t="str"/>
      <x:c r="L106" s="22" t="str"/>
      <x:c r="M106" s="22" t="str">
        <x:v>일위대가목록</x:v>
      </x:c>
      <x:c r="N106" s="37" t="n">
        <x:v>105</x:v>
      </x:c>
      <x:c r="O1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6" s="22" t="str">
        <x:v>47d79c95e2c3273f84778935276c94526e369cc1b1bc057f6b03c998f44e253f</x:v>
      </x:c>
      <x:c r="Q106" s="22" t="str">
        <x:v>=E105+F105+G105</x:v>
      </x:c>
    </x:row>
    <x:row r="107">
      <x:c r="A107" s="22" t="str">
        <x:v>복합일위대가</x:v>
      </x:c>
      <x:c r="B107" s="22" t="str">
        <x:v>453125479B7D7FE4C224BA0035CC0</x:v>
      </x:c>
      <x:c r="C107" s="25" t="str">
        <x:v>ASD05/01. HOSPITAL/EGI [AUTO]</x:v>
      </x:c>
      <x:c r="D107" s="25" t="str">
        <x:v>3.000 x 2.400 = 7.200</x:v>
      </x:c>
      <x:c r="E107" s="22" t="str">
        <x:v>EA</x:v>
      </x:c>
      <x:c r="F107" s="34" t="n">
        <x:v>2118.05</x:v>
      </x:c>
      <x:c r="G107" s="34" t="n">
        <x:v>361.7</x:v>
      </x:c>
      <x:c r="H107" s="34" t="n">
        <x:v>162.93</x:v>
      </x:c>
      <x:c r="I107" s="34" t="n">
        <x:f>SUM(F107:H107)</x:f>
        <x:v>2642.68</x:v>
      </x:c>
      <x:c r="J107" s="22" t="str"/>
      <x:c r="K107" s="22" t="str"/>
      <x:c r="L107" s="22" t="str"/>
      <x:c r="M107" s="22" t="str">
        <x:v>일위대가목록</x:v>
      </x:c>
      <x:c r="N107" s="37" t="n">
        <x:v>106</x:v>
      </x:c>
      <x:c r="O1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7" s="22" t="str">
        <x:v>47d79c95e2c3273f84778935276c94526e369cc1b1bc057f6b03c998f44e253f</x:v>
      </x:c>
      <x:c r="Q107" s="22" t="str">
        <x:v>=E106+F106+G106</x:v>
      </x:c>
    </x:row>
    <x:row r="108">
      <x:c r="A108" s="22" t="str">
        <x:v>복합일위대가</x:v>
      </x:c>
      <x:c r="B108" s="22" t="str">
        <x:v>453125479B7D7FE4C224BA0035CCE</x:v>
      </x:c>
      <x:c r="C108" s="25" t="str">
        <x:v>ASD06/01. HOSPITAL/45*150 ST [AUTO]</x:v>
      </x:c>
      <x:c r="D108" s="25" t="str">
        <x:v>3.800 x 2.700 = 10.260</x:v>
      </x:c>
      <x:c r="E108" s="22" t="str">
        <x:v>EA</x:v>
      </x:c>
      <x:c r="F108" s="34" t="n">
        <x:v>3786.02</x:v>
      </x:c>
      <x:c r="G108" s="34" t="n">
        <x:v>646.54</x:v>
      </x:c>
      <x:c r="H108" s="34" t="n">
        <x:v>291.24</x:v>
      </x:c>
      <x:c r="I108" s="34" t="n">
        <x:f>SUM(F108:H108)</x:f>
        <x:v>4723.799999999999</x:v>
      </x:c>
      <x:c r="J108" s="22" t="str"/>
      <x:c r="K108" s="22" t="str"/>
      <x:c r="L108" s="22" t="str"/>
      <x:c r="M108" s="22" t="str">
        <x:v>일위대가목록</x:v>
      </x:c>
      <x:c r="N108" s="37" t="n">
        <x:v>107</x:v>
      </x:c>
      <x:c r="O1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8" s="22" t="str">
        <x:v>47d79c95e2c3273f84778935276c94526e369cc1b1bc057f6b03c998f44e253f</x:v>
      </x:c>
      <x:c r="Q108" s="22" t="str">
        <x:v>=E107+F107+G107</x:v>
      </x:c>
    </x:row>
    <x:row r="109">
      <x:c r="A109" s="22" t="str">
        <x:v>복합일위대가</x:v>
      </x:c>
      <x:c r="B109" s="22" t="str">
        <x:v>453125479B7D7FE4C224BA0035F9D</x:v>
      </x:c>
      <x:c r="C109" s="25" t="str">
        <x:v>ASD07/01. HOSPITAL/EGI [AUTO]</x:v>
      </x:c>
      <x:c r="D109" s="25" t="str">
        <x:v>2.600 x 2.400 = 6.240</x:v>
      </x:c>
      <x:c r="E109" s="22" t="str">
        <x:v>EA</x:v>
      </x:c>
      <x:c r="F109" s="34" t="n">
        <x:v>1720.92</x:v>
      </x:c>
      <x:c r="G109" s="34" t="n">
        <x:v>293.88</x:v>
      </x:c>
      <x:c r="H109" s="34" t="n">
        <x:v>132.38</x:v>
      </x:c>
      <x:c r="I109" s="34" t="n">
        <x:f>SUM(F109:H109)</x:f>
        <x:v>2147.1800000000003</x:v>
      </x:c>
      <x:c r="J109" s="22" t="str"/>
      <x:c r="K109" s="22" t="str"/>
      <x:c r="L109" s="22" t="str"/>
      <x:c r="M109" s="22" t="str">
        <x:v>일위대가목록</x:v>
      </x:c>
      <x:c r="N109" s="37" t="n">
        <x:v>108</x:v>
      </x:c>
      <x:c r="O1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09" s="22" t="str">
        <x:v>47d79c95e2c3273f84778935276c94526e369cc1b1bc057f6b03c998f44e253f</x:v>
      </x:c>
      <x:c r="Q109" s="22" t="str">
        <x:v>=E108+F108+G108</x:v>
      </x:c>
    </x:row>
    <x:row r="110">
      <x:c r="A110" s="22" t="str">
        <x:v>복합일위대가</x:v>
      </x:c>
      <x:c r="B110" s="22" t="str">
        <x:v>453125479B7D7FE4C224BA0035F99</x:v>
      </x:c>
      <x:c r="C110" s="25" t="str">
        <x:v>AW01/01. HOSPITAL/60*150 AL</x:v>
      </x:c>
      <x:c r="D110" s="25" t="str">
        <x:v>1.650 x 0.450 = 0.742</x:v>
      </x:c>
      <x:c r="E110" s="22" t="str">
        <x:v>EA</x:v>
      </x:c>
      <x:c r="F110" s="34" t="n">
        <x:v>137.27</x:v>
      </x:c>
      <x:c r="G110" s="34" t="n">
        <x:v>0</x:v>
      </x:c>
      <x:c r="H110" s="34" t="n">
        <x:v>0</x:v>
      </x:c>
      <x:c r="I110" s="34" t="n">
        <x:f>SUM(F110:H110)</x:f>
        <x:v>137.27</x:v>
      </x:c>
      <x:c r="J110" s="22" t="str"/>
      <x:c r="K110" s="22" t="str"/>
      <x:c r="L110" s="22" t="str"/>
      <x:c r="M110" s="22" t="str">
        <x:v>일위대가목록</x:v>
      </x:c>
      <x:c r="N110" s="37" t="n">
        <x:v>109</x:v>
      </x:c>
      <x:c r="O1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0" s="22" t="str">
        <x:v>47d79c95e2c3273f84778935276c94526e369cc1b1bc057f6b03c998f44e253f</x:v>
      </x:c>
      <x:c r="Q110" s="22" t="str">
        <x:v>=E109+F109+G109</x:v>
      </x:c>
    </x:row>
    <x:row r="111">
      <x:c r="A111" s="22" t="str">
        <x:v>복합일위대가</x:v>
      </x:c>
      <x:c r="B111" s="22" t="str">
        <x:v>453125479B7D7FE4C224BA0035F9B</x:v>
      </x:c>
      <x:c r="C111" s="25" t="str">
        <x:v>AW02/01. HOSPITAL/60*150 AL</x:v>
      </x:c>
      <x:c r="D111" s="25" t="str">
        <x:v>1.650 x 1.800 = 2.970</x:v>
      </x:c>
      <x:c r="E111" s="22" t="str">
        <x:v>EA</x:v>
      </x:c>
      <x:c r="F111" s="34" t="n">
        <x:v>549.45</x:v>
      </x:c>
      <x:c r="G111" s="34" t="n">
        <x:v>0</x:v>
      </x:c>
      <x:c r="H111" s="34" t="n">
        <x:v>0</x:v>
      </x:c>
      <x:c r="I111" s="34" t="n">
        <x:f>SUM(F111:H111)</x:f>
        <x:v>549.45</x:v>
      </x:c>
      <x:c r="J111" s="22" t="str"/>
      <x:c r="K111" s="22" t="str"/>
      <x:c r="L111" s="22" t="str"/>
      <x:c r="M111" s="22" t="str">
        <x:v>일위대가목록</x:v>
      </x:c>
      <x:c r="N111" s="37" t="n">
        <x:v>110</x:v>
      </x:c>
      <x:c r="O1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1" s="22" t="str">
        <x:v>47d79c95e2c3273f84778935276c94526e369cc1b1bc057f6b03c998f44e253f</x:v>
      </x:c>
      <x:c r="Q111" s="22" t="str">
        <x:v>=E110+F110+G110</x:v>
      </x:c>
    </x:row>
    <x:row r="112">
      <x:c r="A112" s="22" t="str">
        <x:v>복합일위대가</x:v>
      </x:c>
      <x:c r="B112" s="22" t="str">
        <x:v>453125479B7D7FE4C224BA0035F95</x:v>
      </x:c>
      <x:c r="C112" s="25" t="str">
        <x:v>AW03/01. HOSPITAL/60*150 AL</x:v>
      </x:c>
      <x:c r="D112" s="25" t="str">
        <x:v>0.825 x 1.800 = 1.485</x:v>
      </x:c>
      <x:c r="E112" s="22" t="str">
        <x:v>EA</x:v>
      </x:c>
      <x:c r="F112" s="34" t="n">
        <x:v>274.73</x:v>
      </x:c>
      <x:c r="G112" s="34" t="n">
        <x:v>0</x:v>
      </x:c>
      <x:c r="H112" s="34" t="n">
        <x:v>0</x:v>
      </x:c>
      <x:c r="I112" s="34" t="n">
        <x:f>SUM(F112:H112)</x:f>
        <x:v>274.73</x:v>
      </x:c>
      <x:c r="J112" s="22" t="str"/>
      <x:c r="K112" s="22" t="str"/>
      <x:c r="L112" s="22" t="str"/>
      <x:c r="M112" s="22" t="str">
        <x:v>일위대가목록</x:v>
      </x:c>
      <x:c r="N112" s="37" t="n">
        <x:v>111</x:v>
      </x:c>
      <x:c r="O1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2" s="22" t="str">
        <x:v>47d79c95e2c3273f84778935276c94526e369cc1b1bc057f6b03c998f44e253f</x:v>
      </x:c>
      <x:c r="Q112" s="22" t="str">
        <x:v>=E111+F111+G111</x:v>
      </x:c>
    </x:row>
    <x:row r="113">
      <x:c r="A113" s="22" t="str">
        <x:v>복합일위대가</x:v>
      </x:c>
      <x:c r="B113" s="22" t="str">
        <x:v>453125479B7D7FE4C224BA0035EF4</x:v>
      </x:c>
      <x:c r="C113" s="25" t="str">
        <x:v>AW04/01. HOSPITAL/60*150 AL</x:v>
      </x:c>
      <x:c r="D113" s="25" t="str">
        <x:v>1.250 x 0.550 = 0.687</x:v>
      </x:c>
      <x:c r="E113" s="22" t="str">
        <x:v>EA</x:v>
      </x:c>
      <x:c r="F113" s="34" t="n">
        <x:v>127.1</x:v>
      </x:c>
      <x:c r="G113" s="34" t="n">
        <x:v>0</x:v>
      </x:c>
      <x:c r="H113" s="34" t="n">
        <x:v>0</x:v>
      </x:c>
      <x:c r="I113" s="34" t="n">
        <x:f>SUM(F113:H113)</x:f>
        <x:v>127.1</x:v>
      </x:c>
      <x:c r="J113" s="22" t="str"/>
      <x:c r="K113" s="22" t="str"/>
      <x:c r="L113" s="22" t="str"/>
      <x:c r="M113" s="22" t="str">
        <x:v>일위대가목록</x:v>
      </x:c>
      <x:c r="N113" s="37" t="n">
        <x:v>112</x:v>
      </x:c>
      <x:c r="O1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3" s="22" t="str">
        <x:v>47d79c95e2c3273f84778935276c94526e369cc1b1bc057f6b03c998f44e253f</x:v>
      </x:c>
      <x:c r="Q113" s="22" t="str">
        <x:v>=E112+F112+G112</x:v>
      </x:c>
    </x:row>
    <x:row r="114">
      <x:c r="A114" s="22" t="str">
        <x:v>복합일위대가</x:v>
      </x:c>
      <x:c r="B114" s="22" t="str">
        <x:v>453125479B7D7FE4C224BA0035EF6</x:v>
      </x:c>
      <x:c r="C114" s="25" t="str">
        <x:v>AW05/01. HOSPITAL/60*150 AL</x:v>
      </x:c>
      <x:c r="D114" s="25" t="str">
        <x:v>0.825 x 2.700 = 2.227</x:v>
      </x:c>
      <x:c r="E114" s="22" t="str">
        <x:v>EA</x:v>
      </x:c>
      <x:c r="F114" s="34" t="n">
        <x:v>412</x:v>
      </x:c>
      <x:c r="G114" s="34" t="n">
        <x:v>0</x:v>
      </x:c>
      <x:c r="H114" s="34" t="n">
        <x:v>0</x:v>
      </x:c>
      <x:c r="I114" s="34" t="n">
        <x:f>SUM(F114:H114)</x:f>
        <x:v>412</x:v>
      </x:c>
      <x:c r="J114" s="22" t="str"/>
      <x:c r="K114" s="22" t="str"/>
      <x:c r="L114" s="22" t="str"/>
      <x:c r="M114" s="22" t="str">
        <x:v>일위대가목록</x:v>
      </x:c>
      <x:c r="N114" s="37" t="n">
        <x:v>113</x:v>
      </x:c>
      <x:c r="O1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4" s="22" t="str">
        <x:v>47d79c95e2c3273f84778935276c94526e369cc1b1bc057f6b03c998f44e253f</x:v>
      </x:c>
      <x:c r="Q114" s="22" t="str">
        <x:v>=E113+F113+G113</x:v>
      </x:c>
    </x:row>
    <x:row r="115">
      <x:c r="A115" s="22" t="str">
        <x:v>복합일위대가</x:v>
      </x:c>
      <x:c r="B115" s="22" t="str">
        <x:v>453125479B7D7FE4C224BA0035EF0</x:v>
      </x:c>
      <x:c r="C115" s="25" t="str">
        <x:v>AW06/01. HOSPITAL/60*150 AL</x:v>
      </x:c>
      <x:c r="D115" s="25" t="str">
        <x:v>8.775 x 3.600 = 31.590</x:v>
      </x:c>
      <x:c r="E115" s="22" t="str">
        <x:v>EA</x:v>
      </x:c>
      <x:c r="F115" s="34" t="n">
        <x:v>5844.15</x:v>
      </x:c>
      <x:c r="G115" s="34" t="n">
        <x:v>0</x:v>
      </x:c>
      <x:c r="H115" s="34" t="n">
        <x:v>0</x:v>
      </x:c>
      <x:c r="I115" s="34" t="n">
        <x:f>SUM(F115:H115)</x:f>
        <x:v>5844.15</x:v>
      </x:c>
      <x:c r="J115" s="22" t="str"/>
      <x:c r="K115" s="22" t="str"/>
      <x:c r="L115" s="22" t="str"/>
      <x:c r="M115" s="22" t="str">
        <x:v>일위대가목록</x:v>
      </x:c>
      <x:c r="N115" s="37" t="n">
        <x:v>114</x:v>
      </x:c>
      <x:c r="O1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5" s="22" t="str">
        <x:v>47d79c95e2c3273f84778935276c94526e369cc1b1bc057f6b03c998f44e253f</x:v>
      </x:c>
      <x:c r="Q115" s="22" t="str">
        <x:v>=E114+F114+G114</x:v>
      </x:c>
    </x:row>
    <x:row r="116">
      <x:c r="A116" s="22" t="str">
        <x:v>복합일위대가</x:v>
      </x:c>
      <x:c r="B116" s="22" t="str">
        <x:v>453125479B7D7FE4C224BA0035EF2</x:v>
      </x:c>
      <x:c r="C116" s="25" t="str">
        <x:v>AW07/01. HOSPITAL/60*150 AL</x:v>
      </x:c>
      <x:c r="D116" s="25" t="str">
        <x:v>5.330 x 2.700 = 14.391</x:v>
      </x:c>
      <x:c r="E116" s="22" t="str">
        <x:v>EA</x:v>
      </x:c>
      <x:c r="F116" s="34" t="n">
        <x:v>2662.34</x:v>
      </x:c>
      <x:c r="G116" s="34" t="n">
        <x:v>0</x:v>
      </x:c>
      <x:c r="H116" s="34" t="n">
        <x:v>0</x:v>
      </x:c>
      <x:c r="I116" s="34" t="n">
        <x:f>SUM(F116:H116)</x:f>
        <x:v>2662.34</x:v>
      </x:c>
      <x:c r="J116" s="22" t="str"/>
      <x:c r="K116" s="22" t="str"/>
      <x:c r="L116" s="22" t="str"/>
      <x:c r="M116" s="22" t="str">
        <x:v>일위대가목록</x:v>
      </x:c>
      <x:c r="N116" s="37" t="n">
        <x:v>115</x:v>
      </x:c>
      <x:c r="O1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6" s="22" t="str">
        <x:v>47d79c95e2c3273f84778935276c94526e369cc1b1bc057f6b03c998f44e253f</x:v>
      </x:c>
      <x:c r="Q116" s="22" t="str">
        <x:v>=E115+F115+G115</x:v>
      </x:c>
    </x:row>
    <x:row r="117">
      <x:c r="A117" s="22" t="str">
        <x:v>복합일위대가</x:v>
      </x:c>
      <x:c r="B117" s="22" t="str">
        <x:v>453125479B7D7FE4C224BA0035EFC</x:v>
      </x:c>
      <x:c r="C117" s="25" t="str">
        <x:v>AW08/01. HOSPITAL/60*150 AL</x:v>
      </x:c>
      <x:c r="D117" s="25" t="str">
        <x:v>1.650 x 1.800 = 2.970</x:v>
      </x:c>
      <x:c r="E117" s="22" t="str">
        <x:v>EA</x:v>
      </x:c>
      <x:c r="F117" s="34" t="n">
        <x:v>549.45</x:v>
      </x:c>
      <x:c r="G117" s="34" t="n">
        <x:v>0</x:v>
      </x:c>
      <x:c r="H117" s="34" t="n">
        <x:v>0</x:v>
      </x:c>
      <x:c r="I117" s="34" t="n">
        <x:f>SUM(F117:H117)</x:f>
        <x:v>549.45</x:v>
      </x:c>
      <x:c r="J117" s="22" t="str"/>
      <x:c r="K117" s="22" t="str"/>
      <x:c r="L117" s="22" t="str"/>
      <x:c r="M117" s="22" t="str">
        <x:v>일위대가목록</x:v>
      </x:c>
      <x:c r="N117" s="37" t="n">
        <x:v>116</x:v>
      </x:c>
      <x:c r="O1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7" s="22" t="str">
        <x:v>47d79c95e2c3273f84778935276c94526e369cc1b1bc057f6b03c998f44e253f</x:v>
      </x:c>
      <x:c r="Q117" s="22" t="str">
        <x:v>=E116+F116+G116</x:v>
      </x:c>
    </x:row>
    <x:row r="118">
      <x:c r="A118" s="22" t="str">
        <x:v>복합일위대가</x:v>
      </x:c>
      <x:c r="B118" s="22" t="str">
        <x:v>453125479B7D7FE4C224BA0035972</x:v>
      </x:c>
      <x:c r="C118" s="25" t="str">
        <x:v>AW09/01. HOSPITAL/60*150 AL</x:v>
      </x:c>
      <x:c r="D118" s="25" t="str">
        <x:v>4.125 x 1.800 = 7.425</x:v>
      </x:c>
      <x:c r="E118" s="22" t="str">
        <x:v>EA</x:v>
      </x:c>
      <x:c r="F118" s="34" t="n">
        <x:v>1373.63</x:v>
      </x:c>
      <x:c r="G118" s="34" t="n">
        <x:v>0</x:v>
      </x:c>
      <x:c r="H118" s="34" t="n">
        <x:v>0</x:v>
      </x:c>
      <x:c r="I118" s="34" t="n">
        <x:f>SUM(F118:H118)</x:f>
        <x:v>1373.63</x:v>
      </x:c>
      <x:c r="J118" s="22" t="str"/>
      <x:c r="K118" s="22" t="str"/>
      <x:c r="L118" s="22" t="str"/>
      <x:c r="M118" s="22" t="str">
        <x:v>일위대가목록</x:v>
      </x:c>
      <x:c r="N118" s="37" t="n">
        <x:v>117</x:v>
      </x:c>
      <x:c r="O1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8" s="22" t="str">
        <x:v>47d79c95e2c3273f84778935276c94526e369cc1b1bc057f6b03c998f44e253f</x:v>
      </x:c>
      <x:c r="Q118" s="22" t="str">
        <x:v>=E117+F117+G117</x:v>
      </x:c>
    </x:row>
    <x:row r="119">
      <x:c r="A119" s="22" t="str">
        <x:v>복합일위대가</x:v>
      </x:c>
      <x:c r="B119" s="22" t="str">
        <x:v>453125479B7D7FE4C224BA0035970</x:v>
      </x:c>
      <x:c r="C119" s="25" t="str">
        <x:v>AW10/01. HOSPITAL/60*150 AL</x:v>
      </x:c>
      <x:c r="D119" s="25" t="str">
        <x:v>1.520 x 1.200 = 1.824</x:v>
      </x:c>
      <x:c r="E119" s="22" t="str">
        <x:v>EA</x:v>
      </x:c>
      <x:c r="F119" s="34" t="n">
        <x:v>337.44</x:v>
      </x:c>
      <x:c r="G119" s="34" t="n">
        <x:v>0</x:v>
      </x:c>
      <x:c r="H119" s="34" t="n">
        <x:v>0</x:v>
      </x:c>
      <x:c r="I119" s="34" t="n">
        <x:f>SUM(F119:H119)</x:f>
        <x:v>337.44</x:v>
      </x:c>
      <x:c r="J119" s="22" t="str"/>
      <x:c r="K119" s="22" t="str"/>
      <x:c r="L119" s="22" t="str"/>
      <x:c r="M119" s="22" t="str">
        <x:v>일위대가목록</x:v>
      </x:c>
      <x:c r="N119" s="37" t="n">
        <x:v>118</x:v>
      </x:c>
      <x:c r="O1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19" s="22" t="str">
        <x:v>47d79c95e2c3273f84778935276c94526e369cc1b1bc057f6b03c998f44e253f</x:v>
      </x:c>
      <x:c r="Q119" s="22" t="str">
        <x:v>=E118+F118+G118</x:v>
      </x:c>
    </x:row>
    <x:row r="120">
      <x:c r="A120" s="22" t="str">
        <x:v>복합일위대가</x:v>
      </x:c>
      <x:c r="B120" s="22" t="str">
        <x:v>453125479B7D7FE4C224BA0035976</x:v>
      </x:c>
      <x:c r="C120" s="25" t="str">
        <x:v>AW11/01. HOSPITAL/60*150 AL</x:v>
      </x:c>
      <x:c r="D120" s="25" t="str">
        <x:v>7.660 x 3.600 = 27.576</x:v>
      </x:c>
      <x:c r="E120" s="22" t="str">
        <x:v>EA</x:v>
      </x:c>
      <x:c r="F120" s="34" t="n">
        <x:v>5101.56</x:v>
      </x:c>
      <x:c r="G120" s="34" t="n">
        <x:v>0</x:v>
      </x:c>
      <x:c r="H120" s="34" t="n">
        <x:v>0</x:v>
      </x:c>
      <x:c r="I120" s="34" t="n">
        <x:f>SUM(F120:H120)</x:f>
        <x:v>5101.56</x:v>
      </x:c>
      <x:c r="J120" s="22" t="str"/>
      <x:c r="K120" s="22" t="str"/>
      <x:c r="L120" s="22" t="str"/>
      <x:c r="M120" s="22" t="str">
        <x:v>일위대가목록</x:v>
      </x:c>
      <x:c r="N120" s="37" t="n">
        <x:v>119</x:v>
      </x:c>
      <x:c r="O1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0" s="22" t="str">
        <x:v>47d79c95e2c3273f84778935276c94526e369cc1b1bc057f6b03c998f44e253f</x:v>
      </x:c>
      <x:c r="Q120" s="22" t="str">
        <x:v>=E119+F119+G119</x:v>
      </x:c>
    </x:row>
    <x:row r="121">
      <x:c r="A121" s="22" t="str">
        <x:v>복합일위대가</x:v>
      </x:c>
      <x:c r="B121" s="22" t="str">
        <x:v>453125479B7D7FE4C224BA0035974</x:v>
      </x:c>
      <x:c r="C121" s="25" t="str">
        <x:v>AW12/01. HOSPITAL/60*150 AL</x:v>
      </x:c>
      <x:c r="D121" s="25" t="str">
        <x:v>2.370 x 1.200 = 2.844</x:v>
      </x:c>
      <x:c r="E121" s="22" t="str">
        <x:v>EA</x:v>
      </x:c>
      <x:c r="F121" s="34" t="n">
        <x:v>526.14</x:v>
      </x:c>
      <x:c r="G121" s="34" t="n">
        <x:v>0</x:v>
      </x:c>
      <x:c r="H121" s="34" t="n">
        <x:v>0</x:v>
      </x:c>
      <x:c r="I121" s="34" t="n">
        <x:f>SUM(F121:H121)</x:f>
        <x:v>526.14</x:v>
      </x:c>
      <x:c r="J121" s="22" t="str"/>
      <x:c r="K121" s="22" t="str"/>
      <x:c r="L121" s="22" t="str"/>
      <x:c r="M121" s="22" t="str">
        <x:v>일위대가목록</x:v>
      </x:c>
      <x:c r="N121" s="37" t="n">
        <x:v>120</x:v>
      </x:c>
      <x:c r="O1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1" s="22" t="str">
        <x:v>47d79c95e2c3273f84778935276c94526e369cc1b1bc057f6b03c998f44e253f</x:v>
      </x:c>
      <x:c r="Q121" s="22" t="str">
        <x:v>=E120+F120+G120</x:v>
      </x:c>
    </x:row>
    <x:row r="122">
      <x:c r="A122" s="22" t="str">
        <x:v>복합일위대가</x:v>
      </x:c>
      <x:c r="B122" s="22" t="str">
        <x:v>453125479B7D7FE4C224BA003597A</x:v>
      </x:c>
      <x:c r="C122" s="25" t="str">
        <x:v>AW13/01. HOSPITAL/60*150 AL</x:v>
      </x:c>
      <x:c r="D122" s="25" t="str">
        <x:v>0.825 x 1.200 = 0.990</x:v>
      </x:c>
      <x:c r="E122" s="22" t="str">
        <x:v>EA</x:v>
      </x:c>
      <x:c r="F122" s="34" t="n">
        <x:v>183.15</x:v>
      </x:c>
      <x:c r="G122" s="34" t="n">
        <x:v>0</x:v>
      </x:c>
      <x:c r="H122" s="34" t="n">
        <x:v>0</x:v>
      </x:c>
      <x:c r="I122" s="34" t="n">
        <x:f>SUM(F122:H122)</x:f>
        <x:v>183.15</x:v>
      </x:c>
      <x:c r="J122" s="22" t="str"/>
      <x:c r="K122" s="22" t="str"/>
      <x:c r="L122" s="22" t="str"/>
      <x:c r="M122" s="22" t="str">
        <x:v>일위대가목록</x:v>
      </x:c>
      <x:c r="N122" s="37" t="n">
        <x:v>121</x:v>
      </x:c>
      <x:c r="O1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2" s="22" t="str">
        <x:v>47d79c95e2c3273f84778935276c94526e369cc1b1bc057f6b03c998f44e253f</x:v>
      </x:c>
      <x:c r="Q122" s="22" t="str">
        <x:v>=E121+F121+G121</x:v>
      </x:c>
    </x:row>
    <x:row r="123">
      <x:c r="A123" s="22" t="str">
        <x:v>복합일위대가</x:v>
      </x:c>
      <x:c r="B123" s="22" t="str">
        <x:v>453125479B7D7FE4C224BA003586D</x:v>
      </x:c>
      <x:c r="C123" s="25" t="str">
        <x:v>AW13A/01. HOSPITAL/60*150 AL</x:v>
      </x:c>
      <x:c r="D123" s="25" t="str">
        <x:v>0.825 x 1.500 = 1.237</x:v>
      </x:c>
      <x:c r="E123" s="22" t="str">
        <x:v>EA</x:v>
      </x:c>
      <x:c r="F123" s="34" t="n">
        <x:v>228.85</x:v>
      </x:c>
      <x:c r="G123" s="34" t="n">
        <x:v>0</x:v>
      </x:c>
      <x:c r="H123" s="34" t="n">
        <x:v>0</x:v>
      </x:c>
      <x:c r="I123" s="34" t="n">
        <x:f>SUM(F123:H123)</x:f>
        <x:v>228.85</x:v>
      </x:c>
      <x:c r="J123" s="22" t="str"/>
      <x:c r="K123" s="22" t="str"/>
      <x:c r="L123" s="22" t="str"/>
      <x:c r="M123" s="22" t="str">
        <x:v>일위대가목록</x:v>
      </x:c>
      <x:c r="N123" s="37" t="n">
        <x:v>122</x:v>
      </x:c>
      <x:c r="O1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3" s="22" t="str">
        <x:v>47d79c95e2c3273f84778935276c94526e369cc1b1bc057f6b03c998f44e253f</x:v>
      </x:c>
      <x:c r="Q123" s="22" t="str">
        <x:v>=E122+F122+G122</x:v>
      </x:c>
    </x:row>
    <x:row r="124">
      <x:c r="A124" s="22" t="str">
        <x:v>복합일위대가</x:v>
      </x:c>
      <x:c r="B124" s="22" t="str">
        <x:v>453125479B7D7FE4C224BA003586F</x:v>
      </x:c>
      <x:c r="C124" s="25" t="str">
        <x:v>AW14/01. HOSPITAL/60*150 AL</x:v>
      </x:c>
      <x:c r="D124" s="25" t="str">
        <x:v>1.650 x 2.700 = 4.455</x:v>
      </x:c>
      <x:c r="E124" s="22" t="str">
        <x:v>EA</x:v>
      </x:c>
      <x:c r="F124" s="34" t="n">
        <x:v>824.18</x:v>
      </x:c>
      <x:c r="G124" s="34" t="n">
        <x:v>0</x:v>
      </x:c>
      <x:c r="H124" s="34" t="n">
        <x:v>0</x:v>
      </x:c>
      <x:c r="I124" s="34" t="n">
        <x:f>SUM(F124:H124)</x:f>
        <x:v>824.18</x:v>
      </x:c>
      <x:c r="J124" s="22" t="str"/>
      <x:c r="K124" s="22" t="str"/>
      <x:c r="L124" s="22" t="str"/>
      <x:c r="M124" s="22" t="str">
        <x:v>일위대가목록</x:v>
      </x:c>
      <x:c r="N124" s="37" t="n">
        <x:v>123</x:v>
      </x:c>
      <x:c r="O1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4" s="22" t="str">
        <x:v>47d79c95e2c3273f84778935276c94526e369cc1b1bc057f6b03c998f44e253f</x:v>
      </x:c>
      <x:c r="Q124" s="22" t="str">
        <x:v>=E123+F123+G123</x:v>
      </x:c>
    </x:row>
    <x:row r="125">
      <x:c r="A125" s="22" t="str">
        <x:v>복합일위대가</x:v>
      </x:c>
      <x:c r="B125" s="22" t="str">
        <x:v>453125479B7D7FE4C224BA0035869</x:v>
      </x:c>
      <x:c r="C125" s="25" t="str">
        <x:v>AW15/01. HOSPITAL/60*150 AL</x:v>
      </x:c>
      <x:c r="D125" s="25" t="str">
        <x:v>2.370 x 1.200 = 2.844</x:v>
      </x:c>
      <x:c r="E125" s="22" t="str">
        <x:v>EA</x:v>
      </x:c>
      <x:c r="F125" s="34" t="n">
        <x:v>526.14</x:v>
      </x:c>
      <x:c r="G125" s="34" t="n">
        <x:v>0</x:v>
      </x:c>
      <x:c r="H125" s="34" t="n">
        <x:v>0</x:v>
      </x:c>
      <x:c r="I125" s="34" t="n">
        <x:f>SUM(F125:H125)</x:f>
        <x:v>526.14</x:v>
      </x:c>
      <x:c r="J125" s="22" t="str"/>
      <x:c r="K125" s="22" t="str"/>
      <x:c r="L125" s="22" t="str"/>
      <x:c r="M125" s="22" t="str">
        <x:v>일위대가목록</x:v>
      </x:c>
      <x:c r="N125" s="37" t="n">
        <x:v>124</x:v>
      </x:c>
      <x:c r="O1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5" s="22" t="str">
        <x:v>47d79c95e2c3273f84778935276c94526e369cc1b1bc057f6b03c998f44e253f</x:v>
      </x:c>
      <x:c r="Q125" s="22" t="str">
        <x:v>=E124+F124+G124</x:v>
      </x:c>
    </x:row>
    <x:row r="126">
      <x:c r="A126" s="22" t="str">
        <x:v>복합일위대가</x:v>
      </x:c>
      <x:c r="B126" s="22" t="str">
        <x:v>453125479B7D7FE4C224BA003586B</x:v>
      </x:c>
      <x:c r="C126" s="25" t="str">
        <x:v>AW16/01. HOSPITAL/60*150 AL</x:v>
      </x:c>
      <x:c r="D126" s="25" t="str">
        <x:v>2.370 x 1.200 = 2.844</x:v>
      </x:c>
      <x:c r="E126" s="22" t="str">
        <x:v>EA</x:v>
      </x:c>
      <x:c r="F126" s="34" t="n">
        <x:v>526.14</x:v>
      </x:c>
      <x:c r="G126" s="34" t="n">
        <x:v>0</x:v>
      </x:c>
      <x:c r="H126" s="34" t="n">
        <x:v>0</x:v>
      </x:c>
      <x:c r="I126" s="34" t="n">
        <x:f>SUM(F126:H126)</x:f>
        <x:v>526.14</x:v>
      </x:c>
      <x:c r="J126" s="22" t="str"/>
      <x:c r="K126" s="22" t="str"/>
      <x:c r="L126" s="22" t="str"/>
      <x:c r="M126" s="22" t="str">
        <x:v>일위대가목록</x:v>
      </x:c>
      <x:c r="N126" s="37" t="n">
        <x:v>125</x:v>
      </x:c>
      <x:c r="O1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6" s="22" t="str">
        <x:v>47d79c95e2c3273f84778935276c94526e369cc1b1bc057f6b03c998f44e253f</x:v>
      </x:c>
      <x:c r="Q126" s="22" t="str">
        <x:v>=E125+F125+G125</x:v>
      </x:c>
    </x:row>
    <x:row r="127">
      <x:c r="A127" s="22" t="str">
        <x:v>복합일위대가</x:v>
      </x:c>
      <x:c r="B127" s="22" t="str">
        <x:v>453125479B7D7FE4C224BA0035865</x:v>
      </x:c>
      <x:c r="C127" s="25" t="str">
        <x:v>AW16A/01. HOSPITAL/60*150 AL</x:v>
      </x:c>
      <x:c r="D127" s="25" t="str">
        <x:v>1.770 x 1.200 = 2.124</x:v>
      </x:c>
      <x:c r="E127" s="22" t="str">
        <x:v>EA</x:v>
      </x:c>
      <x:c r="F127" s="34" t="n">
        <x:v>392.94</x:v>
      </x:c>
      <x:c r="G127" s="34" t="n">
        <x:v>0</x:v>
      </x:c>
      <x:c r="H127" s="34" t="n">
        <x:v>0</x:v>
      </x:c>
      <x:c r="I127" s="34" t="n">
        <x:f>SUM(F127:H127)</x:f>
        <x:v>392.94</x:v>
      </x:c>
      <x:c r="J127" s="22" t="str"/>
      <x:c r="K127" s="22" t="str"/>
      <x:c r="L127" s="22" t="str"/>
      <x:c r="M127" s="22" t="str">
        <x:v>일위대가목록</x:v>
      </x:c>
      <x:c r="N127" s="37" t="n">
        <x:v>126</x:v>
      </x:c>
      <x:c r="O1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7" s="22" t="str">
        <x:v>47d79c95e2c3273f84778935276c94526e369cc1b1bc057f6b03c998f44e253f</x:v>
      </x:c>
      <x:c r="Q127" s="22" t="str">
        <x:v>=E126+F126+G126</x:v>
      </x:c>
    </x:row>
    <x:row r="128">
      <x:c r="A128" s="22" t="str">
        <x:v>복합일위대가</x:v>
      </x:c>
      <x:c r="B128" s="22" t="str">
        <x:v>453125479B7D7FE4C224BA0035B20</x:v>
      </x:c>
      <x:c r="C128" s="25" t="str">
        <x:v>AW17/01. HOSPITAL/60*150 AL</x:v>
      </x:c>
      <x:c r="D128" s="25" t="str">
        <x:v>2.735 x 2.700 = 7.384</x:v>
      </x:c>
      <x:c r="E128" s="22" t="str">
        <x:v>EA</x:v>
      </x:c>
      <x:c r="F128" s="34" t="n">
        <x:v>1366.04</x:v>
      </x:c>
      <x:c r="G128" s="34" t="n">
        <x:v>0</x:v>
      </x:c>
      <x:c r="H128" s="34" t="n">
        <x:v>0</x:v>
      </x:c>
      <x:c r="I128" s="34" t="n">
        <x:f>SUM(F128:H128)</x:f>
        <x:v>1366.04</x:v>
      </x:c>
      <x:c r="J128" s="22" t="str"/>
      <x:c r="K128" s="22" t="str"/>
      <x:c r="L128" s="22" t="str"/>
      <x:c r="M128" s="22" t="str">
        <x:v>일위대가목록</x:v>
      </x:c>
      <x:c r="N128" s="37" t="n">
        <x:v>127</x:v>
      </x:c>
      <x:c r="O1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8" s="22" t="str">
        <x:v>47d79c95e2c3273f84778935276c94526e369cc1b1bc057f6b03c998f44e253f</x:v>
      </x:c>
      <x:c r="Q128" s="22" t="str">
        <x:v>=E127+F127+G127</x:v>
      </x:c>
    </x:row>
    <x:row r="129">
      <x:c r="A129" s="22" t="str">
        <x:v>복합일위대가</x:v>
      </x:c>
      <x:c r="B129" s="22" t="str">
        <x:v>453125479B7D7FE4C224BA0035B22</x:v>
      </x:c>
      <x:c r="C129" s="25" t="str">
        <x:v>AW17A/01. HOSPITAL/60*150 AL</x:v>
      </x:c>
      <x:c r="D129" s="25" t="str">
        <x:v>2.735 x 2.400 = 6.564</x:v>
      </x:c>
      <x:c r="E129" s="22" t="str">
        <x:v>EA</x:v>
      </x:c>
      <x:c r="F129" s="34" t="n">
        <x:v>1214.34</x:v>
      </x:c>
      <x:c r="G129" s="34" t="n">
        <x:v>0</x:v>
      </x:c>
      <x:c r="H129" s="34" t="n">
        <x:v>0</x:v>
      </x:c>
      <x:c r="I129" s="34" t="n">
        <x:f>SUM(F129:H129)</x:f>
        <x:v>1214.34</x:v>
      </x:c>
      <x:c r="J129" s="22" t="str"/>
      <x:c r="K129" s="22" t="str"/>
      <x:c r="L129" s="22" t="str"/>
      <x:c r="M129" s="22" t="str">
        <x:v>일위대가목록</x:v>
      </x:c>
      <x:c r="N129" s="37" t="n">
        <x:v>128</x:v>
      </x:c>
      <x:c r="O1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29" s="22" t="str">
        <x:v>47d79c95e2c3273f84778935276c94526e369cc1b1bc057f6b03c998f44e253f</x:v>
      </x:c>
      <x:c r="Q129" s="22" t="str">
        <x:v>=E128+F128+G128</x:v>
      </x:c>
    </x:row>
    <x:row r="130">
      <x:c r="A130" s="22" t="str">
        <x:v>복합일위대가</x:v>
      </x:c>
      <x:c r="B130" s="22" t="str">
        <x:v>453125479B7D7FE4C224BA0035B24</x:v>
      </x:c>
      <x:c r="C130" s="25" t="str">
        <x:v>AW17B/01. HOSPITAL/60*150 AL</x:v>
      </x:c>
      <x:c r="D130" s="25" t="str">
        <x:v>2.945 x 2.700 = 7.951</x:v>
      </x:c>
      <x:c r="E130" s="22" t="str">
        <x:v>EA</x:v>
      </x:c>
      <x:c r="F130" s="34" t="n">
        <x:v>1470.94</x:v>
      </x:c>
      <x:c r="G130" s="34" t="n">
        <x:v>0</x:v>
      </x:c>
      <x:c r="H130" s="34" t="n">
        <x:v>0</x:v>
      </x:c>
      <x:c r="I130" s="34" t="n">
        <x:f>SUM(F130:H130)</x:f>
        <x:v>1470.94</x:v>
      </x:c>
      <x:c r="J130" s="22" t="str"/>
      <x:c r="K130" s="22" t="str"/>
      <x:c r="L130" s="22" t="str"/>
      <x:c r="M130" s="22" t="str">
        <x:v>일위대가목록</x:v>
      </x:c>
      <x:c r="N130" s="37" t="n">
        <x:v>129</x:v>
      </x:c>
      <x:c r="O1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0" s="22" t="str">
        <x:v>47d79c95e2c3273f84778935276c94526e369cc1b1bc057f6b03c998f44e253f</x:v>
      </x:c>
      <x:c r="Q130" s="22" t="str">
        <x:v>=E129+F129+G129</x:v>
      </x:c>
    </x:row>
    <x:row r="131">
      <x:c r="A131" s="22" t="str">
        <x:v>복합일위대가</x:v>
      </x:c>
      <x:c r="B131" s="22" t="str">
        <x:v>453125479B7D7FE4C224BA0035B26</x:v>
      </x:c>
      <x:c r="C131" s="25" t="str">
        <x:v>AW18/01. HOSPITAL/60*150 AL</x:v>
      </x:c>
      <x:c r="D131" s="25" t="str">
        <x:v>0.760 x 1.800 = 1.368</x:v>
      </x:c>
      <x:c r="E131" s="22" t="str">
        <x:v>EA</x:v>
      </x:c>
      <x:c r="F131" s="34" t="n">
        <x:v>253.08</x:v>
      </x:c>
      <x:c r="G131" s="34" t="n">
        <x:v>0</x:v>
      </x:c>
      <x:c r="H131" s="34" t="n">
        <x:v>0</x:v>
      </x:c>
      <x:c r="I131" s="34" t="n">
        <x:f>SUM(F131:H131)</x:f>
        <x:v>253.08</x:v>
      </x:c>
      <x:c r="J131" s="22" t="str"/>
      <x:c r="K131" s="22" t="str"/>
      <x:c r="L131" s="22" t="str"/>
      <x:c r="M131" s="22" t="str">
        <x:v>일위대가목록</x:v>
      </x:c>
      <x:c r="N131" s="37" t="n">
        <x:v>130</x:v>
      </x:c>
      <x:c r="O1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1" s="22" t="str">
        <x:v>47d79c95e2c3273f84778935276c94526e369cc1b1bc057f6b03c998f44e253f</x:v>
      </x:c>
      <x:c r="Q131" s="22" t="str">
        <x:v>=E130+F130+G130</x:v>
      </x:c>
    </x:row>
    <x:row r="132">
      <x:c r="A132" s="22" t="str">
        <x:v>복합일위대가</x:v>
      </x:c>
      <x:c r="B132" s="22" t="str">
        <x:v>453125479B7D7FE4C224BA0035B28</x:v>
      </x:c>
      <x:c r="C132" s="25" t="str">
        <x:v>AW18A/01. HOSPITAL/60*150 AL</x:v>
      </x:c>
      <x:c r="D132" s="25" t="str">
        <x:v>0.760 x 2.700 = 2.052</x:v>
      </x:c>
      <x:c r="E132" s="22" t="str">
        <x:v>EA</x:v>
      </x:c>
      <x:c r="F132" s="34" t="n">
        <x:v>379.62</x:v>
      </x:c>
      <x:c r="G132" s="34" t="n">
        <x:v>0</x:v>
      </x:c>
      <x:c r="H132" s="34" t="n">
        <x:v>0</x:v>
      </x:c>
      <x:c r="I132" s="34" t="n">
        <x:f>SUM(F132:H132)</x:f>
        <x:v>379.62</x:v>
      </x:c>
      <x:c r="J132" s="22" t="str"/>
      <x:c r="K132" s="22" t="str"/>
      <x:c r="L132" s="22" t="str"/>
      <x:c r="M132" s="22" t="str">
        <x:v>일위대가목록</x:v>
      </x:c>
      <x:c r="N132" s="37" t="n">
        <x:v>131</x:v>
      </x:c>
      <x:c r="O1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2" s="22" t="str">
        <x:v>47d79c95e2c3273f84778935276c94526e369cc1b1bc057f6b03c998f44e253f</x:v>
      </x:c>
      <x:c r="Q132" s="22" t="str">
        <x:v>=E131+F131+G131</x:v>
      </x:c>
    </x:row>
    <x:row r="133">
      <x:c r="A133" s="22" t="str">
        <x:v>복합일위대가</x:v>
      </x:c>
      <x:c r="B133" s="22" t="str">
        <x:v>453125479B7D7FE4C224BA0035A1D</x:v>
      </x:c>
      <x:c r="C133" s="25" t="str">
        <x:v>AW20/01. HOSPITAL/60*150 AL</x:v>
      </x:c>
      <x:c r="D133" s="25" t="str">
        <x:v>2.370 x 1.500 = 3.555</x:v>
      </x:c>
      <x:c r="E133" s="22" t="str">
        <x:v>EA</x:v>
      </x:c>
      <x:c r="F133" s="34" t="n">
        <x:v>657.68</x:v>
      </x:c>
      <x:c r="G133" s="34" t="n">
        <x:v>0</x:v>
      </x:c>
      <x:c r="H133" s="34" t="n">
        <x:v>0</x:v>
      </x:c>
      <x:c r="I133" s="34" t="n">
        <x:f>SUM(F133:H133)</x:f>
        <x:v>657.68</x:v>
      </x:c>
      <x:c r="J133" s="22" t="str"/>
      <x:c r="K133" s="22" t="str"/>
      <x:c r="L133" s="22" t="str"/>
      <x:c r="M133" s="22" t="str">
        <x:v>일위대가목록</x:v>
      </x:c>
      <x:c r="N133" s="37" t="n">
        <x:v>132</x:v>
      </x:c>
      <x:c r="O1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3" s="22" t="str">
        <x:v>47d79c95e2c3273f84778935276c94526e369cc1b1bc057f6b03c998f44e253f</x:v>
      </x:c>
      <x:c r="Q133" s="22" t="str">
        <x:v>=E132+F132+G132</x:v>
      </x:c>
    </x:row>
    <x:row r="134">
      <x:c r="A134" s="22" t="str">
        <x:v>복합일위대가</x:v>
      </x:c>
      <x:c r="B134" s="22" t="str">
        <x:v>453125479B7D7FE4C224BA0035A13</x:v>
      </x:c>
      <x:c r="C134" s="25" t="str">
        <x:v>AW21/01. HOSPITAL/60*150 AL</x:v>
      </x:c>
      <x:c r="D134" s="25" t="str">
        <x:v>0.760 x 1.500 = 1.140</x:v>
      </x:c>
      <x:c r="E134" s="22" t="str">
        <x:v>EA</x:v>
      </x:c>
      <x:c r="F134" s="34" t="n">
        <x:v>210.9</x:v>
      </x:c>
      <x:c r="G134" s="34" t="n">
        <x:v>0</x:v>
      </x:c>
      <x:c r="H134" s="34" t="n">
        <x:v>0</x:v>
      </x:c>
      <x:c r="I134" s="34" t="n">
        <x:f>SUM(F134:H134)</x:f>
        <x:v>210.9</x:v>
      </x:c>
      <x:c r="J134" s="22" t="str"/>
      <x:c r="K134" s="22" t="str"/>
      <x:c r="L134" s="22" t="str"/>
      <x:c r="M134" s="22" t="str">
        <x:v>일위대가목록</x:v>
      </x:c>
      <x:c r="N134" s="37" t="n">
        <x:v>133</x:v>
      </x:c>
      <x:c r="O1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4" s="22" t="str">
        <x:v>47d79c95e2c3273f84778935276c94526e369cc1b1bc057f6b03c998f44e253f</x:v>
      </x:c>
      <x:c r="Q134" s="22" t="str">
        <x:v>=E133+F133+G133</x:v>
      </x:c>
    </x:row>
    <x:row r="135">
      <x:c r="A135" s="22" t="str">
        <x:v>복합일위대가</x:v>
      </x:c>
      <x:c r="B135" s="22" t="str">
        <x:v>453125479B7D7FE4C224BA0035599</x:v>
      </x:c>
      <x:c r="C135" s="25" t="str">
        <x:v>AW21A/01. HOSPITAL/60*150 AL</x:v>
      </x:c>
      <x:c r="D135" s="25" t="str">
        <x:v>0.760 x 2.400 = 1.824</x:v>
      </x:c>
      <x:c r="E135" s="22" t="str">
        <x:v>EA</x:v>
      </x:c>
      <x:c r="F135" s="34" t="n">
        <x:v>337.44</x:v>
      </x:c>
      <x:c r="G135" s="34" t="n">
        <x:v>0</x:v>
      </x:c>
      <x:c r="H135" s="34" t="n">
        <x:v>0</x:v>
      </x:c>
      <x:c r="I135" s="34" t="n">
        <x:f>SUM(F135:H135)</x:f>
        <x:v>337.44</x:v>
      </x:c>
      <x:c r="J135" s="22" t="str"/>
      <x:c r="K135" s="22" t="str"/>
      <x:c r="L135" s="22" t="str"/>
      <x:c r="M135" s="22" t="str">
        <x:v>일위대가목록</x:v>
      </x:c>
      <x:c r="N135" s="37" t="n">
        <x:v>134</x:v>
      </x:c>
      <x:c r="O1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5" s="22" t="str">
        <x:v>47d79c95e2c3273f84778935276c94526e369cc1b1bc057f6b03c998f44e253f</x:v>
      </x:c>
      <x:c r="Q135" s="22" t="str">
        <x:v>=E134+F134+G134</x:v>
      </x:c>
    </x:row>
    <x:row r="136">
      <x:c r="A136" s="22" t="str">
        <x:v>복합일위대가</x:v>
      </x:c>
      <x:c r="B136" s="22" t="str">
        <x:v>453125479B7D7FE4C224BA003559B</x:v>
      </x:c>
      <x:c r="C136" s="25" t="str">
        <x:v>AW22/01. HOSPITAL/60*150 AL</x:v>
      </x:c>
      <x:c r="D136" s="25" t="str">
        <x:v>0.760 x 0.450 = 0.342</x:v>
      </x:c>
      <x:c r="E136" s="22" t="str">
        <x:v>EA</x:v>
      </x:c>
      <x:c r="F136" s="34" t="n">
        <x:v>63.27</x:v>
      </x:c>
      <x:c r="G136" s="34" t="n">
        <x:v>0</x:v>
      </x:c>
      <x:c r="H136" s="34" t="n">
        <x:v>0</x:v>
      </x:c>
      <x:c r="I136" s="34" t="n">
        <x:f>SUM(F136:H136)</x:f>
        <x:v>63.27</x:v>
      </x:c>
      <x:c r="J136" s="22" t="str"/>
      <x:c r="K136" s="22" t="str"/>
      <x:c r="L136" s="22" t="str"/>
      <x:c r="M136" s="22" t="str">
        <x:v>일위대가목록</x:v>
      </x:c>
      <x:c r="N136" s="37" t="n">
        <x:v>135</x:v>
      </x:c>
      <x:c r="O1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6" s="22" t="str">
        <x:v>47d79c95e2c3273f84778935276c94526e369cc1b1bc057f6b03c998f44e253f</x:v>
      </x:c>
      <x:c r="Q136" s="22" t="str">
        <x:v>=E135+F135+G135</x:v>
      </x:c>
    </x:row>
    <x:row r="137">
      <x:c r="A137" s="22" t="str">
        <x:v>복합일위대가</x:v>
      </x:c>
      <x:c r="B137" s="22" t="str">
        <x:v>453125479B7D7FE4C224BA003559D</x:v>
      </x:c>
      <x:c r="C137" s="25" t="str">
        <x:v>AW22A/01. HOSPITAL/60*150 AL</x:v>
      </x:c>
      <x:c r="D137" s="25" t="str">
        <x:v>0.825 x 0.550 = 0.453</x:v>
      </x:c>
      <x:c r="E137" s="22" t="str">
        <x:v>EA</x:v>
      </x:c>
      <x:c r="F137" s="34" t="n">
        <x:v>83.81</x:v>
      </x:c>
      <x:c r="G137" s="34" t="n">
        <x:v>0</x:v>
      </x:c>
      <x:c r="H137" s="34" t="n">
        <x:v>0</x:v>
      </x:c>
      <x:c r="I137" s="34" t="n">
        <x:f>SUM(F137:H137)</x:f>
        <x:v>83.81</x:v>
      </x:c>
      <x:c r="J137" s="22" t="str"/>
      <x:c r="K137" s="22" t="str"/>
      <x:c r="L137" s="22" t="str"/>
      <x:c r="M137" s="22" t="str">
        <x:v>일위대가목록</x:v>
      </x:c>
      <x:c r="N137" s="37" t="n">
        <x:v>136</x:v>
      </x:c>
      <x:c r="O1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7" s="22" t="str">
        <x:v>47d79c95e2c3273f84778935276c94526e369cc1b1bc057f6b03c998f44e253f</x:v>
      </x:c>
      <x:c r="Q137" s="22" t="str">
        <x:v>=E136+F136+G136</x:v>
      </x:c>
    </x:row>
    <x:row r="138">
      <x:c r="A138" s="22" t="str">
        <x:v>복합일위대가</x:v>
      </x:c>
      <x:c r="B138" s="22" t="str">
        <x:v>453125479B7D7FE4C224BA003559F</x:v>
      </x:c>
      <x:c r="C138" s="25" t="str">
        <x:v>AW23/01. HOSPITAL/60*150 AL</x:v>
      </x:c>
      <x:c r="D138" s="25" t="str">
        <x:v>2.100 x 2.400 = 5.040</x:v>
      </x:c>
      <x:c r="E138" s="22" t="str">
        <x:v>EA</x:v>
      </x:c>
      <x:c r="F138" s="34" t="n">
        <x:v>932.4</x:v>
      </x:c>
      <x:c r="G138" s="34" t="n">
        <x:v>0</x:v>
      </x:c>
      <x:c r="H138" s="34" t="n">
        <x:v>0</x:v>
      </x:c>
      <x:c r="I138" s="34" t="n">
        <x:f>SUM(F138:H138)</x:f>
        <x:v>932.4</x:v>
      </x:c>
      <x:c r="J138" s="22" t="str"/>
      <x:c r="K138" s="22" t="str"/>
      <x:c r="L138" s="22" t="str"/>
      <x:c r="M138" s="22" t="str">
        <x:v>일위대가목록</x:v>
      </x:c>
      <x:c r="N138" s="37" t="n">
        <x:v>137</x:v>
      </x:c>
      <x:c r="O1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8" s="22" t="str">
        <x:v>47d79c95e2c3273f84778935276c94526e369cc1b1bc057f6b03c998f44e253f</x:v>
      </x:c>
      <x:c r="Q138" s="22" t="str">
        <x:v>=E137+F137+G137</x:v>
      </x:c>
    </x:row>
    <x:row r="139">
      <x:c r="A139" s="22" t="str">
        <x:v>복합일위대가</x:v>
      </x:c>
      <x:c r="B139" s="22" t="str">
        <x:v>453125479B7D7FE4C224BA0035591</x:v>
      </x:c>
      <x:c r="C139" s="25" t="str">
        <x:v>AW23A/01. HOSPITAL/60*150 AL</x:v>
      </x:c>
      <x:c r="D139" s="25" t="str">
        <x:v>2.100 x 2.700 = 5.670</x:v>
      </x:c>
      <x:c r="E139" s="22" t="str">
        <x:v>EA</x:v>
      </x:c>
      <x:c r="F139" s="34" t="n">
        <x:v>1048.95</x:v>
      </x:c>
      <x:c r="G139" s="34" t="n">
        <x:v>0</x:v>
      </x:c>
      <x:c r="H139" s="34" t="n">
        <x:v>0</x:v>
      </x:c>
      <x:c r="I139" s="34" t="n">
        <x:f>SUM(F139:H139)</x:f>
        <x:v>1048.95</x:v>
      </x:c>
      <x:c r="J139" s="22" t="str"/>
      <x:c r="K139" s="22" t="str"/>
      <x:c r="L139" s="22" t="str"/>
      <x:c r="M139" s="22" t="str">
        <x:v>일위대가목록</x:v>
      </x:c>
      <x:c r="N139" s="37" t="n">
        <x:v>138</x:v>
      </x:c>
      <x:c r="O1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39" s="22" t="str">
        <x:v>47d79c95e2c3273f84778935276c94526e369cc1b1bc057f6b03c998f44e253f</x:v>
      </x:c>
      <x:c r="Q139" s="22" t="str">
        <x:v>=E138+F138+G138</x:v>
      </x:c>
    </x:row>
    <x:row r="140">
      <x:c r="A140" s="22" t="str">
        <x:v>복합일위대가</x:v>
      </x:c>
      <x:c r="B140" s="22" t="str">
        <x:v>453125479B7D7FE4C224BA00354F0</x:v>
      </x:c>
      <x:c r="C140" s="25" t="str">
        <x:v>AW24/01. HOSPITAL/60*150 AL</x:v>
      </x:c>
      <x:c r="D140" s="25" t="str">
        <x:v>7.660 x 4.440 = 34.010</x:v>
      </x:c>
      <x:c r="E140" s="22" t="str">
        <x:v>EA</x:v>
      </x:c>
      <x:c r="F140" s="34" t="n">
        <x:v>6291.85</x:v>
      </x:c>
      <x:c r="G140" s="34" t="n">
        <x:v>0</x:v>
      </x:c>
      <x:c r="H140" s="34" t="n">
        <x:v>0</x:v>
      </x:c>
      <x:c r="I140" s="34" t="n">
        <x:f>SUM(F140:H140)</x:f>
        <x:v>6291.85</x:v>
      </x:c>
      <x:c r="J140" s="22" t="str"/>
      <x:c r="K140" s="22" t="str"/>
      <x:c r="L140" s="22" t="str"/>
      <x:c r="M140" s="22" t="str">
        <x:v>일위대가목록</x:v>
      </x:c>
      <x:c r="N140" s="37" t="n">
        <x:v>139</x:v>
      </x:c>
      <x:c r="O1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0" s="22" t="str">
        <x:v>47d79c95e2c3273f84778935276c94526e369cc1b1bc057f6b03c998f44e253f</x:v>
      </x:c>
      <x:c r="Q140" s="22" t="str">
        <x:v>=E139+F139+G139</x:v>
      </x:c>
    </x:row>
    <x:row r="141">
      <x:c r="A141" s="22" t="str">
        <x:v>복합일위대가</x:v>
      </x:c>
      <x:c r="B141" s="22" t="str">
        <x:v>453125479B7D7FE4C224BA00354F2</x:v>
      </x:c>
      <x:c r="C141" s="25" t="str">
        <x:v>AW25/01. HOSPITAL/60*150 AL</x:v>
      </x:c>
      <x:c r="D141" s="25" t="str">
        <x:v>1.650 x 2.400 = 3.960</x:v>
      </x:c>
      <x:c r="E141" s="22" t="str">
        <x:v>EA</x:v>
      </x:c>
      <x:c r="F141" s="34" t="n">
        <x:v>732.6</x:v>
      </x:c>
      <x:c r="G141" s="34" t="n">
        <x:v>0</x:v>
      </x:c>
      <x:c r="H141" s="34" t="n">
        <x:v>0</x:v>
      </x:c>
      <x:c r="I141" s="34" t="n">
        <x:f>SUM(F141:H141)</x:f>
        <x:v>732.6</x:v>
      </x:c>
      <x:c r="J141" s="22" t="str"/>
      <x:c r="K141" s="22" t="str"/>
      <x:c r="L141" s="22" t="str"/>
      <x:c r="M141" s="22" t="str">
        <x:v>일위대가목록</x:v>
      </x:c>
      <x:c r="N141" s="37" t="n">
        <x:v>140</x:v>
      </x:c>
      <x:c r="O1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1" s="22" t="str">
        <x:v>47d79c95e2c3273f84778935276c94526e369cc1b1bc057f6b03c998f44e253f</x:v>
      </x:c>
      <x:c r="Q141" s="22" t="str">
        <x:v>=E140+F140+G140</x:v>
      </x:c>
    </x:row>
    <x:row r="142">
      <x:c r="A142" s="22" t="str">
        <x:v>복합일위대가</x:v>
      </x:c>
      <x:c r="B142" s="22" t="str">
        <x:v>453125479B7D7FE4C224BA00354F4</x:v>
      </x:c>
      <x:c r="C142" s="25" t="str">
        <x:v>AW26/01. HOSPITAL/60*150 AL</x:v>
      </x:c>
      <x:c r="D142" s="25" t="str">
        <x:v>4.450 x 0.900 = 4.005</x:v>
      </x:c>
      <x:c r="E142" s="22" t="str">
        <x:v>EA</x:v>
      </x:c>
      <x:c r="F142" s="34" t="n">
        <x:v>740.93</x:v>
      </x:c>
      <x:c r="G142" s="34" t="n">
        <x:v>0</x:v>
      </x:c>
      <x:c r="H142" s="34" t="n">
        <x:v>0</x:v>
      </x:c>
      <x:c r="I142" s="34" t="n">
        <x:f>SUM(F142:H142)</x:f>
        <x:v>740.93</x:v>
      </x:c>
      <x:c r="J142" s="22" t="str"/>
      <x:c r="K142" s="22" t="str"/>
      <x:c r="L142" s="22" t="str"/>
      <x:c r="M142" s="22" t="str">
        <x:v>일위대가목록</x:v>
      </x:c>
      <x:c r="N142" s="37" t="n">
        <x:v>141</x:v>
      </x:c>
      <x:c r="O1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2" s="22" t="str">
        <x:v>47d79c95e2c3273f84778935276c94526e369cc1b1bc057f6b03c998f44e253f</x:v>
      </x:c>
      <x:c r="Q142" s="22" t="str">
        <x:v>=E141+F141+G141</x:v>
      </x:c>
    </x:row>
    <x:row r="143">
      <x:c r="A143" s="22" t="str">
        <x:v>복합일위대가</x:v>
      </x:c>
      <x:c r="B143" s="22" t="str">
        <x:v>453125479B7D7FE4C224BA00354F6</x:v>
      </x:c>
      <x:c r="C143" s="25" t="str">
        <x:v>AW27/01. HOSPITAL/60*150 AL</x:v>
      </x:c>
      <x:c r="D143" s="25" t="str">
        <x:v>2.250 x 0.900 = 2.025</x:v>
      </x:c>
      <x:c r="E143" s="22" t="str">
        <x:v>EA</x:v>
      </x:c>
      <x:c r="F143" s="34" t="n">
        <x:v>374.63</x:v>
      </x:c>
      <x:c r="G143" s="34" t="n">
        <x:v>0</x:v>
      </x:c>
      <x:c r="H143" s="34" t="n">
        <x:v>0</x:v>
      </x:c>
      <x:c r="I143" s="34" t="n">
        <x:f>SUM(F143:H143)</x:f>
        <x:v>374.63</x:v>
      </x:c>
      <x:c r="J143" s="22" t="str"/>
      <x:c r="K143" s="22" t="str"/>
      <x:c r="L143" s="22" t="str"/>
      <x:c r="M143" s="22" t="str">
        <x:v>일위대가목록</x:v>
      </x:c>
      <x:c r="N143" s="37" t="n">
        <x:v>142</x:v>
      </x:c>
      <x:c r="O1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3" s="22" t="str">
        <x:v>47d79c95e2c3273f84778935276c94526e369cc1b1bc057f6b03c998f44e253f</x:v>
      </x:c>
      <x:c r="Q143" s="22" t="str">
        <x:v>=E142+F142+G142</x:v>
      </x:c>
    </x:row>
    <x:row r="144">
      <x:c r="A144" s="22" t="str">
        <x:v>복합일위대가</x:v>
      </x:c>
      <x:c r="B144" s="22" t="str">
        <x:v>453125479B7D7FE4C224BA002B665</x:v>
      </x:c>
      <x:c r="C144" s="25" t="str">
        <x:v>AW29/01. HOSPITAL/60*150 AL</x:v>
      </x:c>
      <x:c r="D144" s="25" t="str">
        <x:v>3.350 x 1.750 = 5.862</x:v>
      </x:c>
      <x:c r="E144" s="22" t="str">
        <x:v>EA</x:v>
      </x:c>
      <x:c r="F144" s="34" t="n">
        <x:v>1084.47</x:v>
      </x:c>
      <x:c r="G144" s="34" t="n">
        <x:v>0</x:v>
      </x:c>
      <x:c r="H144" s="34" t="n">
        <x:v>0</x:v>
      </x:c>
      <x:c r="I144" s="34" t="n">
        <x:f>SUM(F144:H144)</x:f>
        <x:v>1084.47</x:v>
      </x:c>
      <x:c r="J144" s="22" t="str"/>
      <x:c r="K144" s="22" t="str"/>
      <x:c r="L144" s="22" t="str"/>
      <x:c r="M144" s="22" t="str">
        <x:v>일위대가목록</x:v>
      </x:c>
      <x:c r="N144" s="37" t="n">
        <x:v>143</x:v>
      </x:c>
      <x:c r="O1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4" s="22" t="str">
        <x:v>47d79c95e2c3273f84778935276c94526e369cc1b1bc057f6b03c998f44e253f</x:v>
      </x:c>
      <x:c r="Q144" s="22" t="str">
        <x:v>=E143+F143+G143</x:v>
      </x:c>
    </x:row>
    <x:row r="145">
      <x:c r="A145" s="22" t="str">
        <x:v>복합일위대가</x:v>
      </x:c>
      <x:c r="B145" s="22" t="str">
        <x:v>453125479B7D7FE4C224BA002B667</x:v>
      </x:c>
      <x:c r="C145" s="25" t="str">
        <x:v>AW30/01. HOSPITAL/60*150 AL</x:v>
      </x:c>
      <x:c r="D145" s="25" t="str">
        <x:v>6.085 x 2.100 = 12.778</x:v>
      </x:c>
      <x:c r="E145" s="22" t="str">
        <x:v>EA</x:v>
      </x:c>
      <x:c r="F145" s="34" t="n">
        <x:v>2363.93</x:v>
      </x:c>
      <x:c r="G145" s="34" t="n">
        <x:v>0</x:v>
      </x:c>
      <x:c r="H145" s="34" t="n">
        <x:v>0</x:v>
      </x:c>
      <x:c r="I145" s="34" t="n">
        <x:f>SUM(F145:H145)</x:f>
        <x:v>2363.93</x:v>
      </x:c>
      <x:c r="J145" s="22" t="str"/>
      <x:c r="K145" s="22" t="str"/>
      <x:c r="L145" s="22" t="str"/>
      <x:c r="M145" s="22" t="str">
        <x:v>일위대가목록</x:v>
      </x:c>
      <x:c r="N145" s="37" t="n">
        <x:v>144</x:v>
      </x:c>
      <x:c r="O1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5" s="22" t="str">
        <x:v>47d79c95e2c3273f84778935276c94526e369cc1b1bc057f6b03c998f44e253f</x:v>
      </x:c>
      <x:c r="Q145" s="22" t="str">
        <x:v>=E144+F144+G144</x:v>
      </x:c>
    </x:row>
    <x:row r="146">
      <x:c r="A146" s="22" t="str">
        <x:v>복합일위대가</x:v>
      </x:c>
      <x:c r="B146" s="22" t="str">
        <x:v>453125479B7D7FE4C224BA002B661</x:v>
      </x:c>
      <x:c r="C146" s="25" t="str">
        <x:v>AW31/01. HOSPITAL/60*150 AL</x:v>
      </x:c>
      <x:c r="D146" s="25" t="str">
        <x:v>1.200 x 1.500 = 1.800</x:v>
      </x:c>
      <x:c r="E146" s="22" t="str">
        <x:v>EA</x:v>
      </x:c>
      <x:c r="F146" s="34" t="n">
        <x:v>333</x:v>
      </x:c>
      <x:c r="G146" s="34" t="n">
        <x:v>0</x:v>
      </x:c>
      <x:c r="H146" s="34" t="n">
        <x:v>0</x:v>
      </x:c>
      <x:c r="I146" s="34" t="n">
        <x:f>SUM(F146:H146)</x:f>
        <x:v>333</x:v>
      </x:c>
      <x:c r="J146" s="22" t="str"/>
      <x:c r="K146" s="22" t="str"/>
      <x:c r="L146" s="22" t="str"/>
      <x:c r="M146" s="22" t="str">
        <x:v>일위대가목록</x:v>
      </x:c>
      <x:c r="N146" s="37" t="n">
        <x:v>145</x:v>
      </x:c>
      <x:c r="O1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6" s="22" t="str">
        <x:v>47d79c95e2c3273f84778935276c94526e369cc1b1bc057f6b03c998f44e253f</x:v>
      </x:c>
      <x:c r="Q146" s="22" t="str">
        <x:v>=E145+F145+G145</x:v>
      </x:c>
    </x:row>
    <x:row r="147">
      <x:c r="A147" s="22" t="str">
        <x:v>복합일위대가</x:v>
      </x:c>
      <x:c r="B147" s="22" t="str">
        <x:v>453125479B7D7FE4C224BA002B663</x:v>
      </x:c>
      <x:c r="C147" s="25" t="str">
        <x:v>AW32/01. HOSPITAL/60*150 AL</x:v>
      </x:c>
      <x:c r="D147" s="25" t="str">
        <x:v>3.250 x 0.450 = 1.462</x:v>
      </x:c>
      <x:c r="E147" s="22" t="str">
        <x:v>EA</x:v>
      </x:c>
      <x:c r="F147" s="34" t="n">
        <x:v>270.47</x:v>
      </x:c>
      <x:c r="G147" s="34" t="n">
        <x:v>0</x:v>
      </x:c>
      <x:c r="H147" s="34" t="n">
        <x:v>0</x:v>
      </x:c>
      <x:c r="I147" s="34" t="n">
        <x:f>SUM(F147:H147)</x:f>
        <x:v>270.47</x:v>
      </x:c>
      <x:c r="J147" s="22" t="str"/>
      <x:c r="K147" s="22" t="str"/>
      <x:c r="L147" s="22" t="str"/>
      <x:c r="M147" s="22" t="str">
        <x:v>일위대가목록</x:v>
      </x:c>
      <x:c r="N147" s="37" t="n">
        <x:v>146</x:v>
      </x:c>
      <x:c r="O1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7" s="22" t="str">
        <x:v>47d79c95e2c3273f84778935276c94526e369cc1b1bc057f6b03c998f44e253f</x:v>
      </x:c>
      <x:c r="Q147" s="22" t="str">
        <x:v>=E146+F146+G146</x:v>
      </x:c>
    </x:row>
    <x:row r="148">
      <x:c r="A148" s="22" t="str">
        <x:v>복합일위대가</x:v>
      </x:c>
      <x:c r="B148" s="22" t="str">
        <x:v>453125479B7D7FE4C224BA002B66D</x:v>
      </x:c>
      <x:c r="C148" s="25" t="str">
        <x:v>CAW01/01. HOSPITAL/60*150 AL</x:v>
      </x:c>
      <x:c r="D148" s="25" t="str">
        <x:v>0.825 x 7.200 = 5.940</x:v>
      </x:c>
      <x:c r="E148" s="22" t="str">
        <x:v>EA</x:v>
      </x:c>
      <x:c r="F148" s="34" t="n">
        <x:v>1098.9</x:v>
      </x:c>
      <x:c r="G148" s="34" t="n">
        <x:v>0</x:v>
      </x:c>
      <x:c r="H148" s="34" t="n">
        <x:v>0</x:v>
      </x:c>
      <x:c r="I148" s="34" t="n">
        <x:f>SUM(F148:H148)</x:f>
        <x:v>1098.9</x:v>
      </x:c>
      <x:c r="J148" s="22" t="str"/>
      <x:c r="K148" s="22" t="str"/>
      <x:c r="L148" s="22" t="str"/>
      <x:c r="M148" s="22" t="str">
        <x:v>일위대가목록</x:v>
      </x:c>
      <x:c r="N148" s="37" t="n">
        <x:v>147</x:v>
      </x:c>
      <x:c r="O1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8" s="22" t="str">
        <x:v>47d79c95e2c3273f84778935276c94526e369cc1b1bc057f6b03c998f44e253f</x:v>
      </x:c>
      <x:c r="Q148" s="22" t="str">
        <x:v>=E147+F147+G147</x:v>
      </x:c>
    </x:row>
    <x:row r="149">
      <x:c r="A149" s="22" t="str">
        <x:v>복합일위대가</x:v>
      </x:c>
      <x:c r="B149" s="22" t="str">
        <x:v>453125479B7D7FE4C224BA002B70A</x:v>
      </x:c>
      <x:c r="C149" s="25" t="str">
        <x:v>CAW02/01. HOSPITAL/60*150 AL</x:v>
      </x:c>
      <x:c r="D149" s="25" t="str">
        <x:v>0.825 x 9.240 = 7.623</x:v>
      </x:c>
      <x:c r="E149" s="22" t="str">
        <x:v>EA</x:v>
      </x:c>
      <x:c r="F149" s="34" t="n">
        <x:v>1410.26</x:v>
      </x:c>
      <x:c r="G149" s="34" t="n">
        <x:v>0</x:v>
      </x:c>
      <x:c r="H149" s="34" t="n">
        <x:v>0</x:v>
      </x:c>
      <x:c r="I149" s="34" t="n">
        <x:f>SUM(F149:H149)</x:f>
        <x:v>1410.26</x:v>
      </x:c>
      <x:c r="J149" s="22" t="str"/>
      <x:c r="K149" s="22" t="str"/>
      <x:c r="L149" s="22" t="str"/>
      <x:c r="M149" s="22" t="str">
        <x:v>일위대가목록</x:v>
      </x:c>
      <x:c r="N149" s="37" t="n">
        <x:v>148</x:v>
      </x:c>
      <x:c r="O1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49" s="22" t="str">
        <x:v>47d79c95e2c3273f84778935276c94526e369cc1b1bc057f6b03c998f44e253f</x:v>
      </x:c>
      <x:c r="Q149" s="22" t="str">
        <x:v>=E148+F148+G148</x:v>
      </x:c>
    </x:row>
    <x:row r="150">
      <x:c r="A150" s="22" t="str">
        <x:v>복합일위대가</x:v>
      </x:c>
      <x:c r="B150" s="22" t="str">
        <x:v>453125479B7D7FE4C224BA002B708</x:v>
      </x:c>
      <x:c r="C150" s="25" t="str">
        <x:v>CAW03/01. HOSPITAL/60*150 AL</x:v>
      </x:c>
      <x:c r="D150" s="25" t="str">
        <x:v>0.825 x 11.850 = 9.776</x:v>
      </x:c>
      <x:c r="E150" s="22" t="str">
        <x:v>EA</x:v>
      </x:c>
      <x:c r="F150" s="34" t="n">
        <x:v>1808.56</x:v>
      </x:c>
      <x:c r="G150" s="34" t="n">
        <x:v>0</x:v>
      </x:c>
      <x:c r="H150" s="34" t="n">
        <x:v>0</x:v>
      </x:c>
      <x:c r="I150" s="34" t="n">
        <x:f>SUM(F150:H150)</x:f>
        <x:v>1808.56</x:v>
      </x:c>
      <x:c r="J150" s="22" t="str"/>
      <x:c r="K150" s="22" t="str"/>
      <x:c r="L150" s="22" t="str"/>
      <x:c r="M150" s="22" t="str">
        <x:v>일위대가목록</x:v>
      </x:c>
      <x:c r="N150" s="37" t="n">
        <x:v>149</x:v>
      </x:c>
      <x:c r="O1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0" s="22" t="str">
        <x:v>47d79c95e2c3273f84778935276c94526e369cc1b1bc057f6b03c998f44e253f</x:v>
      </x:c>
      <x:c r="Q150" s="22" t="str">
        <x:v>=E149+F149+G149</x:v>
      </x:c>
    </x:row>
    <x:row r="151">
      <x:c r="A151" s="22" t="str">
        <x:v>복합일위대가</x:v>
      </x:c>
      <x:c r="B151" s="22" t="str">
        <x:v>453125479B7D7FE4C224BA002B70E</x:v>
      </x:c>
      <x:c r="C151" s="25" t="str">
        <x:v>CAW04/01. HOSPITAL/60*150 AL</x:v>
      </x:c>
      <x:c r="D151" s="25" t="str">
        <x:v>0.825 x 9.300 = 7.672</x:v>
      </x:c>
      <x:c r="E151" s="22" t="str">
        <x:v>EA</x:v>
      </x:c>
      <x:c r="F151" s="34" t="n">
        <x:v>1419.32</x:v>
      </x:c>
      <x:c r="G151" s="34" t="n">
        <x:v>0</x:v>
      </x:c>
      <x:c r="H151" s="34" t="n">
        <x:v>0</x:v>
      </x:c>
      <x:c r="I151" s="34" t="n">
        <x:f>SUM(F151:H151)</x:f>
        <x:v>1419.32</x:v>
      </x:c>
      <x:c r="J151" s="22" t="str"/>
      <x:c r="K151" s="22" t="str"/>
      <x:c r="L151" s="22" t="str"/>
      <x:c r="M151" s="22" t="str">
        <x:v>일위대가목록</x:v>
      </x:c>
      <x:c r="N151" s="37" t="n">
        <x:v>150</x:v>
      </x:c>
      <x:c r="O1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1" s="22" t="str">
        <x:v>47d79c95e2c3273f84778935276c94526e369cc1b1bc057f6b03c998f44e253f</x:v>
      </x:c>
      <x:c r="Q151" s="22" t="str">
        <x:v>=E150+F150+G150</x:v>
      </x:c>
    </x:row>
    <x:row r="152">
      <x:c r="A152" s="22" t="str">
        <x:v>복합일위대가</x:v>
      </x:c>
      <x:c r="B152" s="22" t="str">
        <x:v>453125479B7D7FE4C224BA002B70C</x:v>
      </x:c>
      <x:c r="C152" s="25" t="str">
        <x:v>CAW05/01. HOSPITAL/60*150 AL HIDDEN</x:v>
      </x:c>
      <x:c r="D152" s="25" t="str">
        <x:v>12.100 x 7.200 = 59.740</x:v>
      </x:c>
      <x:c r="E152" s="22" t="str">
        <x:v>EA</x:v>
      </x:c>
      <x:c r="F152" s="34" t="n">
        <x:v>11051.9</x:v>
      </x:c>
      <x:c r="G152" s="34" t="n">
        <x:v>0</x:v>
      </x:c>
      <x:c r="H152" s="34" t="n">
        <x:v>0</x:v>
      </x:c>
      <x:c r="I152" s="34" t="n">
        <x:f>SUM(F152:H152)</x:f>
        <x:v>11051.9</x:v>
      </x:c>
      <x:c r="J152" s="22" t="str"/>
      <x:c r="K152" s="22" t="str"/>
      <x:c r="L152" s="22" t="str"/>
      <x:c r="M152" s="22" t="str">
        <x:v>일위대가목록</x:v>
      </x:c>
      <x:c r="N152" s="37" t="n">
        <x:v>151</x:v>
      </x:c>
      <x:c r="O1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2" s="22" t="str">
        <x:v>47d79c95e2c3273f84778935276c94526e369cc1b1bc057f6b03c998f44e253f</x:v>
      </x:c>
      <x:c r="Q152" s="22" t="str">
        <x:v>=E151+F151+G151</x:v>
      </x:c>
    </x:row>
    <x:row r="153">
      <x:c r="A153" s="22" t="str">
        <x:v>복합일위대가</x:v>
      </x:c>
      <x:c r="B153" s="22" t="str">
        <x:v>453125479B7D7FE4C224BA002B702</x:v>
      </x:c>
      <x:c r="C153" s="25" t="str">
        <x:v>FSD01/01. HOSPITAL/STL SINGLE DOOR</x:v>
      </x:c>
      <x:c r="D153" s="25" t="str">
        <x:v>1.050 x 2.200 = 2.310</x:v>
      </x:c>
      <x:c r="E153" s="22" t="str">
        <x:v>EA</x:v>
      </x:c>
      <x:c r="F153" s="34" t="n">
        <x:v>392.55</x:v>
      </x:c>
      <x:c r="G153" s="34" t="n">
        <x:v>37.47</x:v>
      </x:c>
      <x:c r="H153" s="34" t="n">
        <x:v>0.97</x:v>
      </x:c>
      <x:c r="I153" s="34" t="n">
        <x:f>SUM(F153:H153)</x:f>
        <x:v>430.99</x:v>
      </x:c>
      <x:c r="J153" s="22" t="str"/>
      <x:c r="K153" s="22" t="str"/>
      <x:c r="L153" s="22" t="str"/>
      <x:c r="M153" s="22" t="str">
        <x:v>일위대가목록</x:v>
      </x:c>
      <x:c r="N153" s="37" t="n">
        <x:v>152</x:v>
      </x:c>
      <x:c r="O1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3" s="22" t="str">
        <x:v>47d79c95e2c3273f84778935276c94526e369cc1b1bc057f6b03c998f44e253f</x:v>
      </x:c>
      <x:c r="Q153" s="22" t="str">
        <x:v>=E152+F152+G152</x:v>
      </x:c>
    </x:row>
    <x:row r="154">
      <x:c r="A154" s="22" t="str">
        <x:v>복합일위대가</x:v>
      </x:c>
      <x:c r="B154" s="22" t="str">
        <x:v>453125479B7D7FE4C224BA002B4B6</x:v>
      </x:c>
      <x:c r="C154" s="25" t="str">
        <x:v>FSD02/01. HOSPITAL/STL DOUBLE DOOR</x:v>
      </x:c>
      <x:c r="D154" s="25" t="str">
        <x:v>1.800 x 2.200 = 3.960</x:v>
      </x:c>
      <x:c r="E154" s="22" t="str">
        <x:v>EA</x:v>
      </x:c>
      <x:c r="F154" s="34" t="n">
        <x:v>646.81</x:v>
      </x:c>
      <x:c r="G154" s="34" t="n">
        <x:v>48.6</x:v>
      </x:c>
      <x:c r="H154" s="34" t="n">
        <x:v>1.26</x:v>
      </x:c>
      <x:c r="I154" s="34" t="n">
        <x:f>SUM(F154:H154)</x:f>
        <x:v>696.67</x:v>
      </x:c>
      <x:c r="J154" s="22" t="str"/>
      <x:c r="K154" s="22" t="str"/>
      <x:c r="L154" s="22" t="str"/>
      <x:c r="M154" s="22" t="str">
        <x:v>일위대가목록</x:v>
      </x:c>
      <x:c r="N154" s="37" t="n">
        <x:v>153</x:v>
      </x:c>
      <x:c r="O1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4" s="22" t="str">
        <x:v>47d79c95e2c3273f84778935276c94526e369cc1b1bc057f6b03c998f44e253f</x:v>
      </x:c>
      <x:c r="Q154" s="22" t="str">
        <x:v>=E153+F153+G153</x:v>
      </x:c>
    </x:row>
    <x:row r="155">
      <x:c r="A155" s="22" t="str">
        <x:v>복합일위대가</x:v>
      </x:c>
      <x:c r="B155" s="22" t="str">
        <x:v>453125479B7D7FE4C224BA002B4B4</x:v>
      </x:c>
      <x:c r="C155" s="25" t="str">
        <x:v>FSD03/01. HOSPITAL/STL SINGLE DOOR</x:v>
      </x:c>
      <x:c r="D155" s="25" t="str">
        <x:v>0.750 x 1.900 = 1.425</x:v>
      </x:c>
      <x:c r="E155" s="22" t="str">
        <x:v>EA</x:v>
      </x:c>
      <x:c r="F155" s="34" t="n">
        <x:v>242.16</x:v>
      </x:c>
      <x:c r="G155" s="34" t="n">
        <x:v>37.47</x:v>
      </x:c>
      <x:c r="H155" s="34" t="n">
        <x:v>0.97</x:v>
      </x:c>
      <x:c r="I155" s="34" t="n">
        <x:f>SUM(F155:H155)</x:f>
        <x:v>280.6</x:v>
      </x:c>
      <x:c r="J155" s="22" t="str"/>
      <x:c r="K155" s="22" t="str"/>
      <x:c r="L155" s="22" t="str"/>
      <x:c r="M155" s="22" t="str">
        <x:v>일위대가목록</x:v>
      </x:c>
      <x:c r="N155" s="37" t="n">
        <x:v>154</x:v>
      </x:c>
      <x:c r="O1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5" s="22" t="str">
        <x:v>47d79c95e2c3273f84778935276c94526e369cc1b1bc057f6b03c998f44e253f</x:v>
      </x:c>
      <x:c r="Q155" s="22" t="str">
        <x:v>=E154+F154+G154</x:v>
      </x:c>
    </x:row>
    <x:row r="156">
      <x:c r="A156" s="22" t="str">
        <x:v>복합일위대가</x:v>
      </x:c>
      <x:c r="B156" s="22" t="str">
        <x:v>453125479B7D7FE4C224BA002B4B2</x:v>
      </x:c>
      <x:c r="C156" s="25" t="str">
        <x:v>FSST01/01. HOSPITAL/SHUTTER</x:v>
      </x:c>
      <x:c r="D156" s="25" t="str">
        <x:v>12.750 x 2.700 = 34.425</x:v>
      </x:c>
      <x:c r="E156" s="22" t="str">
        <x:v>EA</x:v>
      </x:c>
      <x:c r="F156" s="34" t="n">
        <x:v>9879.94</x:v>
      </x:c>
      <x:c r="G156" s="34" t="n">
        <x:v>0</x:v>
      </x:c>
      <x:c r="H156" s="34" t="n">
        <x:v>0</x:v>
      </x:c>
      <x:c r="I156" s="34" t="n">
        <x:f>SUM(F156:H156)</x:f>
        <x:v>9879.94</x:v>
      </x:c>
      <x:c r="J156" s="22" t="str"/>
      <x:c r="K156" s="22" t="str"/>
      <x:c r="L156" s="22" t="str"/>
      <x:c r="M156" s="22" t="str">
        <x:v>일위대가목록</x:v>
      </x:c>
      <x:c r="N156" s="37" t="n">
        <x:v>155</x:v>
      </x:c>
      <x:c r="O1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6" s="22" t="str">
        <x:v>47d79c95e2c3273f84778935276c94526e369cc1b1bc057f6b03c998f44e253f</x:v>
      </x:c>
      <x:c r="Q156" s="22" t="str">
        <x:v>=E155+F155+G155</x:v>
      </x:c>
    </x:row>
    <x:row r="157">
      <x:c r="A157" s="22" t="str">
        <x:v>복합일위대가</x:v>
      </x:c>
      <x:c r="B157" s="22" t="str">
        <x:v>453125479B7D7FE4C224BA002B4B1</x:v>
      </x:c>
      <x:c r="C157" s="25" t="str">
        <x:v>FSST02/01. HOSPITAL/SHUTTER</x:v>
      </x:c>
      <x:c r="D157" s="25" t="str">
        <x:v>3.050 x 2.700 = 8.235</x:v>
      </x:c>
      <x:c r="E157" s="22" t="str">
        <x:v>EA</x:v>
      </x:c>
      <x:c r="F157" s="34" t="n">
        <x:v>3212.67</x:v>
      </x:c>
      <x:c r="G157" s="34" t="n">
        <x:v>0</x:v>
      </x:c>
      <x:c r="H157" s="34" t="n">
        <x:v>0</x:v>
      </x:c>
      <x:c r="I157" s="34" t="n">
        <x:f>SUM(F157:H157)</x:f>
        <x:v>3212.67</x:v>
      </x:c>
      <x:c r="J157" s="22" t="str"/>
      <x:c r="K157" s="22" t="str"/>
      <x:c r="L157" s="22" t="str"/>
      <x:c r="M157" s="22" t="str">
        <x:v>일위대가목록</x:v>
      </x:c>
      <x:c r="N157" s="37" t="n">
        <x:v>156</x:v>
      </x:c>
      <x:c r="O1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7" s="22" t="str">
        <x:v>47d79c95e2c3273f84778935276c94526e369cc1b1bc057f6b03c998f44e253f</x:v>
      </x:c>
      <x:c r="Q157" s="22" t="str">
        <x:v>=E156+F156+G156</x:v>
      </x:c>
    </x:row>
    <x:row r="158">
      <x:c r="A158" s="22" t="str">
        <x:v>복합일위대가</x:v>
      </x:c>
      <x:c r="B158" s="22" t="str">
        <x:v>453125479B7D7FE4C224BA002B4B0</x:v>
      </x:c>
      <x:c r="C158" s="25" t="str">
        <x:v>LASD01/01. HOSPITAL/LEAD SHIELDING DOOR</x:v>
      </x:c>
      <x:c r="D158" s="25" t="str">
        <x:v>3.000 x 2.400 = 7.200</x:v>
      </x:c>
      <x:c r="E158" s="22" t="str">
        <x:v>EA</x:v>
      </x:c>
      <x:c r="F158" s="34" t="n">
        <x:v>3971.34</x:v>
      </x:c>
      <x:c r="G158" s="34" t="n">
        <x:v>678.19</x:v>
      </x:c>
      <x:c r="H158" s="34" t="n">
        <x:v>305.49</x:v>
      </x:c>
      <x:c r="I158" s="34" t="n">
        <x:f>SUM(F158:H158)</x:f>
        <x:v>4955.02</x:v>
      </x:c>
      <x:c r="J158" s="22" t="str"/>
      <x:c r="K158" s="22" t="str"/>
      <x:c r="L158" s="22" t="str"/>
      <x:c r="M158" s="22" t="str">
        <x:v>일위대가목록</x:v>
      </x:c>
      <x:c r="N158" s="37" t="n">
        <x:v>157</x:v>
      </x:c>
      <x:c r="O1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8" s="22" t="str">
        <x:v>47d79c95e2c3273f84778935276c94526e369cc1b1bc057f6b03c998f44e253f</x:v>
      </x:c>
      <x:c r="Q158" s="22" t="str">
        <x:v>=E157+F157+G157</x:v>
      </x:c>
    </x:row>
    <x:row r="159">
      <x:c r="A159" s="22" t="str">
        <x:v>복합일위대가</x:v>
      </x:c>
      <x:c r="B159" s="22" t="str">
        <x:v>453125479B7D7FE4C224BA002B4BE</x:v>
      </x:c>
      <x:c r="C159" s="25" t="str">
        <x:v>LSD01/01. HOSPITAL/STL SINGLE DOOR</x:v>
      </x:c>
      <x:c r="D159" s="25" t="str">
        <x:v>1.000 x 2.200 = 2.200</x:v>
      </x:c>
      <x:c r="E159" s="22" t="str">
        <x:v>EA</x:v>
      </x:c>
      <x:c r="F159" s="34" t="n">
        <x:v>373.86</x:v>
      </x:c>
      <x:c r="G159" s="34" t="n">
        <x:v>37.47</x:v>
      </x:c>
      <x:c r="H159" s="34" t="n">
        <x:v>0.97</x:v>
      </x:c>
      <x:c r="I159" s="34" t="n">
        <x:f>SUM(F159:H159)</x:f>
        <x:v>412.30000000000007</x:v>
      </x:c>
      <x:c r="J159" s="22" t="str"/>
      <x:c r="K159" s="22" t="str"/>
      <x:c r="L159" s="22" t="str"/>
      <x:c r="M159" s="22" t="str">
        <x:v>일위대가목록</x:v>
      </x:c>
      <x:c r="N159" s="37" t="n">
        <x:v>158</x:v>
      </x:c>
      <x:c r="O1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59" s="22" t="str">
        <x:v>47d79c95e2c3273f84778935276c94526e369cc1b1bc057f6b03c998f44e253f</x:v>
      </x:c>
      <x:c r="Q159" s="22" t="str">
        <x:v>=E158+F158+G158</x:v>
      </x:c>
    </x:row>
    <x:row r="160">
      <x:c r="A160" s="22" t="str">
        <x:v>복합일위대가</x:v>
      </x:c>
      <x:c r="B160" s="22" t="str">
        <x:v>453125479B7D7FE4C224BA002B55C</x:v>
      </x:c>
      <x:c r="C160" s="25" t="str">
        <x:v>LSD02/01. HOSPITAL/STL SINGLE DOOR</x:v>
      </x:c>
      <x:c r="D160" s="25" t="str">
        <x:v>1.200 x 2.200 = 2.640</x:v>
      </x:c>
      <x:c r="E160" s="22" t="str">
        <x:v>EA</x:v>
      </x:c>
      <x:c r="F160" s="34" t="n">
        <x:v>448.63</x:v>
      </x:c>
      <x:c r="G160" s="34" t="n">
        <x:v>37.47</x:v>
      </x:c>
      <x:c r="H160" s="34" t="n">
        <x:v>0.97</x:v>
      </x:c>
      <x:c r="I160" s="34" t="n">
        <x:f>SUM(F160:H160)</x:f>
        <x:v>487.07000000000005</x:v>
      </x:c>
      <x:c r="J160" s="22" t="str"/>
      <x:c r="K160" s="22" t="str"/>
      <x:c r="L160" s="22" t="str"/>
      <x:c r="M160" s="22" t="str">
        <x:v>일위대가목록</x:v>
      </x:c>
      <x:c r="N160" s="37" t="n">
        <x:v>159</x:v>
      </x:c>
      <x:c r="O1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0" s="22" t="str">
        <x:v>47d79c95e2c3273f84778935276c94526e369cc1b1bc057f6b03c998f44e253f</x:v>
      </x:c>
      <x:c r="Q160" s="22" t="str">
        <x:v>=E159+F159+G159</x:v>
      </x:c>
    </x:row>
    <x:row r="161">
      <x:c r="A161" s="22" t="str">
        <x:v>복합일위대가</x:v>
      </x:c>
      <x:c r="B161" s="22" t="str">
        <x:v>453125479B7D7FE4C224BA002B55E</x:v>
      </x:c>
      <x:c r="C161" s="25" t="str">
        <x:v>LSW01/01. HOSPITAL/LEADSHIELDINGWINDOW</x:v>
      </x:c>
      <x:c r="D161" s="25" t="str">
        <x:v>1.850 x 0.850 = 1.572</x:v>
      </x:c>
      <x:c r="E161" s="22" t="str">
        <x:v>EA</x:v>
      </x:c>
      <x:c r="F161" s="34" t="n">
        <x:v>247.18</x:v>
      </x:c>
      <x:c r="G161" s="34" t="n">
        <x:v>38.16</x:v>
      </x:c>
      <x:c r="H161" s="34" t="n">
        <x:v>0</x:v>
      </x:c>
      <x:c r="I161" s="34" t="n">
        <x:f>SUM(F161:H161)</x:f>
        <x:v>285.34000000000003</x:v>
      </x:c>
      <x:c r="J161" s="22" t="str"/>
      <x:c r="K161" s="22" t="str"/>
      <x:c r="L161" s="22" t="str"/>
      <x:c r="M161" s="22" t="str">
        <x:v>일위대가목록</x:v>
      </x:c>
      <x:c r="N161" s="37" t="n">
        <x:v>160</x:v>
      </x:c>
      <x:c r="O1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1" s="22" t="str">
        <x:v>47d79c95e2c3273f84778935276c94526e369cc1b1bc057f6b03c998f44e253f</x:v>
      </x:c>
      <x:c r="Q161" s="22" t="str">
        <x:v>=E160+F160+G160</x:v>
      </x:c>
    </x:row>
    <x:row r="162">
      <x:c r="A162" s="22" t="str">
        <x:v>복합일위대가</x:v>
      </x:c>
      <x:c r="B162" s="22" t="str">
        <x:v>453125479B7D7FE4C224BA002B558</x:v>
      </x:c>
      <x:c r="C162" s="25" t="str">
        <x:v>SD01/01. HOSPITAL/STL SINGLE DOOR</x:v>
      </x:c>
      <x:c r="D162" s="25" t="str">
        <x:v>1.000 x 2.200 = 2.200</x:v>
      </x:c>
      <x:c r="E162" s="22" t="str">
        <x:v>EA</x:v>
      </x:c>
      <x:c r="F162" s="34" t="n">
        <x:v>241.06</x:v>
      </x:c>
      <x:c r="G162" s="34" t="n">
        <x:v>37.47</x:v>
      </x:c>
      <x:c r="H162" s="34" t="n">
        <x:v>0.97</x:v>
      </x:c>
      <x:c r="I162" s="34" t="n">
        <x:f>SUM(F162:H162)</x:f>
        <x:v>279.5</x:v>
      </x:c>
      <x:c r="J162" s="22" t="str"/>
      <x:c r="K162" s="22" t="str"/>
      <x:c r="L162" s="22" t="str"/>
      <x:c r="M162" s="22" t="str">
        <x:v>일위대가목록</x:v>
      </x:c>
      <x:c r="N162" s="37" t="n">
        <x:v>161</x:v>
      </x:c>
      <x:c r="O1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2" s="22" t="str">
        <x:v>47d79c95e2c3273f84778935276c94526e369cc1b1bc057f6b03c998f44e253f</x:v>
      </x:c>
      <x:c r="Q162" s="22" t="str">
        <x:v>=E161+F161+G161</x:v>
      </x:c>
    </x:row>
    <x:row r="163">
      <x:c r="A163" s="22" t="str">
        <x:v>복합일위대가</x:v>
      </x:c>
      <x:c r="B163" s="22" t="str">
        <x:v>453125479B7D7FE4C224BA002B55A</x:v>
      </x:c>
      <x:c r="C163" s="25" t="str">
        <x:v>SD02/01. HOSPITAL/STL SINGLE DOOR</x:v>
      </x:c>
      <x:c r="D163" s="25" t="str">
        <x:v>0.900 x 2.200 = 1.980</x:v>
      </x:c>
      <x:c r="E163" s="22" t="str">
        <x:v>EA</x:v>
      </x:c>
      <x:c r="F163" s="34" t="n">
        <x:v>216.95</x:v>
      </x:c>
      <x:c r="G163" s="34" t="n">
        <x:v>37.47</x:v>
      </x:c>
      <x:c r="H163" s="34" t="n">
        <x:v>0.97</x:v>
      </x:c>
      <x:c r="I163" s="34" t="n">
        <x:f>SUM(F163:H163)</x:f>
        <x:v>255.39</x:v>
      </x:c>
      <x:c r="J163" s="22" t="str"/>
      <x:c r="K163" s="22" t="str"/>
      <x:c r="L163" s="22" t="str"/>
      <x:c r="M163" s="22" t="str">
        <x:v>일위대가목록</x:v>
      </x:c>
      <x:c r="N163" s="37" t="n">
        <x:v>162</x:v>
      </x:c>
      <x:c r="O1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3" s="22" t="str">
        <x:v>47d79c95e2c3273f84778935276c94526e369cc1b1bc057f6b03c998f44e253f</x:v>
      </x:c>
      <x:c r="Q163" s="22" t="str">
        <x:v>=E162+F162+G162</x:v>
      </x:c>
    </x:row>
    <x:row r="164">
      <x:c r="A164" s="22" t="str">
        <x:v>복합일위대가</x:v>
      </x:c>
      <x:c r="B164" s="22" t="str">
        <x:v>453125479B7D7FE4C224BA002B554</x:v>
      </x:c>
      <x:c r="C164" s="25" t="str">
        <x:v>SD03/01. HOSPITAL/STL DOUBLE DOOR</x:v>
      </x:c>
      <x:c r="D164" s="25" t="str">
        <x:v>1.500 x 2.200 = 3.300</x:v>
      </x:c>
      <x:c r="E164" s="22" t="str">
        <x:v>EA</x:v>
      </x:c>
      <x:c r="F164" s="34" t="n">
        <x:v>341.15</x:v>
      </x:c>
      <x:c r="G164" s="34" t="n">
        <x:v>48.6</x:v>
      </x:c>
      <x:c r="H164" s="34" t="n">
        <x:v>1.26</x:v>
      </x:c>
      <x:c r="I164" s="34" t="n">
        <x:f>SUM(F164:H164)</x:f>
        <x:v>391.01</x:v>
      </x:c>
      <x:c r="J164" s="22" t="str"/>
      <x:c r="K164" s="22" t="str"/>
      <x:c r="L164" s="22" t="str"/>
      <x:c r="M164" s="22" t="str">
        <x:v>일위대가목록</x:v>
      </x:c>
      <x:c r="N164" s="37" t="n">
        <x:v>163</x:v>
      </x:c>
      <x:c r="O1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4" s="22" t="str">
        <x:v>47d79c95e2c3273f84778935276c94526e369cc1b1bc057f6b03c998f44e253f</x:v>
      </x:c>
      <x:c r="Q164" s="22" t="str">
        <x:v>=E163+F163+G163</x:v>
      </x:c>
    </x:row>
    <x:row r="165">
      <x:c r="A165" s="22" t="str">
        <x:v>복합일위대가</x:v>
      </x:c>
      <x:c r="B165" s="22" t="str">
        <x:v>453125479B7D7FE4C224BA002B288</x:v>
      </x:c>
      <x:c r="C165" s="25" t="str">
        <x:v>SD04/01. HOSPITAL/STL DOUBLE DOOR</x:v>
      </x:c>
      <x:c r="D165" s="25" t="str">
        <x:v>1.800 x 2.200 = 3.960</x:v>
      </x:c>
      <x:c r="E165" s="22" t="str">
        <x:v>EA</x:v>
      </x:c>
      <x:c r="F165" s="34" t="n">
        <x:v>409.38</x:v>
      </x:c>
      <x:c r="G165" s="34" t="n">
        <x:v>48.6</x:v>
      </x:c>
      <x:c r="H165" s="34" t="n">
        <x:v>1.26</x:v>
      </x:c>
      <x:c r="I165" s="34" t="n">
        <x:f>SUM(F165:H165)</x:f>
        <x:v>459.24</x:v>
      </x:c>
      <x:c r="J165" s="22" t="str"/>
      <x:c r="K165" s="22" t="str"/>
      <x:c r="L165" s="22" t="str"/>
      <x:c r="M165" s="22" t="str">
        <x:v>일위대가목록</x:v>
      </x:c>
      <x:c r="N165" s="37" t="n">
        <x:v>164</x:v>
      </x:c>
      <x:c r="O1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5" s="22" t="str">
        <x:v>47d79c95e2c3273f84778935276c94526e369cc1b1bc057f6b03c998f44e253f</x:v>
      </x:c>
      <x:c r="Q165" s="22" t="str">
        <x:v>=E164+F164+G164</x:v>
      </x:c>
    </x:row>
    <x:row r="166">
      <x:c r="A166" s="22" t="str">
        <x:v>복합일위대가</x:v>
      </x:c>
      <x:c r="B166" s="22" t="str">
        <x:v>453125479B7D7FE4C224BA002B28A</x:v>
      </x:c>
      <x:c r="C166" s="25" t="str">
        <x:v>SD05/01. HOSPITAL/STL SINGLE DOOR</x:v>
      </x:c>
      <x:c r="D166" s="25" t="str">
        <x:v>1.100 x 2.100 = 2.310</x:v>
      </x:c>
      <x:c r="E166" s="22" t="str">
        <x:v>EA</x:v>
      </x:c>
      <x:c r="F166" s="34" t="n">
        <x:v>253.11</x:v>
      </x:c>
      <x:c r="G166" s="34" t="n">
        <x:v>37.47</x:v>
      </x:c>
      <x:c r="H166" s="34" t="n">
        <x:v>0.97</x:v>
      </x:c>
      <x:c r="I166" s="34" t="n">
        <x:f>SUM(F166:H166)</x:f>
        <x:v>291.55000000000007</x:v>
      </x:c>
      <x:c r="J166" s="22" t="str"/>
      <x:c r="K166" s="22" t="str"/>
      <x:c r="L166" s="22" t="str"/>
      <x:c r="M166" s="22" t="str">
        <x:v>일위대가목록</x:v>
      </x:c>
      <x:c r="N166" s="37" t="n">
        <x:v>165</x:v>
      </x:c>
      <x:c r="O1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6" s="22" t="str">
        <x:v>47d79c95e2c3273f84778935276c94526e369cc1b1bc057f6b03c998f44e253f</x:v>
      </x:c>
      <x:c r="Q166" s="22" t="str">
        <x:v>=E165+F165+G165</x:v>
      </x:c>
    </x:row>
    <x:row r="167">
      <x:c r="A167" s="22" t="str">
        <x:v>복합일위대가</x:v>
      </x:c>
      <x:c r="B167" s="22" t="str">
        <x:v>453125479B7D7FE4C224BA002B28C</x:v>
      </x:c>
      <x:c r="C167" s="25" t="str">
        <x:v>SSD01/01. HOSPITAL/60*150 ST</x:v>
      </x:c>
      <x:c r="D167" s="25" t="str">
        <x:v>11.300 x 3.250 = 29.825</x:v>
      </x:c>
      <x:c r="E167" s="22" t="str">
        <x:v>EA</x:v>
      </x:c>
      <x:c r="F167" s="34" t="n">
        <x:v>3767.3</x:v>
      </x:c>
      <x:c r="G167" s="34" t="n">
        <x:v>586.98</x:v>
      </x:c>
      <x:c r="H167" s="34" t="n">
        <x:v>0</x:v>
      </x:c>
      <x:c r="I167" s="34" t="n">
        <x:f>SUM(F167:H167)</x:f>
        <x:v>4354.280000000001</x:v>
      </x:c>
      <x:c r="J167" s="22" t="str"/>
      <x:c r="K167" s="22" t="str"/>
      <x:c r="L167" s="22" t="str"/>
      <x:c r="M167" s="22" t="str">
        <x:v>일위대가목록</x:v>
      </x:c>
      <x:c r="N167" s="37" t="n">
        <x:v>166</x:v>
      </x:c>
      <x:c r="O1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7" s="22" t="str">
        <x:v>47d79c95e2c3273f84778935276c94526e369cc1b1bc057f6b03c998f44e253f</x:v>
      </x:c>
      <x:c r="Q167" s="22" t="str">
        <x:v>=E166+F166+G166</x:v>
      </x:c>
    </x:row>
    <x:row r="168">
      <x:c r="A168" s="22" t="str">
        <x:v>복합일위대가</x:v>
      </x:c>
      <x:c r="B168" s="22" t="str">
        <x:v>453125479B7D7FE4C224BA002B28E</x:v>
      </x:c>
      <x:c r="C168" s="25" t="str">
        <x:v>SSD01A/01. HOSPITAL/60*150 ST</x:v>
      </x:c>
      <x:c r="D168" s="25" t="str">
        <x:v>5.980 x 2.700 = 9.246</x:v>
      </x:c>
      <x:c r="E168" s="22" t="str">
        <x:v>EA</x:v>
      </x:c>
      <x:c r="F168" s="34" t="n">
        <x:v>1283.82</x:v>
      </x:c>
      <x:c r="G168" s="34" t="n">
        <x:v>198.38</x:v>
      </x:c>
      <x:c r="H168" s="34" t="n">
        <x:v>0</x:v>
      </x:c>
      <x:c r="I168" s="34" t="n">
        <x:f>SUM(F168:H168)</x:f>
        <x:v>1482.1999999999998</x:v>
      </x:c>
      <x:c r="J168" s="22" t="str"/>
      <x:c r="K168" s="22" t="str"/>
      <x:c r="L168" s="22" t="str"/>
      <x:c r="M168" s="22" t="str">
        <x:v>일위대가목록</x:v>
      </x:c>
      <x:c r="N168" s="37" t="n">
        <x:v>167</x:v>
      </x:c>
      <x:c r="O1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8" s="22" t="str">
        <x:v>47d79c95e2c3273f84778935276c94526e369cc1b1bc057f6b03c998f44e253f</x:v>
      </x:c>
      <x:c r="Q168" s="22" t="str">
        <x:v>=E167+F167+G167</x:v>
      </x:c>
    </x:row>
    <x:row r="169">
      <x:c r="A169" s="22" t="str">
        <x:v>복합일위대가</x:v>
      </x:c>
      <x:c r="B169" s="22" t="str">
        <x:v>453125479B7D7FE4C224BA002B280</x:v>
      </x:c>
      <x:c r="C169" s="25" t="str">
        <x:v>SSD02/01. HOSPITAL/60*150 ST</x:v>
      </x:c>
      <x:c r="D169" s="25" t="str">
        <x:v>8.050 x 2.700 = 21.735</x:v>
      </x:c>
      <x:c r="E169" s="22" t="str">
        <x:v>EA</x:v>
      </x:c>
      <x:c r="F169" s="34" t="n">
        <x:v>3074.34</x:v>
      </x:c>
      <x:c r="G169" s="34" t="n">
        <x:v>479.85</x:v>
      </x:c>
      <x:c r="H169" s="34" t="n">
        <x:v>0</x:v>
      </x:c>
      <x:c r="I169" s="34" t="n">
        <x:f>SUM(F169:H169)</x:f>
        <x:v>3554.19</x:v>
      </x:c>
      <x:c r="J169" s="22" t="str"/>
      <x:c r="K169" s="22" t="str"/>
      <x:c r="L169" s="22" t="str"/>
      <x:c r="M169" s="22" t="str">
        <x:v>일위대가목록</x:v>
      </x:c>
      <x:c r="N169" s="37" t="n">
        <x:v>168</x:v>
      </x:c>
      <x:c r="O1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69" s="22" t="str">
        <x:v>47d79c95e2c3273f84778935276c94526e369cc1b1bc057f6b03c998f44e253f</x:v>
      </x:c>
      <x:c r="Q169" s="22" t="str">
        <x:v>=E168+F168+G168</x:v>
      </x:c>
    </x:row>
    <x:row r="170">
      <x:c r="A170" s="22" t="str">
        <x:v>복합일위대가</x:v>
      </x:c>
      <x:c r="B170" s="22" t="str">
        <x:v>453125479B7D7FE4C224BA002B391</x:v>
      </x:c>
      <x:c r="C170" s="25" t="str">
        <x:v>SSD02A/01. HOSPITAL/60*150 ST</x:v>
      </x:c>
      <x:c r="D170" s="25" t="str">
        <x:v>1.800 x 2.700 = 4.860</x:v>
      </x:c>
      <x:c r="E170" s="22" t="str">
        <x:v>EA</x:v>
      </x:c>
      <x:c r="F170" s="34" t="n">
        <x:v>418.81</x:v>
      </x:c>
      <x:c r="G170" s="34" t="n">
        <x:v>62.86</x:v>
      </x:c>
      <x:c r="H170" s="34" t="n">
        <x:v>0</x:v>
      </x:c>
      <x:c r="I170" s="34" t="n">
        <x:f>SUM(F170:H170)</x:f>
        <x:v>481.67</x:v>
      </x:c>
      <x:c r="J170" s="22" t="str"/>
      <x:c r="K170" s="22" t="str"/>
      <x:c r="L170" s="22" t="str"/>
      <x:c r="M170" s="22" t="str">
        <x:v>일위대가목록</x:v>
      </x:c>
      <x:c r="N170" s="37" t="n">
        <x:v>169</x:v>
      </x:c>
      <x:c r="O1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0" s="22" t="str">
        <x:v>47d79c95e2c3273f84778935276c94526e369cc1b1bc057f6b03c998f44e253f</x:v>
      </x:c>
      <x:c r="Q170" s="22" t="str">
        <x:v>=E169+F169+G169</x:v>
      </x:c>
    </x:row>
    <x:row r="171">
      <x:c r="A171" s="22" t="str">
        <x:v>복합일위대가</x:v>
      </x:c>
      <x:c r="B171" s="22" t="str">
        <x:v>453125479B7D7FE4C224BA002B393</x:v>
      </x:c>
      <x:c r="C171" s="25" t="str">
        <x:v>SSD03/01. HOSPITAL/60*150 ST</x:v>
      </x:c>
      <x:c r="D171" s="25" t="str">
        <x:v>2.065 x 2.700 = 5.575</x:v>
      </x:c>
      <x:c r="E171" s="22" t="str">
        <x:v>EA</x:v>
      </x:c>
      <x:c r="F171" s="34" t="n">
        <x:v>747.81</x:v>
      </x:c>
      <x:c r="G171" s="34" t="n">
        <x:v>114.51</x:v>
      </x:c>
      <x:c r="H171" s="34" t="n">
        <x:v>0</x:v>
      </x:c>
      <x:c r="I171" s="34" t="n">
        <x:f>SUM(F171:H171)</x:f>
        <x:v>862.3199999999999</x:v>
      </x:c>
      <x:c r="J171" s="22" t="str"/>
      <x:c r="K171" s="22" t="str"/>
      <x:c r="L171" s="22" t="str"/>
      <x:c r="M171" s="22" t="str">
        <x:v>일위대가목록</x:v>
      </x:c>
      <x:c r="N171" s="37" t="n">
        <x:v>170</x:v>
      </x:c>
      <x:c r="O1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1" s="22" t="str">
        <x:v>47d79c95e2c3273f84778935276c94526e369cc1b1bc057f6b03c998f44e253f</x:v>
      </x:c>
      <x:c r="Q171" s="22" t="str">
        <x:v>=E170+F170+G170</x:v>
      </x:c>
    </x:row>
    <x:row r="172">
      <x:c r="A172" s="22" t="str">
        <x:v>복합일위대가</x:v>
      </x:c>
      <x:c r="B172" s="22" t="str">
        <x:v>453125479B7D7FE4C224BA002B395</x:v>
      </x:c>
      <x:c r="C172" s="25" t="str">
        <x:v>SSD03A/01. HOSPITAL/60*150 ST</x:v>
      </x:c>
      <x:c r="D172" s="25" t="str">
        <x:v>5.010 x 2.700 = 13.527</x:v>
      </x:c>
      <x:c r="E172" s="22" t="str">
        <x:v>EA</x:v>
      </x:c>
      <x:c r="F172" s="34" t="n">
        <x:v>1613.88</x:v>
      </x:c>
      <x:c r="G172" s="34" t="n">
        <x:v>250.53</x:v>
      </x:c>
      <x:c r="H172" s="34" t="n">
        <x:v>0</x:v>
      </x:c>
      <x:c r="I172" s="34" t="n">
        <x:f>SUM(F172:H172)</x:f>
        <x:v>1864.41</x:v>
      </x:c>
      <x:c r="J172" s="22" t="str"/>
      <x:c r="K172" s="22" t="str"/>
      <x:c r="L172" s="22" t="str"/>
      <x:c r="M172" s="22" t="str">
        <x:v>일위대가목록</x:v>
      </x:c>
      <x:c r="N172" s="37" t="n">
        <x:v>171</x:v>
      </x:c>
      <x:c r="O1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2" s="22" t="str">
        <x:v>47d79c95e2c3273f84778935276c94526e369cc1b1bc057f6b03c998f44e253f</x:v>
      </x:c>
      <x:c r="Q172" s="22" t="str">
        <x:v>=E171+F171+G171</x:v>
      </x:c>
    </x:row>
    <x:row r="173">
      <x:c r="A173" s="22" t="str">
        <x:v>복합일위대가</x:v>
      </x:c>
      <x:c r="B173" s="22" t="str">
        <x:v>453125479B7D7FE4C224BA002B397</x:v>
      </x:c>
      <x:c r="C173" s="25" t="str">
        <x:v>SSD04/01. HOSPITAL/60*150 ST</x:v>
      </x:c>
      <x:c r="D173" s="25" t="str">
        <x:v>1.800 x 2.700 = 4.860</x:v>
      </x:c>
      <x:c r="E173" s="22" t="str">
        <x:v>EA</x:v>
      </x:c>
      <x:c r="F173" s="34" t="n">
        <x:v>418.81</x:v>
      </x:c>
      <x:c r="G173" s="34" t="n">
        <x:v>62.86</x:v>
      </x:c>
      <x:c r="H173" s="34" t="n">
        <x:v>0</x:v>
      </x:c>
      <x:c r="I173" s="34" t="n">
        <x:f>SUM(F173:H173)</x:f>
        <x:v>481.67</x:v>
      </x:c>
      <x:c r="J173" s="22" t="str"/>
      <x:c r="K173" s="22" t="str"/>
      <x:c r="L173" s="22" t="str"/>
      <x:c r="M173" s="22" t="str">
        <x:v>일위대가목록</x:v>
      </x:c>
      <x:c r="N173" s="37" t="n">
        <x:v>172</x:v>
      </x:c>
      <x:c r="O1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3" s="22" t="str">
        <x:v>47d79c95e2c3273f84778935276c94526e369cc1b1bc057f6b03c998f44e253f</x:v>
      </x:c>
      <x:c r="Q173" s="22" t="str">
        <x:v>=E172+F172+G172</x:v>
      </x:c>
    </x:row>
    <x:row r="174">
      <x:c r="A174" s="22" t="str">
        <x:v>복합일위대가</x:v>
      </x:c>
      <x:c r="B174" s="22" t="str">
        <x:v>453125479B7D7FE4C224BA002B399</x:v>
      </x:c>
      <x:c r="C174" s="25" t="str">
        <x:v>SSD05/01. HOSPITAL/60*260 ST</x:v>
      </x:c>
      <x:c r="D174" s="25" t="str">
        <x:v>1.000 x 2.200 = 2.200</x:v>
      </x:c>
      <x:c r="E174" s="22" t="str">
        <x:v>EA</x:v>
      </x:c>
      <x:c r="F174" s="34" t="n">
        <x:v>241.55</x:v>
      </x:c>
      <x:c r="G174" s="34" t="n">
        <x:v>35.75</x:v>
      </x:c>
      <x:c r="H174" s="34" t="n">
        <x:v>0</x:v>
      </x:c>
      <x:c r="I174" s="34" t="n">
        <x:f>SUM(F174:H174)</x:f>
        <x:v>277.3</x:v>
      </x:c>
      <x:c r="J174" s="22" t="str"/>
      <x:c r="K174" s="22" t="str"/>
      <x:c r="L174" s="22" t="str"/>
      <x:c r="M174" s="22" t="str">
        <x:v>일위대가목록</x:v>
      </x:c>
      <x:c r="N174" s="37" t="n">
        <x:v>173</x:v>
      </x:c>
      <x:c r="O1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4" s="22" t="str">
        <x:v>47d79c95e2c3273f84778935276c94526e369cc1b1bc057f6b03c998f44e253f</x:v>
      </x:c>
      <x:c r="Q174" s="22" t="str">
        <x:v>=E173+F173+G173</x:v>
      </x:c>
    </x:row>
    <x:row r="175">
      <x:c r="A175" s="22" t="str">
        <x:v>복합일위대가</x:v>
      </x:c>
      <x:c r="B175" s="22" t="str">
        <x:v>453125479B7D7FE4C224BA002B0DD</x:v>
      </x:c>
      <x:c r="C175" s="25" t="str">
        <x:v>SSD06/01. HOSPITAL/60*260 ST</x:v>
      </x:c>
      <x:c r="D175" s="25" t="str">
        <x:v>0.900 x 2.200 = 1.980</x:v>
      </x:c>
      <x:c r="E175" s="22" t="str">
        <x:v>EA</x:v>
      </x:c>
      <x:c r="F175" s="34" t="n">
        <x:v>237.07</x:v>
      </x:c>
      <x:c r="G175" s="34" t="n">
        <x:v>35.09</x:v>
      </x:c>
      <x:c r="H175" s="34" t="n">
        <x:v>0</x:v>
      </x:c>
      <x:c r="I175" s="34" t="n">
        <x:f>SUM(F175:H175)</x:f>
        <x:v>272.15999999999997</x:v>
      </x:c>
      <x:c r="J175" s="22" t="str"/>
      <x:c r="K175" s="22" t="str"/>
      <x:c r="L175" s="22" t="str"/>
      <x:c r="M175" s="22" t="str">
        <x:v>일위대가목록</x:v>
      </x:c>
      <x:c r="N175" s="37" t="n">
        <x:v>174</x:v>
      </x:c>
      <x:c r="O1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5" s="22" t="str">
        <x:v>47d79c95e2c3273f84778935276c94526e369cc1b1bc057f6b03c998f44e253f</x:v>
      </x:c>
      <x:c r="Q175" s="22" t="str">
        <x:v>=E174+F174+G174</x:v>
      </x:c>
    </x:row>
    <x:row r="176">
      <x:c r="A176" s="22" t="str">
        <x:v>복합일위대가</x:v>
      </x:c>
      <x:c r="B176" s="22" t="str">
        <x:v>453125479B7D7FE4C224BA002B0DF</x:v>
      </x:c>
      <x:c r="C176" s="25" t="str">
        <x:v>SSD07/01. HOSPITAL/60*260 ST</x:v>
      </x:c>
      <x:c r="D176" s="25" t="str">
        <x:v>2.240 x 2.200 = 4.928</x:v>
      </x:c>
      <x:c r="E176" s="22" t="str">
        <x:v>EA</x:v>
      </x:c>
      <x:c r="F176" s="34" t="n">
        <x:v>1323.78</x:v>
      </x:c>
      <x:c r="G176" s="34" t="n">
        <x:v>226.07</x:v>
      </x:c>
      <x:c r="H176" s="34" t="n">
        <x:v>101.83</x:v>
      </x:c>
      <x:c r="I176" s="34" t="n">
        <x:f>SUM(F176:H176)</x:f>
        <x:v>1651.6799999999998</x:v>
      </x:c>
      <x:c r="J176" s="22" t="str"/>
      <x:c r="K176" s="22" t="str"/>
      <x:c r="L176" s="22" t="str"/>
      <x:c r="M176" s="22" t="str">
        <x:v>일위대가목록</x:v>
      </x:c>
      <x:c r="N176" s="37" t="n">
        <x:v>175</x:v>
      </x:c>
      <x:c r="O1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6" s="22" t="str">
        <x:v>47d79c95e2c3273f84778935276c94526e369cc1b1bc057f6b03c998f44e253f</x:v>
      </x:c>
      <x:c r="Q176" s="22" t="str">
        <x:v>=E175+F175+G175</x:v>
      </x:c>
    </x:row>
    <x:row r="177">
      <x:c r="A177" s="22" t="str">
        <x:v>복합일위대가</x:v>
      </x:c>
      <x:c r="B177" s="22" t="str">
        <x:v>453125479B7D7FE4C224A493677E2</x:v>
      </x:c>
      <x:c r="C177" s="25" t="str">
        <x:v>SSW01/01. HOSPITAL/50*145 ST</x:v>
      </x:c>
      <x:c r="D177" s="25" t="str">
        <x:v>3.840 x 1.350 = 5.184</x:v>
      </x:c>
      <x:c r="E177" s="22" t="str">
        <x:v>EA</x:v>
      </x:c>
      <x:c r="F177" s="34" t="n">
        <x:v>644.06</x:v>
      </x:c>
      <x:c r="G177" s="34" t="n">
        <x:v>98.48</x:v>
      </x:c>
      <x:c r="H177" s="34" t="n">
        <x:v>0</x:v>
      </x:c>
      <x:c r="I177" s="34" t="n">
        <x:f>SUM(F177:H177)</x:f>
        <x:v>742.54</x:v>
      </x:c>
      <x:c r="J177" s="22" t="str"/>
      <x:c r="K177" s="22" t="str"/>
      <x:c r="L177" s="22" t="str"/>
      <x:c r="M177" s="22" t="str">
        <x:v>일위대가목록</x:v>
      </x:c>
      <x:c r="N177" s="37" t="n">
        <x:v>176</x:v>
      </x:c>
      <x:c r="O1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7" s="22" t="str">
        <x:v>47d79c95e2c3273f84778935276c94526e369cc1b1bc057f6b03c998f44e253f</x:v>
      </x:c>
      <x:c r="Q177" s="22" t="str">
        <x:v>=E176+F176+G176</x:v>
      </x:c>
    </x:row>
    <x:row r="178">
      <x:c r="A178" s="22" t="str">
        <x:v>복합일위대가</x:v>
      </x:c>
      <x:c r="B178" s="22" t="str">
        <x:v>453125479B7D7FE4C224A493677E0</x:v>
      </x:c>
      <x:c r="C178" s="25" t="str">
        <x:v>SSW02/01. HOSPITAL/50*145 ST</x:v>
      </x:c>
      <x:c r="D178" s="25" t="str">
        <x:v>2.100 x 1.350 = 2.835</x:v>
      </x:c>
      <x:c r="E178" s="22" t="str">
        <x:v>EA</x:v>
      </x:c>
      <x:c r="F178" s="34" t="n">
        <x:v>400.15</x:v>
      </x:c>
      <x:c r="G178" s="34" t="n">
        <x:v>60.89</x:v>
      </x:c>
      <x:c r="H178" s="34" t="n">
        <x:v>0</x:v>
      </x:c>
      <x:c r="I178" s="34" t="n">
        <x:f>SUM(F178:H178)</x:f>
        <x:v>461.03999999999996</x:v>
      </x:c>
      <x:c r="J178" s="22" t="str"/>
      <x:c r="K178" s="22" t="str"/>
      <x:c r="L178" s="22" t="str"/>
      <x:c r="M178" s="22" t="str">
        <x:v>일위대가목록</x:v>
      </x:c>
      <x:c r="N178" s="37" t="n">
        <x:v>177</x:v>
      </x:c>
      <x:c r="O1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8" s="22" t="str">
        <x:v>47d79c95e2c3273f84778935276c94526e369cc1b1bc057f6b03c998f44e253f</x:v>
      </x:c>
      <x:c r="Q178" s="22" t="str">
        <x:v>=E177+F177+G177</x:v>
      </x:c>
    </x:row>
    <x:row r="179">
      <x:c r="A179" s="22" t="str">
        <x:v>복합일위대가</x:v>
      </x:c>
      <x:c r="B179" s="22" t="str">
        <x:v>453125479B7D7FE4C224A493677EE</x:v>
      </x:c>
      <x:c r="C179" s="25" t="str">
        <x:v>SSW03/01. HOSPITAL/50*145 ST</x:v>
      </x:c>
      <x:c r="D179" s="25" t="str">
        <x:v>2.100 x 0.400 = 0.840</x:v>
      </x:c>
      <x:c r="E179" s="22" t="str">
        <x:v>EA</x:v>
      </x:c>
      <x:c r="F179" s="34" t="n">
        <x:v>266.65</x:v>
      </x:c>
      <x:c r="G179" s="34" t="n">
        <x:v>39.85</x:v>
      </x:c>
      <x:c r="H179" s="34" t="n">
        <x:v>0</x:v>
      </x:c>
      <x:c r="I179" s="34" t="n">
        <x:f>SUM(F179:H179)</x:f>
        <x:v>306.5</x:v>
      </x:c>
      <x:c r="J179" s="22" t="str"/>
      <x:c r="K179" s="22" t="str"/>
      <x:c r="L179" s="22" t="str"/>
      <x:c r="M179" s="22" t="str">
        <x:v>일위대가목록</x:v>
      </x:c>
      <x:c r="N179" s="37" t="n">
        <x:v>178</x:v>
      </x:c>
      <x:c r="O1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79" s="22" t="str">
        <x:v>47d79c95e2c3273f84778935276c94526e369cc1b1bc057f6b03c998f44e253f</x:v>
      </x:c>
      <x:c r="Q179" s="22" t="str">
        <x:v>=E178+F178+G178</x:v>
      </x:c>
    </x:row>
    <x:row r="180">
      <x:c r="A180" s="22" t="str">
        <x:v>복합일위대가</x:v>
      </x:c>
      <x:c r="B180" s="22" t="str">
        <x:v>453125479B7D7FE4C224BA002B0D9</x:v>
      </x:c>
      <x:c r="C180" s="25" t="str">
        <x:v>WD01/01. HOSPITAL/WOOD SINGLE DOOR</x:v>
      </x:c>
      <x:c r="D180" s="25" t="str">
        <x:v>1.000 x 2.200 = 2.200</x:v>
      </x:c>
      <x:c r="E180" s="22" t="str">
        <x:v>EA</x:v>
      </x:c>
      <x:c r="F180" s="34" t="n">
        <x:v>350</x:v>
      </x:c>
      <x:c r="G180" s="34" t="n">
        <x:v>0</x:v>
      </x:c>
      <x:c r="H180" s="34" t="n">
        <x:v>0</x:v>
      </x:c>
      <x:c r="I180" s="34" t="n">
        <x:f>SUM(F180:H180)</x:f>
        <x:v>350</x:v>
      </x:c>
      <x:c r="J180" s="22" t="str"/>
      <x:c r="K180" s="22" t="str"/>
      <x:c r="L180" s="22" t="str"/>
      <x:c r="M180" s="22" t="str">
        <x:v>일위대가목록</x:v>
      </x:c>
      <x:c r="N180" s="37" t="n">
        <x:v>179</x:v>
      </x:c>
      <x:c r="O1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0" s="22" t="str">
        <x:v>47d79c95e2c3273f84778935276c94526e369cc1b1bc057f6b03c998f44e253f</x:v>
      </x:c>
      <x:c r="Q180" s="22" t="str">
        <x:v>=E179+F179+G179</x:v>
      </x:c>
    </x:row>
    <x:row r="181">
      <x:c r="A181" s="22" t="str">
        <x:v>복합일위대가</x:v>
      </x:c>
      <x:c r="B181" s="22" t="str">
        <x:v>453125479B7D7FE4C224BA002B0DB</x:v>
      </x:c>
      <x:c r="C181" s="25" t="str">
        <x:v>WD02/01. HOSPITAL/WOOD SINGLE DOOR</x:v>
      </x:c>
      <x:c r="D181" s="25" t="str">
        <x:v>0.900 x 2.200 = 1.980</x:v>
      </x:c>
      <x:c r="E181" s="22" t="str">
        <x:v>EA</x:v>
      </x:c>
      <x:c r="F181" s="34" t="n">
        <x:v>350</x:v>
      </x:c>
      <x:c r="G181" s="34" t="n">
        <x:v>0</x:v>
      </x:c>
      <x:c r="H181" s="34" t="n">
        <x:v>0</x:v>
      </x:c>
      <x:c r="I181" s="34" t="n">
        <x:f>SUM(F181:H181)</x:f>
        <x:v>350</x:v>
      </x:c>
      <x:c r="J181" s="22" t="str"/>
      <x:c r="K181" s="22" t="str"/>
      <x:c r="L181" s="22" t="str"/>
      <x:c r="M181" s="22" t="str">
        <x:v>일위대가목록</x:v>
      </x:c>
      <x:c r="N181" s="37" t="n">
        <x:v>180</x:v>
      </x:c>
      <x:c r="O1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1" s="22" t="str">
        <x:v>47d79c95e2c3273f84778935276c94526e369cc1b1bc057f6b03c998f44e253f</x:v>
      </x:c>
      <x:c r="Q181" s="22" t="str">
        <x:v>=E180+F180+G180</x:v>
      </x:c>
    </x:row>
    <x:row r="182">
      <x:c r="A182" s="22" t="str">
        <x:v>복합일위대가</x:v>
      </x:c>
      <x:c r="B182" s="22" t="str">
        <x:v>453125479B7D7FE4C224BA002B0D5</x:v>
      </x:c>
      <x:c r="C182" s="25" t="str">
        <x:v>WD03/01. HOSPITAL/WOOD SINGLE DOOR</x:v>
      </x:c>
      <x:c r="D182" s="25" t="str">
        <x:v>0.750 x 2.200 = 1.650</x:v>
      </x:c>
      <x:c r="E182" s="22" t="str">
        <x:v>EA</x:v>
      </x:c>
      <x:c r="F182" s="34" t="n">
        <x:v>350</x:v>
      </x:c>
      <x:c r="G182" s="34" t="n">
        <x:v>0</x:v>
      </x:c>
      <x:c r="H182" s="34" t="n">
        <x:v>0</x:v>
      </x:c>
      <x:c r="I182" s="34" t="n">
        <x:f>SUM(F182:H182)</x:f>
        <x:v>350</x:v>
      </x:c>
      <x:c r="J182" s="22" t="str"/>
      <x:c r="K182" s="22" t="str"/>
      <x:c r="L182" s="22" t="str"/>
      <x:c r="M182" s="22" t="str">
        <x:v>일위대가목록</x:v>
      </x:c>
      <x:c r="N182" s="37" t="n">
        <x:v>181</x:v>
      </x:c>
      <x:c r="O1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2" s="22" t="str">
        <x:v>47d79c95e2c3273f84778935276c94526e369cc1b1bc057f6b03c998f44e253f</x:v>
      </x:c>
      <x:c r="Q182" s="22" t="str">
        <x:v>=E181+F181+G181</x:v>
      </x:c>
    </x:row>
    <x:row r="183">
      <x:c r="A183" s="22" t="str">
        <x:v>복합일위대가</x:v>
      </x:c>
      <x:c r="B183" s="22" t="str">
        <x:v>453125479B7D7FE4C224BA002B1E3</x:v>
      </x:c>
      <x:c r="C183" s="25" t="str">
        <x:v>WD04/01. HOSPITAL/WOOD DOUBLE DOOR</x:v>
      </x:c>
      <x:c r="D183" s="25" t="str">
        <x:v>1.800 x 2.200 = 3.960</x:v>
      </x:c>
      <x:c r="E183" s="22" t="str">
        <x:v>EA</x:v>
      </x:c>
      <x:c r="F183" s="34" t="n">
        <x:v>430</x:v>
      </x:c>
      <x:c r="G183" s="34" t="n">
        <x:v>0</x:v>
      </x:c>
      <x:c r="H183" s="34" t="n">
        <x:v>0</x:v>
      </x:c>
      <x:c r="I183" s="34" t="n">
        <x:f>SUM(F183:H183)</x:f>
        <x:v>430</x:v>
      </x:c>
      <x:c r="J183" s="22" t="str"/>
      <x:c r="K183" s="22" t="str"/>
      <x:c r="L183" s="22" t="str"/>
      <x:c r="M183" s="22" t="str">
        <x:v>일위대가목록</x:v>
      </x:c>
      <x:c r="N183" s="37" t="n">
        <x:v>182</x:v>
      </x:c>
      <x:c r="O1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3" s="22" t="str">
        <x:v>47d79c95e2c3273f84778935276c94526e369cc1b1bc057f6b03c998f44e253f</x:v>
      </x:c>
      <x:c r="Q183" s="22" t="str">
        <x:v>=E182+F182+G182</x:v>
      </x:c>
    </x:row>
    <x:row r="184">
      <x:c r="A184" s="22" t="str">
        <x:v>복합일위대가</x:v>
      </x:c>
      <x:c r="B184" s="22" t="str">
        <x:v>453125479B7D7FE4C224BA002B1E1</x:v>
      </x:c>
      <x:c r="C184" s="25" t="str">
        <x:v>WD06/01. HOSPITAL/WOOD SINGLE DOOR</x:v>
      </x:c>
      <x:c r="D184" s="25" t="str">
        <x:v>1.100 x 2.200 = 2.420</x:v>
      </x:c>
      <x:c r="E184" s="22" t="str">
        <x:v>EA</x:v>
      </x:c>
      <x:c r="F184" s="34" t="n">
        <x:v>350</x:v>
      </x:c>
      <x:c r="G184" s="34" t="n">
        <x:v>0</x:v>
      </x:c>
      <x:c r="H184" s="34" t="n">
        <x:v>0</x:v>
      </x:c>
      <x:c r="I184" s="34" t="n">
        <x:f>SUM(F184:H184)</x:f>
        <x:v>350</x:v>
      </x:c>
      <x:c r="J184" s="22" t="str"/>
      <x:c r="K184" s="22" t="str"/>
      <x:c r="L184" s="22" t="str"/>
      <x:c r="M184" s="22" t="str">
        <x:v>일위대가목록</x:v>
      </x:c>
      <x:c r="N184" s="37" t="n">
        <x:v>183</x:v>
      </x:c>
      <x:c r="O1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4" s="22" t="str">
        <x:v>47d79c95e2c3273f84778935276c94526e369cc1b1bc057f6b03c998f44e253f</x:v>
      </x:c>
      <x:c r="Q184" s="22" t="str">
        <x:v>=E183+F183+G183</x:v>
      </x:c>
    </x:row>
    <x:row r="185">
      <x:c r="A185" s="22" t="str">
        <x:v>복합일위대가</x:v>
      </x:c>
      <x:c r="B185" s="22" t="str">
        <x:v>448223432376421D520C7F991B009</x:v>
      </x:c>
      <x:c r="C185" s="25" t="str">
        <x:v>BACKPAINTERD GLASS</x:v>
      </x:c>
      <x:c r="D185" s="25" t="str"/>
      <x:c r="E185" s="22" t="str">
        <x:v>M2</x:v>
      </x:c>
      <x:c r="F185" s="34" t="n">
        <x:v>60.53</x:v>
      </x:c>
      <x:c r="G185" s="34" t="n">
        <x:v>25.49</x:v>
      </x:c>
      <x:c r="H185" s="34" t="n">
        <x:v>0.11</x:v>
      </x:c>
      <x:c r="I185" s="34" t="n">
        <x:f>SUM(F185:H185)</x:f>
        <x:v>86.13</x:v>
      </x:c>
      <x:c r="J185" s="22" t="str"/>
      <x:c r="K185" s="22" t="str"/>
      <x:c r="L185" s="22" t="str"/>
      <x:c r="M185" s="22" t="str">
        <x:v>일위대가목록</x:v>
      </x:c>
      <x:c r="N185" s="37" t="n">
        <x:v>184</x:v>
      </x:c>
      <x:c r="O1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5" s="22" t="str">
        <x:v>47d79c95e2c3273f84778935276c94526e369cc1b1bc057f6b03c998f44e253f</x:v>
      </x:c>
      <x:c r="Q185" s="22" t="str">
        <x:v>=E184+F184+G184</x:v>
      </x:c>
    </x:row>
    <x:row r="186">
      <x:c r="A186" s="22" t="str">
        <x:v>복합일위대가</x:v>
      </x:c>
      <x:c r="B186" s="22" t="str">
        <x:v>448227450275CD2FB281D8393CD64</x:v>
      </x:c>
      <x:c r="C186" s="25" t="str">
        <x:v>Caulking around Pain glazing</x:v>
      </x:c>
      <x:c r="D186" s="25" t="str">
        <x:v>5*5, silicone</x:v>
      </x:c>
      <x:c r="E186" s="22" t="str">
        <x:v>M</x:v>
      </x:c>
      <x:c r="F186" s="34" t="n">
        <x:v>0.32</x:v>
      </x:c>
      <x:c r="G186" s="34" t="n">
        <x:v>0</x:v>
      </x:c>
      <x:c r="H186" s="34" t="n">
        <x:v>0</x:v>
      </x:c>
      <x:c r="I186" s="34" t="n">
        <x:f>SUM(F186:H186)</x:f>
        <x:v>0.32</x:v>
      </x:c>
      <x:c r="J186" s="22" t="str"/>
      <x:c r="K186" s="22" t="str"/>
      <x:c r="L186" s="22" t="str"/>
      <x:c r="M186" s="22" t="str">
        <x:v>일위대가목록</x:v>
      </x:c>
      <x:c r="N186" s="37" t="n">
        <x:v>185</x:v>
      </x:c>
      <x:c r="O1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6" s="22" t="str">
        <x:v>47d79c95e2c3273f84778935276c94526e369cc1b1bc057f6b03c998f44e253f</x:v>
      </x:c>
      <x:c r="Q186" s="22" t="str">
        <x:v>=E185+F185+G185</x:v>
      </x:c>
    </x:row>
    <x:row r="187">
      <x:c r="A187" s="22" t="str">
        <x:v>복합일위대가</x:v>
      </x:c>
      <x:c r="B187" s="22" t="str">
        <x:v>448227450275C8AE02615B1D5192C</x:v>
      </x:c>
      <x:c r="C187" s="25" t="str">
        <x:v>Structural Silicone</x:v>
      </x:c>
      <x:c r="D187" s="25" t="str">
        <x:v>5*16, silicone</x:v>
      </x:c>
      <x:c r="E187" s="22" t="str">
        <x:v>M</x:v>
      </x:c>
      <x:c r="F187" s="34" t="n">
        <x:v>1.66</x:v>
      </x:c>
      <x:c r="G187" s="34" t="n">
        <x:v>0</x:v>
      </x:c>
      <x:c r="H187" s="34" t="n">
        <x:v>0</x:v>
      </x:c>
      <x:c r="I187" s="34" t="n">
        <x:f>SUM(F187:H187)</x:f>
        <x:v>1.66</x:v>
      </x:c>
      <x:c r="J187" s="22" t="str"/>
      <x:c r="K187" s="22" t="str"/>
      <x:c r="L187" s="22" t="str"/>
      <x:c r="M187" s="22" t="str">
        <x:v>일위대가목록</x:v>
      </x:c>
      <x:c r="N187" s="37" t="n">
        <x:v>186</x:v>
      </x:c>
      <x:c r="O1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7" s="22" t="str">
        <x:v>47d79c95e2c3273f84778935276c94526e369cc1b1bc057f6b03c998f44e253f</x:v>
      </x:c>
      <x:c r="Q187" s="22" t="str">
        <x:v>=E186+F186+G186</x:v>
      </x:c>
    </x:row>
    <x:row r="188">
      <x:c r="A188" s="22" t="str">
        <x:v>복합일위대가</x:v>
      </x:c>
      <x:c r="B188" s="22" t="str">
        <x:v>448227450275C8AE02615B1D51A33</x:v>
      </x:c>
      <x:c r="C188" s="25" t="str">
        <x:v>Norton Thermalbond</x:v>
      </x:c>
      <x:c r="D188" s="25" t="str"/>
      <x:c r="E188" s="22" t="str">
        <x:v>M</x:v>
      </x:c>
      <x:c r="F188" s="34" t="n">
        <x:v>1.39</x:v>
      </x:c>
      <x:c r="G188" s="34" t="n">
        <x:v>0</x:v>
      </x:c>
      <x:c r="H188" s="34" t="n">
        <x:v>0</x:v>
      </x:c>
      <x:c r="I188" s="34" t="n">
        <x:f>SUM(F188:H188)</x:f>
        <x:v>1.39</x:v>
      </x:c>
      <x:c r="J188" s="22" t="str"/>
      <x:c r="K188" s="22" t="str"/>
      <x:c r="L188" s="22" t="str"/>
      <x:c r="M188" s="22" t="str">
        <x:v>일위대가목록</x:v>
      </x:c>
      <x:c r="N188" s="37" t="n">
        <x:v>187</x:v>
      </x:c>
      <x:c r="O1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8" s="22" t="str">
        <x:v>47d79c95e2c3273f84778935276c94526e369cc1b1bc057f6b03c998f44e253f</x:v>
      </x:c>
      <x:c r="Q188" s="22" t="str">
        <x:v>=E187+F187+G187</x:v>
      </x:c>
    </x:row>
    <x:row r="189">
      <x:c r="A189" s="22" t="str">
        <x:v>복합일위대가</x:v>
      </x:c>
      <x:c r="B189" s="22" t="str">
        <x:v>448227450275C8AE02615B1D51BD9</x:v>
      </x:c>
      <x:c r="C189" s="25" t="str">
        <x:v>Weather Caulking</x:v>
      </x:c>
      <x:c r="D189" s="25" t="str"/>
      <x:c r="E189" s="22" t="str">
        <x:v>M</x:v>
      </x:c>
      <x:c r="F189" s="34" t="n">
        <x:v>1.02</x:v>
      </x:c>
      <x:c r="G189" s="34" t="n">
        <x:v>0</x:v>
      </x:c>
      <x:c r="H189" s="34" t="n">
        <x:v>0</x:v>
      </x:c>
      <x:c r="I189" s="34" t="n">
        <x:f>SUM(F189:H189)</x:f>
        <x:v>1.02</x:v>
      </x:c>
      <x:c r="J189" s="22" t="str"/>
      <x:c r="K189" s="22" t="str"/>
      <x:c r="L189" s="22" t="str"/>
      <x:c r="M189" s="22" t="str">
        <x:v>일위대가목록</x:v>
      </x:c>
      <x:c r="N189" s="37" t="n">
        <x:v>188</x:v>
      </x:c>
      <x:c r="O1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89" s="22" t="str">
        <x:v>47d79c95e2c3273f84778935276c94526e369cc1b1bc057f6b03c998f44e253f</x:v>
      </x:c>
      <x:c r="Q189" s="22" t="str">
        <x:v>=E188+F188+G188</x:v>
      </x:c>
    </x:row>
    <x:row r="190">
      <x:c r="A190" s="22" t="str">
        <x:v>복합일위대가</x:v>
      </x:c>
      <x:c r="B190" s="22" t="str">
        <x:v>44822343C377C36F323EA2A4272DE</x:v>
      </x:c>
      <x:c r="C190" s="25" t="str">
        <x:v>Window glass installation / Pan glass</x:v>
      </x:c>
      <x:c r="D190" s="25" t="str">
        <x:v>Glass thickness less than 5mm</x:v>
      </x:c>
      <x:c r="E190" s="22" t="str">
        <x:v>M2</x:v>
      </x:c>
      <x:c r="F190" s="34" t="n">
        <x:v>0</x:v>
      </x:c>
      <x:c r="G190" s="34" t="n">
        <x:v>10.11</x:v>
      </x:c>
      <x:c r="H190" s="34" t="n">
        <x:v>0</x:v>
      </x:c>
      <x:c r="I190" s="34" t="n">
        <x:f>SUM(F190:H190)</x:f>
        <x:v>10.11</x:v>
      </x:c>
      <x:c r="J190" s="22" t="str"/>
      <x:c r="K190" s="22" t="str"/>
      <x:c r="L190" s="22" t="str"/>
      <x:c r="M190" s="22" t="str">
        <x:v>일위대가목록</x:v>
      </x:c>
      <x:c r="N190" s="37" t="n">
        <x:v>189</x:v>
      </x:c>
      <x:c r="O1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0" s="22" t="str">
        <x:v>47d79c95e2c3273f84778935276c94526e369cc1b1bc057f6b03c998f44e253f</x:v>
      </x:c>
      <x:c r="Q190" s="22" t="str">
        <x:v>=E189+F189+G189</x:v>
      </x:c>
    </x:row>
    <x:row r="191">
      <x:c r="A191" s="22" t="str">
        <x:v>복합일위대가</x:v>
      </x:c>
      <x:c r="B191" s="22" t="str">
        <x:v>44822343C377C36F323EA2A427137</x:v>
      </x:c>
      <x:c r="C191" s="25" t="str">
        <x:v>Window glass installation / Pan glass</x:v>
      </x:c>
      <x:c r="D191" s="25" t="str">
        <x:v>Glass thickness less than 12mm</x:v>
      </x:c>
      <x:c r="E191" s="22" t="str">
        <x:v>M2</x:v>
      </x:c>
      <x:c r="F191" s="34" t="n">
        <x:v>0</x:v>
      </x:c>
      <x:c r="G191" s="34" t="n">
        <x:v>10.11</x:v>
      </x:c>
      <x:c r="H191" s="34" t="n">
        <x:v>0</x:v>
      </x:c>
      <x:c r="I191" s="34" t="n">
        <x:f>SUM(F191:H191)</x:f>
        <x:v>10.11</x:v>
      </x:c>
      <x:c r="J191" s="22" t="str"/>
      <x:c r="K191" s="22" t="str"/>
      <x:c r="L191" s="22" t="str"/>
      <x:c r="M191" s="22" t="str">
        <x:v>일위대가목록</x:v>
      </x:c>
      <x:c r="N191" s="37" t="n">
        <x:v>190</x:v>
      </x:c>
      <x:c r="O1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1" s="22" t="str">
        <x:v>47d79c95e2c3273f84778935276c94526e369cc1b1bc057f6b03c998f44e253f</x:v>
      </x:c>
      <x:c r="Q191" s="22" t="str">
        <x:v>=E190+F190+G190</x:v>
      </x:c>
    </x:row>
    <x:row r="192">
      <x:c r="A192" s="22" t="str">
        <x:v>복합일위대가</x:v>
      </x:c>
      <x:c r="B192" s="22" t="str">
        <x:v>448223433D7911ED22A70309B9BA2</x:v>
      </x:c>
      <x:c r="C192" s="25" t="str">
        <x:v>Window Glass Installation / Double Glazing</x:v>
      </x:c>
      <x:c r="D192" s="25" t="str">
        <x:v>Glass thickness less than 24mm</x:v>
      </x:c>
      <x:c r="E192" s="22" t="str">
        <x:v>M2</x:v>
      </x:c>
      <x:c r="F192" s="34" t="n">
        <x:v>0</x:v>
      </x:c>
      <x:c r="G192" s="34" t="n">
        <x:v>10.26</x:v>
      </x:c>
      <x:c r="H192" s="34" t="n">
        <x:v>0</x:v>
      </x:c>
      <x:c r="I192" s="34" t="n">
        <x:f>SUM(F192:H192)</x:f>
        <x:v>10.26</x:v>
      </x:c>
      <x:c r="J192" s="22" t="str"/>
      <x:c r="K192" s="22" t="str"/>
      <x:c r="L192" s="22" t="str"/>
      <x:c r="M192" s="22" t="str">
        <x:v>일위대가목록</x:v>
      </x:c>
      <x:c r="N192" s="37" t="n">
        <x:v>191</x:v>
      </x:c>
      <x:c r="O1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2" s="22" t="str">
        <x:v>47d79c95e2c3273f84778935276c94526e369cc1b1bc057f6b03c998f44e253f</x:v>
      </x:c>
      <x:c r="Q192" s="22" t="str">
        <x:v>=E191+F191+G191</x:v>
      </x:c>
    </x:row>
    <x:row r="193">
      <x:c r="A193" s="22" t="str">
        <x:v>복합일위대가</x:v>
      </x:c>
      <x:c r="B193" s="22" t="str">
        <x:v>448223433D703D80122AB3ECE4AAB</x:v>
      </x:c>
      <x:c r="C193" s="25" t="str">
        <x:v>Caulking around double glazing</x:v>
      </x:c>
      <x:c r="D193" s="25" t="str">
        <x:v>5*5, silicone</x:v>
      </x:c>
      <x:c r="E193" s="22" t="str">
        <x:v>M</x:v>
      </x:c>
      <x:c r="F193" s="34" t="n">
        <x:v>0.32</x:v>
      </x:c>
      <x:c r="G193" s="34" t="n">
        <x:v>0</x:v>
      </x:c>
      <x:c r="H193" s="34" t="n">
        <x:v>0</x:v>
      </x:c>
      <x:c r="I193" s="34" t="n">
        <x:f>SUM(F193:H193)</x:f>
        <x:v>0.32</x:v>
      </x:c>
      <x:c r="J193" s="22" t="str"/>
      <x:c r="K193" s="22" t="str"/>
      <x:c r="L193" s="22" t="str"/>
      <x:c r="M193" s="22" t="str">
        <x:v>일위대가목록</x:v>
      </x:c>
      <x:c r="N193" s="37" t="n">
        <x:v>192</x:v>
      </x:c>
      <x:c r="O1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3" s="22" t="str">
        <x:v>47d79c95e2c3273f84778935276c94526e369cc1b1bc057f6b03c998f44e253f</x:v>
      </x:c>
      <x:c r="Q193" s="22" t="str">
        <x:v>=E192+F192+G192</x:v>
      </x:c>
    </x:row>
    <x:row r="194">
      <x:c r="A194" s="22" t="str">
        <x:v>복합일위대가</x:v>
      </x:c>
      <x:c r="B194" s="22" t="str">
        <x:v>448223432376421D520C7F991B12F</x:v>
      </x:c>
      <x:c r="C194" s="25" t="str">
        <x:v>Moisture-Proof Mirror</x:v>
      </x:c>
      <x:c r="D194" s="25" t="str">
        <x:v>5mm</x:v>
      </x:c>
      <x:c r="E194" s="22" t="str">
        <x:v>M2</x:v>
      </x:c>
      <x:c r="F194" s="34" t="n">
        <x:v>39.44</x:v>
      </x:c>
      <x:c r="G194" s="34" t="n">
        <x:v>18.78</x:v>
      </x:c>
      <x:c r="H194" s="34" t="n">
        <x:v>0.11</x:v>
      </x:c>
      <x:c r="I194" s="34" t="n">
        <x:f>SUM(F194:H194)</x:f>
        <x:v>58.33</x:v>
      </x:c>
      <x:c r="J194" s="22" t="str"/>
      <x:c r="K194" s="22" t="str"/>
      <x:c r="L194" s="22" t="str"/>
      <x:c r="M194" s="22" t="str">
        <x:v>일위대가목록</x:v>
      </x:c>
      <x:c r="N194" s="37" t="n">
        <x:v>193</x:v>
      </x:c>
      <x:c r="O1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4" s="22" t="str">
        <x:v>47d79c95e2c3273f84778935276c94526e369cc1b1bc057f6b03c998f44e253f</x:v>
      </x:c>
      <x:c r="Q194" s="22" t="str">
        <x:v>=E193+F193+G193</x:v>
      </x:c>
    </x:row>
    <x:row r="195">
      <x:c r="A195" s="22" t="str">
        <x:v>복합일위대가</x:v>
      </x:c>
      <x:c r="B195" s="22" t="str">
        <x:v>4482214ED37A290E2245BBE3D5C8D</x:v>
      </x:c>
      <x:c r="C195" s="25" t="str">
        <x:v>Painting on Concrete surfaces including Anti-bacterial Paint as per drawing and as specified.</x:v>
      </x:c>
      <x:c r="D195" s="25" t="str"/>
      <x:c r="E195" s="22" t="str">
        <x:v>M2</x:v>
      </x:c>
      <x:c r="F195" s="34" t="n">
        <x:v>3</x:v>
      </x:c>
      <x:c r="G195" s="34" t="n">
        <x:v>0</x:v>
      </x:c>
      <x:c r="H195" s="34" t="n">
        <x:v>0</x:v>
      </x:c>
      <x:c r="I195" s="34" t="n">
        <x:f>SUM(F195:H195)</x:f>
        <x:v>3</x:v>
      </x:c>
      <x:c r="J195" s="22" t="str"/>
      <x:c r="K195" s="22" t="str"/>
      <x:c r="L195" s="22" t="str"/>
      <x:c r="M195" s="22" t="str">
        <x:v>일위대가목록</x:v>
      </x:c>
      <x:c r="N195" s="37" t="n">
        <x:v>194</x:v>
      </x:c>
      <x:c r="O1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5" s="22" t="str">
        <x:v>47d79c95e2c3273f84778935276c94526e369cc1b1bc057f6b03c998f44e253f</x:v>
      </x:c>
      <x:c r="Q195" s="22" t="str">
        <x:v>=E194+F194+G194</x:v>
      </x:c>
    </x:row>
    <x:row r="196">
      <x:c r="A196" s="22" t="str">
        <x:v>복합일위대가</x:v>
      </x:c>
      <x:c r="B196" s="22" t="str">
        <x:v>4482214ED37A290E2245BBE3D5D93</x:v>
      </x:c>
      <x:c r="C196" s="25" t="str">
        <x:v>Painting on Concrete Surface Treatment surfaces including Emulsion Paint as per drawing and as specified.</x:v>
      </x:c>
      <x:c r="D196" s="25" t="str"/>
      <x:c r="E196" s="22" t="str">
        <x:v>M2</x:v>
      </x:c>
      <x:c r="F196" s="34" t="n">
        <x:v>2</x:v>
      </x:c>
      <x:c r="G196" s="34" t="n">
        <x:v>0</x:v>
      </x:c>
      <x:c r="H196" s="34" t="n">
        <x:v>0</x:v>
      </x:c>
      <x:c r="I196" s="34" t="n">
        <x:f>SUM(F196:H196)</x:f>
        <x:v>2</x:v>
      </x:c>
      <x:c r="J196" s="22" t="str"/>
      <x:c r="K196" s="22" t="str"/>
      <x:c r="L196" s="22" t="str"/>
      <x:c r="M196" s="22" t="str">
        <x:v>일위대가목록</x:v>
      </x:c>
      <x:c r="N196" s="37" t="n">
        <x:v>195</x:v>
      </x:c>
      <x:c r="O1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6" s="22" t="str">
        <x:v>47d79c95e2c3273f84778935276c94526e369cc1b1bc057f6b03c998f44e253f</x:v>
      </x:c>
      <x:c r="Q196" s="22" t="str">
        <x:v>=E195+F195+G195</x:v>
      </x:c>
    </x:row>
    <x:row r="197">
      <x:c r="A197" s="22" t="str">
        <x:v>복합일위대가</x:v>
      </x:c>
      <x:c r="B197" s="22" t="str">
        <x:v>4482214ED37A290E22AE6206AEC6C</x:v>
      </x:c>
      <x:c r="C197" s="25" t="str">
        <x:v>Painting on plastered surfaces including Epoxy paint as per drawing and as specified. (Plastering measured seperately)</x:v>
      </x:c>
      <x:c r="D197" s="25" t="str"/>
      <x:c r="E197" s="22" t="str">
        <x:v>M2</x:v>
      </x:c>
      <x:c r="F197" s="34" t="n">
        <x:v>4.25</x:v>
      </x:c>
      <x:c r="G197" s="34" t="n">
        <x:v>0</x:v>
      </x:c>
      <x:c r="H197" s="34" t="n">
        <x:v>0</x:v>
      </x:c>
      <x:c r="I197" s="34" t="n">
        <x:f>SUM(F197:H197)</x:f>
        <x:v>4.25</x:v>
      </x:c>
      <x:c r="J197" s="22" t="str"/>
      <x:c r="K197" s="22" t="str"/>
      <x:c r="L197" s="22" t="str"/>
      <x:c r="M197" s="22" t="str">
        <x:v>일위대가목록</x:v>
      </x:c>
      <x:c r="N197" s="37" t="n">
        <x:v>196</x:v>
      </x:c>
      <x:c r="O1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7" s="22" t="str">
        <x:v>47d79c95e2c3273f84778935276c94526e369cc1b1bc057f6b03c998f44e253f</x:v>
      </x:c>
      <x:c r="Q197" s="22" t="str">
        <x:v>=E196+F196+G196</x:v>
      </x:c>
    </x:row>
    <x:row r="198">
      <x:c r="A198" s="22" t="str">
        <x:v>복합일위대가</x:v>
      </x:c>
      <x:c r="B198" s="22" t="str">
        <x:v>4482214ED37A290E22AE6206AE8F1</x:v>
      </x:c>
      <x:c r="C198" s="25" t="str">
        <x:v>Painting on plastered surfaces including Anti-bacterial Paint as per drawing and as specified. (Plastering measured sepe</x:v>
      </x:c>
      <x:c r="D198" s="25" t="str"/>
      <x:c r="E198" s="22" t="str">
        <x:v>M2</x:v>
      </x:c>
      <x:c r="F198" s="34" t="n">
        <x:v>3</x:v>
      </x:c>
      <x:c r="G198" s="34" t="n">
        <x:v>0</x:v>
      </x:c>
      <x:c r="H198" s="34" t="n">
        <x:v>0</x:v>
      </x:c>
      <x:c r="I198" s="34" t="n">
        <x:f>SUM(F198:H198)</x:f>
        <x:v>3</x:v>
      </x:c>
      <x:c r="J198" s="22" t="str"/>
      <x:c r="K198" s="22" t="str"/>
      <x:c r="L198" s="22" t="str"/>
      <x:c r="M198" s="22" t="str">
        <x:v>일위대가목록</x:v>
      </x:c>
      <x:c r="N198" s="37" t="n">
        <x:v>197</x:v>
      </x:c>
      <x:c r="O1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8" s="22" t="str">
        <x:v>47d79c95e2c3273f84778935276c94526e369cc1b1bc057f6b03c998f44e253f</x:v>
      </x:c>
      <x:c r="Q198" s="22" t="str">
        <x:v>=E197+F197+G197</x:v>
      </x:c>
    </x:row>
    <x:row r="199">
      <x:c r="A199" s="22" t="str">
        <x:v>복합일위대가</x:v>
      </x:c>
      <x:c r="B199" s="22" t="str">
        <x:v>4482214ED37A290E22AE6206AEABE</x:v>
      </x:c>
      <x:c r="C199" s="25" t="str">
        <x:v>Painting on Concrete Surface Treatment surfaces including Emulsion Paint as per drawing and as specified. (Plastering me</x:v>
      </x:c>
      <x:c r="D199" s="25" t="str"/>
      <x:c r="E199" s="22" t="str">
        <x:v>M2</x:v>
      </x:c>
      <x:c r="F199" s="34" t="n">
        <x:v>2</x:v>
      </x:c>
      <x:c r="G199" s="34" t="n">
        <x:v>0</x:v>
      </x:c>
      <x:c r="H199" s="34" t="n">
        <x:v>0</x:v>
      </x:c>
      <x:c r="I199" s="34" t="n">
        <x:f>SUM(F199:H199)</x:f>
        <x:v>2</x:v>
      </x:c>
      <x:c r="J199" s="22" t="str"/>
      <x:c r="K199" s="22" t="str"/>
      <x:c r="L199" s="22" t="str"/>
      <x:c r="M199" s="22" t="str">
        <x:v>일위대가목록</x:v>
      </x:c>
      <x:c r="N199" s="37" t="n">
        <x:v>198</x:v>
      </x:c>
      <x:c r="O1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199" s="22" t="str">
        <x:v>47d79c95e2c3273f84778935276c94526e369cc1b1bc057f6b03c998f44e253f</x:v>
      </x:c>
      <x:c r="Q199" s="22" t="str">
        <x:v>=E198+F198+G198</x:v>
      </x:c>
    </x:row>
    <x:row r="200">
      <x:c r="A200" s="22" t="str">
        <x:v>복합일위대가</x:v>
      </x:c>
      <x:c r="B200" s="22" t="str">
        <x:v>4482214ED37A290E22AE6206AE53D</x:v>
      </x:c>
      <x:c r="C200" s="25" t="str">
        <x:v>Painting on gypsum board surfaces including Emulsion Paint as per drawing and as specified.</x:v>
      </x:c>
      <x:c r="D200" s="25" t="str"/>
      <x:c r="E200" s="22" t="str">
        <x:v>M2</x:v>
      </x:c>
      <x:c r="F200" s="34" t="n">
        <x:v>2</x:v>
      </x:c>
      <x:c r="G200" s="34" t="n">
        <x:v>0</x:v>
      </x:c>
      <x:c r="H200" s="34" t="n">
        <x:v>0</x:v>
      </x:c>
      <x:c r="I200" s="34" t="n">
        <x:f>SUM(F200:H200)</x:f>
        <x:v>2</x:v>
      </x:c>
      <x:c r="J200" s="22" t="str"/>
      <x:c r="K200" s="22" t="str"/>
      <x:c r="L200" s="22" t="str"/>
      <x:c r="M200" s="22" t="str">
        <x:v>일위대가목록</x:v>
      </x:c>
      <x:c r="N200" s="37" t="n">
        <x:v>199</x:v>
      </x:c>
      <x:c r="O2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0" s="22" t="str">
        <x:v>47d79c95e2c3273f84778935276c94526e369cc1b1bc057f6b03c998f44e253f</x:v>
      </x:c>
      <x:c r="Q200" s="22" t="str">
        <x:v>=E199+F199+G199</x:v>
      </x:c>
    </x:row>
    <x:row r="201">
      <x:c r="A201" s="22" t="str">
        <x:v>복합일위대가</x:v>
      </x:c>
      <x:c r="B201" s="22" t="str">
        <x:v>4482214ED37A290E22AE62069C542</x:v>
      </x:c>
      <x:c r="C201" s="25" t="str">
        <x:v>Painting on gypsum board surfaces including Anti-bacterial Paint as per drawing and as specified.</x:v>
      </x:c>
      <x:c r="D201" s="25" t="str"/>
      <x:c r="E201" s="22" t="str">
        <x:v>M2</x:v>
      </x:c>
      <x:c r="F201" s="34" t="n">
        <x:v>3</x:v>
      </x:c>
      <x:c r="G201" s="34" t="n">
        <x:v>0</x:v>
      </x:c>
      <x:c r="H201" s="34" t="n">
        <x:v>0</x:v>
      </x:c>
      <x:c r="I201" s="34" t="n">
        <x:f>SUM(F201:H201)</x:f>
        <x:v>3</x:v>
      </x:c>
      <x:c r="J201" s="22" t="str"/>
      <x:c r="K201" s="22" t="str"/>
      <x:c r="L201" s="22" t="str"/>
      <x:c r="M201" s="22" t="str">
        <x:v>일위대가목록</x:v>
      </x:c>
      <x:c r="N201" s="37" t="n">
        <x:v>200</x:v>
      </x:c>
      <x:c r="O2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1" s="22" t="str">
        <x:v>47d79c95e2c3273f84778935276c94526e369cc1b1bc057f6b03c998f44e253f</x:v>
      </x:c>
      <x:c r="Q201" s="22" t="str">
        <x:v>=E200+F200+G200</x:v>
      </x:c>
    </x:row>
    <x:row r="202">
      <x:c r="A202" s="22" t="str">
        <x:v>복합일위대가</x:v>
      </x:c>
      <x:c r="B202" s="22" t="str">
        <x:v>4482214E4D7E26CCE26EA35651C33</x:v>
      </x:c>
      <x:c r="C202" s="25" t="str">
        <x:v>Steel Trowelled with Epoxy coating</x:v>
      </x:c>
      <x:c r="D202" s="25" t="str">
        <x:v>Floor</x:v>
      </x:c>
      <x:c r="E202" s="22" t="str">
        <x:v>M2</x:v>
      </x:c>
      <x:c r="F202" s="34" t="n">
        <x:v>20</x:v>
      </x:c>
      <x:c r="G202" s="34" t="n">
        <x:v>0</x:v>
      </x:c>
      <x:c r="H202" s="34" t="n">
        <x:v>0</x:v>
      </x:c>
      <x:c r="I202" s="34" t="n">
        <x:f>SUM(F202:H202)</x:f>
        <x:v>20</x:v>
      </x:c>
      <x:c r="J202" s="22" t="str"/>
      <x:c r="K202" s="22" t="str"/>
      <x:c r="L202" s="22" t="str"/>
      <x:c r="M202" s="22" t="str">
        <x:v>일위대가목록</x:v>
      </x:c>
      <x:c r="N202" s="37" t="n">
        <x:v>201</x:v>
      </x:c>
      <x:c r="O2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2" s="22" t="str">
        <x:v>47d79c95e2c3273f84778935276c94526e369cc1b1bc057f6b03c998f44e253f</x:v>
      </x:c>
      <x:c r="Q202" s="22" t="str">
        <x:v>=E201+F201+G201</x:v>
      </x:c>
    </x:row>
    <x:row r="203">
      <x:c r="A203" s="22" t="str">
        <x:v>복합일위대가</x:v>
      </x:c>
      <x:c r="B203" s="22" t="str">
        <x:v>4482214E4D7E26CCE26EA35647549</x:v>
      </x:c>
      <x:c r="C203" s="25" t="str">
        <x:v>Steel Trowelled with Epoxy coating</x:v>
      </x:c>
      <x:c r="D203" s="25" t="str">
        <x:v>CEILING</x:v>
      </x:c>
      <x:c r="E203" s="22" t="str">
        <x:v>M2</x:v>
      </x:c>
      <x:c r="F203" s="34" t="n">
        <x:v>4.25</x:v>
      </x:c>
      <x:c r="G203" s="34" t="n">
        <x:v>0</x:v>
      </x:c>
      <x:c r="H203" s="34" t="n">
        <x:v>0</x:v>
      </x:c>
      <x:c r="I203" s="34" t="n">
        <x:f>SUM(F203:H203)</x:f>
        <x:v>4.25</x:v>
      </x:c>
      <x:c r="J203" s="22" t="str"/>
      <x:c r="K203" s="22" t="str"/>
      <x:c r="L203" s="22" t="str"/>
      <x:c r="M203" s="22" t="str">
        <x:v>일위대가목록</x:v>
      </x:c>
      <x:c r="N203" s="37" t="n">
        <x:v>202</x:v>
      </x:c>
      <x:c r="O2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3" s="22" t="str">
        <x:v>47d79c95e2c3273f84778935276c94526e369cc1b1bc057f6b03c998f44e253f</x:v>
      </x:c>
      <x:c r="Q203" s="22" t="str">
        <x:v>=E202+F202+G202</x:v>
      </x:c>
    </x:row>
    <x:row r="204">
      <x:c r="A204" s="22" t="str">
        <x:v>복합일위대가</x:v>
      </x:c>
      <x:c r="B204" s="22" t="str">
        <x:v>4482214E4D7E26CCE26EA5352E73C</x:v>
      </x:c>
      <x:c r="C204" s="25" t="str">
        <x:v>Steel Trowelled with Epoxy coating(Raised access flooring under)</x:v>
      </x:c>
      <x:c r="D204" s="25" t="str">
        <x:v>Floor</x:v>
      </x:c>
      <x:c r="E204" s="22" t="str">
        <x:v>M2</x:v>
      </x:c>
      <x:c r="F204" s="34" t="n">
        <x:v>4.25</x:v>
      </x:c>
      <x:c r="G204" s="34" t="n">
        <x:v>0</x:v>
      </x:c>
      <x:c r="H204" s="34" t="n">
        <x:v>0</x:v>
      </x:c>
      <x:c r="I204" s="34" t="n">
        <x:f>SUM(F204:H204)</x:f>
        <x:v>4.25</x:v>
      </x:c>
      <x:c r="J204" s="22" t="str"/>
      <x:c r="K204" s="22" t="str"/>
      <x:c r="L204" s="22" t="str"/>
      <x:c r="M204" s="22" t="str">
        <x:v>일위대가목록</x:v>
      </x:c>
      <x:c r="N204" s="37" t="n">
        <x:v>203</x:v>
      </x:c>
      <x:c r="O2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4" s="22" t="str">
        <x:v>47d79c95e2c3273f84778935276c94526e369cc1b1bc057f6b03c998f44e253f</x:v>
      </x:c>
      <x:c r="Q204" s="22" t="str">
        <x:v>=E203+F203+G203</x:v>
      </x:c>
    </x:row>
    <x:row r="205">
      <x:c r="A205" s="22" t="str">
        <x:v>복합일위대가</x:v>
      </x:c>
      <x:c r="B205" s="22" t="str">
        <x:v>448220486474E5E5829F2A85CA533</x:v>
      </x:c>
      <x:c r="C205" s="25" t="str">
        <x:v>Supplying and laying of 100mm (h) Acrylic Paint skirting.</x:v>
      </x:c>
      <x:c r="D205" s="25" t="str"/>
      <x:c r="E205" s="22" t="str">
        <x:v>M2</x:v>
      </x:c>
      <x:c r="F205" s="34" t="n">
        <x:v>5</x:v>
      </x:c>
      <x:c r="G205" s="34" t="n">
        <x:v>0</x:v>
      </x:c>
      <x:c r="H205" s="34" t="n">
        <x:v>0</x:v>
      </x:c>
      <x:c r="I205" s="34" t="n">
        <x:f>SUM(F205:H205)</x:f>
        <x:v>5</x:v>
      </x:c>
      <x:c r="J205" s="22" t="str"/>
      <x:c r="K205" s="22" t="str"/>
      <x:c r="L205" s="22" t="str"/>
      <x:c r="M205" s="22" t="str">
        <x:v>일위대가목록</x:v>
      </x:c>
      <x:c r="N205" s="37" t="n">
        <x:v>204</x:v>
      </x:c>
      <x:c r="O2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5" s="22" t="str">
        <x:v>47d79c95e2c3273f84778935276c94526e369cc1b1bc057f6b03c998f44e253f</x:v>
      </x:c>
      <x:c r="Q205" s="22" t="str">
        <x:v>=E204+F204+G204</x:v>
      </x:c>
    </x:row>
    <x:row r="206">
      <x:c r="A206" s="22" t="str">
        <x:v>복합일위대가</x:v>
      </x:c>
      <x:c r="B206" s="22" t="str">
        <x:v>448220486474E5E5829F2A85CA6DA</x:v>
      </x:c>
      <x:c r="C206" s="25" t="str">
        <x:v>Supplying and laying of 100mm (h) 15T Marble skirting.</x:v>
      </x:c>
      <x:c r="D206" s="25" t="str"/>
      <x:c r="E206" s="22" t="str">
        <x:v>M2</x:v>
      </x:c>
      <x:c r="F206" s="34" t="n">
        <x:v>4.24</x:v>
      </x:c>
      <x:c r="G206" s="34" t="n">
        <x:v>3.12</x:v>
      </x:c>
      <x:c r="H206" s="34" t="n">
        <x:v>0.03</x:v>
      </x:c>
      <x:c r="I206" s="34" t="n">
        <x:f>SUM(F206:H206)</x:f>
        <x:v>7.390000000000001</x:v>
      </x:c>
      <x:c r="J206" s="22" t="str"/>
      <x:c r="K206" s="22" t="str"/>
      <x:c r="L206" s="22" t="str"/>
      <x:c r="M206" s="22" t="str">
        <x:v>일위대가목록</x:v>
      </x:c>
      <x:c r="N206" s="37" t="n">
        <x:v>205</x:v>
      </x:c>
      <x:c r="O2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6" s="22" t="str">
        <x:v>47d79c95e2c3273f84778935276c94526e369cc1b1bc057f6b03c998f44e253f</x:v>
      </x:c>
      <x:c r="Q206" s="22" t="str">
        <x:v>=E205+F205+G205</x:v>
      </x:c>
    </x:row>
    <x:row r="207">
      <x:c r="A207" s="22" t="str">
        <x:v>복합일위대가</x:v>
      </x:c>
      <x:c r="B207" s="22" t="str">
        <x:v>448225404275053C32FA817EC0E2A</x:v>
      </x:c>
      <x:c r="C207" s="25" t="str">
        <x:v>INTERIOR FURNITURE (3840*950*1050)</x:v>
      </x:c>
      <x:c r="D207" s="25" t="str"/>
      <x:c r="E207" s="22" t="str">
        <x:v>EA</x:v>
      </x:c>
      <x:c r="F207" s="34" t="n">
        <x:v>524.57</x:v>
      </x:c>
      <x:c r="G207" s="34" t="n">
        <x:v>463.1</x:v>
      </x:c>
      <x:c r="H207" s="34" t="n">
        <x:v>10.91</x:v>
      </x:c>
      <x:c r="I207" s="34" t="n">
        <x:f>SUM(F207:H207)</x:f>
        <x:v>998.58</x:v>
      </x:c>
      <x:c r="J207" s="22" t="str"/>
      <x:c r="K207" s="22" t="str"/>
      <x:c r="L207" s="22" t="str"/>
      <x:c r="M207" s="22" t="str">
        <x:v>일위대가목록</x:v>
      </x:c>
      <x:c r="N207" s="37" t="n">
        <x:v>206</x:v>
      </x:c>
      <x:c r="O2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7" s="22" t="str">
        <x:v>47d79c95e2c3273f84778935276c94526e369cc1b1bc057f6b03c998f44e253f</x:v>
      </x:c>
      <x:c r="Q207" s="22" t="str">
        <x:v>=E206+F206+G206</x:v>
      </x:c>
    </x:row>
    <x:row r="208">
      <x:c r="A208" s="22" t="str">
        <x:v>복합일위대가</x:v>
      </x:c>
      <x:c r="B208" s="22" t="str">
        <x:v>448225404275053C32FA817EC0F31</x:v>
      </x:c>
      <x:c r="C208" s="25" t="str">
        <x:v>INTERIOR FURNITURE (2400*950*1050)</x:v>
      </x:c>
      <x:c r="D208" s="25" t="str"/>
      <x:c r="E208" s="22" t="str">
        <x:v>EA</x:v>
      </x:c>
      <x:c r="F208" s="34" t="n">
        <x:v>341.56</x:v>
      </x:c>
      <x:c r="G208" s="34" t="n">
        <x:v>305.3</x:v>
      </x:c>
      <x:c r="H208" s="34" t="n">
        <x:v>7.19</x:v>
      </x:c>
      <x:c r="I208" s="34" t="n">
        <x:f>SUM(F208:H208)</x:f>
        <x:v>654.0500000000001</x:v>
      </x:c>
      <x:c r="J208" s="22" t="str"/>
      <x:c r="K208" s="22" t="str"/>
      <x:c r="L208" s="22" t="str"/>
      <x:c r="M208" s="22" t="str">
        <x:v>일위대가목록</x:v>
      </x:c>
      <x:c r="N208" s="37" t="n">
        <x:v>207</x:v>
      </x:c>
      <x:c r="O2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8" s="22" t="str">
        <x:v>47d79c95e2c3273f84778935276c94526e369cc1b1bc057f6b03c998f44e253f</x:v>
      </x:c>
      <x:c r="Q208" s="22" t="str">
        <x:v>=E207+F207+G207</x:v>
      </x:c>
    </x:row>
    <x:row r="209">
      <x:c r="A209" s="22" t="str">
        <x:v>복합일위대가</x:v>
      </x:c>
      <x:c r="B209" s="22" t="str">
        <x:v>448225404275053C32FA817EC0C7D</x:v>
      </x:c>
      <x:c r="C209" s="25" t="str">
        <x:v>INTERIOR FURNITURE (6400*1600*1050)</x:v>
      </x:c>
      <x:c r="D209" s="25" t="str"/>
      <x:c r="E209" s="22" t="str">
        <x:v>EA</x:v>
      </x:c>
      <x:c r="F209" s="34" t="n">
        <x:v>938.97</x:v>
      </x:c>
      <x:c r="G209" s="34" t="n">
        <x:v>877.52</x:v>
      </x:c>
      <x:c r="H209" s="34" t="n">
        <x:v>20.37</x:v>
      </x:c>
      <x:c r="I209" s="34" t="n">
        <x:f>SUM(F209:H209)</x:f>
        <x:v>1836.86</x:v>
      </x:c>
      <x:c r="J209" s="22" t="str"/>
      <x:c r="K209" s="22" t="str"/>
      <x:c r="L209" s="22" t="str"/>
      <x:c r="M209" s="22" t="str">
        <x:v>일위대가목록</x:v>
      </x:c>
      <x:c r="N209" s="37" t="n">
        <x:v>208</x:v>
      </x:c>
      <x:c r="O2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09" s="22" t="str">
        <x:v>47d79c95e2c3273f84778935276c94526e369cc1b1bc057f6b03c998f44e253f</x:v>
      </x:c>
      <x:c r="Q209" s="22" t="str">
        <x:v>=E208+F208+G208</x:v>
      </x:c>
    </x:row>
    <x:row r="210">
      <x:c r="A210" s="22" t="str">
        <x:v>복합일위대가</x:v>
      </x:c>
      <x:c r="B210" s="22" t="str">
        <x:v>448225404275053C32FA817EC0D04</x:v>
      </x:c>
      <x:c r="C210" s="25" t="str">
        <x:v>INTERIOR FURNITURE (4700*800*1050)</x:v>
      </x:c>
      <x:c r="D210" s="25" t="str"/>
      <x:c r="E210" s="22" t="str">
        <x:v>EA</x:v>
      </x:c>
      <x:c r="F210" s="34" t="n">
        <x:v>699.2</x:v>
      </x:c>
      <x:c r="G210" s="34" t="n">
        <x:v>655.62</x:v>
      </x:c>
      <x:c r="H210" s="34" t="n">
        <x:v>15.21</x:v>
      </x:c>
      <x:c r="I210" s="34" t="n">
        <x:f>SUM(F210:H210)</x:f>
        <x:v>1370.0300000000002</x:v>
      </x:c>
      <x:c r="J210" s="22" t="str"/>
      <x:c r="K210" s="22" t="str"/>
      <x:c r="L210" s="22" t="str"/>
      <x:c r="M210" s="22" t="str">
        <x:v>일위대가목록</x:v>
      </x:c>
      <x:c r="N210" s="37" t="n">
        <x:v>209</x:v>
      </x:c>
      <x:c r="O2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0" s="22" t="str">
        <x:v>47d79c95e2c3273f84778935276c94526e369cc1b1bc057f6b03c998f44e253f</x:v>
      </x:c>
      <x:c r="Q210" s="22" t="str">
        <x:v>=E209+F209+G209</x:v>
      </x:c>
    </x:row>
    <x:row r="211">
      <x:c r="A211" s="22" t="str">
        <x:v>복합일위대가</x:v>
      </x:c>
      <x:c r="B211" s="22" t="str">
        <x:v>448225404275053C32FA817EC0B56</x:v>
      </x:c>
      <x:c r="C211" s="25" t="str">
        <x:v>INTERIOR FURNITURE (3600*800*1050)</x:v>
      </x:c>
      <x:c r="D211" s="25" t="str"/>
      <x:c r="E211" s="22" t="str">
        <x:v>EA</x:v>
      </x:c>
      <x:c r="F211" s="34" t="n">
        <x:v>531.8</x:v>
      </x:c>
      <x:c r="G211" s="34" t="n">
        <x:v>471.06</x:v>
      </x:c>
      <x:c r="H211" s="34" t="n">
        <x:v>11.19</x:v>
      </x:c>
      <x:c r="I211" s="34" t="n">
        <x:f>SUM(F211:H211)</x:f>
        <x:v>1014.05</x:v>
      </x:c>
      <x:c r="J211" s="22" t="str"/>
      <x:c r="K211" s="22" t="str"/>
      <x:c r="L211" s="22" t="str"/>
      <x:c r="M211" s="22" t="str">
        <x:v>일위대가목록</x:v>
      </x:c>
      <x:c r="N211" s="37" t="n">
        <x:v>210</x:v>
      </x:c>
      <x:c r="O2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1" s="22" t="str">
        <x:v>47d79c95e2c3273f84778935276c94526e369cc1b1bc057f6b03c998f44e253f</x:v>
      </x:c>
      <x:c r="Q211" s="22" t="str">
        <x:v>=E210+F210+G210</x:v>
      </x:c>
    </x:row>
    <x:row r="212">
      <x:c r="A212" s="22" t="str">
        <x:v>복합일위대가</x:v>
      </x:c>
      <x:c r="B212" s="22" t="str">
        <x:v>448225404275053C32FA817EC09A9</x:v>
      </x:c>
      <x:c r="C212" s="25" t="str">
        <x:v>Disinfection and Preparation(1600-650-850)</x:v>
      </x:c>
      <x:c r="D212" s="25" t="str"/>
      <x:c r="E212" s="22" t="str">
        <x:v>EA</x:v>
      </x:c>
      <x:c r="F212" s="34" t="n">
        <x:v>798.35</x:v>
      </x:c>
      <x:c r="G212" s="34" t="n">
        <x:v>0</x:v>
      </x:c>
      <x:c r="H212" s="34" t="n">
        <x:v>0</x:v>
      </x:c>
      <x:c r="I212" s="34" t="n">
        <x:f>SUM(F212:H212)</x:f>
        <x:v>798.35</x:v>
      </x:c>
      <x:c r="J212" s="22" t="str"/>
      <x:c r="K212" s="22" t="str"/>
      <x:c r="L212" s="22" t="str"/>
      <x:c r="M212" s="22" t="str">
        <x:v>일위대가목록</x:v>
      </x:c>
      <x:c r="N212" s="37" t="n">
        <x:v>211</x:v>
      </x:c>
      <x:c r="O2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2" s="22" t="str">
        <x:v>47d79c95e2c3273f84778935276c94526e369cc1b1bc057f6b03c998f44e253f</x:v>
      </x:c>
      <x:c r="Q212" s="22" t="str">
        <x:v>=E211+F211+G211</x:v>
      </x:c>
    </x:row>
    <x:row r="213">
      <x:c r="A213" s="22" t="str">
        <x:v>복합일위대가</x:v>
      </x:c>
      <x:c r="B213" s="22" t="str">
        <x:v>448220489177BDAF02D618D746141</x:v>
      </x:c>
      <x:c r="C213" s="25" t="str">
        <x:v>HR-1</x:v>
      </x:c>
      <x:c r="D213" s="25" t="str">
        <x:v>Double row install,H:150mm x Thk1.2mm steel plate,Vinyl cover, wall side</x:v>
      </x:c>
      <x:c r="E213" s="22" t="str">
        <x:v>m</x:v>
      </x:c>
      <x:c r="F213" s="34" t="n">
        <x:v>50.51</x:v>
      </x:c>
      <x:c r="G213" s="34" t="n">
        <x:v>6.03</x:v>
      </x:c>
      <x:c r="H213" s="34" t="n">
        <x:v>3.34</x:v>
      </x:c>
      <x:c r="I213" s="34" t="n">
        <x:f>SUM(F213:H213)</x:f>
        <x:v>59.879999999999995</x:v>
      </x:c>
      <x:c r="J213" s="22" t="str"/>
      <x:c r="K213" s="22" t="str"/>
      <x:c r="L213" s="22" t="str"/>
      <x:c r="M213" s="22" t="str">
        <x:v>일위대가목록</x:v>
      </x:c>
      <x:c r="N213" s="37" t="n">
        <x:v>212</x:v>
      </x:c>
      <x:c r="O2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3" s="22" t="str">
        <x:v>47d79c95e2c3273f84778935276c94526e369cc1b1bc057f6b03c998f44e253f</x:v>
      </x:c>
      <x:c r="Q213" s="22" t="str">
        <x:v>=E212+F212+G212</x:v>
      </x:c>
    </x:row>
    <x:row r="214">
      <x:c r="A214" s="22" t="str">
        <x:v>복합일위대가</x:v>
      </x:c>
      <x:c r="B214" s="22" t="str">
        <x:v>448220489177BDAF02D618D746268</x:v>
      </x:c>
      <x:c r="C214" s="25" t="str">
        <x:v>HR-1+BG-2</x:v>
      </x:c>
      <x:c r="D214" s="25" t="str">
        <x:v>Double row install,H:150mm x Thk1.2mm steel plate,Vinyl cover, wall side, Bumper railing</x:v>
      </x:c>
      <x:c r="E214" s="22" t="str">
        <x:v>m</x:v>
      </x:c>
      <x:c r="F214" s="34" t="n">
        <x:v>87.17</x:v>
      </x:c>
      <x:c r="G214" s="34" t="n">
        <x:v>8.75</x:v>
      </x:c>
      <x:c r="H214" s="34" t="n">
        <x:v>5.54</x:v>
      </x:c>
      <x:c r="I214" s="34" t="n">
        <x:f>SUM(F214:H214)</x:f>
        <x:v>101.46000000000001</x:v>
      </x:c>
      <x:c r="J214" s="22" t="str"/>
      <x:c r="K214" s="22" t="str"/>
      <x:c r="L214" s="22" t="str"/>
      <x:c r="M214" s="22" t="str">
        <x:v>일위대가목록</x:v>
      </x:c>
      <x:c r="N214" s="37" t="n">
        <x:v>213</x:v>
      </x:c>
      <x:c r="O2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4" s="22" t="str">
        <x:v>47d79c95e2c3273f84778935276c94526e369cc1b1bc057f6b03c998f44e253f</x:v>
      </x:c>
      <x:c r="Q214" s="22" t="str">
        <x:v>=E213+F213+G213</x:v>
      </x:c>
    </x:row>
    <x:row r="215">
      <x:c r="A215" s="22" t="str">
        <x:v>복합일위대가</x:v>
      </x:c>
      <x:c r="B215" s="22" t="str">
        <x:v>448220489177BDAF02D618D74630F</x:v>
      </x:c>
      <x:c r="C215" s="25" t="str">
        <x:v>BG-1+BG-2</x:v>
      </x:c>
      <x:c r="D215" s="25" t="str">
        <x:v>Bumper railings  including necessary bracing and fixing to concrete or masonry; wall side</x:v>
      </x:c>
      <x:c r="E215" s="22" t="str">
        <x:v>m</x:v>
      </x:c>
      <x:c r="F215" s="34" t="n">
        <x:v>73.32</x:v>
      </x:c>
      <x:c r="G215" s="34" t="n">
        <x:v>5.43</x:v>
      </x:c>
      <x:c r="H215" s="34" t="n">
        <x:v>4.4</x:v>
      </x:c>
      <x:c r="I215" s="34" t="n">
        <x:f>SUM(F215:H215)</x:f>
        <x:v>83.15</x:v>
      </x:c>
      <x:c r="J215" s="22" t="str"/>
      <x:c r="K215" s="22" t="str"/>
      <x:c r="L215" s="22" t="str"/>
      <x:c r="M215" s="22" t="str">
        <x:v>일위대가목록</x:v>
      </x:c>
      <x:c r="N215" s="37" t="n">
        <x:v>214</x:v>
      </x:c>
      <x:c r="O2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5" s="22" t="str">
        <x:v>47d79c95e2c3273f84778935276c94526e369cc1b1bc057f6b03c998f44e253f</x:v>
      </x:c>
      <x:c r="Q215" s="22" t="str">
        <x:v>=E214+F214+G214</x:v>
      </x:c>
    </x:row>
    <x:row r="216">
      <x:c r="A216" s="22" t="str">
        <x:v>복합일위대가</x:v>
      </x:c>
      <x:c r="B216" s="22" t="str">
        <x:v>448220489177BDAF02D618D746415</x:v>
      </x:c>
      <x:c r="C216" s="25" t="str">
        <x:v>BG-3</x:v>
      </x:c>
      <x:c r="D216" s="25" t="str">
        <x:v>Bed stopper,H:150mm x Thk1.2mm steel plate,Vinyl cover</x:v>
      </x:c>
      <x:c r="E216" s="22" t="str">
        <x:v>no</x:v>
      </x:c>
      <x:c r="F216" s="34" t="n">
        <x:v>36.66</x:v>
      </x:c>
      <x:c r="G216" s="34" t="n">
        <x:v>2.72</x:v>
      </x:c>
      <x:c r="H216" s="34" t="n">
        <x:v>2.2</x:v>
      </x:c>
      <x:c r="I216" s="34" t="n">
        <x:f>SUM(F216:H216)</x:f>
        <x:v>41.58</x:v>
      </x:c>
      <x:c r="J216" s="22" t="str"/>
      <x:c r="K216" s="22" t="str"/>
      <x:c r="L216" s="22" t="str"/>
      <x:c r="M216" s="22" t="str">
        <x:v>일위대가목록</x:v>
      </x:c>
      <x:c r="N216" s="37" t="n">
        <x:v>215</x:v>
      </x:c>
      <x:c r="O2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6" s="22" t="str">
        <x:v>47d79c95e2c3273f84778935276c94526e369cc1b1bc057f6b03c998f44e253f</x:v>
      </x:c>
      <x:c r="Q216" s="22" t="str">
        <x:v>=E215+F215+G215</x:v>
      </x:c>
    </x:row>
    <x:row r="217">
      <x:c r="A217" s="22" t="str">
        <x:v>복합일위대가</x:v>
      </x:c>
      <x:c r="B217" s="22" t="str">
        <x:v>448220489177BDAF02D618D74653C</x:v>
      </x:c>
      <x:c r="C217" s="25" t="str">
        <x:v>CG-1</x:v>
      </x:c>
      <x:c r="D217" s="25" t="str">
        <x:v>Conner guard,,H:1200mm,Self-tapping screws + Continuous aluminum retainer,Vinyl cover</x:v>
      </x:c>
      <x:c r="E217" s="22" t="str">
        <x:v>no</x:v>
      </x:c>
      <x:c r="F217" s="34" t="n">
        <x:v>26.4</x:v>
      </x:c>
      <x:c r="G217" s="34" t="n">
        <x:v>1.51</x:v>
      </x:c>
      <x:c r="H217" s="34" t="n">
        <x:v>1.55</x:v>
      </x:c>
      <x:c r="I217" s="34" t="n">
        <x:f>SUM(F217:H217)</x:f>
        <x:v>29.46</x:v>
      </x:c>
      <x:c r="J217" s="22" t="str"/>
      <x:c r="K217" s="22" t="str"/>
      <x:c r="L217" s="22" t="str"/>
      <x:c r="M217" s="22" t="str">
        <x:v>일위대가목록</x:v>
      </x:c>
      <x:c r="N217" s="37" t="n">
        <x:v>216</x:v>
      </x:c>
      <x:c r="O2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7" s="22" t="str">
        <x:v>47d79c95e2c3273f84778935276c94526e369cc1b1bc057f6b03c998f44e253f</x:v>
      </x:c>
      <x:c r="Q217" s="22" t="str">
        <x:v>=E216+F216+G216</x:v>
      </x:c>
    </x:row>
    <x:row r="218">
      <x:c r="A218" s="22" t="str">
        <x:v>복합일위대가</x:v>
      </x:c>
      <x:c r="B218" s="22" t="str">
        <x:v>448220489177BDAF02D618D7466C3</x:v>
      </x:c>
      <x:c r="C218" s="25" t="str">
        <x:v>Cubical curtains rail tracks</x:v>
      </x:c>
      <x:c r="D218" s="25" t="str"/>
      <x:c r="E218" s="22" t="str">
        <x:v>m</x:v>
      </x:c>
      <x:c r="F218" s="34" t="n">
        <x:v>50</x:v>
      </x:c>
      <x:c r="G218" s="34" t="n">
        <x:v>0</x:v>
      </x:c>
      <x:c r="H218" s="34" t="n">
        <x:v>0</x:v>
      </x:c>
      <x:c r="I218" s="34" t="n">
        <x:f>SUM(F218:H218)</x:f>
        <x:v>50</x:v>
      </x:c>
      <x:c r="J218" s="22" t="str"/>
      <x:c r="K218" s="22" t="str"/>
      <x:c r="L218" s="22" t="str"/>
      <x:c r="M218" s="22" t="str">
        <x:v>일위대가목록</x:v>
      </x:c>
      <x:c r="N218" s="37" t="n">
        <x:v>217</x:v>
      </x:c>
      <x:c r="O2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8" s="22" t="str">
        <x:v>47d79c95e2c3273f84778935276c94526e369cc1b1bc057f6b03c998f44e253f</x:v>
      </x:c>
      <x:c r="Q218" s="22" t="str">
        <x:v>=E217+F217+G217</x:v>
      </x:c>
    </x:row>
    <x:row r="219">
      <x:c r="A219" s="22" t="str">
        <x:v>복합일위대가</x:v>
      </x:c>
      <x:c r="B219" s="22" t="str">
        <x:v>44822540B573CE783226E40F9A7C8</x:v>
      </x:c>
      <x:c r="C219" s="25" t="str">
        <x:v>Supply and SST Cat Ladder in Roof, 400mm x 6000mm high</x:v>
      </x:c>
      <x:c r="D219" s="25" t="str"/>
      <x:c r="E219" s="22" t="str">
        <x:v>개</x:v>
      </x:c>
      <x:c r="F219" s="34" t="n">
        <x:v>137.28</x:v>
      </x:c>
      <x:c r="G219" s="34" t="n">
        <x:v>63.66</x:v>
      </x:c>
      <x:c r="H219" s="34" t="n">
        <x:v>2.58</x:v>
      </x:c>
      <x:c r="I219" s="34" t="n">
        <x:f>SUM(F219:H219)</x:f>
        <x:v>203.52</x:v>
      </x:c>
      <x:c r="J219" s="22" t="str"/>
      <x:c r="K219" s="22" t="str"/>
      <x:c r="L219" s="22" t="str"/>
      <x:c r="M219" s="22" t="str">
        <x:v>일위대가목록</x:v>
      </x:c>
      <x:c r="N219" s="37" t="n">
        <x:v>218</x:v>
      </x:c>
      <x:c r="O2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19" s="22" t="str">
        <x:v>47d79c95e2c3273f84778935276c94526e369cc1b1bc057f6b03c998f44e253f</x:v>
      </x:c>
      <x:c r="Q219" s="22" t="str">
        <x:v>=E218+F218+G218</x:v>
      </x:c>
    </x:row>
    <x:row r="220">
      <x:c r="A220" s="22" t="str">
        <x:v>복합일위대가</x:v>
      </x:c>
      <x:c r="B220" s="22" t="str">
        <x:v>44822540E2707C9F62530C63081C7</x:v>
      </x:c>
      <x:c r="C220" s="25" t="str">
        <x:v>COVER Trench</x:v>
      </x:c>
      <x:c r="D220" s="25" t="str">
        <x:v>GALVANIZED FLAT STEEL (25X5X3)</x:v>
      </x:c>
      <x:c r="E220" s="22" t="str">
        <x:v>M</x:v>
      </x:c>
      <x:c r="F220" s="34" t="n">
        <x:v>21.04</x:v>
      </x:c>
      <x:c r="G220" s="34" t="n">
        <x:v>10.18</x:v>
      </x:c>
      <x:c r="H220" s="34" t="n">
        <x:v>0.48</x:v>
      </x:c>
      <x:c r="I220" s="34" t="n">
        <x:f>SUM(F220:H220)</x:f>
        <x:v>31.7</x:v>
      </x:c>
      <x:c r="J220" s="22" t="str"/>
      <x:c r="K220" s="22" t="str"/>
      <x:c r="L220" s="22" t="str"/>
      <x:c r="M220" s="22" t="str">
        <x:v>일위대가목록</x:v>
      </x:c>
      <x:c r="N220" s="37" t="n">
        <x:v>219</x:v>
      </x:c>
      <x:c r="O2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0" s="22" t="str">
        <x:v>47d79c95e2c3273f84778935276c94526e369cc1b1bc057f6b03c998f44e253f</x:v>
      </x:c>
      <x:c r="Q220" s="22" t="str">
        <x:v>=E219+F219+G219</x:v>
      </x:c>
    </x:row>
    <x:row r="221">
      <x:c r="A221" s="22" t="str">
        <x:v>복합일위대가</x:v>
      </x:c>
      <x:c r="B221" s="22" t="str">
        <x:v>448225404275053C32FA817E9BAEB</x:v>
      </x:c>
      <x:c r="C221" s="25" t="str">
        <x:v>THK 0.7 CORRUGATED STEEL SHEET</x:v>
      </x:c>
      <x:c r="D221" s="25" t="str"/>
      <x:c r="E221" s="22" t="str">
        <x:v>M2</x:v>
      </x:c>
      <x:c r="F221" s="34" t="n">
        <x:v>81.5</x:v>
      </x:c>
      <x:c r="G221" s="34" t="n">
        <x:v>33.99</x:v>
      </x:c>
      <x:c r="H221" s="34" t="n">
        <x:v>0.96</x:v>
      </x:c>
      <x:c r="I221" s="34" t="n">
        <x:f>SUM(F221:H221)</x:f>
        <x:v>116.45</x:v>
      </x:c>
      <x:c r="J221" s="22" t="str"/>
      <x:c r="K221" s="22" t="str"/>
      <x:c r="L221" s="22" t="str"/>
      <x:c r="M221" s="22" t="str">
        <x:v>일위대가목록</x:v>
      </x:c>
      <x:c r="N221" s="37" t="n">
        <x:v>220</x:v>
      </x:c>
      <x:c r="O2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1" s="22" t="str">
        <x:v>47d79c95e2c3273f84778935276c94526e369cc1b1bc057f6b03c998f44e253f</x:v>
      </x:c>
      <x:c r="Q221" s="22" t="str">
        <x:v>=E220+F220+G220</x:v>
      </x:c>
    </x:row>
    <x:row r="222">
      <x:c r="A222" s="22" t="str">
        <x:v>복합일위대가</x:v>
      </x:c>
      <x:c r="B222" s="22" t="str">
        <x:v>44822343A07821ACA271311F5DED0</x:v>
      </x:c>
      <x:c r="C222" s="25" t="str">
        <x:v>AG01/02. MEP BUILDING/AL.Louver</x:v>
      </x:c>
      <x:c r="D222" s="25" t="str">
        <x:v>1.900 x 2.900 = 5.510</x:v>
      </x:c>
      <x:c r="E222" s="22" t="str">
        <x:v>EA</x:v>
      </x:c>
      <x:c r="F222" s="34" t="n">
        <x:v>1019.35</x:v>
      </x:c>
      <x:c r="G222" s="34" t="n">
        <x:v>0</x:v>
      </x:c>
      <x:c r="H222" s="34" t="n">
        <x:v>0</x:v>
      </x:c>
      <x:c r="I222" s="34" t="n">
        <x:f>SUM(F222:H222)</x:f>
        <x:v>1019.35</x:v>
      </x:c>
      <x:c r="J222" s="22" t="str"/>
      <x:c r="K222" s="22" t="str"/>
      <x:c r="L222" s="22" t="str"/>
      <x:c r="M222" s="22" t="str">
        <x:v>일위대가목록</x:v>
      </x:c>
      <x:c r="N222" s="37" t="n">
        <x:v>221</x:v>
      </x:c>
      <x:c r="O2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2" s="22" t="str">
        <x:v>47d79c95e2c3273f84778935276c94526e369cc1b1bc057f6b03c998f44e253f</x:v>
      </x:c>
      <x:c r="Q222" s="22" t="str">
        <x:v>=E221+F221+G221</x:v>
      </x:c>
    </x:row>
    <x:row r="223">
      <x:c r="A223" s="22" t="str">
        <x:v>복합일위대가</x:v>
      </x:c>
      <x:c r="B223" s="22" t="str">
        <x:v>44822343A07821ACA271311F5DEDE</x:v>
      </x:c>
      <x:c r="C223" s="25" t="str">
        <x:v>AG02/02. MEP BUILDING/AL.Louver</x:v>
      </x:c>
      <x:c r="D223" s="25" t="str">
        <x:v>1.500 x 0.700 = 1.050</x:v>
      </x:c>
      <x:c r="E223" s="22" t="str">
        <x:v>EA</x:v>
      </x:c>
      <x:c r="F223" s="34" t="n">
        <x:v>194.25</x:v>
      </x:c>
      <x:c r="G223" s="34" t="n">
        <x:v>0</x:v>
      </x:c>
      <x:c r="H223" s="34" t="n">
        <x:v>0</x:v>
      </x:c>
      <x:c r="I223" s="34" t="n">
        <x:f>SUM(F223:H223)</x:f>
        <x:v>194.25</x:v>
      </x:c>
      <x:c r="J223" s="22" t="str"/>
      <x:c r="K223" s="22" t="str"/>
      <x:c r="L223" s="22" t="str"/>
      <x:c r="M223" s="22" t="str">
        <x:v>일위대가목록</x:v>
      </x:c>
      <x:c r="N223" s="37" t="n">
        <x:v>222</x:v>
      </x:c>
      <x:c r="O2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3" s="22" t="str">
        <x:v>47d79c95e2c3273f84778935276c94526e369cc1b1bc057f6b03c998f44e253f</x:v>
      </x:c>
      <x:c r="Q223" s="22" t="str">
        <x:v>=E222+F222+G222</x:v>
      </x:c>
    </x:row>
    <x:row r="224">
      <x:c r="A224" s="22" t="str">
        <x:v>복합일위대가</x:v>
      </x:c>
      <x:c r="B224" s="22" t="str">
        <x:v>44822343A07821ACA271311F5DFFF</x:v>
      </x:c>
      <x:c r="C224" s="25" t="str">
        <x:v>FSD01/02. MEP BUILDING/STL DOUBLE DOOR</x:v>
      </x:c>
      <x:c r="D224" s="25" t="str">
        <x:v>2.400 x 2.400 = 5.760</x:v>
      </x:c>
      <x:c r="E224" s="22" t="str">
        <x:v>EA</x:v>
      </x:c>
      <x:c r="F224" s="34" t="n">
        <x:v>1279.71</x:v>
      </x:c>
      <x:c r="G224" s="34" t="n">
        <x:v>64.58</x:v>
      </x:c>
      <x:c r="H224" s="34" t="n">
        <x:v>1.46</x:v>
      </x:c>
      <x:c r="I224" s="34" t="n">
        <x:f>SUM(F224:H224)</x:f>
        <x:v>1345.75</x:v>
      </x:c>
      <x:c r="J224" s="22" t="str"/>
      <x:c r="K224" s="22" t="str"/>
      <x:c r="L224" s="22" t="str"/>
      <x:c r="M224" s="22" t="str">
        <x:v>일위대가목록</x:v>
      </x:c>
      <x:c r="N224" s="37" t="n">
        <x:v>223</x:v>
      </x:c>
      <x:c r="O2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4" s="22" t="str">
        <x:v>47d79c95e2c3273f84778935276c94526e369cc1b1bc057f6b03c998f44e253f</x:v>
      </x:c>
      <x:c r="Q224" s="22" t="str">
        <x:v>=E223+F223+G223</x:v>
      </x:c>
    </x:row>
    <x:row r="225">
      <x:c r="A225" s="22" t="str">
        <x:v>복합일위대가</x:v>
      </x:c>
      <x:c r="B225" s="22" t="str">
        <x:v>44822343A07821ACA271311F5DFF9</x:v>
      </x:c>
      <x:c r="C225" s="25" t="str">
        <x:v>FSD02/02. MEP BUILDING/STL DOUBLE DOOR</x:v>
      </x:c>
      <x:c r="D225" s="25" t="str">
        <x:v>2.100 x 2.300 = 4.830</x:v>
      </x:c>
      <x:c r="E225" s="22" t="str">
        <x:v>EA</x:v>
      </x:c>
      <x:c r="F225" s="34" t="n">
        <x:v>1127.81</x:v>
      </x:c>
      <x:c r="G225" s="34" t="n">
        <x:v>64.58</x:v>
      </x:c>
      <x:c r="H225" s="34" t="n">
        <x:v>1.46</x:v>
      </x:c>
      <x:c r="I225" s="34" t="n">
        <x:f>SUM(F225:H225)</x:f>
        <x:v>1193.85</x:v>
      </x:c>
      <x:c r="J225" s="22" t="str"/>
      <x:c r="K225" s="22" t="str"/>
      <x:c r="L225" s="22" t="str"/>
      <x:c r="M225" s="22" t="str">
        <x:v>일위대가목록</x:v>
      </x:c>
      <x:c r="N225" s="37" t="n">
        <x:v>224</x:v>
      </x:c>
      <x:c r="O2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5" s="22" t="str">
        <x:v>47d79c95e2c3273f84778935276c94526e369cc1b1bc057f6b03c998f44e253f</x:v>
      </x:c>
      <x:c r="Q225" s="22" t="str">
        <x:v>=E224+F224+G224</x:v>
      </x:c>
    </x:row>
    <x:row r="226">
      <x:c r="A226" s="22" t="str">
        <x:v>복합일위대가</x:v>
      </x:c>
      <x:c r="B226" s="22" t="str">
        <x:v>44822343A07821ACA271311F5DFF7</x:v>
      </x:c>
      <x:c r="C226" s="25" t="str">
        <x:v>FSD03/02. MEP BUILDING/STL DOUBLE DOOR</x:v>
      </x:c>
      <x:c r="D226" s="25" t="str">
        <x:v>1.700 x 2.000 = 3.400</x:v>
      </x:c>
      <x:c r="E226" s="22" t="str">
        <x:v>EA</x:v>
      </x:c>
      <x:c r="F226" s="34" t="n">
        <x:v>894.24</x:v>
      </x:c>
      <x:c r="G226" s="34" t="n">
        <x:v>64.58</x:v>
      </x:c>
      <x:c r="H226" s="34" t="n">
        <x:v>1.46</x:v>
      </x:c>
      <x:c r="I226" s="34" t="n">
        <x:f>SUM(F226:H226)</x:f>
        <x:v>960.2800000000001</x:v>
      </x:c>
      <x:c r="J226" s="22" t="str"/>
      <x:c r="K226" s="22" t="str"/>
      <x:c r="L226" s="22" t="str"/>
      <x:c r="M226" s="22" t="str">
        <x:v>일위대가목록</x:v>
      </x:c>
      <x:c r="N226" s="37" t="n">
        <x:v>225</x:v>
      </x:c>
      <x:c r="O2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6" s="22" t="str">
        <x:v>47d79c95e2c3273f84778935276c94526e369cc1b1bc057f6b03c998f44e253f</x:v>
      </x:c>
      <x:c r="Q226" s="22" t="str">
        <x:v>=E225+F225+G225</x:v>
      </x:c>
    </x:row>
    <x:row r="227">
      <x:c r="A227" s="22" t="str">
        <x:v>복합일위대가</x:v>
      </x:c>
      <x:c r="B227" s="22" t="str">
        <x:v>44822343A07821ACA271311F5DFFD</x:v>
      </x:c>
      <x:c r="C227" s="25" t="str">
        <x:v>SD01/02. MEP BUILDING/STL DOUBLE DOOR</x:v>
      </x:c>
      <x:c r="D227" s="25" t="str">
        <x:v>1.800 x 2.400 = 4.320</x:v>
      </x:c>
      <x:c r="E227" s="22" t="str">
        <x:v>EA</x:v>
      </x:c>
      <x:c r="F227" s="34" t="n">
        <x:v>1044.51</x:v>
      </x:c>
      <x:c r="G227" s="34" t="n">
        <x:v>64.58</x:v>
      </x:c>
      <x:c r="H227" s="34" t="n">
        <x:v>1.46</x:v>
      </x:c>
      <x:c r="I227" s="34" t="n">
        <x:f>SUM(F227:H227)</x:f>
        <x:v>1110.55</x:v>
      </x:c>
      <x:c r="J227" s="22" t="str"/>
      <x:c r="K227" s="22" t="str"/>
      <x:c r="L227" s="22" t="str"/>
      <x:c r="M227" s="22" t="str">
        <x:v>일위대가목록</x:v>
      </x:c>
      <x:c r="N227" s="37" t="n">
        <x:v>226</x:v>
      </x:c>
      <x:c r="O2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7" s="22" t="str">
        <x:v>47d79c95e2c3273f84778935276c94526e369cc1b1bc057f6b03c998f44e253f</x:v>
      </x:c>
      <x:c r="Q227" s="22" t="str">
        <x:v>=E226+F226+G226</x:v>
      </x:c>
    </x:row>
    <x:row r="228">
      <x:c r="A228" s="22" t="str">
        <x:v>복합일위대가</x:v>
      </x:c>
      <x:c r="B228" s="22" t="str">
        <x:v>44822343A07821ACA271311F5DFFB</x:v>
      </x:c>
      <x:c r="C228" s="25" t="str">
        <x:v>SD02/02. MEP BUILDING/STL SINGLE DOOR</x:v>
      </x:c>
      <x:c r="D228" s="25" t="str">
        <x:v>1.000 x 2.200 = 2.200</x:v>
      </x:c>
      <x:c r="E228" s="22" t="str">
        <x:v>EA</x:v>
      </x:c>
      <x:c r="F228" s="34" t="n">
        <x:v>543.32</x:v>
      </x:c>
      <x:c r="G228" s="34" t="n">
        <x:v>45.46</x:v>
      </x:c>
      <x:c r="H228" s="34" t="n">
        <x:v>1.07</x:v>
      </x:c>
      <x:c r="I228" s="34" t="n">
        <x:f>SUM(F228:H228)</x:f>
        <x:v>589.8500000000001</x:v>
      </x:c>
      <x:c r="J228" s="22" t="str"/>
      <x:c r="K228" s="22" t="str"/>
      <x:c r="L228" s="22" t="str"/>
      <x:c r="M228" s="22" t="str">
        <x:v>일위대가목록</x:v>
      </x:c>
      <x:c r="N228" s="37" t="n">
        <x:v>227</x:v>
      </x:c>
      <x:c r="O2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8" s="22" t="str">
        <x:v>47d79c95e2c3273f84778935276c94526e369cc1b1bc057f6b03c998f44e253f</x:v>
      </x:c>
      <x:c r="Q228" s="22" t="str">
        <x:v>=E227+F227+G227</x:v>
      </x:c>
    </x:row>
    <x:row r="229">
      <x:c r="A229" s="22" t="str">
        <x:v>복합일위대가</x:v>
      </x:c>
      <x:c r="B229" s="22" t="str">
        <x:v>4482214ED37A290E22AE6206AED73</x:v>
      </x:c>
      <x:c r="C229" s="25" t="str">
        <x:v>Painting on plastered surfaces including Emulsion Paint as per drawing and as specified. (Plastering measured seperately</x:v>
      </x:c>
      <x:c r="D229" s="25" t="str"/>
      <x:c r="E229" s="22" t="str">
        <x:v>M2</x:v>
      </x:c>
      <x:c r="F229" s="34" t="n">
        <x:v>2</x:v>
      </x:c>
      <x:c r="G229" s="34" t="n">
        <x:v>0</x:v>
      </x:c>
      <x:c r="H229" s="34" t="n">
        <x:v>0</x:v>
      </x:c>
      <x:c r="I229" s="34" t="n">
        <x:f>SUM(F229:H229)</x:f>
        <x:v>2</x:v>
      </x:c>
      <x:c r="J229" s="22" t="str"/>
      <x:c r="K229" s="22" t="str"/>
      <x:c r="L229" s="22" t="str"/>
      <x:c r="M229" s="22" t="str">
        <x:v>일위대가목록</x:v>
      </x:c>
      <x:c r="N229" s="37" t="n">
        <x:v>228</x:v>
      </x:c>
      <x:c r="O2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29" s="22" t="str">
        <x:v>47d79c95e2c3273f84778935276c94526e369cc1b1bc057f6b03c998f44e253f</x:v>
      </x:c>
      <x:c r="Q229" s="22" t="str">
        <x:v>=E228+F228+G228</x:v>
      </x:c>
    </x:row>
    <x:row r="230">
      <x:c r="A230" s="22" t="str">
        <x:v>복합일위대가</x:v>
      </x:c>
      <x:c r="B230" s="22" t="str">
        <x:v>44822540B573CE783226E40F9A36D</x:v>
      </x:c>
      <x:c r="C230" s="25" t="str">
        <x:v>Supply and SST Cat Ladder</x:v>
      </x:c>
      <x:c r="D230" s="25" t="str">
        <x:v>400mm x 3.4m high</x:v>
      </x:c>
      <x:c r="E230" s="22" t="str">
        <x:v>EA</x:v>
      </x:c>
      <x:c r="F230" s="34" t="n">
        <x:v>77.8</x:v>
      </x:c>
      <x:c r="G230" s="34" t="n">
        <x:v>36.08</x:v>
      </x:c>
      <x:c r="H230" s="34" t="n">
        <x:v>1.47</x:v>
      </x:c>
      <x:c r="I230" s="34" t="n">
        <x:f>SUM(F230:H230)</x:f>
        <x:v>115.35</x:v>
      </x:c>
      <x:c r="J230" s="22" t="str"/>
      <x:c r="K230" s="22" t="str"/>
      <x:c r="L230" s="22" t="str"/>
      <x:c r="M230" s="22" t="str">
        <x:v>일위대가목록</x:v>
      </x:c>
      <x:c r="N230" s="37" t="n">
        <x:v>229</x:v>
      </x:c>
      <x:c r="O2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0" s="22" t="str">
        <x:v>47d79c95e2c3273f84778935276c94526e369cc1b1bc057f6b03c998f44e253f</x:v>
      </x:c>
      <x:c r="Q230" s="22" t="str">
        <x:v>=E229+F229+G229</x:v>
      </x:c>
    </x:row>
    <x:row r="231">
      <x:c r="A231" s="22" t="str">
        <x:v>복합일위대가</x:v>
      </x:c>
      <x:c r="B231" s="22" t="str">
        <x:v>44822540E277AD1B92F027796313D</x:v>
      </x:c>
      <x:c r="C231" s="25" t="str">
        <x:v>Supply and fixed of Steel cover</x:v>
      </x:c>
      <x:c r="D231" s="25" t="str">
        <x:v>T2.3 GALVANIZED IRON PLATE 1200*1200</x:v>
      </x:c>
      <x:c r="E231" s="22" t="str">
        <x:v>EA</x:v>
      </x:c>
      <x:c r="F231" s="34" t="n">
        <x:v>77.55</x:v>
      </x:c>
      <x:c r="G231" s="34" t="n">
        <x:v>151.38</x:v>
      </x:c>
      <x:c r="H231" s="34" t="n">
        <x:v>6.33</x:v>
      </x:c>
      <x:c r="I231" s="34" t="n">
        <x:f>SUM(F231:H231)</x:f>
        <x:v>235.26000000000002</x:v>
      </x:c>
      <x:c r="J231" s="22" t="str"/>
      <x:c r="K231" s="22" t="str"/>
      <x:c r="L231" s="22" t="str"/>
      <x:c r="M231" s="22" t="str">
        <x:v>일위대가목록</x:v>
      </x:c>
      <x:c r="N231" s="37" t="n">
        <x:v>230</x:v>
      </x:c>
      <x:c r="O2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1" s="22" t="str">
        <x:v>47d79c95e2c3273f84778935276c94526e369cc1b1bc057f6b03c998f44e253f</x:v>
      </x:c>
      <x:c r="Q231" s="22" t="str">
        <x:v>=E230+F230+G230</x:v>
      </x:c>
    </x:row>
    <x:row r="232">
      <x:c r="A232" s="22" t="str">
        <x:v>복합일위대가</x:v>
      </x:c>
      <x:c r="B232" s="22" t="str">
        <x:v>4482214E4D7E26CCE26EA35624855</x:v>
      </x:c>
      <x:c r="C232" s="25" t="str">
        <x:v>Steel Trowelled with TAR Epoxy coating</x:v>
      </x:c>
      <x:c r="D232" s="25" t="str">
        <x:v>CEILING</x:v>
      </x:c>
      <x:c r="E232" s="22" t="str">
        <x:v>M2</x:v>
      </x:c>
      <x:c r="F232" s="34" t="n">
        <x:v>4.25</x:v>
      </x:c>
      <x:c r="G232" s="34" t="n">
        <x:v>0</x:v>
      </x:c>
      <x:c r="H232" s="34" t="n">
        <x:v>0</x:v>
      </x:c>
      <x:c r="I232" s="34" t="n">
        <x:f>SUM(F232:H232)</x:f>
        <x:v>4.25</x:v>
      </x:c>
      <x:c r="J232" s="22" t="str"/>
      <x:c r="K232" s="22" t="str"/>
      <x:c r="L232" s="22" t="str"/>
      <x:c r="M232" s="22" t="str">
        <x:v>일위대가목록</x:v>
      </x:c>
      <x:c r="N232" s="37" t="n">
        <x:v>231</x:v>
      </x:c>
      <x:c r="O2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2" s="22" t="str">
        <x:v>47d79c95e2c3273f84778935276c94526e369cc1b1bc057f6b03c998f44e253f</x:v>
      </x:c>
      <x:c r="Q232" s="22" t="str">
        <x:v>=E231+F231+G231</x:v>
      </x:c>
    </x:row>
    <x:row r="233">
      <x:c r="A233" s="22" t="str">
        <x:v>복합일위대가</x:v>
      </x:c>
      <x:c r="B233" s="22" t="str">
        <x:v>44822540B573CE783226E40FA4DAC</x:v>
      </x:c>
      <x:c r="C233" s="25" t="str">
        <x:v>Supply and SST Cat Ladder</x:v>
      </x:c>
      <x:c r="D233" s="25" t="str">
        <x:v>400mm x 4.0m high</x:v>
      </x:c>
      <x:c r="E233" s="22" t="str">
        <x:v>EA</x:v>
      </x:c>
      <x:c r="F233" s="34" t="n">
        <x:v>91.52</x:v>
      </x:c>
      <x:c r="G233" s="34" t="n">
        <x:v>42.44</x:v>
      </x:c>
      <x:c r="H233" s="34" t="n">
        <x:v>1.72</x:v>
      </x:c>
      <x:c r="I233" s="34" t="n">
        <x:f>SUM(F233:H233)</x:f>
        <x:v>135.67999999999998</x:v>
      </x:c>
      <x:c r="J233" s="22" t="str"/>
      <x:c r="K233" s="22" t="str"/>
      <x:c r="L233" s="22" t="str"/>
      <x:c r="M233" s="22" t="str">
        <x:v>일위대가목록</x:v>
      </x:c>
      <x:c r="N233" s="37" t="n">
        <x:v>232</x:v>
      </x:c>
      <x:c r="O2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3" s="22" t="str">
        <x:v>47d79c95e2c3273f84778935276c94526e369cc1b1bc057f6b03c998f44e253f</x:v>
      </x:c>
      <x:c r="Q233" s="22" t="str">
        <x:v>=E232+F232+G232</x:v>
      </x:c>
    </x:row>
    <x:row r="234">
      <x:c r="A234" s="22" t="str">
        <x:v>복합일위대가</x:v>
      </x:c>
      <x:c r="B234" s="22" t="str">
        <x:v>44822540C77556C9128B854DD2C29</x:v>
      </x:c>
      <x:c r="C234" s="25" t="str">
        <x:v>Expansion joint, On Floor</x:v>
      </x:c>
      <x:c r="D234" s="25" t="str"/>
      <x:c r="E234" s="22" t="str">
        <x:v>M</x:v>
      </x:c>
      <x:c r="F234" s="34" t="n">
        <x:v>23.38</x:v>
      </x:c>
      <x:c r="G234" s="34" t="n">
        <x:v>13.54</x:v>
      </x:c>
      <x:c r="H234" s="34" t="n">
        <x:v>0.53</x:v>
      </x:c>
      <x:c r="I234" s="34" t="n">
        <x:f>SUM(F234:H234)</x:f>
        <x:v>37.45</x:v>
      </x:c>
      <x:c r="J234" s="22" t="str"/>
      <x:c r="K234" s="22" t="str"/>
      <x:c r="L234" s="22" t="str"/>
      <x:c r="M234" s="22" t="str">
        <x:v>일위대가목록</x:v>
      </x:c>
      <x:c r="N234" s="37" t="n">
        <x:v>233</x:v>
      </x:c>
      <x:c r="O2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4" s="22" t="str">
        <x:v>47d79c95e2c3273f84778935276c94526e369cc1b1bc057f6b03c998f44e253f</x:v>
      </x:c>
      <x:c r="Q234" s="22" t="str">
        <x:v>=E233+F233+G233</x:v>
      </x:c>
    </x:row>
    <x:row r="235">
      <x:c r="A235" s="22" t="str">
        <x:v>복합일위대가</x:v>
      </x:c>
      <x:c r="B235" s="22" t="str">
        <x:v>44822540C77556C9128B854DD2FFE</x:v>
      </x:c>
      <x:c r="C235" s="25" t="str">
        <x:v>Expansion joint, On Wall</x:v>
      </x:c>
      <x:c r="D235" s="25" t="str"/>
      <x:c r="E235" s="22" t="str">
        <x:v>M</x:v>
      </x:c>
      <x:c r="F235" s="34" t="n">
        <x:v>30.11</x:v>
      </x:c>
      <x:c r="G235" s="34" t="n">
        <x:v>18.34</x:v>
      </x:c>
      <x:c r="H235" s="34" t="n">
        <x:v>0.73</x:v>
      </x:c>
      <x:c r="I235" s="34" t="n">
        <x:f>SUM(F235:H235)</x:f>
        <x:v>49.18</x:v>
      </x:c>
      <x:c r="J235" s="22" t="str"/>
      <x:c r="K235" s="22" t="str"/>
      <x:c r="L235" s="22" t="str"/>
      <x:c r="M235" s="22" t="str">
        <x:v>일위대가목록</x:v>
      </x:c>
      <x:c r="N235" s="37" t="n">
        <x:v>234</x:v>
      </x:c>
      <x:c r="O2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5" s="22" t="str">
        <x:v>47d79c95e2c3273f84778935276c94526e369cc1b1bc057f6b03c998f44e253f</x:v>
      </x:c>
      <x:c r="Q235" s="22" t="str">
        <x:v>=E234+F234+G234</x:v>
      </x:c>
    </x:row>
    <x:row r="236">
      <x:c r="A236" s="22" t="str">
        <x:v>복합일위대가</x:v>
      </x:c>
      <x:c r="B236" s="22" t="str">
        <x:v>44822540C77556C9128B854DD2ED7</x:v>
      </x:c>
      <x:c r="C236" s="25" t="str">
        <x:v>Expansion joint, On PARAPET</x:v>
      </x:c>
      <x:c r="D236" s="25" t="str"/>
      <x:c r="E236" s="22" t="str">
        <x:v>M</x:v>
      </x:c>
      <x:c r="F236" s="34" t="n">
        <x:v>109.51</x:v>
      </x:c>
      <x:c r="G236" s="34" t="n">
        <x:v>18.04</x:v>
      </x:c>
      <x:c r="H236" s="34" t="n">
        <x:v>0.43</x:v>
      </x:c>
      <x:c r="I236" s="34" t="n">
        <x:f>SUM(F236:H236)</x:f>
        <x:v>127.98000000000002</x:v>
      </x:c>
      <x:c r="J236" s="22" t="str"/>
      <x:c r="K236" s="22" t="str"/>
      <x:c r="L236" s="22" t="str"/>
      <x:c r="M236" s="22" t="str">
        <x:v>일위대가목록</x:v>
      </x:c>
      <x:c r="N236" s="37" t="n">
        <x:v>235</x:v>
      </x:c>
      <x:c r="O2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6" s="22" t="str">
        <x:v>47d79c95e2c3273f84778935276c94526e369cc1b1bc057f6b03c998f44e253f</x:v>
      </x:c>
      <x:c r="Q236" s="22" t="str">
        <x:v>=E235+F235+G235</x:v>
      </x:c>
    </x:row>
    <x:row r="237">
      <x:c r="A237" s="22" t="str">
        <x:v>복합일위대가</x:v>
      </x:c>
      <x:c r="B237" s="22" t="str">
        <x:v>44822540C77556C9128B854DD2955</x:v>
      </x:c>
      <x:c r="C237" s="25" t="str">
        <x:v>Expansion joint, On CEILING</x:v>
      </x:c>
      <x:c r="D237" s="25" t="str"/>
      <x:c r="E237" s="22" t="str">
        <x:v>M</x:v>
      </x:c>
      <x:c r="F237" s="34" t="n">
        <x:v>25.26</x:v>
      </x:c>
      <x:c r="G237" s="34" t="n">
        <x:v>13.93</x:v>
      </x:c>
      <x:c r="H237" s="34" t="n">
        <x:v>0.61</x:v>
      </x:c>
      <x:c r="I237" s="34" t="n">
        <x:f>SUM(F237:H237)</x:f>
        <x:v>39.8</x:v>
      </x:c>
      <x:c r="J237" s="22" t="str"/>
      <x:c r="K237" s="22" t="str"/>
      <x:c r="L237" s="22" t="str"/>
      <x:c r="M237" s="22" t="str">
        <x:v>일위대가목록</x:v>
      </x:c>
      <x:c r="N237" s="37" t="n">
        <x:v>236</x:v>
      </x:c>
      <x:c r="O2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7" s="22" t="str">
        <x:v>47d79c95e2c3273f84778935276c94526e369cc1b1bc057f6b03c998f44e253f</x:v>
      </x:c>
      <x:c r="Q237" s="22" t="str">
        <x:v>=E236+F236+G236</x:v>
      </x:c>
    </x:row>
    <x:row r="238">
      <x:c r="A238" s="22" t="str">
        <x:v>복합일위대가</x:v>
      </x:c>
      <x:c r="B238" s="22" t="str">
        <x:v>453125479B7D7FE4C224BA0035A1B</x:v>
      </x:c>
      <x:c r="C238" s="25" t="str">
        <x:v>AW19/01. HOSPITAL/60*150 AL</x:v>
      </x:c>
      <x:c r="D238" s="25" t="str">
        <x:v>3.200 x 2.400 = 7.680</x:v>
      </x:c>
      <x:c r="E238" s="22" t="str">
        <x:v>EA</x:v>
      </x:c>
      <x:c r="F238" s="34" t="n">
        <x:v>1420.8</x:v>
      </x:c>
      <x:c r="G238" s="34" t="n">
        <x:v>0</x:v>
      </x:c>
      <x:c r="H238" s="34" t="n">
        <x:v>0</x:v>
      </x:c>
      <x:c r="I238" s="34" t="n">
        <x:f>SUM(F238:H238)</x:f>
        <x:v>1420.8</x:v>
      </x:c>
      <x:c r="J238" s="22" t="str"/>
      <x:c r="K238" s="22" t="str"/>
      <x:c r="L238" s="22" t="str"/>
      <x:c r="M238" s="22" t="str">
        <x:v>일위대가목록</x:v>
      </x:c>
      <x:c r="N238" s="37" t="n">
        <x:v>237</x:v>
      </x:c>
      <x:c r="O2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8" s="22" t="str">
        <x:v>47d79c95e2c3273f84778935276c94526e369cc1b1bc057f6b03c998f44e253f</x:v>
      </x:c>
      <x:c r="Q238" s="22" t="str">
        <x:v>=E237+F237+G237</x:v>
      </x:c>
    </x:row>
    <x:row r="239">
      <x:c r="A239" s="22" t="str">
        <x:v>복합일위대가</x:v>
      </x:c>
      <x:c r="B239" s="22" t="str">
        <x:v>453125479B7D7FE4C224BA0035A19</x:v>
      </x:c>
      <x:c r="C239" s="25" t="str">
        <x:v>AW19A/01. HOSPITAL/60*150 AL</x:v>
      </x:c>
      <x:c r="D239" s="25" t="str">
        <x:v>3.200 x 2.400 = 7.680</x:v>
      </x:c>
      <x:c r="E239" s="22" t="str">
        <x:v>EA</x:v>
      </x:c>
      <x:c r="F239" s="34" t="n">
        <x:v>1420.8</x:v>
      </x:c>
      <x:c r="G239" s="34" t="n">
        <x:v>0</x:v>
      </x:c>
      <x:c r="H239" s="34" t="n">
        <x:v>0</x:v>
      </x:c>
      <x:c r="I239" s="34" t="n">
        <x:f>SUM(F239:H239)</x:f>
        <x:v>1420.8</x:v>
      </x:c>
      <x:c r="J239" s="22" t="str"/>
      <x:c r="K239" s="22" t="str"/>
      <x:c r="L239" s="22" t="str"/>
      <x:c r="M239" s="22" t="str">
        <x:v>일위대가목록</x:v>
      </x:c>
      <x:c r="N239" s="37" t="n">
        <x:v>238</x:v>
      </x:c>
      <x:c r="O2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39" s="22" t="str">
        <x:v>47d79c95e2c3273f84778935276c94526e369cc1b1bc057f6b03c998f44e253f</x:v>
      </x:c>
      <x:c r="Q239" s="22" t="str">
        <x:v>=E238+F238+G238</x:v>
      </x:c>
    </x:row>
    <x:row r="240">
      <x:c r="A240" s="22" t="str">
        <x:v>복합일위대가</x:v>
      </x:c>
      <x:c r="B240" s="22" t="str">
        <x:v>453125479B7D7FE4C224BA0035A1F</x:v>
      </x:c>
      <x:c r="C240" s="25" t="str">
        <x:v>AW19B/01. HOSPITAL/60*150 AL</x:v>
      </x:c>
      <x:c r="D240" s="25" t="str">
        <x:v>3.200 x 2.400 = 7.680</x:v>
      </x:c>
      <x:c r="E240" s="22" t="str">
        <x:v>EA</x:v>
      </x:c>
      <x:c r="F240" s="34" t="n">
        <x:v>1420.8</x:v>
      </x:c>
      <x:c r="G240" s="34" t="n">
        <x:v>0</x:v>
      </x:c>
      <x:c r="H240" s="34" t="n">
        <x:v>0</x:v>
      </x:c>
      <x:c r="I240" s="34" t="n">
        <x:f>SUM(F240:H240)</x:f>
        <x:v>1420.8</x:v>
      </x:c>
      <x:c r="J240" s="22" t="str"/>
      <x:c r="K240" s="22" t="str"/>
      <x:c r="L240" s="22" t="str"/>
      <x:c r="M240" s="22" t="str">
        <x:v>일위대가목록</x:v>
      </x:c>
      <x:c r="N240" s="37" t="n">
        <x:v>239</x:v>
      </x:c>
      <x:c r="O2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0" s="22" t="str">
        <x:v>47d79c95e2c3273f84778935276c94526e369cc1b1bc057f6b03c998f44e253f</x:v>
      </x:c>
      <x:c r="Q240" s="22" t="str">
        <x:v>=E239+F239+G239</x:v>
      </x:c>
    </x:row>
    <x:row r="241">
      <x:c r="A241" s="22" t="str">
        <x:v>복합일위대가</x:v>
      </x:c>
      <x:c r="B241" s="22" t="str">
        <x:v>4482204849760A9E127F495A4C958</x:v>
      </x:c>
      <x:c r="C241" s="25" t="str">
        <x:v>석고판 설치(나사고정) - 바탕용</x:v>
      </x:c>
      <x:c r="D241" s="25" t="str">
        <x:v>벽, 2겹 붙임</x:v>
      </x:c>
      <x:c r="E241" s="22" t="str">
        <x:v>M2</x:v>
      </x:c>
      <x:c r="F241" s="34" t="n">
        <x:v>0</x:v>
      </x:c>
      <x:c r="G241" s="34" t="n">
        <x:v>4.33</x:v>
      </x:c>
      <x:c r="H241" s="34" t="n">
        <x:v>0.04</x:v>
      </x:c>
      <x:c r="I241" s="34" t="n">
        <x:f>SUM(F241:H241)</x:f>
        <x:v>4.37</x:v>
      </x:c>
      <x:c r="J241" s="22" t="str"/>
      <x:c r="K241" s="22" t="str"/>
      <x:c r="L241" s="22" t="str"/>
      <x:c r="M241" s="22" t="str">
        <x:v>일위대가목록</x:v>
      </x:c>
      <x:c r="N241" s="37" t="n">
        <x:v>240</x:v>
      </x:c>
      <x:c r="O2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1" s="22" t="str">
        <x:v>47d79c95e2c3273f84778935276c94526e369cc1b1bc057f6b03c998f44e253f</x:v>
      </x:c>
      <x:c r="Q241" s="22" t="str">
        <x:v>=E240+F240+G240</x:v>
      </x:c>
    </x:row>
    <x:row r="242">
      <x:c r="A242" s="22" t="str">
        <x:v>복합일위대가</x:v>
      </x:c>
      <x:c r="B242" s="22" t="str">
        <x:v>448226472C79915F02BD06AAE8588</x:v>
      </x:c>
      <x:c r="C242" s="25" t="str">
        <x:v>30X30 THK1.6 @450 STL PIPE</x:v>
      </x:c>
      <x:c r="D242" s="25" t="str"/>
      <x:c r="E242" s="22" t="str">
        <x:v>M2</x:v>
      </x:c>
      <x:c r="F242" s="34" t="n">
        <x:v>3.6</x:v>
      </x:c>
      <x:c r="G242" s="34" t="n">
        <x:v>3.62</x:v>
      </x:c>
      <x:c r="H242" s="34" t="n">
        <x:v>0.16</x:v>
      </x:c>
      <x:c r="I242" s="34" t="n">
        <x:f>SUM(F242:H242)</x:f>
        <x:v>7.380000000000001</x:v>
      </x:c>
      <x:c r="J242" s="22" t="str"/>
      <x:c r="K242" s="22" t="str"/>
      <x:c r="L242" s="22" t="str"/>
      <x:c r="M242" s="22" t="str">
        <x:v>일위대가목록</x:v>
      </x:c>
      <x:c r="N242" s="37" t="n">
        <x:v>241</x:v>
      </x:c>
      <x:c r="O2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2" s="22" t="str">
        <x:v>47d79c95e2c3273f84778935276c94526e369cc1b1bc057f6b03c998f44e253f</x:v>
      </x:c>
      <x:c r="Q242" s="22" t="str">
        <x:v>=E241+F241+G241</x:v>
      </x:c>
    </x:row>
    <x:row r="243">
      <x:c r="A243" s="22" t="str">
        <x:v>복합일위대가</x:v>
      </x:c>
      <x:c r="B243" s="22" t="str">
        <x:v>4482254042735867E26912B595FF2</x:v>
      </x:c>
      <x:c r="C243" s="25" t="str">
        <x:v>잡철물 제작 및 설치</x:v>
      </x:c>
      <x:c r="D243" s="25" t="str">
        <x:v>규격철물 설치, 경량철재</x:v>
      </x:c>
      <x:c r="E243" s="22" t="str">
        <x:v>kg</x:v>
      </x:c>
      <x:c r="F243" s="34" t="n">
        <x:v>0.03</x:v>
      </x:c>
      <x:c r="G243" s="34" t="n">
        <x:v>1.18</x:v>
      </x:c>
      <x:c r="H243" s="34" t="n">
        <x:v>0.05</x:v>
      </x:c>
      <x:c r="I243" s="34" t="n">
        <x:f>SUM(F243:H243)</x:f>
        <x:v>1.26</x:v>
      </x:c>
      <x:c r="J243" s="22" t="str"/>
      <x:c r="K243" s="22" t="str"/>
      <x:c r="L243" s="22" t="str"/>
      <x:c r="M243" s="22" t="str">
        <x:v>일위대가목록</x:v>
      </x:c>
      <x:c r="N243" s="37" t="n">
        <x:v>242</x:v>
      </x:c>
      <x:c r="O2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3" s="22" t="str">
        <x:v>47d79c95e2c3273f84778935276c94526e369cc1b1bc057f6b03c998f44e253f</x:v>
      </x:c>
      <x:c r="Q243" s="22" t="str">
        <x:v>=E242+F242+G242</x:v>
      </x:c>
    </x:row>
    <x:row r="244">
      <x:c r="A244" s="22" t="str">
        <x:v>복합일위대가</x:v>
      </x:c>
      <x:c r="B244" s="22" t="str">
        <x:v>4482224D7C7A0028821F232E069B7</x:v>
      </x:c>
      <x:c r="C244" s="25" t="str">
        <x:v>습식공법 - 화강석</x:v>
      </x:c>
      <x:c r="D244" s="25" t="str">
        <x:v>바닥, 자재 별도</x:v>
      </x:c>
      <x:c r="E244" s="22" t="str">
        <x:v>M2</x:v>
      </x:c>
      <x:c r="F244" s="34" t="n">
        <x:v>0</x:v>
      </x:c>
      <x:c r="G244" s="34" t="n">
        <x:v>31.19</x:v>
      </x:c>
      <x:c r="H244" s="34" t="n">
        <x:v>0.25</x:v>
      </x:c>
      <x:c r="I244" s="34" t="n">
        <x:f>SUM(F244:H244)</x:f>
        <x:v>31.44</x:v>
      </x:c>
      <x:c r="J244" s="22" t="str"/>
      <x:c r="K244" s="22" t="str"/>
      <x:c r="L244" s="22" t="str"/>
      <x:c r="M244" s="22" t="str">
        <x:v>일위대가목록</x:v>
      </x:c>
      <x:c r="N244" s="37" t="n">
        <x:v>243</x:v>
      </x:c>
      <x:c r="O2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4" s="22" t="str">
        <x:v>47d79c95e2c3273f84778935276c94526e369cc1b1bc057f6b03c998f44e253f</x:v>
      </x:c>
      <x:c r="Q244" s="22" t="str">
        <x:v>=E243+F243+G243</x:v>
      </x:c>
    </x:row>
    <x:row r="245">
      <x:c r="A245" s="22" t="str">
        <x:v>복합일위대가</x:v>
      </x:c>
      <x:c r="B245" s="22" t="str">
        <x:v>439D2A438075650262F4653EA8C281ACA2BB855</x:v>
      </x:c>
      <x:c r="C245" s="25" t="str">
        <x:v>굴삭기(무한궤도)</x:v>
      </x:c>
      <x:c r="D245" s="25" t="str">
        <x:v>0.6㎥</x:v>
      </x:c>
      <x:c r="E245" s="22" t="str">
        <x:v>HR</x:v>
      </x:c>
      <x:c r="F245" s="34" t="n">
        <x:v>11.18</x:v>
      </x:c>
      <x:c r="G245" s="34" t="n">
        <x:v>15.28</x:v>
      </x:c>
      <x:c r="H245" s="34" t="n">
        <x:v>17.89</x:v>
      </x:c>
      <x:c r="I245" s="34" t="n">
        <x:f>SUM(F245:H245)</x:f>
        <x:v>44.35</x:v>
      </x:c>
      <x:c r="J245" s="22" t="str"/>
      <x:c r="K245" s="22" t="str"/>
      <x:c r="L245" s="22" t="str"/>
      <x:c r="M245" s="22" t="str">
        <x:v>일위대가목록</x:v>
      </x:c>
      <x:c r="N245" s="37" t="n">
        <x:v>244</x:v>
      </x:c>
      <x:c r="O2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5" s="22" t="str">
        <x:v>47d79c95e2c3273f84778935276c94526e369cc1b1bc057f6b03c998f44e253f</x:v>
      </x:c>
      <x:c r="Q245" s="22" t="str">
        <x:v>=E244+F244+G244</x:v>
      </x:c>
    </x:row>
    <x:row r="246">
      <x:c r="A246" s="22" t="str">
        <x:v>복합일위대가</x:v>
      </x:c>
      <x:c r="B246" s="22" t="str">
        <x:v>439D2A438075647E522B581865348A146822AFB</x:v>
      </x:c>
      <x:c r="C246" s="25" t="str">
        <x:v>플레이트 콤팩터</x:v>
      </x:c>
      <x:c r="D246" s="25" t="str">
        <x:v>1.5ton</x:v>
      </x:c>
      <x:c r="E246" s="22" t="str">
        <x:v>HR</x:v>
      </x:c>
      <x:c r="F246" s="34" t="n">
        <x:v>1.17</x:v>
      </x:c>
      <x:c r="G246" s="34" t="n">
        <x:v>10.12</x:v>
      </x:c>
      <x:c r="H246" s="34" t="n">
        <x:v>0.48</x:v>
      </x:c>
      <x:c r="I246" s="34" t="n">
        <x:f>SUM(F246:H246)</x:f>
        <x:v>11.77</x:v>
      </x:c>
      <x:c r="J246" s="22" t="str"/>
      <x:c r="K246" s="22" t="str"/>
      <x:c r="L246" s="22" t="str"/>
      <x:c r="M246" s="22" t="str">
        <x:v>일위대가목록</x:v>
      </x:c>
      <x:c r="N246" s="37" t="n">
        <x:v>245</x:v>
      </x:c>
      <x:c r="O2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6" s="22" t="str">
        <x:v>47d79c95e2c3273f84778935276c94526e369cc1b1bc057f6b03c998f44e253f</x:v>
      </x:c>
      <x:c r="Q246" s="22" t="str">
        <x:v>=E245+F245+G245</x:v>
      </x:c>
    </x:row>
    <x:row r="247">
      <x:c r="A247" s="22" t="str">
        <x:v>복합일위대가</x:v>
      </x:c>
      <x:c r="B247" s="22" t="str">
        <x:v>44822745CD78423802EFDE40178D1</x:v>
      </x:c>
      <x:c r="C247" s="25" t="str">
        <x:v>방수층보호재 붙임</x:v>
      </x:c>
      <x:c r="D247" s="25" t="str">
        <x:v>발포 PE시트, 수직부</x:v>
      </x:c>
      <x:c r="E247" s="22" t="str">
        <x:v>M2</x:v>
      </x:c>
      <x:c r="F247" s="34" t="n">
        <x:v>0</x:v>
      </x:c>
      <x:c r="G247" s="34" t="n">
        <x:v>1.28</x:v>
      </x:c>
      <x:c r="H247" s="34" t="n">
        <x:v>0</x:v>
      </x:c>
      <x:c r="I247" s="34" t="n">
        <x:f>SUM(F247:H247)</x:f>
        <x:v>1.28</x:v>
      </x:c>
      <x:c r="J247" s="22" t="str"/>
      <x:c r="K247" s="22" t="str"/>
      <x:c r="L247" s="22" t="str"/>
      <x:c r="M247" s="22" t="str">
        <x:v>일위대가목록</x:v>
      </x:c>
      <x:c r="N247" s="37" t="n">
        <x:v>246</x:v>
      </x:c>
      <x:c r="O2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7" s="22" t="str">
        <x:v>47d79c95e2c3273f84778935276c94526e369cc1b1bc057f6b03c998f44e253f</x:v>
      </x:c>
      <x:c r="Q247" s="22" t="str">
        <x:v>=E246+F246+G246</x:v>
      </x:c>
    </x:row>
    <x:row r="248">
      <x:c r="A248" s="22" t="str">
        <x:v>복합일위대가</x:v>
      </x:c>
      <x:c r="B248" s="22" t="str">
        <x:v>44822048387F1B9E12FCF71415AC0</x:v>
      </x:c>
      <x:c r="C248" s="25" t="str">
        <x:v>암면 공간넣기</x:v>
      </x:c>
      <x:c r="D248" s="25" t="str">
        <x:v>펠트, 밀도60kg/㎥, 50mm</x:v>
      </x:c>
      <x:c r="E248" s="22" t="str">
        <x:v>M2</x:v>
      </x:c>
      <x:c r="F248" s="34" t="n">
        <x:v>3.92</x:v>
      </x:c>
      <x:c r="G248" s="34" t="n">
        <x:v>1.97</x:v>
      </x:c>
      <x:c r="H248" s="34" t="n">
        <x:v>0</x:v>
      </x:c>
      <x:c r="I248" s="34" t="n">
        <x:f>SUM(F248:H248)</x:f>
        <x:v>5.89</x:v>
      </x:c>
      <x:c r="J248" s="22" t="str"/>
      <x:c r="K248" s="22" t="str"/>
      <x:c r="L248" s="22" t="str"/>
      <x:c r="M248" s="22" t="str">
        <x:v>일위대가목록</x:v>
      </x:c>
      <x:c r="N248" s="37" t="n">
        <x:v>247</x:v>
      </x:c>
      <x:c r="O2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8" s="22" t="str">
        <x:v>47d79c95e2c3273f84778935276c94526e369cc1b1bc057f6b03c998f44e253f</x:v>
      </x:c>
      <x:c r="Q248" s="22" t="str">
        <x:v>=E247+F247+G247</x:v>
      </x:c>
    </x:row>
    <x:row r="249">
      <x:c r="A249" s="22" t="str">
        <x:v>복합일위대가</x:v>
      </x:c>
      <x:c r="B249" s="22" t="str">
        <x:v>44822048387C4468A2D648539CA03</x:v>
      </x:c>
      <x:c r="C249" s="25" t="str">
        <x:v>단열재 공간넣기</x:v>
      </x:c>
      <x:c r="D249" s="25" t="str">
        <x:v>50mm 이하</x:v>
      </x:c>
      <x:c r="E249" s="22" t="str">
        <x:v>M2</x:v>
      </x:c>
      <x:c r="F249" s="34" t="n">
        <x:v>0</x:v>
      </x:c>
      <x:c r="G249" s="34" t="n">
        <x:v>1.97</x:v>
      </x:c>
      <x:c r="H249" s="34" t="n">
        <x:v>0</x:v>
      </x:c>
      <x:c r="I249" s="34" t="n">
        <x:f>SUM(F249:H249)</x:f>
        <x:v>1.97</x:v>
      </x:c>
      <x:c r="J249" s="22" t="str"/>
      <x:c r="K249" s="22" t="str"/>
      <x:c r="L249" s="22" t="str"/>
      <x:c r="M249" s="22" t="str">
        <x:v>일위대가목록</x:v>
      </x:c>
      <x:c r="N249" s="37" t="n">
        <x:v>248</x:v>
      </x:c>
      <x:c r="O2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49" s="22" t="str">
        <x:v>47d79c95e2c3273f84778935276c94526e369cc1b1bc057f6b03c998f44e253f</x:v>
      </x:c>
      <x:c r="Q249" s="22" t="str">
        <x:v>=E248+F248+G248</x:v>
      </x:c>
    </x:row>
    <x:row r="250">
      <x:c r="A250" s="22" t="str">
        <x:v>복합일위대가</x:v>
      </x:c>
      <x:c r="B250" s="22" t="str">
        <x:v>4482274502731FF3C29CCC2002402</x:v>
      </x:c>
      <x:c r="C250" s="25" t="str">
        <x:v>줄눈 설치</x:v>
      </x:c>
      <x:c r="D250" s="25" t="str"/>
      <x:c r="E250" s="22" t="str">
        <x:v>M</x:v>
      </x:c>
      <x:c r="F250" s="34" t="n">
        <x:v>0</x:v>
      </x:c>
      <x:c r="G250" s="34" t="n">
        <x:v>0.38</x:v>
      </x:c>
      <x:c r="H250" s="34" t="n">
        <x:v>0</x:v>
      </x:c>
      <x:c r="I250" s="34" t="n">
        <x:f>SUM(F250:H250)</x:f>
        <x:v>0.38</x:v>
      </x:c>
      <x:c r="J250" s="22" t="str"/>
      <x:c r="K250" s="22" t="str"/>
      <x:c r="L250" s="22" t="str"/>
      <x:c r="M250" s="22" t="str">
        <x:v>일위대가목록</x:v>
      </x:c>
      <x:c r="N250" s="37" t="n">
        <x:v>249</x:v>
      </x:c>
      <x:c r="O2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0" s="22" t="str">
        <x:v>47d79c95e2c3273f84778935276c94526e369cc1b1bc057f6b03c998f44e253f</x:v>
      </x:c>
      <x:c r="Q250" s="22" t="str">
        <x:v>=E249+F249+G249</x:v>
      </x:c>
    </x:row>
    <x:row r="251">
      <x:c r="A251" s="22" t="str">
        <x:v>복합일위대가</x:v>
      </x:c>
      <x:c r="B251" s="22" t="str">
        <x:v>44822442147374AA428F1E668ADC3</x:v>
      </x:c>
      <x:c r="C251" s="25" t="str">
        <x:v>루프드레인 설치</x:v>
      </x:c>
      <x:c r="D251" s="25" t="str"/>
      <x:c r="E251" s="22" t="str">
        <x:v>개소</x:v>
      </x:c>
      <x:c r="F251" s="34" t="n">
        <x:v>0</x:v>
      </x:c>
      <x:c r="G251" s="34" t="n">
        <x:v>13.76</x:v>
      </x:c>
      <x:c r="H251" s="34" t="n">
        <x:v>0</x:v>
      </x:c>
      <x:c r="I251" s="34" t="n">
        <x:f>SUM(F251:H251)</x:f>
        <x:v>13.76</x:v>
      </x:c>
      <x:c r="J251" s="22" t="str"/>
      <x:c r="K251" s="22" t="str"/>
      <x:c r="L251" s="22" t="str"/>
      <x:c r="M251" s="22" t="str">
        <x:v>일위대가목록</x:v>
      </x:c>
      <x:c r="N251" s="37" t="n">
        <x:v>250</x:v>
      </x:c>
      <x:c r="O2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1" s="22" t="str">
        <x:v>47d79c95e2c3273f84778935276c94526e369cc1b1bc057f6b03c998f44e253f</x:v>
      </x:c>
      <x:c r="Q251" s="22" t="str">
        <x:v>=E250+F250+G250</x:v>
      </x:c>
    </x:row>
    <x:row r="252">
      <x:c r="A252" s="22" t="str">
        <x:v>복합일위대가</x:v>
      </x:c>
      <x:c r="B252" s="22" t="str">
        <x:v>448224420B7AF576E21CC3C75E5E0</x:v>
      </x:c>
      <x:c r="C252" s="25" t="str">
        <x:v>금속 선홈통 설치</x:v>
      </x:c>
      <x:c r="D252" s="25" t="str">
        <x:v>150mm 이하 기준</x:v>
      </x:c>
      <x:c r="E252" s="22" t="str">
        <x:v>M</x:v>
      </x:c>
      <x:c r="F252" s="34" t="n">
        <x:v>0</x:v>
      </x:c>
      <x:c r="G252" s="34" t="n">
        <x:v>7.23</x:v>
      </x:c>
      <x:c r="H252" s="34" t="n">
        <x:v>0.13</x:v>
      </x:c>
      <x:c r="I252" s="34" t="n">
        <x:f>SUM(F252:H252)</x:f>
        <x:v>7.36</x:v>
      </x:c>
      <x:c r="J252" s="22" t="str"/>
      <x:c r="K252" s="22" t="str"/>
      <x:c r="L252" s="22" t="str"/>
      <x:c r="M252" s="22" t="str">
        <x:v>일위대가목록</x:v>
      </x:c>
      <x:c r="N252" s="37" t="n">
        <x:v>251</x:v>
      </x:c>
      <x:c r="O2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2" s="22" t="str">
        <x:v>47d79c95e2c3273f84778935276c94526e369cc1b1bc057f6b03c998f44e253f</x:v>
      </x:c>
      <x:c r="Q252" s="22" t="str">
        <x:v>=E251+F251+G251</x:v>
      </x:c>
    </x:row>
    <x:row r="253">
      <x:c r="A253" s="22" t="str">
        <x:v>복합일위대가</x:v>
      </x:c>
      <x:c r="B253" s="22" t="str">
        <x:v>4482254042735867E2589177A2478</x:v>
      </x:c>
      <x:c r="C253" s="25" t="str">
        <x:v>잡철물 제작 및 설치</x:v>
      </x:c>
      <x:c r="D253" s="25" t="str">
        <x:v>현장제작 설치, 경량철재</x:v>
      </x:c>
      <x:c r="E253" s="22" t="str">
        <x:v>kg</x:v>
      </x:c>
      <x:c r="F253" s="34" t="n">
        <x:v>0.04</x:v>
      </x:c>
      <x:c r="G253" s="34" t="n">
        <x:v>2.03</x:v>
      </x:c>
      <x:c r="H253" s="34" t="n">
        <x:v>0.08</x:v>
      </x:c>
      <x:c r="I253" s="34" t="n">
        <x:f>SUM(F253:H253)</x:f>
        <x:v>2.15</x:v>
      </x:c>
      <x:c r="J253" s="22" t="str"/>
      <x:c r="K253" s="22" t="str"/>
      <x:c r="L253" s="22" t="str"/>
      <x:c r="M253" s="22" t="str">
        <x:v>일위대가목록</x:v>
      </x:c>
      <x:c r="N253" s="37" t="n">
        <x:v>252</x:v>
      </x:c>
      <x:c r="O2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3" s="22" t="str">
        <x:v>47d79c95e2c3273f84778935276c94526e369cc1b1bc057f6b03c998f44e253f</x:v>
      </x:c>
      <x:c r="Q253" s="22" t="str">
        <x:v>=E252+F252+G252</x:v>
      </x:c>
    </x:row>
    <x:row r="254">
      <x:c r="A254" s="22" t="str">
        <x:v>복합일위대가</x:v>
      </x:c>
      <x:c r="B254" s="22" t="str">
        <x:v>4482214FD4762306E21DDA9D28AE0</x:v>
      </x:c>
      <x:c r="C254" s="25" t="str">
        <x:v>도장 후 퍼티 및 연마 재료비</x:v>
      </x:c>
      <x:c r="D254" s="25" t="str">
        <x:v>철재면(20년 품셈 기준)</x:v>
      </x:c>
      <x:c r="E254" s="22" t="str">
        <x:v>M2</x:v>
      </x:c>
      <x:c r="F254" s="34" t="n">
        <x:v>0.21</x:v>
      </x:c>
      <x:c r="G254" s="34" t="n">
        <x:v>0</x:v>
      </x:c>
      <x:c r="H254" s="34" t="n">
        <x:v>0</x:v>
      </x:c>
      <x:c r="I254" s="34" t="n">
        <x:f>SUM(F254:H254)</x:f>
        <x:v>0.21</x:v>
      </x:c>
      <x:c r="J254" s="22" t="str"/>
      <x:c r="K254" s="22" t="str"/>
      <x:c r="L254" s="22" t="str"/>
      <x:c r="M254" s="22" t="str">
        <x:v>일위대가목록</x:v>
      </x:c>
      <x:c r="N254" s="37" t="n">
        <x:v>253</x:v>
      </x:c>
      <x:c r="O2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4" s="22" t="str">
        <x:v>47d79c95e2c3273f84778935276c94526e369cc1b1bc057f6b03c998f44e253f</x:v>
      </x:c>
      <x:c r="Q254" s="22" t="str">
        <x:v>=E253+F253+G253</x:v>
      </x:c>
    </x:row>
    <x:row r="255">
      <x:c r="A255" s="22" t="str">
        <x:v>복합일위대가</x:v>
      </x:c>
      <x:c r="B255" s="22" t="str">
        <x:v>4482214FD4762306E21DC84F9F1D6</x:v>
      </x:c>
      <x:c r="C255" s="25" t="str">
        <x:v>철재면 바탕만들기</x:v>
      </x:c>
      <x:c r="D255" s="25" t="str">
        <x:v>노무비</x:v>
      </x:c>
      <x:c r="E255" s="22" t="str">
        <x:v>M2</x:v>
      </x:c>
      <x:c r="F255" s="34" t="n">
        <x:v>0.02</x:v>
      </x:c>
      <x:c r="G255" s="34" t="n">
        <x:v>0.51</x:v>
      </x:c>
      <x:c r="H255" s="34" t="n">
        <x:v>0</x:v>
      </x:c>
      <x:c r="I255" s="34" t="n">
        <x:f>SUM(F255:H255)</x:f>
        <x:v>0.53</x:v>
      </x:c>
      <x:c r="J255" s="22" t="str"/>
      <x:c r="K255" s="22" t="str"/>
      <x:c r="L255" s="22" t="str"/>
      <x:c r="M255" s="22" t="str">
        <x:v>일위대가목록</x:v>
      </x:c>
      <x:c r="N255" s="37" t="n">
        <x:v>254</x:v>
      </x:c>
      <x:c r="O2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5" s="22" t="str">
        <x:v>47d79c95e2c3273f84778935276c94526e369cc1b1bc057f6b03c998f44e253f</x:v>
      </x:c>
      <x:c r="Q255" s="22" t="str">
        <x:v>=E254+F254+G254</x:v>
      </x:c>
    </x:row>
    <x:row r="256">
      <x:c r="A256" s="22" t="str">
        <x:v>복합일위대가</x:v>
      </x:c>
      <x:c r="B256" s="22" t="str">
        <x:v>4482214ED37A290FC2AFCFACC02D0</x:v>
      </x:c>
      <x:c r="C256" s="25" t="str">
        <x:v>에나멜페인트 붓칠 재료비(20년 품셈기준)</x:v>
      </x:c>
      <x:c r="D256" s="25" t="str">
        <x:v>내부, 1회, 1급</x:v>
      </x:c>
      <x:c r="E256" s="22" t="str">
        <x:v>M2</x:v>
      </x:c>
      <x:c r="F256" s="34" t="n">
        <x:v>0.81</x:v>
      </x:c>
      <x:c r="G256" s="34" t="n">
        <x:v>0</x:v>
      </x:c>
      <x:c r="H256" s="34" t="n">
        <x:v>0</x:v>
      </x:c>
      <x:c r="I256" s="34" t="n">
        <x:f>SUM(F256:H256)</x:f>
        <x:v>0.81</x:v>
      </x:c>
      <x:c r="J256" s="22" t="str"/>
      <x:c r="K256" s="22" t="str"/>
      <x:c r="L256" s="22" t="str"/>
      <x:c r="M256" s="22" t="str">
        <x:v>일위대가목록</x:v>
      </x:c>
      <x:c r="N256" s="37" t="n">
        <x:v>255</x:v>
      </x:c>
      <x:c r="O2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6" s="22" t="str">
        <x:v>47d79c95e2c3273f84778935276c94526e369cc1b1bc057f6b03c998f44e253f</x:v>
      </x:c>
      <x:c r="Q256" s="22" t="str">
        <x:v>=E255+F255+G255</x:v>
      </x:c>
    </x:row>
    <x:row r="257">
      <x:c r="A257" s="22" t="str">
        <x:v>복합일위대가</x:v>
      </x:c>
      <x:c r="B257" s="22" t="str">
        <x:v>4482214ED37A290E221852C62097A</x:v>
      </x:c>
      <x:c r="C257" s="25" t="str">
        <x:v>수성페인트 롤러칠</x:v>
      </x:c>
      <x:c r="D257" s="25" t="str">
        <x:v>2회 노무비</x:v>
      </x:c>
      <x:c r="E257" s="22" t="str">
        <x:v>M2</x:v>
      </x:c>
      <x:c r="F257" s="34" t="n">
        <x:v>0.05</x:v>
      </x:c>
      <x:c r="G257" s="34" t="n">
        <x:v>2.02</x:v>
      </x:c>
      <x:c r="H257" s="34" t="n">
        <x:v>0</x:v>
      </x:c>
      <x:c r="I257" s="34" t="n">
        <x:f>SUM(F257:H257)</x:f>
        <x:v>2.07</x:v>
      </x:c>
      <x:c r="J257" s="22" t="str"/>
      <x:c r="K257" s="22" t="str"/>
      <x:c r="L257" s="22" t="str"/>
      <x:c r="M257" s="22" t="str">
        <x:v>일위대가목록</x:v>
      </x:c>
      <x:c r="N257" s="37" t="n">
        <x:v>256</x:v>
      </x:c>
      <x:c r="O2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7" s="22" t="str">
        <x:v>47d79c95e2c3273f84778935276c94526e369cc1b1bc057f6b03c998f44e253f</x:v>
      </x:c>
      <x:c r="Q257" s="22" t="str">
        <x:v>=E256+F256+G256</x:v>
      </x:c>
    </x:row>
    <x:row r="258">
      <x:c r="A258" s="22" t="str">
        <x:v>복합일위대가</x:v>
      </x:c>
      <x:c r="B258" s="22" t="str">
        <x:v>44822048E9778BD39245F9426F7B5</x:v>
      </x:c>
      <x:c r="C258" s="25" t="str">
        <x:v>몰딩 설치</x:v>
      </x:c>
      <x:c r="D258" s="25" t="str"/>
      <x:c r="E258" s="22" t="str">
        <x:v>M</x:v>
      </x:c>
      <x:c r="F258" s="34" t="n">
        <x:v>0</x:v>
      </x:c>
      <x:c r="G258" s="34" t="n">
        <x:v>2.57</x:v>
      </x:c>
      <x:c r="H258" s="34" t="n">
        <x:v>0</x:v>
      </x:c>
      <x:c r="I258" s="34" t="n">
        <x:f>SUM(F258:H258)</x:f>
        <x:v>2.57</x:v>
      </x:c>
      <x:c r="J258" s="22" t="str"/>
      <x:c r="K258" s="22" t="str"/>
      <x:c r="L258" s="22" t="str"/>
      <x:c r="M258" s="22" t="str">
        <x:v>일위대가목록</x:v>
      </x:c>
      <x:c r="N258" s="37" t="n">
        <x:v>257</x:v>
      </x:c>
      <x:c r="O2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8" s="22" t="str">
        <x:v>47d79c95e2c3273f84778935276c94526e369cc1b1bc057f6b03c998f44e253f</x:v>
      </x:c>
      <x:c r="Q258" s="22" t="str">
        <x:v>=E257+F257+G257</x:v>
      </x:c>
    </x:row>
    <x:row r="259">
      <x:c r="A259" s="22" t="str">
        <x:v>복합일위대가</x:v>
      </x:c>
      <x:c r="B259" s="22" t="str">
        <x:v>4482254042735867E258BC48EA472</x:v>
      </x:c>
      <x:c r="C259" s="25" t="str">
        <x:v>잡철물 제작 및 설치</x:v>
      </x:c>
      <x:c r="D259" s="25" t="str">
        <x:v>현장제작 설치, 일반철재</x:v>
      </x:c>
      <x:c r="E259" s="22" t="str">
        <x:v>kg</x:v>
      </x:c>
      <x:c r="F259" s="34" t="n">
        <x:v>0.05</x:v>
      </x:c>
      <x:c r="G259" s="34" t="n">
        <x:v>1.58</x:v>
      </x:c>
      <x:c r="H259" s="34" t="n">
        <x:v>0.08</x:v>
      </x:c>
      <x:c r="I259" s="34" t="n">
        <x:f>SUM(F259:H259)</x:f>
        <x:v>1.7100000000000002</x:v>
      </x:c>
      <x:c r="J259" s="22" t="str"/>
      <x:c r="K259" s="22" t="str"/>
      <x:c r="L259" s="22" t="str"/>
      <x:c r="M259" s="22" t="str">
        <x:v>일위대가목록</x:v>
      </x:c>
      <x:c r="N259" s="37" t="n">
        <x:v>258</x:v>
      </x:c>
      <x:c r="O2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59" s="22" t="str">
        <x:v>47d79c95e2c3273f84778935276c94526e369cc1b1bc057f6b03c998f44e253f</x:v>
      </x:c>
      <x:c r="Q259" s="22" t="str">
        <x:v>=E258+F258+G258</x:v>
      </x:c>
    </x:row>
    <x:row r="260">
      <x:c r="A260" s="22" t="str">
        <x:v>복합일위대가</x:v>
      </x:c>
      <x:c r="B260" s="22" t="str">
        <x:v>448227450276D253F2E49D1ED6B66</x:v>
      </x:c>
      <x:c r="C260" s="25" t="str">
        <x:v>수밀코킹(실리콘)</x:v>
      </x:c>
      <x:c r="D260" s="25" t="str">
        <x:v>삼각, 5mm이하, 방균용</x:v>
      </x:c>
      <x:c r="E260" s="22" t="str">
        <x:v>M</x:v>
      </x:c>
      <x:c r="F260" s="34" t="n">
        <x:v>0.21</x:v>
      </x:c>
      <x:c r="G260" s="34" t="n">
        <x:v>1.52</x:v>
      </x:c>
      <x:c r="H260" s="34" t="n">
        <x:v>0</x:v>
      </x:c>
      <x:c r="I260" s="34" t="n">
        <x:f>SUM(F260:H260)</x:f>
        <x:v>1.73</x:v>
      </x:c>
      <x:c r="J260" s="22" t="str"/>
      <x:c r="K260" s="22" t="str"/>
      <x:c r="L260" s="22" t="str"/>
      <x:c r="M260" s="22" t="str">
        <x:v>일위대가목록</x:v>
      </x:c>
      <x:c r="N260" s="37" t="n">
        <x:v>259</x:v>
      </x:c>
      <x:c r="O2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0" s="22" t="str">
        <x:v>47d79c95e2c3273f84778935276c94526e369cc1b1bc057f6b03c998f44e253f</x:v>
      </x:c>
      <x:c r="Q260" s="22" t="str">
        <x:v>=E259+F259+G259</x:v>
      </x:c>
    </x:row>
    <x:row r="261">
      <x:c r="A261" s="22" t="str">
        <x:v>복합일위대가</x:v>
      </x:c>
      <x:c r="B261" s="22" t="str">
        <x:v>448227450277FA0322A3A902939EC</x:v>
      </x:c>
      <x:c r="C261" s="25" t="str">
        <x:v>수밀코킹</x:v>
      </x:c>
      <x:c r="D261" s="25" t="str">
        <x:v>재료비 별도</x:v>
      </x:c>
      <x:c r="E261" s="22" t="str">
        <x:v>M</x:v>
      </x:c>
      <x:c r="F261" s="34" t="n">
        <x:v>0</x:v>
      </x:c>
      <x:c r="G261" s="34" t="n">
        <x:v>1.52</x:v>
      </x:c>
      <x:c r="H261" s="34" t="n">
        <x:v>0</x:v>
      </x:c>
      <x:c r="I261" s="34" t="n">
        <x:f>SUM(F261:H261)</x:f>
        <x:v>1.52</x:v>
      </x:c>
      <x:c r="J261" s="22" t="str"/>
      <x:c r="K261" s="22" t="str"/>
      <x:c r="L261" s="22" t="str"/>
      <x:c r="M261" s="22" t="str">
        <x:v>일위대가목록</x:v>
      </x:c>
      <x:c r="N261" s="37" t="n">
        <x:v>260</x:v>
      </x:c>
      <x:c r="O2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1" s="22" t="str">
        <x:v>47d79c95e2c3273f84778935276c94526e369cc1b1bc057f6b03c998f44e253f</x:v>
      </x:c>
      <x:c r="Q261" s="22" t="str">
        <x:v>=E260+F260+G260</x:v>
      </x:c>
    </x:row>
    <x:row r="262">
      <x:c r="A262" s="22" t="str">
        <x:v>복합일위대가</x:v>
      </x:c>
      <x:c r="B262" s="22" t="str">
        <x:v>44822540B573CE7832149642AC9A5</x:v>
      </x:c>
      <x:c r="C262" s="25" t="str">
        <x:v>스테인리스사다리</x:v>
      </x:c>
      <x:c r="D262" s="25" t="str">
        <x:v>W:400, D38.1+22.3*2t</x:v>
      </x:c>
      <x:c r="E262" s="22" t="str">
        <x:v>M</x:v>
      </x:c>
      <x:c r="F262" s="34" t="n">
        <x:v>22.88</x:v>
      </x:c>
      <x:c r="G262" s="34" t="n">
        <x:v>10.61</x:v>
      </x:c>
      <x:c r="H262" s="34" t="n">
        <x:v>0.43</x:v>
      </x:c>
      <x:c r="I262" s="34" t="n">
        <x:f>SUM(F262:H262)</x:f>
        <x:v>33.919999999999995</x:v>
      </x:c>
      <x:c r="J262" s="22" t="str"/>
      <x:c r="K262" s="22" t="str"/>
      <x:c r="L262" s="22" t="str"/>
      <x:c r="M262" s="22" t="str">
        <x:v>일위대가목록</x:v>
      </x:c>
      <x:c r="N262" s="37" t="n">
        <x:v>261</x:v>
      </x:c>
      <x:c r="O2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2" s="22" t="str">
        <x:v>47d79c95e2c3273f84778935276c94526e369cc1b1bc057f6b03c998f44e253f</x:v>
      </x:c>
      <x:c r="Q262" s="22" t="str">
        <x:v>=E261+F261+G261</x:v>
      </x:c>
    </x:row>
    <x:row r="263">
      <x:c r="A263" s="22" t="str">
        <x:v>복합일위대가</x:v>
      </x:c>
      <x:c r="B263" s="22" t="str">
        <x:v>44822540A47B357A92A3E56F2CEF6</x:v>
      </x:c>
      <x:c r="C263" s="25" t="str">
        <x:v>스테인리스 CAP</x:v>
      </x:c>
      <x:c r="D263" s="25" t="str">
        <x:v>D60*1.2t</x:v>
      </x:c>
      <x:c r="E263" s="22" t="str">
        <x:v>개</x:v>
      </x:c>
      <x:c r="F263" s="34" t="n">
        <x:v>0.11</x:v>
      </x:c>
      <x:c r="G263" s="34" t="n">
        <x:v>0.07</x:v>
      </x:c>
      <x:c r="H263" s="34" t="n">
        <x:v>0.01</x:v>
      </x:c>
      <x:c r="I263" s="34" t="n">
        <x:f>SUM(F263:H263)</x:f>
        <x:v>0.19</x:v>
      </x:c>
      <x:c r="J263" s="22" t="str"/>
      <x:c r="K263" s="22" t="str"/>
      <x:c r="L263" s="22" t="str"/>
      <x:c r="M263" s="22" t="str">
        <x:v>일위대가목록</x:v>
      </x:c>
      <x:c r="N263" s="37" t="n">
        <x:v>262</x:v>
      </x:c>
      <x:c r="O2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3" s="22" t="str">
        <x:v>47d79c95e2c3273f84778935276c94526e369cc1b1bc057f6b03c998f44e253f</x:v>
      </x:c>
      <x:c r="Q263" s="22" t="str">
        <x:v>=E262+F262+G262</x:v>
      </x:c>
    </x:row>
    <x:row r="264">
      <x:c r="A264" s="22" t="str">
        <x:v>복합일위대가</x:v>
      </x:c>
      <x:c r="B264" s="22" t="str">
        <x:v>44822048CE7BDDA602CD6C2EFADC1</x:v>
      </x:c>
      <x:c r="C264" s="25" t="str">
        <x:v>목재손스침</x:v>
      </x:c>
      <x:c r="D264" s="25" t="str">
        <x:v>D50</x:v>
      </x:c>
      <x:c r="E264" s="22" t="str">
        <x:v>m</x:v>
      </x:c>
      <x:c r="F264" s="34" t="n">
        <x:v>7.08</x:v>
      </x:c>
      <x:c r="G264" s="34" t="n">
        <x:v>8.17</x:v>
      </x:c>
      <x:c r="H264" s="34" t="n">
        <x:v>0</x:v>
      </x:c>
      <x:c r="I264" s="34" t="n">
        <x:f>SUM(F264:H264)</x:f>
        <x:v>15.25</x:v>
      </x:c>
      <x:c r="J264" s="22" t="str"/>
      <x:c r="K264" s="22" t="str"/>
      <x:c r="L264" s="22" t="str"/>
      <x:c r="M264" s="22" t="str">
        <x:v>일위대가목록</x:v>
      </x:c>
      <x:c r="N264" s="37" t="n">
        <x:v>263</x:v>
      </x:c>
      <x:c r="O2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4" s="22" t="str">
        <x:v>47d79c95e2c3273f84778935276c94526e369cc1b1bc057f6b03c998f44e253f</x:v>
      </x:c>
      <x:c r="Q264" s="22" t="str">
        <x:v>=E263+F263+G263</x:v>
      </x:c>
    </x:row>
    <x:row r="265">
      <x:c r="A265" s="22" t="str">
        <x:v>복합일위대가</x:v>
      </x:c>
      <x:c r="B265" s="22" t="str">
        <x:v>44822343C377C36F323EA2A338DEE</x:v>
      </x:c>
      <x:c r="C265" s="25" t="str">
        <x:v>창호유리설치 / 판유리</x:v>
      </x:c>
      <x:c r="D265" s="25" t="str">
        <x:v>유리두께 9mm 이하</x:v>
      </x:c>
      <x:c r="E265" s="22" t="str">
        <x:v>M2</x:v>
      </x:c>
      <x:c r="F265" s="34" t="n">
        <x:v>0</x:v>
      </x:c>
      <x:c r="G265" s="34" t="n">
        <x:v>7.85</x:v>
      </x:c>
      <x:c r="H265" s="34" t="n">
        <x:v>0</x:v>
      </x:c>
      <x:c r="I265" s="34" t="n">
        <x:f>SUM(F265:H265)</x:f>
        <x:v>7.85</x:v>
      </x:c>
      <x:c r="J265" s="22" t="str"/>
      <x:c r="K265" s="22" t="str"/>
      <x:c r="L265" s="22" t="str"/>
      <x:c r="M265" s="22" t="str">
        <x:v>일위대가목록</x:v>
      </x:c>
      <x:c r="N265" s="37" t="n">
        <x:v>264</x:v>
      </x:c>
      <x:c r="O2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5" s="22" t="str">
        <x:v>47d79c95e2c3273f84778935276c94526e369cc1b1bc057f6b03c998f44e253f</x:v>
      </x:c>
      <x:c r="Q265" s="22" t="str">
        <x:v>=E264+F264+G264</x:v>
      </x:c>
    </x:row>
    <x:row r="266">
      <x:c r="A266" s="22" t="str">
        <x:v>복합일위대가</x:v>
      </x:c>
      <x:c r="B266" s="22" t="str">
        <x:v>44822540A47B357A92870C23FCE77</x:v>
      </x:c>
      <x:c r="C266" s="25" t="str">
        <x:v>용접식난간 설치</x:v>
      </x:c>
      <x:c r="D266" s="25" t="str">
        <x:v>현장제작 설치, 경량철물(스테인리스)</x:v>
      </x:c>
      <x:c r="E266" s="22" t="str">
        <x:v>kg</x:v>
      </x:c>
      <x:c r="F266" s="34" t="n">
        <x:v>0.04</x:v>
      </x:c>
      <x:c r="G266" s="34" t="n">
        <x:v>2.07</x:v>
      </x:c>
      <x:c r="H266" s="34" t="n">
        <x:v>0.04</x:v>
      </x:c>
      <x:c r="I266" s="34" t="n">
        <x:f>SUM(F266:H266)</x:f>
        <x:v>2.15</x:v>
      </x:c>
      <x:c r="J266" s="22" t="str"/>
      <x:c r="K266" s="22" t="str"/>
      <x:c r="L266" s="22" t="str"/>
      <x:c r="M266" s="22" t="str">
        <x:v>일위대가목록</x:v>
      </x:c>
      <x:c r="N266" s="37" t="n">
        <x:v>265</x:v>
      </x:c>
      <x:c r="O2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6" s="22" t="str">
        <x:v>47d79c95e2c3273f84778935276c94526e369cc1b1bc057f6b03c998f44e253f</x:v>
      </x:c>
      <x:c r="Q266" s="22" t="str">
        <x:v>=E265+F265+G265</x:v>
      </x:c>
    </x:row>
    <x:row r="267">
      <x:c r="A267" s="22" t="str">
        <x:v>복합일위대가</x:v>
      </x:c>
      <x:c r="B267" s="22" t="str">
        <x:v>4482214EB07C2F9D028F3925A4192</x:v>
      </x:c>
      <x:c r="C267" s="25" t="str">
        <x:v>락카에나멜(뿜칠)</x:v>
      </x:c>
      <x:c r="D267" s="25" t="str"/>
      <x:c r="E267" s="22" t="str">
        <x:v>M2</x:v>
      </x:c>
      <x:c r="F267" s="34" t="n">
        <x:v>7.37</x:v>
      </x:c>
      <x:c r="G267" s="34" t="n">
        <x:v>6.42</x:v>
      </x:c>
      <x:c r="H267" s="34" t="n">
        <x:v>0</x:v>
      </x:c>
      <x:c r="I267" s="34" t="n">
        <x:f>SUM(F267:H267)</x:f>
        <x:v>13.79</x:v>
      </x:c>
      <x:c r="J267" s="22" t="str"/>
      <x:c r="K267" s="22" t="str"/>
      <x:c r="L267" s="22" t="str"/>
      <x:c r="M267" s="22" t="str">
        <x:v>일위대가목록</x:v>
      </x:c>
      <x:c r="N267" s="37" t="n">
        <x:v>266</x:v>
      </x:c>
      <x:c r="O2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7" s="22" t="str">
        <x:v>47d79c95e2c3273f84778935276c94526e369cc1b1bc057f6b03c998f44e253f</x:v>
      </x:c>
      <x:c r="Q267" s="22" t="str">
        <x:v>=E266+F266+G266</x:v>
      </x:c>
    </x:row>
    <x:row r="268">
      <x:c r="A268" s="22" t="str">
        <x:v>복합일위대가</x:v>
      </x:c>
      <x:c r="B268" s="22" t="str">
        <x:v>4482214ED37A290FC2AFCFACD294B</x:v>
      </x:c>
      <x:c r="C268" s="25" t="str">
        <x:v>수성페인트 붓칠</x:v>
      </x:c>
      <x:c r="D268" s="25" t="str">
        <x:v>3회 노무비</x:v>
      </x:c>
      <x:c r="E268" s="22" t="str">
        <x:v>M2</x:v>
      </x:c>
      <x:c r="F268" s="34" t="n">
        <x:v>0.11</x:v>
      </x:c>
      <x:c r="G268" s="34" t="n">
        <x:v>5.61</x:v>
      </x:c>
      <x:c r="H268" s="34" t="n">
        <x:v>0</x:v>
      </x:c>
      <x:c r="I268" s="34" t="n">
        <x:f>SUM(F268:H268)</x:f>
        <x:v>5.720000000000001</x:v>
      </x:c>
      <x:c r="J268" s="22" t="str"/>
      <x:c r="K268" s="22" t="str"/>
      <x:c r="L268" s="22" t="str"/>
      <x:c r="M268" s="22" t="str">
        <x:v>일위대가목록</x:v>
      </x:c>
      <x:c r="N268" s="37" t="n">
        <x:v>267</x:v>
      </x:c>
      <x:c r="O2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8" s="22" t="str">
        <x:v>47d79c95e2c3273f84778935276c94526e369cc1b1bc057f6b03c998f44e253f</x:v>
      </x:c>
      <x:c r="Q268" s="22" t="str">
        <x:v>=E267+F267+G267</x:v>
      </x:c>
    </x:row>
    <x:row r="269">
      <x:c r="A269" s="22" t="str">
        <x:v>복합일위대가</x:v>
      </x:c>
      <x:c r="B269" s="22" t="str">
        <x:v>4482214FD4762306E21DF5EE055C9</x:v>
      </x:c>
      <x:c r="C269" s="25" t="str">
        <x:v>콘크리트·모르타르면 바탕만들기</x:v>
      </x:c>
      <x:c r="D269" s="25" t="str">
        <x:v>노무비</x:v>
      </x:c>
      <x:c r="E269" s="22" t="str">
        <x:v>M2</x:v>
      </x:c>
      <x:c r="F269" s="34" t="n">
        <x:v>0.03</x:v>
      </x:c>
      <x:c r="G269" s="34" t="n">
        <x:v>0.81</x:v>
      </x:c>
      <x:c r="H269" s="34" t="n">
        <x:v>0</x:v>
      </x:c>
      <x:c r="I269" s="34" t="n">
        <x:f>SUM(F269:H269)</x:f>
        <x:v>0.8400000000000001</x:v>
      </x:c>
      <x:c r="J269" s="22" t="str"/>
      <x:c r="K269" s="22" t="str"/>
      <x:c r="L269" s="22" t="str"/>
      <x:c r="M269" s="22" t="str">
        <x:v>일위대가목록</x:v>
      </x:c>
      <x:c r="N269" s="37" t="n">
        <x:v>268</x:v>
      </x:c>
      <x:c r="O2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69" s="22" t="str">
        <x:v>47d79c95e2c3273f84778935276c94526e369cc1b1bc057f6b03c998f44e253f</x:v>
      </x:c>
      <x:c r="Q269" s="22" t="str">
        <x:v>=E268+F268+G268</x:v>
      </x:c>
    </x:row>
    <x:row r="270">
      <x:c r="A270" s="22" t="str">
        <x:v>복합일위대가</x:v>
      </x:c>
      <x:c r="B270" s="22" t="str">
        <x:v>448225404275053C32CD4B6BFD8E6</x:v>
      </x:c>
      <x:c r="C270" s="25" t="str">
        <x:v>ST F.B 설치</x:v>
      </x:c>
      <x:c r="D270" s="25" t="str">
        <x:v>60*12T,도장유</x:v>
      </x:c>
      <x:c r="E270" s="22" t="str">
        <x:v>M</x:v>
      </x:c>
      <x:c r="F270" s="34" t="n">
        <x:v>5.13</x:v>
      </x:c>
      <x:c r="G270" s="34" t="n">
        <x:v>9.63</x:v>
      </x:c>
      <x:c r="H270" s="34" t="n">
        <x:v>0.46</x:v>
      </x:c>
      <x:c r="I270" s="34" t="n">
        <x:f>SUM(F270:H270)</x:f>
        <x:v>15.220000000000002</x:v>
      </x:c>
      <x:c r="J270" s="22" t="str"/>
      <x:c r="K270" s="22" t="str"/>
      <x:c r="L270" s="22" t="str"/>
      <x:c r="M270" s="22" t="str">
        <x:v>일위대가목록</x:v>
      </x:c>
      <x:c r="N270" s="37" t="n">
        <x:v>269</x:v>
      </x:c>
      <x:c r="O2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0" s="22" t="str">
        <x:v>47d79c95e2c3273f84778935276c94526e369cc1b1bc057f6b03c998f44e253f</x:v>
      </x:c>
      <x:c r="Q270" s="22" t="str">
        <x:v>=E269+F269+G269</x:v>
      </x:c>
    </x:row>
    <x:row r="271">
      <x:c r="A271" s="22" t="str">
        <x:v>복합일위대가</x:v>
      </x:c>
      <x:c r="B271" s="22" t="str">
        <x:v>448225404275053C32CD4B6BFDBBB</x:v>
      </x:c>
      <x:c r="C271" s="25" t="str">
        <x:v>ST F.B 설치</x:v>
      </x:c>
      <x:c r="D271" s="25" t="str">
        <x:v>60*9T,도장유</x:v>
      </x:c>
      <x:c r="E271" s="22" t="str">
        <x:v>M</x:v>
      </x:c>
      <x:c r="F271" s="34" t="n">
        <x:v>3.9</x:v>
      </x:c>
      <x:c r="G271" s="34" t="n">
        <x:v>7.39</x:v>
      </x:c>
      <x:c r="H271" s="34" t="n">
        <x:v>0.34</x:v>
      </x:c>
      <x:c r="I271" s="34" t="n">
        <x:f>SUM(F271:H271)</x:f>
        <x:v>11.629999999999999</x:v>
      </x:c>
      <x:c r="J271" s="22" t="str"/>
      <x:c r="K271" s="22" t="str"/>
      <x:c r="L271" s="22" t="str"/>
      <x:c r="M271" s="22" t="str">
        <x:v>일위대가목록</x:v>
      </x:c>
      <x:c r="N271" s="37" t="n">
        <x:v>270</x:v>
      </x:c>
      <x:c r="O2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1" s="22" t="str">
        <x:v>47d79c95e2c3273f84778935276c94526e369cc1b1bc057f6b03c998f44e253f</x:v>
      </x:c>
      <x:c r="Q271" s="22" t="str">
        <x:v>=E270+F270+G270</x:v>
      </x:c>
    </x:row>
    <x:row r="272">
      <x:c r="A272" s="22" t="str">
        <x:v>복합일위대가</x:v>
      </x:c>
      <x:c r="B272" s="22" t="str">
        <x:v>448225404275053C32CD4B746AB6E</x:v>
      </x:c>
      <x:c r="C272" s="25" t="str">
        <x:v>베이스판설치</x:v>
      </x:c>
      <x:c r="D272" s="25" t="str">
        <x:v>100*120*10T,앙카포함</x:v>
      </x:c>
      <x:c r="E272" s="22" t="str">
        <x:v>EA</x:v>
      </x:c>
      <x:c r="F272" s="34" t="n">
        <x:v>2.39</x:v>
      </x:c>
      <x:c r="G272" s="34" t="n">
        <x:v>11.37</x:v>
      </x:c>
      <x:c r="H272" s="34" t="n">
        <x:v>0.23</x:v>
      </x:c>
      <x:c r="I272" s="34" t="n">
        <x:f>SUM(F272:H272)</x:f>
        <x:v>13.99</x:v>
      </x:c>
      <x:c r="J272" s="22" t="str"/>
      <x:c r="K272" s="22" t="str"/>
      <x:c r="L272" s="22" t="str"/>
      <x:c r="M272" s="22" t="str">
        <x:v>일위대가목록</x:v>
      </x:c>
      <x:c r="N272" s="37" t="n">
        <x:v>271</x:v>
      </x:c>
      <x:c r="O2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2" s="22" t="str">
        <x:v>47d79c95e2c3273f84778935276c94526e369cc1b1bc057f6b03c998f44e253f</x:v>
      </x:c>
      <x:c r="Q272" s="22" t="str">
        <x:v>=E271+F271+G271</x:v>
      </x:c>
    </x:row>
    <x:row r="273">
      <x:c r="A273" s="22" t="str">
        <x:v>복합일위대가</x:v>
      </x:c>
      <x:c r="B273" s="22" t="str">
        <x:v>4482214EFE784586D2E6FD9FF49E3</x:v>
      </x:c>
      <x:c r="C273" s="25" t="str">
        <x:v>녹막이 페인트칠 재료비(20년 품셈기준)</x:v>
      </x:c>
      <x:c r="D273" s="25" t="str">
        <x:v>철재면, 1회, 1종</x:v>
      </x:c>
      <x:c r="E273" s="22" t="str">
        <x:v>M2</x:v>
      </x:c>
      <x:c r="F273" s="34" t="n">
        <x:v>0.57</x:v>
      </x:c>
      <x:c r="G273" s="34" t="n">
        <x:v>0</x:v>
      </x:c>
      <x:c r="H273" s="34" t="n">
        <x:v>0</x:v>
      </x:c>
      <x:c r="I273" s="34" t="n">
        <x:f>SUM(F273:H273)</x:f>
        <x:v>0.57</x:v>
      </x:c>
      <x:c r="J273" s="22" t="str"/>
      <x:c r="K273" s="22" t="str"/>
      <x:c r="L273" s="22" t="str"/>
      <x:c r="M273" s="22" t="str">
        <x:v>일위대가목록</x:v>
      </x:c>
      <x:c r="N273" s="37" t="n">
        <x:v>272</x:v>
      </x:c>
      <x:c r="O2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3" s="22" t="str">
        <x:v>47d79c95e2c3273f84778935276c94526e369cc1b1bc057f6b03c998f44e253f</x:v>
      </x:c>
      <x:c r="Q273" s="22" t="str">
        <x:v>=E272+F272+G272</x:v>
      </x:c>
    </x:row>
    <x:row r="274">
      <x:c r="A274" s="22" t="str">
        <x:v>복합일위대가</x:v>
      </x:c>
      <x:c r="B274" s="22" t="str">
        <x:v>4482214EFE784586D2F77D0FA3781</x:v>
      </x:c>
      <x:c r="C274" s="25" t="str">
        <x:v>녹막이페인트 붓칠(재료비 미포함)</x:v>
      </x:c>
      <x:c r="D274" s="25" t="str">
        <x:v>철재면, 1회 2종</x:v>
      </x:c>
      <x:c r="E274" s="22" t="str">
        <x:v>M2</x:v>
      </x:c>
      <x:c r="F274" s="34" t="n">
        <x:v>0.03</x:v>
      </x:c>
      <x:c r="G274" s="34" t="n">
        <x:v>1.29</x:v>
      </x:c>
      <x:c r="H274" s="34" t="n">
        <x:v>0</x:v>
      </x:c>
      <x:c r="I274" s="34" t="n">
        <x:f>SUM(F274:H274)</x:f>
        <x:v>1.32</x:v>
      </x:c>
      <x:c r="J274" s="22" t="str"/>
      <x:c r="K274" s="22" t="str"/>
      <x:c r="L274" s="22" t="str"/>
      <x:c r="M274" s="22" t="str">
        <x:v>일위대가목록</x:v>
      </x:c>
      <x:c r="N274" s="37" t="n">
        <x:v>273</x:v>
      </x:c>
      <x:c r="O2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4" s="22" t="str">
        <x:v>47d79c95e2c3273f84778935276c94526e369cc1b1bc057f6b03c998f44e253f</x:v>
      </x:c>
      <x:c r="Q274" s="22" t="str">
        <x:v>=E273+F273+G273</x:v>
      </x:c>
    </x:row>
    <x:row r="275">
      <x:c r="A275" s="22" t="str">
        <x:v>복합일위대가</x:v>
      </x:c>
      <x:c r="B275" s="22" t="str">
        <x:v>4482214EC175CF8E12E9BEF3C30BC</x:v>
      </x:c>
      <x:c r="C275" s="25" t="str">
        <x:v>유성페인트 붓칠 재료비(20년 품셈기준)</x:v>
      </x:c>
      <x:c r="D275" s="25" t="str">
        <x:v>철재면, 2회, 1급</x:v>
      </x:c>
      <x:c r="E275" s="22" t="str">
        <x:v>M2</x:v>
      </x:c>
      <x:c r="F275" s="34" t="n">
        <x:v>0.83</x:v>
      </x:c>
      <x:c r="G275" s="34" t="n">
        <x:v>0</x:v>
      </x:c>
      <x:c r="H275" s="34" t="n">
        <x:v>0</x:v>
      </x:c>
      <x:c r="I275" s="34" t="n">
        <x:f>SUM(F275:H275)</x:f>
        <x:v>0.83</x:v>
      </x:c>
      <x:c r="J275" s="22" t="str"/>
      <x:c r="K275" s="22" t="str"/>
      <x:c r="L275" s="22" t="str"/>
      <x:c r="M275" s="22" t="str">
        <x:v>일위대가목록</x:v>
      </x:c>
      <x:c r="N275" s="37" t="n">
        <x:v>274</x:v>
      </x:c>
      <x:c r="O2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5" s="22" t="str">
        <x:v>47d79c95e2c3273f84778935276c94526e369cc1b1bc057f6b03c998f44e253f</x:v>
      </x:c>
      <x:c r="Q275" s="22" t="str">
        <x:v>=E274+F274+G274</x:v>
      </x:c>
    </x:row>
    <x:row r="276">
      <x:c r="A276" s="22" t="str">
        <x:v>복합일위대가</x:v>
      </x:c>
      <x:c r="B276" s="22" t="str">
        <x:v>4482214EC175CF8E12E9BEB4376D4</x:v>
      </x:c>
      <x:c r="C276" s="25" t="str">
        <x:v>유성페인트 붓칠(재료비 미포함)</x:v>
      </x:c>
      <x:c r="D276" s="25" t="str">
        <x:v>철재면, 2회 1급</x:v>
      </x:c>
      <x:c r="E276" s="22" t="str">
        <x:v>M2</x:v>
      </x:c>
      <x:c r="F276" s="34" t="n">
        <x:v>0.07</x:v>
      </x:c>
      <x:c r="G276" s="34" t="n">
        <x:v>3.44</x:v>
      </x:c>
      <x:c r="H276" s="34" t="n">
        <x:v>0</x:v>
      </x:c>
      <x:c r="I276" s="34" t="n">
        <x:f>SUM(F276:H276)</x:f>
        <x:v>3.51</x:v>
      </x:c>
      <x:c r="J276" s="22" t="str"/>
      <x:c r="K276" s="22" t="str"/>
      <x:c r="L276" s="22" t="str"/>
      <x:c r="M276" s="22" t="str">
        <x:v>일위대가목록</x:v>
      </x:c>
      <x:c r="N276" s="37" t="n">
        <x:v>275</x:v>
      </x:c>
      <x:c r="O2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6" s="22" t="str">
        <x:v>47d79c95e2c3273f84778935276c94526e369cc1b1bc057f6b03c998f44e253f</x:v>
      </x:c>
      <x:c r="Q276" s="22" t="str">
        <x:v>=E275+F275+G275</x:v>
      </x:c>
    </x:row>
    <x:row r="277">
      <x:c r="A277" s="22" t="str">
        <x:v>복합일위대가</x:v>
      </x:c>
      <x:c r="B277" s="22" t="str">
        <x:v>44822A48987FD36152FC87D9EC25B</x:v>
      </x:c>
      <x:c r="C277" s="25" t="str">
        <x:v>앵커 볼트 설치</x:v>
      </x:c>
      <x:c r="D277" s="25" t="str">
        <x:v>∮16 이하</x:v>
      </x:c>
      <x:c r="E277" s="22" t="str">
        <x:v>개</x:v>
      </x:c>
      <x:c r="F277" s="34" t="n">
        <x:v>0</x:v>
      </x:c>
      <x:c r="G277" s="34" t="n">
        <x:v>4.97</x:v>
      </x:c>
      <x:c r="H277" s="34" t="n">
        <x:v>0.08</x:v>
      </x:c>
      <x:c r="I277" s="34" t="n">
        <x:f>SUM(F277:H277)</x:f>
        <x:v>5.05</x:v>
      </x:c>
      <x:c r="J277" s="22" t="str"/>
      <x:c r="K277" s="22" t="str"/>
      <x:c r="L277" s="22" t="str"/>
      <x:c r="M277" s="22" t="str">
        <x:v>일위대가목록</x:v>
      </x:c>
      <x:c r="N277" s="37" t="n">
        <x:v>276</x:v>
      </x:c>
      <x:c r="O2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7" s="22" t="str">
        <x:v>47d79c95e2c3273f84778935276c94526e369cc1b1bc057f6b03c998f44e253f</x:v>
      </x:c>
      <x:c r="Q277" s="22" t="str">
        <x:v>=E276+F276+G276</x:v>
      </x:c>
    </x:row>
    <x:row r="278">
      <x:c r="A278" s="22" t="str">
        <x:v>복합일위대가</x:v>
      </x:c>
      <x:c r="B278" s="22" t="str">
        <x:v>4482214EFE784586D2E6E32B5EEF9</x:v>
      </x:c>
      <x:c r="C278" s="25" t="str">
        <x:v>녹막이 페인트칠</x:v>
      </x:c>
      <x:c r="D278" s="25" t="str">
        <x:v>철재면 1회 노무비</x:v>
      </x:c>
      <x:c r="E278" s="22" t="str">
        <x:v>M2</x:v>
      </x:c>
      <x:c r="F278" s="34" t="n">
        <x:v>0.03</x:v>
      </x:c>
      <x:c r="G278" s="34" t="n">
        <x:v>1.29</x:v>
      </x:c>
      <x:c r="H278" s="34" t="n">
        <x:v>0</x:v>
      </x:c>
      <x:c r="I278" s="34" t="n">
        <x:f>SUM(F278:H278)</x:f>
        <x:v>1.32</x:v>
      </x:c>
      <x:c r="J278" s="22" t="str"/>
      <x:c r="K278" s="22" t="str"/>
      <x:c r="L278" s="22" t="str"/>
      <x:c r="M278" s="22" t="str">
        <x:v>일위대가목록</x:v>
      </x:c>
      <x:c r="N278" s="37" t="n">
        <x:v>277</x:v>
      </x:c>
      <x:c r="O2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8" s="22" t="str">
        <x:v>47d79c95e2c3273f84778935276c94526e369cc1b1bc057f6b03c998f44e253f</x:v>
      </x:c>
      <x:c r="Q278" s="22" t="str">
        <x:v>=E277+F277+G277</x:v>
      </x:c>
    </x:row>
    <x:row r="279">
      <x:c r="A279" s="22" t="str">
        <x:v>복합일위대가</x:v>
      </x:c>
      <x:c r="B279" s="22" t="str">
        <x:v>4482214EC175CF8E12E9BEF3EFCC1</x:v>
      </x:c>
      <x:c r="C279" s="25" t="str">
        <x:v>유성페인트 붓칠</x:v>
      </x:c>
      <x:c r="D279" s="25" t="str">
        <x:v>철재면 2회 노무비</x:v>
      </x:c>
      <x:c r="E279" s="22" t="str">
        <x:v>M2</x:v>
      </x:c>
      <x:c r="F279" s="34" t="n">
        <x:v>0.07</x:v>
      </x:c>
      <x:c r="G279" s="34" t="n">
        <x:v>3.44</x:v>
      </x:c>
      <x:c r="H279" s="34" t="n">
        <x:v>0</x:v>
      </x:c>
      <x:c r="I279" s="34" t="n">
        <x:f>SUM(F279:H279)</x:f>
        <x:v>3.51</x:v>
      </x:c>
      <x:c r="J279" s="22" t="str"/>
      <x:c r="K279" s="22" t="str"/>
      <x:c r="L279" s="22" t="str"/>
      <x:c r="M279" s="22" t="str">
        <x:v>일위대가목록</x:v>
      </x:c>
      <x:c r="N279" s="37" t="n">
        <x:v>278</x:v>
      </x:c>
      <x:c r="O2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79" s="22" t="str">
        <x:v>47d79c95e2c3273f84778935276c94526e369cc1b1bc057f6b03c998f44e253f</x:v>
      </x:c>
      <x:c r="Q279" s="22" t="str">
        <x:v>=E278+F278+G278</x:v>
      </x:c>
    </x:row>
    <x:row r="280">
      <x:c r="A280" s="22" t="str">
        <x:v>복합일위대가</x:v>
      </x:c>
      <x:c r="B280" s="22" t="str">
        <x:v>448225404275053C32CD4B6BFDD68</x:v>
      </x:c>
      <x:c r="C280" s="25" t="str">
        <x:v>ST F.B 설치</x:v>
      </x:c>
      <x:c r="D280" s="25" t="str">
        <x:v>40*12T,도장유</x:v>
      </x:c>
      <x:c r="E280" s="22" t="str">
        <x:v>M</x:v>
      </x:c>
      <x:c r="F280" s="34" t="n">
        <x:v>2.58</x:v>
      </x:c>
      <x:c r="G280" s="34" t="n">
        <x:v>4.97</x:v>
      </x:c>
      <x:c r="H280" s="34" t="n">
        <x:v>0.23</x:v>
      </x:c>
      <x:c r="I280" s="34" t="n">
        <x:f>SUM(F280:H280)</x:f>
        <x:v>7.78</x:v>
      </x:c>
      <x:c r="J280" s="22" t="str"/>
      <x:c r="K280" s="22" t="str"/>
      <x:c r="L280" s="22" t="str"/>
      <x:c r="M280" s="22" t="str">
        <x:v>일위대가목록</x:v>
      </x:c>
      <x:c r="N280" s="37" t="n">
        <x:v>279</x:v>
      </x:c>
      <x:c r="O2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0" s="22" t="str">
        <x:v>47d79c95e2c3273f84778935276c94526e369cc1b1bc057f6b03c998f44e253f</x:v>
      </x:c>
      <x:c r="Q280" s="22" t="str">
        <x:v>=E279+F279+G279</x:v>
      </x:c>
    </x:row>
    <x:row r="281">
      <x:c r="A281" s="22" t="str">
        <x:v>복합일위대가</x:v>
      </x:c>
      <x:c r="B281" s="22" t="str">
        <x:v>448225404275053C32CD4B6BFDC41</x:v>
      </x:c>
      <x:c r="C281" s="25" t="str">
        <x:v>ST F.B 설치</x:v>
      </x:c>
      <x:c r="D281" s="25" t="str">
        <x:v>40*9T,도장유</x:v>
      </x:c>
      <x:c r="E281" s="22" t="str">
        <x:v>M</x:v>
      </x:c>
      <x:c r="F281" s="34" t="n">
        <x:v>1.99</x:v>
      </x:c>
      <x:c r="G281" s="34" t="n">
        <x:v>3.82</x:v>
      </x:c>
      <x:c r="H281" s="34" t="n">
        <x:v>0.17</x:v>
      </x:c>
      <x:c r="I281" s="34" t="n">
        <x:f>SUM(F281:H281)</x:f>
        <x:v>5.9799999999999995</x:v>
      </x:c>
      <x:c r="J281" s="22" t="str"/>
      <x:c r="K281" s="22" t="str"/>
      <x:c r="L281" s="22" t="str"/>
      <x:c r="M281" s="22" t="str">
        <x:v>일위대가목록</x:v>
      </x:c>
      <x:c r="N281" s="37" t="n">
        <x:v>280</x:v>
      </x:c>
      <x:c r="O2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1" s="22" t="str">
        <x:v>47d79c95e2c3273f84778935276c94526e369cc1b1bc057f6b03c998f44e253f</x:v>
      </x:c>
      <x:c r="Q281" s="22" t="str">
        <x:v>=E280+F280+G280</x:v>
      </x:c>
    </x:row>
    <x:row r="282">
      <x:c r="A282" s="22" t="str">
        <x:v>복합일위대가</x:v>
      </x:c>
      <x:c r="B282" s="22" t="str">
        <x:v>448225404275053C32CD4B6BFDF16</x:v>
      </x:c>
      <x:c r="C282" s="25" t="str">
        <x:v>ST F.B 설치</x:v>
      </x:c>
      <x:c r="D282" s="25" t="str">
        <x:v>30*5T,도장유</x:v>
      </x:c>
      <x:c r="E282" s="22" t="str">
        <x:v>M</x:v>
      </x:c>
      <x:c r="F282" s="34" t="n">
        <x:v>1.03</x:v>
      </x:c>
      <x:c r="G282" s="34" t="n">
        <x:v>2.15</x:v>
      </x:c>
      <x:c r="H282" s="34" t="n">
        <x:v>0.1</x:v>
      </x:c>
      <x:c r="I282" s="34" t="n">
        <x:f>SUM(F282:H282)</x:f>
        <x:v>3.28</x:v>
      </x:c>
      <x:c r="J282" s="22" t="str"/>
      <x:c r="K282" s="22" t="str"/>
      <x:c r="L282" s="22" t="str"/>
      <x:c r="M282" s="22" t="str">
        <x:v>일위대가목록</x:v>
      </x:c>
      <x:c r="N282" s="37" t="n">
        <x:v>281</x:v>
      </x:c>
      <x:c r="O2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2" s="22" t="str">
        <x:v>47d79c95e2c3273f84778935276c94526e369cc1b1bc057f6b03c998f44e253f</x:v>
      </x:c>
      <x:c r="Q282" s="22" t="str">
        <x:v>=E281+F281+G281</x:v>
      </x:c>
    </x:row>
    <x:row r="283">
      <x:c r="A283" s="22" t="str">
        <x:v>복합일위대가</x:v>
      </x:c>
      <x:c r="B283" s="22" t="str">
        <x:v>4482214EFE784586D2E6FD9FF4A8A</x:v>
      </x:c>
      <x:c r="C283" s="25" t="str">
        <x:v>녹막이 페인트칠 재료비(20년 품셈기준)</x:v>
      </x:c>
      <x:c r="D283" s="25" t="str">
        <x:v>철재면, 1회, 2종</x:v>
      </x:c>
      <x:c r="E283" s="22" t="str">
        <x:v>M2</x:v>
      </x:c>
      <x:c r="F283" s="34" t="n">
        <x:v>0.48</x:v>
      </x:c>
      <x:c r="G283" s="34" t="n">
        <x:v>0</x:v>
      </x:c>
      <x:c r="H283" s="34" t="n">
        <x:v>0</x:v>
      </x:c>
      <x:c r="I283" s="34" t="n">
        <x:f>SUM(F283:H283)</x:f>
        <x:v>0.48</x:v>
      </x:c>
      <x:c r="J283" s="22" t="str"/>
      <x:c r="K283" s="22" t="str"/>
      <x:c r="L283" s="22" t="str"/>
      <x:c r="M283" s="22" t="str">
        <x:v>일위대가목록</x:v>
      </x:c>
      <x:c r="N283" s="37" t="n">
        <x:v>282</x:v>
      </x:c>
      <x:c r="O2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3" s="22" t="str">
        <x:v>47d79c95e2c3273f84778935276c94526e369cc1b1bc057f6b03c998f44e253f</x:v>
      </x:c>
      <x:c r="Q283" s="22" t="str">
        <x:v>=E282+F282+G282</x:v>
      </x:c>
    </x:row>
    <x:row r="284">
      <x:c r="A284" s="22" t="str">
        <x:v>복합일위대가</x:v>
      </x:c>
      <x:c r="B284" s="22" t="str">
        <x:v>44822343DD798A292213C431865F0</x:v>
      </x:c>
      <x:c r="C284" s="25" t="str">
        <x:v>창호주위 발포우레탄 충전</x:v>
      </x:c>
      <x:c r="D284" s="25" t="str"/>
      <x:c r="E284" s="22" t="str">
        <x:v>M</x:v>
      </x:c>
      <x:c r="F284" s="34" t="n">
        <x:v>0</x:v>
      </x:c>
      <x:c r="G284" s="34" t="n">
        <x:v>0.8</x:v>
      </x:c>
      <x:c r="H284" s="34" t="n">
        <x:v>0</x:v>
      </x:c>
      <x:c r="I284" s="34" t="n">
        <x:f>SUM(F284:H284)</x:f>
        <x:v>0.8</x:v>
      </x:c>
      <x:c r="J284" s="22" t="str"/>
      <x:c r="K284" s="22" t="str"/>
      <x:c r="L284" s="22" t="str"/>
      <x:c r="M284" s="22" t="str">
        <x:v>일위대가목록</x:v>
      </x:c>
      <x:c r="N284" s="37" t="n">
        <x:v>283</x:v>
      </x:c>
      <x:c r="O2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4" s="22" t="str">
        <x:v>47d79c95e2c3273f84778935276c94526e369cc1b1bc057f6b03c998f44e253f</x:v>
      </x:c>
      <x:c r="Q284" s="22" t="str">
        <x:v>=E283+F283+G283</x:v>
      </x:c>
    </x:row>
    <x:row r="285">
      <x:c r="A285" s="22" t="str">
        <x:v>복합일위대가</x:v>
      </x:c>
      <x:c r="B285" s="22" t="str">
        <x:v>44822343A079C7CE52023FDF6FB6B</x:v>
      </x:c>
      <x:c r="C285" s="25" t="str">
        <x:v>강재창호 설치 / 여닫이</x:v>
      </x:c>
      <x:c r="D285" s="25" t="str">
        <x:v>창호면적 m2, 1.0 ~ 3.0 이하</x:v>
      </x:c>
      <x:c r="E285" s="22" t="str">
        <x:v>개소</x:v>
      </x:c>
      <x:c r="F285" s="34" t="n">
        <x:v>0</x:v>
      </x:c>
      <x:c r="G285" s="34" t="n">
        <x:v>37.47</x:v>
      </x:c>
      <x:c r="H285" s="34" t="n">
        <x:v>0.97</x:v>
      </x:c>
      <x:c r="I285" s="34" t="n">
        <x:f>SUM(F285:H285)</x:f>
        <x:v>38.44</x:v>
      </x:c>
      <x:c r="J285" s="22" t="str"/>
      <x:c r="K285" s="22" t="str"/>
      <x:c r="L285" s="22" t="str"/>
      <x:c r="M285" s="22" t="str">
        <x:v>일위대가목록</x:v>
      </x:c>
      <x:c r="N285" s="37" t="n">
        <x:v>284</x:v>
      </x:c>
      <x:c r="O2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5" s="22" t="str">
        <x:v>47d79c95e2c3273f84778935276c94526e369cc1b1bc057f6b03c998f44e253f</x:v>
      </x:c>
      <x:c r="Q285" s="22" t="str">
        <x:v>=E284+F284+G284</x:v>
      </x:c>
    </x:row>
    <x:row r="286">
      <x:c r="A286" s="22" t="str">
        <x:v>복합일위대가</x:v>
      </x:c>
      <x:c r="B286" s="22" t="str">
        <x:v>44822343A079C7CE52023FDF6FA45</x:v>
      </x:c>
      <x:c r="C286" s="25" t="str">
        <x:v>강재창호 설치 / 여닫이</x:v>
      </x:c>
      <x:c r="D286" s="25" t="str">
        <x:v>창호면적 m2, 3.0 ~ 6.0 이하</x:v>
      </x:c>
      <x:c r="E286" s="22" t="str">
        <x:v>개소</x:v>
      </x:c>
      <x:c r="F286" s="34" t="n">
        <x:v>0</x:v>
      </x:c>
      <x:c r="G286" s="34" t="n">
        <x:v>48.6</x:v>
      </x:c>
      <x:c r="H286" s="34" t="n">
        <x:v>1.26</x:v>
      </x:c>
      <x:c r="I286" s="34" t="n">
        <x:f>SUM(F286:H286)</x:f>
        <x:v>49.86</x:v>
      </x:c>
      <x:c r="J286" s="22" t="str"/>
      <x:c r="K286" s="22" t="str"/>
      <x:c r="L286" s="22" t="str"/>
      <x:c r="M286" s="22" t="str">
        <x:v>일위대가목록</x:v>
      </x:c>
      <x:c r="N286" s="37" t="n">
        <x:v>285</x:v>
      </x:c>
      <x:c r="O2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6" s="22" t="str">
        <x:v>47d79c95e2c3273f84778935276c94526e369cc1b1bc057f6b03c998f44e253f</x:v>
      </x:c>
      <x:c r="Q286" s="22" t="str">
        <x:v>=E285+F285+G285</x:v>
      </x:c>
    </x:row>
    <x:row r="287">
      <x:c r="A287" s="22" t="str">
        <x:v>복합일위대가</x:v>
      </x:c>
      <x:c r="B287" s="22" t="str">
        <x:v>44822048497565C702BE792A1ECD7</x:v>
      </x:c>
      <x:c r="C287" s="25" t="str">
        <x:v>벽, 코아합판붙임</x:v>
      </x:c>
      <x:c r="D287" s="25" t="str">
        <x:v>18MM*1겹</x:v>
      </x:c>
      <x:c r="E287" s="22" t="str">
        <x:v>M2</x:v>
      </x:c>
      <x:c r="F287" s="34" t="n">
        <x:v>7.05</x:v>
      </x:c>
      <x:c r="G287" s="34" t="n">
        <x:v>5.29</x:v>
      </x:c>
      <x:c r="H287" s="34" t="n">
        <x:v>0.09</x:v>
      </x:c>
      <x:c r="I287" s="34" t="n">
        <x:f>SUM(F287:H287)</x:f>
        <x:v>12.43</x:v>
      </x:c>
      <x:c r="J287" s="22" t="str"/>
      <x:c r="K287" s="22" t="str"/>
      <x:c r="L287" s="22" t="str"/>
      <x:c r="M287" s="22" t="str">
        <x:v>일위대가목록</x:v>
      </x:c>
      <x:c r="N287" s="37" t="n">
        <x:v>286</x:v>
      </x:c>
      <x:c r="O2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7" s="22" t="str">
        <x:v>47d79c95e2c3273f84778935276c94526e369cc1b1bc057f6b03c998f44e253f</x:v>
      </x:c>
      <x:c r="Q287" s="22" t="str">
        <x:v>=E286+F286+G286</x:v>
      </x:c>
    </x:row>
    <x:row r="288">
      <x:c r="A288" s="22" t="str">
        <x:v>복합일위대가</x:v>
      </x:c>
      <x:c r="B288" s="22" t="str">
        <x:v>4482204849760A9E127F495A4C95D</x:v>
      </x:c>
      <x:c r="C288" s="25" t="str">
        <x:v>석고판 설치</x:v>
      </x:c>
      <x:c r="D288" s="25" t="str">
        <x:v>벽, 2겹 붙임</x:v>
      </x:c>
      <x:c r="E288" s="22" t="str">
        <x:v>M2</x:v>
      </x:c>
      <x:c r="F288" s="34" t="n">
        <x:v>7.12</x:v>
      </x:c>
      <x:c r="G288" s="34" t="n">
        <x:v>5.34</x:v>
      </x:c>
      <x:c r="H288" s="34" t="n">
        <x:v>0.04</x:v>
      </x:c>
      <x:c r="I288" s="34" t="n">
        <x:f>SUM(F288:H288)</x:f>
        <x:v>12.5</x:v>
      </x:c>
      <x:c r="J288" s="22" t="str"/>
      <x:c r="K288" s="22" t="str"/>
      <x:c r="L288" s="22" t="str"/>
      <x:c r="M288" s="22" t="str">
        <x:v>일위대가목록</x:v>
      </x:c>
      <x:c r="N288" s="37" t="n">
        <x:v>287</x:v>
      </x:c>
      <x:c r="O2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8" s="22" t="str">
        <x:v>47d79c95e2c3273f84778935276c94526e369cc1b1bc057f6b03c998f44e253f</x:v>
      </x:c>
      <x:c r="Q288" s="22" t="str">
        <x:v>=E287+F287+G287</x:v>
      </x:c>
    </x:row>
    <x:row r="289">
      <x:c r="A289" s="22" t="str">
        <x:v>복합일위대가</x:v>
      </x:c>
      <x:c r="B289" s="22" t="str">
        <x:v>4482224D7C78509F8249A8ECF2166</x:v>
      </x:c>
      <x:c r="C289" s="25" t="str">
        <x:v>석재판붙임(앵커지지 공법, 줄눈포함)</x:v>
      </x:c>
      <x:c r="D289" s="25" t="str">
        <x:v>석재판 규격 0.3m2 초과~0.8m2 이하</x:v>
      </x:c>
      <x:c r="E289" s="22" t="str">
        <x:v>M2</x:v>
      </x:c>
      <x:c r="F289" s="34" t="n">
        <x:v>0</x:v>
      </x:c>
      <x:c r="G289" s="34" t="n">
        <x:v>35.81</x:v>
      </x:c>
      <x:c r="H289" s="34" t="n">
        <x:v>0.82</x:v>
      </x:c>
      <x:c r="I289" s="34" t="n">
        <x:f>SUM(F289:H289)</x:f>
        <x:v>36.63</x:v>
      </x:c>
      <x:c r="J289" s="22" t="str"/>
      <x:c r="K289" s="22" t="str"/>
      <x:c r="L289" s="22" t="str"/>
      <x:c r="M289" s="22" t="str">
        <x:v>일위대가목록</x:v>
      </x:c>
      <x:c r="N289" s="37" t="n">
        <x:v>288</x:v>
      </x:c>
      <x:c r="O2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89" s="22" t="str">
        <x:v>47d79c95e2c3273f84778935276c94526e369cc1b1bc057f6b03c998f44e253f</x:v>
      </x:c>
      <x:c r="Q289" s="22" t="str">
        <x:v>=E288+F288+G288</x:v>
      </x:c>
    </x:row>
    <x:row r="290">
      <x:c r="A290" s="22" t="str">
        <x:v>복합일위대가</x:v>
      </x:c>
      <x:c r="B290" s="22" t="str">
        <x:v>4482224D7C7EF9A3E203E1065B7A9</x:v>
      </x:c>
      <x:c r="C290" s="25" t="str">
        <x:v>화강석붙임(건식, 물갈기)</x:v>
      </x:c>
      <x:c r="D290" s="25" t="str">
        <x:v>걸레받이, 포천석 100*15mm</x:v>
      </x:c>
      <x:c r="E290" s="22" t="str">
        <x:v>M</x:v>
      </x:c>
      <x:c r="F290" s="34" t="n">
        <x:v>3.41</x:v>
      </x:c>
      <x:c r="G290" s="34" t="n">
        <x:v>11.37</x:v>
      </x:c>
      <x:c r="H290" s="34" t="n">
        <x:v>0.19</x:v>
      </x:c>
      <x:c r="I290" s="34" t="n">
        <x:f>SUM(F290:H290)</x:f>
        <x:v>14.969999999999999</x:v>
      </x:c>
      <x:c r="J290" s="22" t="str"/>
      <x:c r="K290" s="22" t="str"/>
      <x:c r="L290" s="22" t="str"/>
      <x:c r="M290" s="22" t="str">
        <x:v>일위대가목록</x:v>
      </x:c>
      <x:c r="N290" s="37" t="n">
        <x:v>289</x:v>
      </x:c>
      <x:c r="O2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0" s="22" t="str">
        <x:v>47d79c95e2c3273f84778935276c94526e369cc1b1bc057f6b03c998f44e253f</x:v>
      </x:c>
      <x:c r="Q290" s="22" t="str">
        <x:v>=E289+F289+G289</x:v>
      </x:c>
    </x:row>
    <x:row r="291">
      <x:c r="A291" s="22" t="str">
        <x:v>복합일위대가</x:v>
      </x:c>
      <x:c r="B291" s="22" t="str">
        <x:v>448220484970E2E0928174C29FE73</x:v>
      </x:c>
      <x:c r="C291" s="25" t="str">
        <x:v>벽체합판 설치</x:v>
      </x:c>
      <x:c r="D291" s="25" t="str">
        <x:v>합판 별도</x:v>
      </x:c>
      <x:c r="E291" s="22" t="str">
        <x:v>M2</x:v>
      </x:c>
      <x:c r="F291" s="34" t="n">
        <x:v>0</x:v>
      </x:c>
      <x:c r="G291" s="34" t="n">
        <x:v>5.29</x:v>
      </x:c>
      <x:c r="H291" s="34" t="n">
        <x:v>0.09</x:v>
      </x:c>
      <x:c r="I291" s="34" t="n">
        <x:f>SUM(F291:H291)</x:f>
        <x:v>5.38</x:v>
      </x:c>
      <x:c r="J291" s="22" t="str"/>
      <x:c r="K291" s="22" t="str"/>
      <x:c r="L291" s="22" t="str"/>
      <x:c r="M291" s="22" t="str">
        <x:v>일위대가목록</x:v>
      </x:c>
      <x:c r="N291" s="37" t="n">
        <x:v>290</x:v>
      </x:c>
      <x:c r="O2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1" s="22" t="str">
        <x:v>47d79c95e2c3273f84778935276c94526e369cc1b1bc057f6b03c998f44e253f</x:v>
      </x:c>
      <x:c r="Q291" s="22" t="str">
        <x:v>=E290+F290+G290</x:v>
      </x:c>
    </x:row>
    <x:row r="292">
      <x:c r="A292" s="22" t="str">
        <x:v>복합일위대가</x:v>
      </x:c>
      <x:c r="B292" s="22" t="str">
        <x:v>4482214ED37A290E221852C631320</x:v>
      </x:c>
      <x:c r="C292" s="25" t="str">
        <x:v>수성페인트 롤러칠 재료비(20년 품셈기준)</x:v>
      </x:c>
      <x:c r="D292" s="25" t="str">
        <x:v>내부, 1회, 1급, 합성수지에멀션페인트</x:v>
      </x:c>
      <x:c r="E292" s="22" t="str">
        <x:v>M2</x:v>
      </x:c>
      <x:c r="F292" s="34" t="n">
        <x:v>0.27</x:v>
      </x:c>
      <x:c r="G292" s="34" t="n">
        <x:v>0</x:v>
      </x:c>
      <x:c r="H292" s="34" t="n">
        <x:v>0</x:v>
      </x:c>
      <x:c r="I292" s="34" t="n">
        <x:f>SUM(F292:H292)</x:f>
        <x:v>0.27</x:v>
      </x:c>
      <x:c r="J292" s="22" t="str"/>
      <x:c r="K292" s="22" t="str"/>
      <x:c r="L292" s="22" t="str"/>
      <x:c r="M292" s="22" t="str">
        <x:v>일위대가목록</x:v>
      </x:c>
      <x:c r="N292" s="37" t="n">
        <x:v>291</x:v>
      </x:c>
      <x:c r="O2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2" s="22" t="str">
        <x:v>47d79c95e2c3273f84778935276c94526e369cc1b1bc057f6b03c998f44e253f</x:v>
      </x:c>
      <x:c r="Q292" s="22" t="str">
        <x:v>=E291+F291+G291</x:v>
      </x:c>
    </x:row>
    <x:row r="293">
      <x:c r="A293" s="22" t="str">
        <x:v>복합일위대가</x:v>
      </x:c>
      <x:c r="B293" s="22" t="str">
        <x:v>4482214ED37A290E2218405594989</x:v>
      </x:c>
      <x:c r="C293" s="25" t="str">
        <x:v>수성페인트 롤러칠(재료비 미포함)</x:v>
      </x:c>
      <x:c r="D293" s="25" t="str">
        <x:v>내부, 1회 1급</x:v>
      </x:c>
      <x:c r="E293" s="22" t="str">
        <x:v>M2</x:v>
      </x:c>
      <x:c r="F293" s="34" t="n">
        <x:v>0.02</x:v>
      </x:c>
      <x:c r="G293" s="34" t="n">
        <x:v>1.01</x:v>
      </x:c>
      <x:c r="H293" s="34" t="n">
        <x:v>0</x:v>
      </x:c>
      <x:c r="I293" s="34" t="n">
        <x:f>SUM(F293:H293)</x:f>
        <x:v>1.03</x:v>
      </x:c>
      <x:c r="J293" s="22" t="str"/>
      <x:c r="K293" s="22" t="str"/>
      <x:c r="L293" s="22" t="str"/>
      <x:c r="M293" s="22" t="str">
        <x:v>일위대가목록</x:v>
      </x:c>
      <x:c r="N293" s="37" t="n">
        <x:v>292</x:v>
      </x:c>
      <x:c r="O2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3" s="22" t="str">
        <x:v>47d79c95e2c3273f84778935276c94526e369cc1b1bc057f6b03c998f44e253f</x:v>
      </x:c>
      <x:c r="Q293" s="22" t="str">
        <x:v>=E292+F292+G292</x:v>
      </x:c>
    </x:row>
    <x:row r="294">
      <x:c r="A294" s="22" t="str">
        <x:v>복합일위대가</x:v>
      </x:c>
      <x:c r="B294" s="22" t="str">
        <x:v>448220486474E687F20023F8098F9</x:v>
      </x:c>
      <x:c r="C294" s="25" t="str">
        <x:v>걸레받이 설치</x:v>
      </x:c>
      <x:c r="D294" s="25" t="str">
        <x:v>석재류, H=75~120mm 기준</x:v>
      </x:c>
      <x:c r="E294" s="22" t="str">
        <x:v>M</x:v>
      </x:c>
      <x:c r="F294" s="34" t="n">
        <x:v>0</x:v>
      </x:c>
      <x:c r="G294" s="34" t="n">
        <x:v>11.37</x:v>
      </x:c>
      <x:c r="H294" s="34" t="n">
        <x:v>0.19</x:v>
      </x:c>
      <x:c r="I294" s="34" t="n">
        <x:f>SUM(F294:H294)</x:f>
        <x:v>11.559999999999999</x:v>
      </x:c>
      <x:c r="J294" s="22" t="str"/>
      <x:c r="K294" s="22" t="str"/>
      <x:c r="L294" s="22" t="str"/>
      <x:c r="M294" s="22" t="str">
        <x:v>일위대가목록</x:v>
      </x:c>
      <x:c r="N294" s="37" t="n">
        <x:v>293</x:v>
      </x:c>
      <x:c r="O2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4" s="22" t="str">
        <x:v>47d79c95e2c3273f84778935276c94526e369cc1b1bc057f6b03c998f44e253f</x:v>
      </x:c>
      <x:c r="Q294" s="22" t="str">
        <x:v>=E293+F293+G293</x:v>
      </x:c>
    </x:row>
    <x:row r="295">
      <x:c r="A295" s="22" t="str">
        <x:v>복합일위대가</x:v>
      </x:c>
      <x:c r="B295" s="22" t="str">
        <x:v>4482214ED37A290E221852C620A01</x:v>
      </x:c>
      <x:c r="C295" s="25" t="str">
        <x:v>수성페인트 롤러칠</x:v>
      </x:c>
      <x:c r="D295" s="25" t="str">
        <x:v>1회 노무비</x:v>
      </x:c>
      <x:c r="E295" s="22" t="str">
        <x:v>M2</x:v>
      </x:c>
      <x:c r="F295" s="34" t="n">
        <x:v>0.02</x:v>
      </x:c>
      <x:c r="G295" s="34" t="n">
        <x:v>1.01</x:v>
      </x:c>
      <x:c r="H295" s="34" t="n">
        <x:v>0</x:v>
      </x:c>
      <x:c r="I295" s="34" t="n">
        <x:f>SUM(F295:H295)</x:f>
        <x:v>1.03</x:v>
      </x:c>
      <x:c r="J295" s="22" t="str"/>
      <x:c r="K295" s="22" t="str"/>
      <x:c r="L295" s="22" t="str"/>
      <x:c r="M295" s="22" t="str">
        <x:v>일위대가목록</x:v>
      </x:c>
      <x:c r="N295" s="37" t="n">
        <x:v>294</x:v>
      </x:c>
      <x:c r="O2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5" s="22" t="str">
        <x:v>47d79c95e2c3273f84778935276c94526e369cc1b1bc057f6b03c998f44e253f</x:v>
      </x:c>
      <x:c r="Q295" s="22" t="str">
        <x:v>=E294+F294+G294</x:v>
      </x:c>
    </x:row>
    <x:row r="296">
      <x:c r="A296" s="22" t="str">
        <x:v>복합일위대가</x:v>
      </x:c>
      <x:c r="B296" s="22" t="str">
        <x:v>448226472C79915F02BD06AAE858A</x:v>
      </x:c>
      <x:c r="C296" s="25" t="str">
        <x:v>40X40@600 STL PIPE</x:v>
      </x:c>
      <x:c r="D296" s="25" t="str"/>
      <x:c r="E296" s="22" t="str">
        <x:v>M2</x:v>
      </x:c>
      <x:c r="F296" s="34" t="n">
        <x:v>8.33</x:v>
      </x:c>
      <x:c r="G296" s="34" t="n">
        <x:v>8.58</x:v>
      </x:c>
      <x:c r="H296" s="34" t="n">
        <x:v>0.37</x:v>
      </x:c>
      <x:c r="I296" s="34" t="n">
        <x:f>SUM(F296:H296)</x:f>
        <x:v>17.28</x:v>
      </x:c>
      <x:c r="J296" s="22" t="str"/>
      <x:c r="K296" s="22" t="str"/>
      <x:c r="L296" s="22" t="str"/>
      <x:c r="M296" s="22" t="str">
        <x:v>일위대가목록</x:v>
      </x:c>
      <x:c r="N296" s="37" t="n">
        <x:v>295</x:v>
      </x:c>
      <x:c r="O2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6" s="22" t="str">
        <x:v>47d79c95e2c3273f84778935276c94526e369cc1b1bc057f6b03c998f44e253f</x:v>
      </x:c>
      <x:c r="Q296" s="22" t="str">
        <x:v>=E295+F295+G295</x:v>
      </x:c>
    </x:row>
    <x:row r="297">
      <x:c r="A297" s="22" t="str">
        <x:v>복합일위대가</x:v>
      </x:c>
      <x:c r="B297" s="22" t="str">
        <x:v>4482214EFE784586D2F741D1BCA4B</x:v>
      </x:c>
      <x:c r="C297" s="25" t="str">
        <x:v>녹막이페인트 붓칠(재료비 미포함)</x:v>
      </x:c>
      <x:c r="D297" s="25" t="str">
        <x:v>철재면, 2회 1종</x:v>
      </x:c>
      <x:c r="E297" s="22" t="str">
        <x:v>M2</x:v>
      </x:c>
      <x:c r="F297" s="34" t="n">
        <x:v>0.06</x:v>
      </x:c>
      <x:c r="G297" s="34" t="n">
        <x:v>2.58</x:v>
      </x:c>
      <x:c r="H297" s="34" t="n">
        <x:v>0</x:v>
      </x:c>
      <x:c r="I297" s="34" t="n">
        <x:f>SUM(F297:H297)</x:f>
        <x:v>2.64</x:v>
      </x:c>
      <x:c r="J297" s="22" t="str"/>
      <x:c r="K297" s="22" t="str"/>
      <x:c r="L297" s="22" t="str"/>
      <x:c r="M297" s="22" t="str">
        <x:v>일위대가목록</x:v>
      </x:c>
      <x:c r="N297" s="37" t="n">
        <x:v>296</x:v>
      </x:c>
      <x:c r="O2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7" s="22" t="str">
        <x:v>47d79c95e2c3273f84778935276c94526e369cc1b1bc057f6b03c998f44e253f</x:v>
      </x:c>
      <x:c r="Q297" s="22" t="str">
        <x:v>=E296+F296+G296</x:v>
      </x:c>
    </x:row>
    <x:row r="298">
      <x:c r="A298" s="22" t="str">
        <x:v>복합일위대가</x:v>
      </x:c>
      <x:c r="B298" s="22" t="str">
        <x:v>448224423776F13F522BB00BC2D3F</x:v>
      </x:c>
      <x:c r="C298" s="25" t="str">
        <x:v>거멀접기 시공비</x:v>
      </x:c>
      <x:c r="D298" s="25" t="str">
        <x:v>지붕, 외벽(습식)</x:v>
      </x:c>
      <x:c r="E298" s="22" t="str">
        <x:v>M2</x:v>
      </x:c>
      <x:c r="F298" s="34" t="n">
        <x:v>0</x:v>
      </x:c>
      <x:c r="G298" s="34" t="n">
        <x:v>19.5</x:v>
      </x:c>
      <x:c r="H298" s="34" t="n">
        <x:v>0.59</x:v>
      </x:c>
      <x:c r="I298" s="34" t="n">
        <x:f>SUM(F298:H298)</x:f>
        <x:v>20.09</x:v>
      </x:c>
      <x:c r="J298" s="22" t="str"/>
      <x:c r="K298" s="22" t="str"/>
      <x:c r="L298" s="22" t="str"/>
      <x:c r="M298" s="22" t="str">
        <x:v>일위대가목록</x:v>
      </x:c>
      <x:c r="N298" s="37" t="n">
        <x:v>297</x:v>
      </x:c>
      <x:c r="O2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8" s="22" t="str">
        <x:v>47d79c95e2c3273f84778935276c94526e369cc1b1bc057f6b03c998f44e253f</x:v>
      </x:c>
      <x:c r="Q298" s="22" t="str">
        <x:v>=E297+F297+G297</x:v>
      </x:c>
    </x:row>
    <x:row r="299">
      <x:c r="A299" s="22" t="str">
        <x:v>복합일위대가</x:v>
      </x:c>
      <x:c r="B299" s="22" t="str">
        <x:v>4482214EFE784586D2E6E32B5EDD2</x:v>
      </x:c>
      <x:c r="C299" s="25" t="str">
        <x:v>녹막이 페인트칠</x:v>
      </x:c>
      <x:c r="D299" s="25" t="str">
        <x:v>철재면 2회 노무비</x:v>
      </x:c>
      <x:c r="E299" s="22" t="str">
        <x:v>M2</x:v>
      </x:c>
      <x:c r="F299" s="34" t="n">
        <x:v>0.06</x:v>
      </x:c>
      <x:c r="G299" s="34" t="n">
        <x:v>2.58</x:v>
      </x:c>
      <x:c r="H299" s="34" t="n">
        <x:v>0</x:v>
      </x:c>
      <x:c r="I299" s="34" t="n">
        <x:f>SUM(F299:H299)</x:f>
        <x:v>2.64</x:v>
      </x:c>
      <x:c r="J299" s="22" t="str"/>
      <x:c r="K299" s="22" t="str"/>
      <x:c r="L299" s="22" t="str"/>
      <x:c r="M299" s="22" t="str">
        <x:v>일위대가목록</x:v>
      </x:c>
      <x:c r="N299" s="37" t="n">
        <x:v>298</x:v>
      </x:c>
      <x:c r="O2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299" s="22" t="str">
        <x:v>47d79c95e2c3273f84778935276c94526e369cc1b1bc057f6b03c998f44e253f</x:v>
      </x:c>
      <x:c r="Q299" s="22" t="str">
        <x:v>=E298+F298+G298</x:v>
      </x:c>
    </x:row>
    <x:row r="300">
      <x:c r="A300" s="22" t="str">
        <x:v>복합일위대가</x:v>
      </x:c>
      <x:c r="B300" s="22" t="str">
        <x:v>44822343DD7C5DE1F2654CBB5D8D3</x:v>
      </x:c>
      <x:c r="C300" s="25" t="str">
        <x:v>도어록 설치 / 일반도어록 강재창호</x:v>
      </x:c>
      <x:c r="D300" s="25" t="str">
        <x:v>재료비 별도</x:v>
      </x:c>
      <x:c r="E300" s="22" t="str">
        <x:v>개소</x:v>
      </x:c>
      <x:c r="F300" s="34" t="n">
        <x:v>0</x:v>
      </x:c>
      <x:c r="G300" s="34" t="n">
        <x:v>1.8</x:v>
      </x:c>
      <x:c r="H300" s="34" t="n">
        <x:v>0</x:v>
      </x:c>
      <x:c r="I300" s="34" t="n">
        <x:f>SUM(F300:H300)</x:f>
        <x:v>1.8</x:v>
      </x:c>
      <x:c r="J300" s="22" t="str"/>
      <x:c r="K300" s="22" t="str"/>
      <x:c r="L300" s="22" t="str"/>
      <x:c r="M300" s="22" t="str">
        <x:v>일위대가목록</x:v>
      </x:c>
      <x:c r="N300" s="37" t="n">
        <x:v>299</x:v>
      </x:c>
      <x:c r="O3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0" s="22" t="str">
        <x:v>47d79c95e2c3273f84778935276c94526e369cc1b1bc057f6b03c998f44e253f</x:v>
      </x:c>
      <x:c r="Q300" s="22" t="str">
        <x:v>=E299+F299+G299</x:v>
      </x:c>
    </x:row>
    <x:row r="301">
      <x:c r="A301" s="22" t="str">
        <x:v>복합일위대가</x:v>
      </x:c>
      <x:c r="B301" s="22" t="str">
        <x:v>44822343DD7C587E82CBEB06D0CA2</x:v>
      </x:c>
      <x:c r="C301" s="25" t="str">
        <x:v>도어체크 설치</x:v>
      </x:c>
      <x:c r="D301" s="25" t="str">
        <x:v>재료비 별도</x:v>
      </x:c>
      <x:c r="E301" s="22" t="str">
        <x:v>개소</x:v>
      </x:c>
      <x:c r="F301" s="34" t="n">
        <x:v>0</x:v>
      </x:c>
      <x:c r="G301" s="34" t="n">
        <x:v>6.19</x:v>
      </x:c>
      <x:c r="H301" s="34" t="n">
        <x:v>0.1</x:v>
      </x:c>
      <x:c r="I301" s="34" t="n">
        <x:f>SUM(F301:H301)</x:f>
        <x:v>6.29</x:v>
      </x:c>
      <x:c r="J301" s="22" t="str"/>
      <x:c r="K301" s="22" t="str"/>
      <x:c r="L301" s="22" t="str"/>
      <x:c r="M301" s="22" t="str">
        <x:v>일위대가목록</x:v>
      </x:c>
      <x:c r="N301" s="37" t="n">
        <x:v>300</x:v>
      </x:c>
      <x:c r="O3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1" s="22" t="str">
        <x:v>47d79c95e2c3273f84778935276c94526e369cc1b1bc057f6b03c998f44e253f</x:v>
      </x:c>
      <x:c r="Q301" s="22" t="str">
        <x:v>=E300+F300+G300</x:v>
      </x:c>
    </x:row>
    <x:row r="302">
      <x:c r="A302" s="22" t="str">
        <x:v>복합일위대가</x:v>
      </x:c>
      <x:c r="B302" s="22" t="str">
        <x:v>448227450274220842B81D99D073A</x:v>
      </x:c>
      <x:c r="C302" s="25" t="str">
        <x:v>수밀코킹(50*20mm)</x:v>
      </x:c>
      <x:c r="D302" s="25" t="str">
        <x:v>폴리우레탄, 콘크리트죠인트</x:v>
      </x:c>
      <x:c r="E302" s="22" t="str">
        <x:v>M</x:v>
      </x:c>
      <x:c r="F302" s="34" t="n">
        <x:v>5.75</x:v>
      </x:c>
      <x:c r="G302" s="34" t="n">
        <x:v>1.52</x:v>
      </x:c>
      <x:c r="H302" s="34" t="n">
        <x:v>0</x:v>
      </x:c>
      <x:c r="I302" s="34" t="n">
        <x:f>SUM(F302:H302)</x:f>
        <x:v>7.27</x:v>
      </x:c>
      <x:c r="J302" s="22" t="str"/>
      <x:c r="K302" s="22" t="str"/>
      <x:c r="L302" s="22" t="str"/>
      <x:c r="M302" s="22" t="str">
        <x:v>일위대가목록</x:v>
      </x:c>
      <x:c r="N302" s="37" t="n">
        <x:v>301</x:v>
      </x:c>
      <x:c r="O3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2" s="22" t="str">
        <x:v>47d79c95e2c3273f84778935276c94526e369cc1b1bc057f6b03c998f44e253f</x:v>
      </x:c>
      <x:c r="Q302" s="22" t="str">
        <x:v>=E301+F301+G301</x:v>
      </x:c>
    </x:row>
    <x:row r="303">
      <x:c r="A303" s="22" t="str">
        <x:v>직접자원단가</x:v>
      </x:c>
      <x:c r="B303" s="22" t="str">
        <x:v>439D2A438075650262F4653EA8C281ACA2BB8</x:v>
      </x:c>
      <x:c r="C303" s="25" t="str">
        <x:v>굴삭기(무한궤도)</x:v>
      </x:c>
      <x:c r="D303" s="25" t="str">
        <x:v>0.6㎥</x:v>
      </x:c>
      <x:c r="E303" s="22" t="str">
        <x:v>대</x:v>
      </x:c>
      <x:c r="F303" s="34" t="n">
        <x:v>0</x:v>
      </x:c>
      <x:c r="G303" s="34" t="n">
        <x:v>0</x:v>
      </x:c>
      <x:c r="H303" s="34" t="n">
        <x:v>85.78908390727987</x:v>
      </x:c>
      <x:c r="I303" s="34" t="n">
        <x:f>SUM(F303:H303)</x:f>
        <x:v>85.78908390727987</x:v>
      </x:c>
      <x:c r="J303" s="22" t="str"/>
      <x:c r="K303" s="22" t="str"/>
      <x:c r="L303" s="22" t="str">
        <x:v>천원</x:v>
      </x:c>
      <x:c r="M303" s="22" t="str">
        <x:v>단가대비표</x:v>
      </x:c>
      <x:c r="N303" s="37" t="n">
        <x:v>5</x:v>
      </x:c>
      <x:c r="O3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3" s="22" t="str">
        <x:v>47d79c95e2c3273f84778935276c94526e369cc1b1bc057f6b03c998f44e253f</x:v>
      </x:c>
      <x:c r="Q303" s="22" t="str">
        <x:v>=O5+P5+V5</x:v>
      </x:c>
    </x:row>
    <x:row r="304">
      <x:c r="A304" s="22" t="str">
        <x:v>직접자원단가</x:v>
      </x:c>
      <x:c r="B304" s="22" t="str">
        <x:v>439D2A438075647E522B581865348A146822A</x:v>
      </x:c>
      <x:c r="C304" s="25" t="str">
        <x:v>플레이트 콤팩터</x:v>
      </x:c>
      <x:c r="D304" s="25" t="str">
        <x:v>1.5ton</x:v>
      </x:c>
      <x:c r="E304" s="22" t="str">
        <x:v>대</x:v>
      </x:c>
      <x:c r="F304" s="34" t="n">
        <x:v>0</x:v>
      </x:c>
      <x:c r="G304" s="34" t="n">
        <x:v>0</x:v>
      </x:c>
      <x:c r="H304" s="34" t="n">
        <x:v>1.2789750425831299</x:v>
      </x:c>
      <x:c r="I304" s="34" t="n">
        <x:f>SUM(F304:H304)</x:f>
        <x:v>1.2789750425831299</x:v>
      </x:c>
      <x:c r="J304" s="22" t="str"/>
      <x:c r="K304" s="22" t="str"/>
      <x:c r="L304" s="22" t="str">
        <x:v>천원</x:v>
      </x:c>
      <x:c r="M304" s="22" t="str">
        <x:v>단가대비표</x:v>
      </x:c>
      <x:c r="N304" s="37" t="n">
        <x:v>6</x:v>
      </x:c>
      <x:c r="O3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4" s="22" t="str">
        <x:v>47d79c95e2c3273f84778935276c94526e369cc1b1bc057f6b03c998f44e253f</x:v>
      </x:c>
      <x:c r="Q304" s="22" t="str">
        <x:v>=O6+P6+V6</x:v>
      </x:c>
    </x:row>
    <x:row r="305">
      <x:c r="A305" s="22" t="str">
        <x:v>직접자원단가</x:v>
      </x:c>
      <x:c r="B305" s="22" t="str">
        <x:v>4383224E9277D96E423ADC9804BC848799131</x:v>
      </x:c>
      <x:c r="C305" s="25" t="str">
        <x:v>모래</x:v>
      </x:c>
      <x:c r="D305" s="25" t="str">
        <x:v>모래, 부산, 도착도</x:v>
      </x:c>
      <x:c r="E305" s="22" t="str">
        <x:v>M3</x:v>
      </x:c>
      <x:c r="F305" s="34" t="n">
        <x:v>25.253647337628678</x:v>
      </x:c>
      <x:c r="G305" s="34" t="n">
        <x:v>0</x:v>
      </x:c>
      <x:c r="H305" s="34" t="n">
        <x:v>0</x:v>
      </x:c>
      <x:c r="I305" s="34" t="n">
        <x:f>SUM(F305:H305)</x:f>
        <x:v>25.253647337628678</x:v>
      </x:c>
      <x:c r="J305" s="22" t="str">
        <x:v>25.253647337628678 | 61.0975338813597</x:v>
      </x:c>
      <x:c r="K305" s="22" t="str">
        <x:v>102 | 61</x:v>
      </x:c>
      <x:c r="L305" s="22" t="str"/>
      <x:c r="M305" s="22" t="str">
        <x:v>단가대비표</x:v>
      </x:c>
      <x:c r="N305" s="37" t="n">
        <x:v>7</x:v>
      </x:c>
      <x:c r="O3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5" s="22" t="str">
        <x:v>47d79c95e2c3273f84778935276c94526e369cc1b1bc057f6b03c998f44e253f</x:v>
      </x:c>
      <x:c r="Q305" s="22" t="str">
        <x:v>=O7+P7+V7</x:v>
      </x:c>
    </x:row>
    <x:row r="306">
      <x:c r="A306" s="22" t="str">
        <x:v>직접자원단가</x:v>
      </x:c>
      <x:c r="B306" s="22" t="str">
        <x:v>4383224E9274015002F3FC7FDB37969FC91B6</x:v>
      </x:c>
      <x:c r="C306" s="25" t="str">
        <x:v>보통합판</x:v>
      </x:c>
      <x:c r="D306" s="25" t="str">
        <x:v>보통합판, 1급, 12*1220*2440mm</x:v>
      </x:c>
      <x:c r="E306" s="22" t="str">
        <x:v>M2</x:v>
      </x:c>
      <x:c r="F306" s="34" t="n">
        <x:v>8.490048137450938</x:v>
      </x:c>
      <x:c r="G306" s="34" t="n">
        <x:v>0</x:v>
      </x:c>
      <x:c r="H306" s="34" t="n">
        <x:v>0</x:v>
      </x:c>
      <x:c r="I306" s="34" t="n">
        <x:f>SUM(F306:H306)</x:f>
        <x:v>8.490048137450938</x:v>
      </x:c>
      <x:c r="J306" s="22" t="str">
        <x:v>8.88683996149004 | 9.578130045175147 | 8.490048137450938</x:v>
      </x:c>
      <x:c r="K306" s="22" t="str">
        <x:v>671 | 407</x:v>
      </x:c>
      <x:c r="L306" s="22" t="str"/>
      <x:c r="M306" s="22" t="str">
        <x:v>단가대비표</x:v>
      </x:c>
      <x:c r="N306" s="37" t="n">
        <x:v>8</x:v>
      </x:c>
      <x:c r="O3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6" s="22" t="str">
        <x:v>47d79c95e2c3273f84778935276c94526e369cc1b1bc057f6b03c998f44e253f</x:v>
      </x:c>
      <x:c r="Q306" s="22" t="str">
        <x:v>=O8+P8+V8</x:v>
      </x:c>
    </x:row>
    <x:row r="307">
      <x:c r="A307" s="22" t="str">
        <x:v>직접자원단가</x:v>
      </x:c>
      <x:c r="B307" s="22" t="str">
        <x:v>4383224E9274015002F3FC7FDB37969FC9525</x:v>
      </x:c>
      <x:c r="C307" s="25" t="str">
        <x:v>내수합판</x:v>
      </x:c>
      <x:c r="D307" s="25" t="str">
        <x:v>내수합판, 1급, 12*1220*2440mm</x:v>
      </x:c>
      <x:c r="E307" s="22" t="str">
        <x:v>매</x:v>
      </x:c>
      <x:c r="F307" s="34" t="n">
        <x:v>26.64178330741317</x:v>
      </x:c>
      <x:c r="G307" s="34" t="n">
        <x:v>0</x:v>
      </x:c>
      <x:c r="H307" s="34" t="n">
        <x:v>0</x:v>
      </x:c>
      <x:c r="I307" s="34" t="n">
        <x:f>SUM(F307:H307)</x:f>
        <x:v>26.64178330741317</x:v>
      </x:c>
      <x:c r="J307" s="22" t="str">
        <x:v>27.815670591720362 | 29.32681626305266 | 26.64178330741317</x:v>
      </x:c>
      <x:c r="K307" s="22" t="str">
        <x:v>671 | 407</x:v>
      </x:c>
      <x:c r="L307" s="22" t="str"/>
      <x:c r="M307" s="22" t="str">
        <x:v>단가대비표</x:v>
      </x:c>
      <x:c r="N307" s="37" t="n">
        <x:v>9</x:v>
      </x:c>
      <x:c r="O3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7" s="22" t="str">
        <x:v>47d79c95e2c3273f84778935276c94526e369cc1b1bc057f6b03c998f44e253f</x:v>
      </x:c>
      <x:c r="Q307" s="22" t="str">
        <x:v>=O9+P9+V9</x:v>
      </x:c>
    </x:row>
    <x:row r="308">
      <x:c r="A308" s="22" t="str">
        <x:v>직접자원단가</x:v>
      </x:c>
      <x:c r="B308" s="22" t="str">
        <x:v>4383224E9274015002F3D1A6996767608948B</x:v>
      </x:c>
      <x:c r="C308" s="25" t="str">
        <x:v>중밀도섬유판</x:v>
      </x:c>
      <x:c r="D308" s="25" t="str">
        <x:v>중밀도섬유판, 코아합판, 18mm</x:v>
      </x:c>
      <x:c r="E308" s="22" t="str">
        <x:v>M2</x:v>
      </x:c>
      <x:c r="F308" s="34" t="n">
        <x:v>6.841522624601941</x:v>
      </x:c>
      <x:c r="G308" s="34" t="n">
        <x:v>0</x:v>
      </x:c>
      <x:c r="H308" s="34" t="n">
        <x:v>0</x:v>
      </x:c>
      <x:c r="I308" s="34" t="n">
        <x:f>SUM(F308:H308)</x:f>
        <x:v>6.841522624601941</x:v>
      </x:c>
      <x:c r="J308" s="22" t="str">
        <x:v>7.361845515811302 | 6.841522624601941 | 8.264557505739466</x:v>
      </x:c>
      <x:c r="K308" s="22" t="str">
        <x:v>673 | 409</x:v>
      </x:c>
      <x:c r="L308" s="22" t="str"/>
      <x:c r="M308" s="22" t="str">
        <x:v>단가대비표</x:v>
      </x:c>
      <x:c r="N308" s="37" t="n">
        <x:v>10</x:v>
      </x:c>
      <x:c r="O3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8" s="22" t="str">
        <x:v>47d79c95e2c3273f84778935276c94526e369cc1b1bc057f6b03c998f44e253f</x:v>
      </x:c>
      <x:c r="Q308" s="22" t="str">
        <x:v>=O10+P10+V10</x:v>
      </x:c>
    </x:row>
    <x:row r="309">
      <x:c r="A309" s="22" t="str">
        <x:v>직접자원단가</x:v>
      </x:c>
      <x:c r="B309" s="22" t="str">
        <x:v>4383224E927F2F04D20B225F28E10669428A7</x:v>
      </x:c>
      <x:c r="C309" s="25" t="str">
        <x:v>철강설</x:v>
      </x:c>
      <x:c r="D309" s="25" t="str">
        <x:v>철강설, 고철, 작업설부산물</x:v>
      </x:c>
      <x:c r="E309" s="22" t="str">
        <x:v>kg</x:v>
      </x:c>
      <x:c r="F309" s="34" t="n">
        <x:v>0.26475598015255875</x:v>
      </x:c>
      <x:c r="G309" s="34" t="n">
        <x:v>0</x:v>
      </x:c>
      <x:c r="H309" s="34" t="n">
        <x:v>0</x:v>
      </x:c>
      <x:c r="I309" s="34" t="n">
        <x:f>SUM(F309:H309)</x:f>
        <x:v>0.26475598015255875</x:v>
      </x:c>
      <x:c r="J309" s="22" t="str">
        <x:v>0.26475598015255875 | 0.33807302081019036 | 0.3022291342664593</x:v>
      </x:c>
      <x:c r="K309" s="22" t="str">
        <x:v>1472 | 1198</x:v>
      </x:c>
      <x:c r="L309" s="22" t="str">
        <x:v>수집상차도</x:v>
      </x:c>
      <x:c r="M309" s="22" t="str">
        <x:v>단가대비표</x:v>
      </x:c>
      <x:c r="N309" s="37" t="n">
        <x:v>11</x:v>
      </x:c>
      <x:c r="O3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09" s="22" t="str">
        <x:v>47d79c95e2c3273f84778935276c94526e369cc1b1bc057f6b03c998f44e253f</x:v>
      </x:c>
      <x:c r="Q309" s="22" t="str">
        <x:v>=O11+P11+V11</x:v>
      </x:c>
    </x:row>
    <x:row r="310">
      <x:c r="A310" s="22" t="str">
        <x:v>직접자원단가</x:v>
      </x:c>
      <x:c r="B310" s="22" t="str">
        <x:v>4383224E927F2F04D20B225F28E106694294D</x:v>
      </x:c>
      <x:c r="C310" s="25" t="str">
        <x:v>철강설</x:v>
      </x:c>
      <x:c r="D310" s="25" t="str">
        <x:v>철강설, 스텐레스, 작업설부산물</x:v>
      </x:c>
      <x:c r="E310" s="22" t="str">
        <x:v>kg</x:v>
      </x:c>
      <x:c r="F310" s="34" t="n">
        <x:v>0.29408279641561136</x:v>
      </x:c>
      <x:c r="G310" s="34" t="n">
        <x:v>0</x:v>
      </x:c>
      <x:c r="H310" s="34" t="n">
        <x:v>0</x:v>
      </x:c>
      <x:c r="I310" s="34" t="n">
        <x:f>SUM(F310:H310)</x:f>
        <x:v>0.29408279641561136</x:v>
      </x:c>
      <x:c r="J310" s="22" t="str">
        <x:v>1.2626823668814338 | 1.3441457453899135 | 0.29408279641561136</x:v>
      </x:c>
      <x:c r="K310" s="22" t="str">
        <x:v>1472 | 1198</x:v>
      </x:c>
      <x:c r="L310" s="22" t="str">
        <x:v>수집상차도</x:v>
      </x:c>
      <x:c r="M310" s="22" t="str">
        <x:v>단가대비표</x:v>
      </x:c>
      <x:c r="N310" s="37" t="n">
        <x:v>12</x:v>
      </x:c>
      <x:c r="O3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0" s="22" t="str">
        <x:v>47d79c95e2c3273f84778935276c94526e369cc1b1bc057f6b03c998f44e253f</x:v>
      </x:c>
      <x:c r="Q310" s="22" t="str">
        <x:v>=O12+P12+V12</x:v>
      </x:c>
    </x:row>
    <x:row r="311">
      <x:c r="A311" s="22" t="str">
        <x:v>직접자원단가</x:v>
      </x:c>
      <x:c r="B311" s="22" t="str">
        <x:v>4383224E927F2F04D20B225F28E1066942A52</x:v>
      </x:c>
      <x:c r="C311" s="25" t="str">
        <x:v>철강설</x:v>
      </x:c>
      <x:c r="D311" s="25" t="str">
        <x:v>철강설, 동판, 작업설부산물</x:v>
      </x:c>
      <x:c r="E311" s="22" t="str">
        <x:v>kg</x:v>
      </x:c>
      <x:c r="F311" s="34" t="n">
        <x:v>4.399022439457899</x:v>
      </x:c>
      <x:c r="G311" s="34" t="n">
        <x:v>0</x:v>
      </x:c>
      <x:c r="H311" s="34" t="n">
        <x:v>0</x:v>
      </x:c>
      <x:c r="I311" s="34" t="n">
        <x:f>SUM(F311:H311)</x:f>
        <x:v>4.399022439457899</x:v>
      </x:c>
      <x:c r="J311" s="22" t="str">
        <x:v>4.399022439457899 | 9.042435014441235 | 10.42731244908539</x:v>
      </x:c>
      <x:c r="K311" s="22" t="str">
        <x:v>1472 | 1198</x:v>
      </x:c>
      <x:c r="L311" s="22" t="str">
        <x:v>수집상차도</x:v>
      </x:c>
      <x:c r="M311" s="22" t="str">
        <x:v>단가대비표</x:v>
      </x:c>
      <x:c r="N311" s="37" t="n">
        <x:v>13</x:v>
      </x:c>
      <x:c r="O3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1" s="22" t="str">
        <x:v>47d79c95e2c3273f84778935276c94526e369cc1b1bc057f6b03c998f44e253f</x:v>
      </x:c>
      <x:c r="Q311" s="22" t="str">
        <x:v>=O13+P13+V13</x:v>
      </x:c>
    </x:row>
    <x:row r="312">
      <x:c r="A312" s="22" t="str">
        <x:v>직접자원단가</x:v>
      </x:c>
      <x:c r="B312" s="22" t="str">
        <x:v>438326442A7A1BDBB26ADA2F4CEBFD791E5DA</x:v>
      </x:c>
      <x:c r="C312" s="25" t="str">
        <x:v>경유</x:v>
      </x:c>
      <x:c r="D312" s="25" t="str">
        <x:v>경유, 저유황</x:v>
      </x:c>
      <x:c r="E312" s="22" t="str">
        <x:v>L</x:v>
      </x:c>
      <x:c r="F312" s="34" t="n">
        <x:v>1.0956824409390507</x:v>
      </x:c>
      <x:c r="G312" s="34" t="n">
        <x:v>0</x:v>
      </x:c>
      <x:c r="H312" s="34" t="n">
        <x:v>0</x:v>
      </x:c>
      <x:c r="I312" s="34" t="n">
        <x:f>SUM(F312:H312)</x:f>
        <x:v>1.0956824409390507</x:v>
      </x:c>
      <x:c r="J312" s="22" t="str">
        <x:v>1.0956824409390507 | 1.6092683107457606 | 1.3685847589424573</x:v>
      </x:c>
      <x:c r="K312" s="22" t="str">
        <x:v>조달:23-02-28 | 1451 | 1189</x:v>
      </x:c>
      <x:c r="L312" s="22" t="str"/>
      <x:c r="M312" s="22" t="str">
        <x:v>단가대비표</x:v>
      </x:c>
      <x:c r="N312" s="37" t="n">
        <x:v>14</x:v>
      </x:c>
      <x:c r="O3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2" s="22" t="str">
        <x:v>47d79c95e2c3273f84778935276c94526e369cc1b1bc057f6b03c998f44e253f</x:v>
      </x:c>
      <x:c r="Q312" s="22" t="str">
        <x:v>=O14+P14+V14</x:v>
      </x:c>
    </x:row>
    <x:row r="313">
      <x:c r="A313" s="22" t="str">
        <x:v>직접자원단가</x:v>
      </x:c>
      <x:c r="B313" s="22" t="str">
        <x:v>438326442A7A1BDBB26AE44FD807DE4CA9334</x:v>
      </x:c>
      <x:c r="C313" s="25" t="str">
        <x:v>공업용휘발유</x:v>
      </x:c>
      <x:c r="D313" s="25" t="str">
        <x:v>공업용휘발유, 무연</x:v>
      </x:c>
      <x:c r="E313" s="22" t="str">
        <x:v>L</x:v>
      </x:c>
      <x:c r="F313" s="34" t="n">
        <x:v>1.1673702140265128</x:v>
      </x:c>
      <x:c r="G313" s="34" t="n">
        <x:v>0</x:v>
      </x:c>
      <x:c r="H313" s="34" t="n">
        <x:v>0</x:v>
      </x:c>
      <x:c r="I313" s="34" t="n">
        <x:f>SUM(F313:H313)</x:f>
        <x:v>1.1673702140265128</x:v>
      </x:c>
      <x:c r="J313" s="22" t="str">
        <x:v>1.3145175146263797 | 1.1673702140265128</x:v>
      </x:c>
      <x:c r="K313" s="22" t="str">
        <x:v>1451 | 1189</x:v>
      </x:c>
      <x:c r="L313" s="22" t="str"/>
      <x:c r="M313" s="22" t="str">
        <x:v>단가대비표</x:v>
      </x:c>
      <x:c r="N313" s="37" t="n">
        <x:v>15</x:v>
      </x:c>
      <x:c r="O3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3" s="22" t="str">
        <x:v>47d79c95e2c3273f84778935276c94526e369cc1b1bc057f6b03c998f44e253f</x:v>
      </x:c>
      <x:c r="Q313" s="22" t="str">
        <x:v>=O15+P15+V15</x:v>
      </x:c>
    </x:row>
    <x:row r="314">
      <x:c r="A314" s="22" t="str">
        <x:v>직접자원단가</x:v>
      </x:c>
      <x:c r="B314" s="22" t="str">
        <x:v>43AE2142BE7340A532FB6B275834A7BED62EA</x:v>
      </x:c>
      <x:c r="C314" s="25" t="str">
        <x:v>ㄱ형강</x:v>
      </x:c>
      <x:c r="D314" s="25" t="str">
        <x:v>ㄱ형강, 등변, 25*25*3mm</x:v>
      </x:c>
      <x:c r="E314" s="22" t="str">
        <x:v>kg</x:v>
      </x:c>
      <x:c r="F314" s="34" t="n">
        <x:v>0.8146337850847961</x:v>
      </x:c>
      <x:c r="G314" s="34" t="n">
        <x:v>0</x:v>
      </x:c>
      <x:c r="H314" s="34" t="n">
        <x:v>0</x:v>
      </x:c>
      <x:c r="I314" s="34" t="n">
        <x:f>SUM(F314:H314)</x:f>
        <x:v>0.8146337850847961</x:v>
      </x:c>
      <x:c r="J314" s="22" t="str">
        <x:v>0.8472191364881879 | 0.8146337850847961 | 0.9205361771458196</x:v>
      </x:c>
      <x:c r="K314" s="22" t="str">
        <x:v>55 | 21</x:v>
      </x:c>
      <x:c r="L314" s="22" t="str"/>
      <x:c r="M314" s="22" t="str">
        <x:v>단가대비표</x:v>
      </x:c>
      <x:c r="N314" s="37" t="n">
        <x:v>16</x:v>
      </x:c>
      <x:c r="O3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4" s="22" t="str">
        <x:v>47d79c95e2c3273f84778935276c94526e369cc1b1bc057f6b03c998f44e253f</x:v>
      </x:c>
      <x:c r="Q314" s="22" t="str">
        <x:v>=O16+P16+V16</x:v>
      </x:c>
    </x:row>
    <x:row r="315">
      <x:c r="A315" s="22" t="str">
        <x:v>직접자원단가</x:v>
      </x:c>
      <x:c r="B315" s="22" t="str">
        <x:v>43AE2142BE7340A532FB6B275834A7BED62ED</x:v>
      </x:c>
      <x:c r="C315" s="25" t="str">
        <x:v>ㄱ형강</x:v>
      </x:c>
      <x:c r="D315" s="25" t="str">
        <x:v>ㄱ형강, 등변, 30*30*3mm</x:v>
      </x:c>
      <x:c r="E315" s="22" t="str">
        <x:v>kg</x:v>
      </x:c>
      <x:c r="F315" s="34" t="n">
        <x:v>0.8146337850847961</x:v>
      </x:c>
      <x:c r="G315" s="34" t="n">
        <x:v>0</x:v>
      </x:c>
      <x:c r="H315" s="34" t="n">
        <x:v>0</x:v>
      </x:c>
      <x:c r="I315" s="34" t="n">
        <x:f>SUM(F315:H315)</x:f>
        <x:v>0.8146337850847961</x:v>
      </x:c>
      <x:c r="J315" s="22" t="str">
        <x:v>0.8472191364881879 | 0.8146337850847961 | 0.9205361771458196</x:v>
      </x:c>
      <x:c r="K315" s="22" t="str">
        <x:v>55 | 21</x:v>
      </x:c>
      <x:c r="L315" s="22" t="str"/>
      <x:c r="M315" s="22" t="str">
        <x:v>단가대비표</x:v>
      </x:c>
      <x:c r="N315" s="37" t="n">
        <x:v>17</x:v>
      </x:c>
      <x:c r="O3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5" s="22" t="str">
        <x:v>47d79c95e2c3273f84778935276c94526e369cc1b1bc057f6b03c998f44e253f</x:v>
      </x:c>
      <x:c r="Q315" s="22" t="str">
        <x:v>=O17+P17+V17</x:v>
      </x:c>
    </x:row>
    <x:row r="316">
      <x:c r="A316" s="22" t="str">
        <x:v>직접자원단가</x:v>
      </x:c>
      <x:c r="B316" s="22" t="str">
        <x:v>43AE2142BE7340A532FB6B275834A7BED62EC</x:v>
      </x:c>
      <x:c r="C316" s="25" t="str">
        <x:v>ㄱ형강</x:v>
      </x:c>
      <x:c r="D316" s="25" t="str">
        <x:v>ㄱ형강, 등변, 40*40*3mm</x:v>
      </x:c>
      <x:c r="E316" s="22" t="str">
        <x:v>kg</x:v>
      </x:c>
      <x:c r="F316" s="34" t="n">
        <x:v>0.8146337850847961</x:v>
      </x:c>
      <x:c r="G316" s="34" t="n">
        <x:v>0</x:v>
      </x:c>
      <x:c r="H316" s="34" t="n">
        <x:v>0</x:v>
      </x:c>
      <x:c r="I316" s="34" t="n">
        <x:f>SUM(F316:H316)</x:f>
        <x:v>0.8146337850847961</x:v>
      </x:c>
      <x:c r="J316" s="22" t="str">
        <x:v>0.8472191364881879 | 0.8146337850847961 | 0.9205361771458196</x:v>
      </x:c>
      <x:c r="K316" s="22" t="str">
        <x:v>55 | 21</x:v>
      </x:c>
      <x:c r="L316" s="22" t="str"/>
      <x:c r="M316" s="22" t="str">
        <x:v>단가대비표</x:v>
      </x:c>
      <x:c r="N316" s="37" t="n">
        <x:v>18</x:v>
      </x:c>
      <x:c r="O3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6" s="22" t="str">
        <x:v>47d79c95e2c3273f84778935276c94526e369cc1b1bc057f6b03c998f44e253f</x:v>
      </x:c>
      <x:c r="Q316" s="22" t="str">
        <x:v>=O18+P18+V18</x:v>
      </x:c>
    </x:row>
    <x:row r="317">
      <x:c r="A317" s="22" t="str">
        <x:v>직접자원단가</x:v>
      </x:c>
      <x:c r="B317" s="22" t="str">
        <x:v>43AE2142BE7340A532FB6B275834A7BED62E1</x:v>
      </x:c>
      <x:c r="C317" s="25" t="str">
        <x:v>ㄱ형강</x:v>
      </x:c>
      <x:c r="D317" s="25" t="str">
        <x:v>ㄱ형강, 등변, 50*50*4mm</x:v>
      </x:c>
      <x:c r="E317" s="22" t="str">
        <x:v>kg</x:v>
      </x:c>
      <x:c r="F317" s="34" t="n">
        <x:v>0.8146337850847961</x:v>
      </x:c>
      <x:c r="G317" s="34" t="n">
        <x:v>0</x:v>
      </x:c>
      <x:c r="H317" s="34" t="n">
        <x:v>0</x:v>
      </x:c>
      <x:c r="I317" s="34" t="n">
        <x:f>SUM(F317:H317)</x:f>
        <x:v>0.8146337850847961</x:v>
      </x:c>
      <x:c r="J317" s="22" t="str">
        <x:v>0.8472191364881879 | 0.8146337850847961 | 0.9205361771458196</x:v>
      </x:c>
      <x:c r="K317" s="22" t="str">
        <x:v>55 | 21</x:v>
      </x:c>
      <x:c r="L317" s="22" t="str"/>
      <x:c r="M317" s="22" t="str">
        <x:v>단가대비표</x:v>
      </x:c>
      <x:c r="N317" s="37" t="n">
        <x:v>19</x:v>
      </x:c>
      <x:c r="O3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7" s="22" t="str">
        <x:v>47d79c95e2c3273f84778935276c94526e369cc1b1bc057f6b03c998f44e253f</x:v>
      </x:c>
      <x:c r="Q317" s="22" t="str">
        <x:v>=O19+P19+V19</x:v>
      </x:c>
    </x:row>
    <x:row r="318">
      <x:c r="A318" s="22" t="str">
        <x:v>직접자원단가</x:v>
      </x:c>
      <x:c r="B318" s="22" t="str">
        <x:v>43AE2142BE7340A532FB6B275834A7AC3881A</x:v>
      </x:c>
      <x:c r="C318" s="25" t="str">
        <x:v>ㄱ Shape Steel</x:v>
      </x:c>
      <x:c r="D318" s="25" t="str">
        <x:v>ㄱ, 50*50*4mm</x:v>
      </x:c>
      <x:c r="E318" s="22" t="str">
        <x:v>kg</x:v>
      </x:c>
      <x:c r="F318" s="34" t="n">
        <x:v>0.8146337850847961</x:v>
      </x:c>
      <x:c r="G318" s="34" t="n">
        <x:v>0</x:v>
      </x:c>
      <x:c r="H318" s="34" t="n">
        <x:v>0</x:v>
      </x:c>
      <x:c r="I318" s="34" t="n">
        <x:f>SUM(F318:H318)</x:f>
        <x:v>0.8146337850847961</x:v>
      </x:c>
      <x:c r="J318" s="22" t="str">
        <x:v>0.8146337850847961</x:v>
      </x:c>
      <x:c r="K318" s="22" t="str">
        <x:v>55</x:v>
      </x:c>
      <x:c r="L318" s="22" t="str"/>
      <x:c r="M318" s="22" t="str">
        <x:v>단가대비표</x:v>
      </x:c>
      <x:c r="N318" s="37" t="n">
        <x:v>20</x:v>
      </x:c>
      <x:c r="O3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8" s="22" t="str">
        <x:v>47d79c95e2c3273f84778935276c94526e369cc1b1bc057f6b03c998f44e253f</x:v>
      </x:c>
      <x:c r="Q318" s="22" t="str">
        <x:v>=O20+P20+V20</x:v>
      </x:c>
    </x:row>
    <x:row r="319">
      <x:c r="A319" s="22" t="str">
        <x:v>직접자원단가</x:v>
      </x:c>
      <x:c r="B319" s="22" t="str">
        <x:v>43AE2142BE7340A532FB6B275834A7AC3881B</x:v>
      </x:c>
      <x:c r="C319" s="25" t="str">
        <x:v>ㄱ Shape Steel</x:v>
      </x:c>
      <x:c r="D319" s="25" t="str">
        <x:v>ㄱ, 90*90*10mm</x:v>
      </x:c>
      <x:c r="E319" s="22" t="str">
        <x:v>kg</x:v>
      </x:c>
      <x:c r="F319" s="34" t="n">
        <x:v>0.8146337850847961</x:v>
      </x:c>
      <x:c r="G319" s="34" t="n">
        <x:v>0</x:v>
      </x:c>
      <x:c r="H319" s="34" t="n">
        <x:v>0</x:v>
      </x:c>
      <x:c r="I319" s="34" t="n">
        <x:f>SUM(F319:H319)</x:f>
        <x:v>0.8146337850847961</x:v>
      </x:c>
      <x:c r="J319" s="22" t="str">
        <x:v>0.8146337850847961</x:v>
      </x:c>
      <x:c r="K319" s="22" t="str">
        <x:v>55</x:v>
      </x:c>
      <x:c r="L319" s="22" t="str"/>
      <x:c r="M319" s="22" t="str">
        <x:v>단가대비표</x:v>
      </x:c>
      <x:c r="N319" s="37" t="n">
        <x:v>21</x:v>
      </x:c>
      <x:c r="O3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19" s="22" t="str">
        <x:v>47d79c95e2c3273f84778935276c94526e369cc1b1bc057f6b03c998f44e253f</x:v>
      </x:c>
      <x:c r="Q319" s="22" t="str">
        <x:v>=O21+P21+V21</x:v>
      </x:c>
    </x:row>
    <x:row r="320">
      <x:c r="A320" s="22" t="str">
        <x:v>직접자원단가</x:v>
      </x:c>
      <x:c r="B320" s="22" t="str">
        <x:v>43AE2142BE7340A6C26C75BF7E0FA0085E4EE</x:v>
      </x:c>
      <x:c r="C320" s="25" t="str">
        <x:v>일반봉강</x:v>
      </x:c>
      <x:c r="D320" s="25" t="str">
        <x:v>일반봉강, SS400, ∮13mm</x:v>
      </x:c>
      <x:c r="E320" s="22" t="str">
        <x:v>kg</x:v>
      </x:c>
      <x:c r="F320" s="34" t="n">
        <x:v>0.8146337850847961</x:v>
      </x:c>
      <x:c r="G320" s="34" t="n">
        <x:v>0</x:v>
      </x:c>
      <x:c r="H320" s="34" t="n">
        <x:v>0</x:v>
      </x:c>
      <x:c r="I320" s="34" t="n">
        <x:f>SUM(F320:H320)</x:f>
        <x:v>0.8146337850847961</x:v>
      </x:c>
      <x:c r="J320" s="22" t="str">
        <x:v>0.8146337850847961</x:v>
      </x:c>
      <x:c r="K320" s="22" t="str">
        <x:v>50</x:v>
      </x:c>
      <x:c r="L320" s="22" t="str"/>
      <x:c r="M320" s="22" t="str">
        <x:v>단가대비표</x:v>
      </x:c>
      <x:c r="N320" s="37" t="n">
        <x:v>22</x:v>
      </x:c>
      <x:c r="O3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0" s="22" t="str">
        <x:v>47d79c95e2c3273f84778935276c94526e369cc1b1bc057f6b03c998f44e253f</x:v>
      </x:c>
      <x:c r="Q320" s="22" t="str">
        <x:v>=O22+P22+V22</x:v>
      </x:c>
    </x:row>
    <x:row r="321">
      <x:c r="A321" s="22" t="str">
        <x:v>직접자원단가</x:v>
      </x:c>
      <x:c r="B321" s="22" t="str">
        <x:v>43AE2142BE7340A6C26C75BF7E0FA0085E4E2</x:v>
      </x:c>
      <x:c r="C321" s="25" t="str">
        <x:v>일반봉강</x:v>
      </x:c>
      <x:c r="D321" s="25" t="str">
        <x:v>일반봉강, SS400, ∮22mm</x:v>
      </x:c>
      <x:c r="E321" s="22" t="str">
        <x:v>kg</x:v>
      </x:c>
      <x:c r="F321" s="34" t="n">
        <x:v>0.8146337850847961</x:v>
      </x:c>
      <x:c r="G321" s="34" t="n">
        <x:v>0</x:v>
      </x:c>
      <x:c r="H321" s="34" t="n">
        <x:v>0</x:v>
      </x:c>
      <x:c r="I321" s="34" t="n">
        <x:f>SUM(F321:H321)</x:f>
        <x:v>0.8146337850847961</x:v>
      </x:c>
      <x:c r="J321" s="22" t="str">
        <x:v>0.8146337850847961 | 0.8936532622380212</x:v>
      </x:c>
      <x:c r="K321" s="22" t="str">
        <x:v>50 | 18</x:v>
      </x:c>
      <x:c r="L321" s="22" t="str"/>
      <x:c r="M321" s="22" t="str">
        <x:v>단가대비표</x:v>
      </x:c>
      <x:c r="N321" s="37" t="n">
        <x:v>23</x:v>
      </x:c>
      <x:c r="O3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1" s="22" t="str">
        <x:v>47d79c95e2c3273f84778935276c94526e369cc1b1bc057f6b03c998f44e253f</x:v>
      </x:c>
      <x:c r="Q321" s="22" t="str">
        <x:v>=O23+P23+V23</x:v>
      </x:c>
    </x:row>
    <x:row r="322">
      <x:c r="A322" s="22" t="str">
        <x:v>직접자원단가</x:v>
      </x:c>
      <x:c r="B322" s="22" t="str">
        <x:v>43AE2142BE7340A6C26C75BF7E0FA0F0EC58B</x:v>
      </x:c>
      <x:c r="C322" s="25" t="str">
        <x:v>평강</x:v>
      </x:c>
      <x:c r="D322" s="25" t="str">
        <x:v>평강, STS304, 7∼20t*21∼29mm</x:v>
      </x:c>
      <x:c r="E322" s="22" t="str">
        <x:v>TON</x:v>
      </x:c>
      <x:c r="F322" s="34" t="n">
        <x:v>4688.217433163001</x:v>
      </x:c>
      <x:c r="G322" s="34" t="n">
        <x:v>0</x:v>
      </x:c>
      <x:c r="H322" s="34" t="n">
        <x:v>0</x:v>
      </x:c>
      <x:c r="I322" s="34" t="n">
        <x:f>SUM(F322:H322)</x:f>
        <x:v>4688.217433163001</x:v>
      </x:c>
      <x:c r="J322" s="22" t="str">
        <x:v>5946.826631119012 | 4688.217433163001</x:v>
      </x:c>
      <x:c r="K322" s="22" t="str">
        <x:v>75 | 40</x:v>
      </x:c>
      <x:c r="L322" s="22" t="str"/>
      <x:c r="M322" s="22" t="str">
        <x:v>단가대비표</x:v>
      </x:c>
      <x:c r="N322" s="37" t="n">
        <x:v>24</x:v>
      </x:c>
      <x:c r="O3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2" s="22" t="str">
        <x:v>47d79c95e2c3273f84778935276c94526e369cc1b1bc057f6b03c998f44e253f</x:v>
      </x:c>
      <x:c r="Q322" s="22" t="str">
        <x:v>=O24+P24+V24</x:v>
      </x:c>
    </x:row>
    <x:row r="323">
      <x:c r="A323" s="22" t="str">
        <x:v>직접자원단가</x:v>
      </x:c>
      <x:c r="B323" s="22" t="str">
        <x:v>43AE2142BE7340A6C26C75BF7E0FA0F0EC3C2</x:v>
      </x:c>
      <x:c r="C323" s="25" t="str">
        <x:v>평강</x:v>
      </x:c>
      <x:c r="D323" s="25" t="str">
        <x:v>평강, t3*19∼50mm</x:v>
      </x:c>
      <x:c r="E323" s="22" t="str">
        <x:v>kg</x:v>
      </x:c>
      <x:c r="F323" s="34" t="n">
        <x:v>0.8146337850847961</x:v>
      </x:c>
      <x:c r="G323" s="34" t="n">
        <x:v>0</x:v>
      </x:c>
      <x:c r="H323" s="34" t="n">
        <x:v>0</x:v>
      </x:c>
      <x:c r="I323" s="34" t="n">
        <x:f>SUM(F323:H323)</x:f>
        <x:v>0.8146337850847961</x:v>
      </x:c>
      <x:c r="J323" s="22" t="str">
        <x:v>0.8146337850847961 | 0.830926460786492</x:v>
      </x:c>
      <x:c r="K323" s="22" t="str">
        <x:v>52 | 23</x:v>
      </x:c>
      <x:c r="L323" s="22" t="str"/>
      <x:c r="M323" s="22" t="str">
        <x:v>단가대비표</x:v>
      </x:c>
      <x:c r="N323" s="37" t="n">
        <x:v>25</x:v>
      </x:c>
      <x:c r="O3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3" s="22" t="str">
        <x:v>47d79c95e2c3273f84778935276c94526e369cc1b1bc057f6b03c998f44e253f</x:v>
      </x:c>
      <x:c r="Q323" s="22" t="str">
        <x:v>=O25+P25+V25</x:v>
      </x:c>
    </x:row>
    <x:row r="324">
      <x:c r="A324" s="22" t="str">
        <x:v>직접자원단가</x:v>
      </x:c>
      <x:c r="B324" s="22" t="str">
        <x:v>43AE2142BE7340A6C26C75BF7E0FA0F0EC3C1</x:v>
      </x:c>
      <x:c r="C324" s="25" t="str">
        <x:v>평강</x:v>
      </x:c>
      <x:c r="D324" s="25" t="str">
        <x:v>평강, t6*38∼75mm</x:v>
      </x:c>
      <x:c r="E324" s="22" t="str">
        <x:v>kg</x:v>
      </x:c>
      <x:c r="F324" s="34" t="n">
        <x:v>0.7901947715322521</x:v>
      </x:c>
      <x:c r="G324" s="34" t="n">
        <x:v>0</x:v>
      </x:c>
      <x:c r="H324" s="34" t="n">
        <x:v>0</x:v>
      </x:c>
      <x:c r="I324" s="34" t="n">
        <x:f>SUM(F324:H324)</x:f>
        <x:v>0.7901947715322521</x:v>
      </x:c>
      <x:c r="J324" s="22" t="str">
        <x:v>0.7901947715322521 | 0.830926460786492</x:v>
      </x:c>
      <x:c r="K324" s="22" t="str">
        <x:v>52 | 23</x:v>
      </x:c>
      <x:c r="L324" s="22" t="str"/>
      <x:c r="M324" s="22" t="str">
        <x:v>단가대비표</x:v>
      </x:c>
      <x:c r="N324" s="37" t="n">
        <x:v>26</x:v>
      </x:c>
      <x:c r="O3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4" s="22" t="str">
        <x:v>47d79c95e2c3273f84778935276c94526e369cc1b1bc057f6b03c998f44e253f</x:v>
      </x:c>
      <x:c r="Q324" s="22" t="str">
        <x:v>=O26+P26+V26</x:v>
      </x:c>
    </x:row>
    <x:row r="325">
      <x:c r="A325" s="22" t="str">
        <x:v>직접자원단가</x:v>
      </x:c>
      <x:c r="B325" s="22" t="str">
        <x:v>43AE2142BE7340A6C26C6B0926B0C90C06888</x:v>
      </x:c>
      <x:c r="C325" s="25" t="str">
        <x:v>스테인리스강봉</x:v>
      </x:c>
      <x:c r="D325" s="25" t="str">
        <x:v>스테인리스강봉, STS304, ∮13.1∼25.4mm</x:v>
      </x:c>
      <x:c r="E325" s="22" t="str">
        <x:v>kg</x:v>
      </x:c>
      <x:c r="F325" s="34" t="n">
        <x:v>4.561949196474858</x:v>
      </x:c>
      <x:c r="G325" s="34" t="n">
        <x:v>0</x:v>
      </x:c>
      <x:c r="H325" s="34" t="n">
        <x:v>0</x:v>
      </x:c>
      <x:c r="I325" s="34" t="n">
        <x:f>SUM(F325:H325)</x:f>
        <x:v>4.561949196474858</x:v>
      </x:c>
      <x:c r="J325" s="22" t="str">
        <x:v>4.561949196474858 | 4.618973561430794</x:v>
      </x:c>
      <x:c r="K325" s="22" t="str">
        <x:v>75 | 39</x:v>
      </x:c>
      <x:c r="L325" s="22" t="str"/>
      <x:c r="M325" s="22" t="str">
        <x:v>단가대비표</x:v>
      </x:c>
      <x:c r="N325" s="37" t="n">
        <x:v>27</x:v>
      </x:c>
      <x:c r="O3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5" s="22" t="str">
        <x:v>47d79c95e2c3273f84778935276c94526e369cc1b1bc057f6b03c998f44e253f</x:v>
      </x:c>
      <x:c r="Q325" s="22" t="str">
        <x:v>=O27+P27+V27</x:v>
      </x:c>
    </x:row>
    <x:row r="326">
      <x:c r="A326" s="22" t="str">
        <x:v>직접자원단가</x:v>
      </x:c>
      <x:c r="B326" s="22" t="str">
        <x:v>43AE2142BE7340A6C27E35B211B31B0401B47</x:v>
      </x:c>
      <x:c r="C326" s="25" t="str">
        <x:v>[현지기준단가]HD400 t10</x:v>
      </x:c>
      <x:c r="D326" s="25" t="str"/>
      <x:c r="E326" s="22" t="str">
        <x:v>TON</x:v>
      </x:c>
      <x:c r="F326" s="34" t="n">
        <x:v>650</x:v>
      </x:c>
      <x:c r="G326" s="34" t="n">
        <x:v>50</x:v>
      </x:c>
      <x:c r="H326" s="34" t="n">
        <x:v>5</x:v>
      </x:c>
      <x:c r="I326" s="34" t="n">
        <x:f>SUM(F326:H326)</x:f>
        <x:v>705</x:v>
      </x:c>
      <x:c r="J326" s="22" t="str">
        <x:v>650</x:v>
      </x:c>
      <x:c r="K326" s="22" t="str"/>
      <x:c r="L326" s="22" t="str">
        <x:v>※$$$$$$$$$</x:v>
      </x:c>
      <x:c r="M326" s="22" t="str">
        <x:v>단가대비표</x:v>
      </x:c>
      <x:c r="N326" s="37" t="n">
        <x:v>28</x:v>
      </x:c>
      <x:c r="O3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6" s="22" t="str">
        <x:v>47d79c95e2c3273f84778935276c94526e369cc1b1bc057f6b03c998f44e253f</x:v>
      </x:c>
      <x:c r="Q326" s="22" t="str">
        <x:v>=O28+P28+V28</x:v>
      </x:c>
    </x:row>
    <x:row r="327">
      <x:c r="A327" s="22" t="str">
        <x:v>직접자원단가</x:v>
      </x:c>
      <x:c r="B327" s="22" t="str">
        <x:v>43AE2142BE7340A6C27E35B211B31B0401B46</x:v>
      </x:c>
      <x:c r="C327" s="25" t="str">
        <x:v>[현지기준단가]HD400 t12</x:v>
      </x:c>
      <x:c r="D327" s="25" t="str"/>
      <x:c r="E327" s="22" t="str">
        <x:v>TON</x:v>
      </x:c>
      <x:c r="F327" s="34" t="n">
        <x:v>650</x:v>
      </x:c>
      <x:c r="G327" s="34" t="n">
        <x:v>50</x:v>
      </x:c>
      <x:c r="H327" s="34" t="n">
        <x:v>5</x:v>
      </x:c>
      <x:c r="I327" s="34" t="n">
        <x:f>SUM(F327:H327)</x:f>
        <x:v>705</x:v>
      </x:c>
      <x:c r="J327" s="22" t="str">
        <x:v>650</x:v>
      </x:c>
      <x:c r="K327" s="22" t="str"/>
      <x:c r="L327" s="22" t="str">
        <x:v>※$$$$$$$$$</x:v>
      </x:c>
      <x:c r="M327" s="22" t="str">
        <x:v>단가대비표</x:v>
      </x:c>
      <x:c r="N327" s="37" t="n">
        <x:v>29</x:v>
      </x:c>
      <x:c r="O3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7" s="22" t="str">
        <x:v>47d79c95e2c3273f84778935276c94526e369cc1b1bc057f6b03c998f44e253f</x:v>
      </x:c>
      <x:c r="Q327" s="22" t="str">
        <x:v>=O29+P29+V29</x:v>
      </x:c>
    </x:row>
    <x:row r="328">
      <x:c r="A328" s="22" t="str">
        <x:v>직접자원단가</x:v>
      </x:c>
      <x:c r="B328" s="22" t="str">
        <x:v>43AE2142BE7340A6C27E35B211B31B0401B44</x:v>
      </x:c>
      <x:c r="C328" s="25" t="str">
        <x:v>[현지기준단가]HD400 t16</x:v>
      </x:c>
      <x:c r="D328" s="25" t="str"/>
      <x:c r="E328" s="22" t="str">
        <x:v>TON</x:v>
      </x:c>
      <x:c r="F328" s="34" t="n">
        <x:v>650</x:v>
      </x:c>
      <x:c r="G328" s="34" t="n">
        <x:v>50</x:v>
      </x:c>
      <x:c r="H328" s="34" t="n">
        <x:v>5</x:v>
      </x:c>
      <x:c r="I328" s="34" t="n">
        <x:f>SUM(F328:H328)</x:f>
        <x:v>705</x:v>
      </x:c>
      <x:c r="J328" s="22" t="str">
        <x:v>650</x:v>
      </x:c>
      <x:c r="K328" s="22" t="str"/>
      <x:c r="L328" s="22" t="str">
        <x:v>※$$$$$$$$$</x:v>
      </x:c>
      <x:c r="M328" s="22" t="str">
        <x:v>단가대비표</x:v>
      </x:c>
      <x:c r="N328" s="37" t="n">
        <x:v>30</x:v>
      </x:c>
      <x:c r="O3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8" s="22" t="str">
        <x:v>47d79c95e2c3273f84778935276c94526e369cc1b1bc057f6b03c998f44e253f</x:v>
      </x:c>
      <x:c r="Q328" s="22" t="str">
        <x:v>=O30+P30+V30</x:v>
      </x:c>
    </x:row>
    <x:row r="329">
      <x:c r="A329" s="22" t="str">
        <x:v>직접자원단가</x:v>
      </x:c>
      <x:c r="B329" s="22" t="str">
        <x:v>43AE2142BE7340A6C27E35B211B31B0401B43</x:v>
      </x:c>
      <x:c r="C329" s="25" t="str">
        <x:v>[현지기준단가]HD400 t20</x:v>
      </x:c>
      <x:c r="D329" s="25" t="str"/>
      <x:c r="E329" s="22" t="str">
        <x:v>TON</x:v>
      </x:c>
      <x:c r="F329" s="34" t="n">
        <x:v>650</x:v>
      </x:c>
      <x:c r="G329" s="34" t="n">
        <x:v>50</x:v>
      </x:c>
      <x:c r="H329" s="34" t="n">
        <x:v>5</x:v>
      </x:c>
      <x:c r="I329" s="34" t="n">
        <x:f>SUM(F329:H329)</x:f>
        <x:v>705</x:v>
      </x:c>
      <x:c r="J329" s="22" t="str">
        <x:v>650</x:v>
      </x:c>
      <x:c r="K329" s="22" t="str"/>
      <x:c r="L329" s="22" t="str">
        <x:v>※$$$$$$$$$</x:v>
      </x:c>
      <x:c r="M329" s="22" t="str">
        <x:v>단가대비표</x:v>
      </x:c>
      <x:c r="N329" s="37" t="n">
        <x:v>31</x:v>
      </x:c>
      <x:c r="O3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29" s="22" t="str">
        <x:v>47d79c95e2c3273f84778935276c94526e369cc1b1bc057f6b03c998f44e253f</x:v>
      </x:c>
      <x:c r="Q329" s="22" t="str">
        <x:v>=O31+P31+V31</x:v>
      </x:c>
    </x:row>
    <x:row r="330">
      <x:c r="A330" s="22" t="str">
        <x:v>직접자원단가</x:v>
      </x:c>
      <x:c r="B330" s="22" t="str">
        <x:v>43AE2142BE7340A6C27E35B211B31B0401B42</x:v>
      </x:c>
      <x:c r="C330" s="25" t="str">
        <x:v>[현지기준단가]HD400 t25</x:v>
      </x:c>
      <x:c r="D330" s="25" t="str"/>
      <x:c r="E330" s="22" t="str">
        <x:v>TON</x:v>
      </x:c>
      <x:c r="F330" s="34" t="n">
        <x:v>650</x:v>
      </x:c>
      <x:c r="G330" s="34" t="n">
        <x:v>50</x:v>
      </x:c>
      <x:c r="H330" s="34" t="n">
        <x:v>5</x:v>
      </x:c>
      <x:c r="I330" s="34" t="n">
        <x:f>SUM(F330:H330)</x:f>
        <x:v>705</x:v>
      </x:c>
      <x:c r="J330" s="22" t="str">
        <x:v>650</x:v>
      </x:c>
      <x:c r="K330" s="22" t="str"/>
      <x:c r="L330" s="22" t="str">
        <x:v>※$$$$$$$$$</x:v>
      </x:c>
      <x:c r="M330" s="22" t="str">
        <x:v>단가대비표</x:v>
      </x:c>
      <x:c r="N330" s="37" t="n">
        <x:v>32</x:v>
      </x:c>
      <x:c r="O3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0" s="22" t="str">
        <x:v>47d79c95e2c3273f84778935276c94526e369cc1b1bc057f6b03c998f44e253f</x:v>
      </x:c>
      <x:c r="Q330" s="22" t="str">
        <x:v>=O32+P32+V32</x:v>
      </x:c>
    </x:row>
    <x:row r="331">
      <x:c r="A331" s="22" t="str">
        <x:v>직접자원단가</x:v>
      </x:c>
      <x:c r="B331" s="22" t="str">
        <x:v>43AE2142BE7340A7E2CC2FA805827780990BE</x:v>
      </x:c>
      <x:c r="C331" s="25" t="str">
        <x:v>H Shape Steel</x:v>
      </x:c>
      <x:c r="D331" s="25" t="str">
        <x:v>SS275, 150*150*7*10mm</x:v>
      </x:c>
      <x:c r="E331" s="22" t="str">
        <x:v>TON</x:v>
      </x:c>
      <x:c r="F331" s="34" t="n">
        <x:v>1800</x:v>
      </x:c>
      <x:c r="G331" s="34" t="n">
        <x:v>0</x:v>
      </x:c>
      <x:c r="H331" s="34" t="n">
        <x:v>0</x:v>
      </x:c>
      <x:c r="I331" s="34" t="n">
        <x:f>SUM(F331:H331)</x:f>
        <x:v>1800</x:v>
      </x:c>
      <x:c r="J331" s="22" t="str">
        <x:v>1800</x:v>
      </x:c>
      <x:c r="K331" s="22" t="str"/>
      <x:c r="L331" s="22" t="str">
        <x:v>※$$$$$$$$$</x:v>
      </x:c>
      <x:c r="M331" s="22" t="str">
        <x:v>단가대비표</x:v>
      </x:c>
      <x:c r="N331" s="37" t="n">
        <x:v>33</x:v>
      </x:c>
      <x:c r="O3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1" s="22" t="str">
        <x:v>47d79c95e2c3273f84778935276c94526e369cc1b1bc057f6b03c998f44e253f</x:v>
      </x:c>
      <x:c r="Q331" s="22" t="str">
        <x:v>=O33+P33+V33</x:v>
      </x:c>
    </x:row>
    <x:row r="332">
      <x:c r="A332" s="22" t="str">
        <x:v>직접자원단가</x:v>
      </x:c>
      <x:c r="B332" s="22" t="str">
        <x:v>43AE2142BE7340A7E2CC2FA805827780990B0</x:v>
      </x:c>
      <x:c r="C332" s="25" t="str">
        <x:v>H Shape Steel</x:v>
      </x:c>
      <x:c r="D332" s="25" t="str">
        <x:v>SS275, 194*150*6*9mm</x:v>
      </x:c>
      <x:c r="E332" s="22" t="str">
        <x:v>TON</x:v>
      </x:c>
      <x:c r="F332" s="34" t="n">
        <x:v>1800</x:v>
      </x:c>
      <x:c r="G332" s="34" t="n">
        <x:v>0</x:v>
      </x:c>
      <x:c r="H332" s="34" t="n">
        <x:v>0</x:v>
      </x:c>
      <x:c r="I332" s="34" t="n">
        <x:f>SUM(F332:H332)</x:f>
        <x:v>1800</x:v>
      </x:c>
      <x:c r="J332" s="22" t="str">
        <x:v>1800</x:v>
      </x:c>
      <x:c r="K332" s="22" t="str"/>
      <x:c r="L332" s="22" t="str">
        <x:v>※$$$$$$$$$</x:v>
      </x:c>
      <x:c r="M332" s="22" t="str">
        <x:v>단가대비표</x:v>
      </x:c>
      <x:c r="N332" s="37" t="n">
        <x:v>34</x:v>
      </x:c>
      <x:c r="O3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2" s="22" t="str">
        <x:v>47d79c95e2c3273f84778935276c94526e369cc1b1bc057f6b03c998f44e253f</x:v>
      </x:c>
      <x:c r="Q332" s="22" t="str">
        <x:v>=O34+P34+V34</x:v>
      </x:c>
    </x:row>
    <x:row r="333">
      <x:c r="A333" s="22" t="str">
        <x:v>직접자원단가</x:v>
      </x:c>
      <x:c r="B333" s="22" t="str">
        <x:v>43AE2142BE734376C290839F524C0674D5276</x:v>
      </x:c>
      <x:c r="C333" s="25" t="str">
        <x:v>무늬강판</x:v>
      </x:c>
      <x:c r="D333" s="25" t="str">
        <x:v>무늬강판, 4.5mm</x:v>
      </x:c>
      <x:c r="E333" s="22" t="str">
        <x:v>kg</x:v>
      </x:c>
      <x:c r="F333" s="34" t="n">
        <x:v>0.7576094201288603</x:v>
      </x:c>
      <x:c r="G333" s="34" t="n">
        <x:v>0</x:v>
      </x:c>
      <x:c r="H333" s="34" t="n">
        <x:v>0</x:v>
      </x:c>
      <x:c r="I333" s="34" t="n">
        <x:f>SUM(F333:H333)</x:f>
        <x:v>0.7576094201288603</x:v>
      </x:c>
      <x:c r="J333" s="22" t="str">
        <x:v>0.7576094201288603 | 0.7983411093831002 | 0.7676294156854033</x:v>
      </x:c>
      <x:c r="K333" s="22" t="str">
        <x:v>68 | 31</x:v>
      </x:c>
      <x:c r="L333" s="22" t="str"/>
      <x:c r="M333" s="22" t="str">
        <x:v>단가대비표</x:v>
      </x:c>
      <x:c r="N333" s="37" t="n">
        <x:v>35</x:v>
      </x:c>
      <x:c r="O3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3" s="22" t="str">
        <x:v>47d79c95e2c3273f84778935276c94526e369cc1b1bc057f6b03c998f44e253f</x:v>
      </x:c>
      <x:c r="Q333" s="22" t="str">
        <x:v>=O35+P35+V35</x:v>
      </x:c>
    </x:row>
    <x:row r="334">
      <x:c r="A334" s="22" t="str">
        <x:v>직접자원단가</x:v>
      </x:c>
      <x:c r="B334" s="22" t="str">
        <x:v>43AE2142BE734376C290839F524C066BF5CEA</x:v>
      </x:c>
      <x:c r="C334" s="25" t="str">
        <x:v>일반구조용압연강판</x:v>
      </x:c>
      <x:c r="D334" s="25" t="str">
        <x:v>일반구조용압연강판, 4.5∼6.0mm</x:v>
      </x:c>
      <x:c r="E334" s="22" t="str">
        <x:v>kg</x:v>
      </x:c>
      <x:c r="F334" s="34" t="n">
        <x:v>0.6842923794712287</x:v>
      </x:c>
      <x:c r="G334" s="34" t="n">
        <x:v>0</x:v>
      </x:c>
      <x:c r="H334" s="34" t="n">
        <x:v>0</x:v>
      </x:c>
      <x:c r="I334" s="34" t="n">
        <x:f>SUM(F334:H334)</x:f>
        <x:v>0.6842923794712287</x:v>
      </x:c>
      <x:c r="J334" s="22" t="str">
        <x:v>0.6842923794712287 | 0.7168777308746205</x:v>
      </x:c>
      <x:c r="K334" s="22" t="str">
        <x:v>63</x:v>
      </x:c>
      <x:c r="L334" s="22" t="str"/>
      <x:c r="M334" s="22" t="str">
        <x:v>단가대비표</x:v>
      </x:c>
      <x:c r="N334" s="37" t="n">
        <x:v>36</x:v>
      </x:c>
      <x:c r="O3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4" s="22" t="str">
        <x:v>47d79c95e2c3273f84778935276c94526e369cc1b1bc057f6b03c998f44e253f</x:v>
      </x:c>
      <x:c r="Q334" s="22" t="str">
        <x:v>=O36+P36+V36</x:v>
      </x:c>
    </x:row>
    <x:row r="335">
      <x:c r="A335" s="22" t="str">
        <x:v>직접자원단가</x:v>
      </x:c>
      <x:c r="B335" s="22" t="str">
        <x:v>43AE2142BE734376C290839F524C066BE4C9F</x:v>
      </x:c>
      <x:c r="C335" s="25" t="str">
        <x:v>일반구조용압연강판</x:v>
      </x:c>
      <x:c r="D335" s="25" t="str">
        <x:v>일반구조용압연강판, 9.0mm 이상</x:v>
      </x:c>
      <x:c r="E335" s="22" t="str">
        <x:v>kg</x:v>
      </x:c>
      <x:c r="F335" s="34" t="n">
        <x:v>0.7462045471376731</x:v>
      </x:c>
      <x:c r="G335" s="34" t="n">
        <x:v>0</x:v>
      </x:c>
      <x:c r="H335" s="34" t="n">
        <x:v>0</x:v>
      </x:c>
      <x:c r="I335" s="34" t="n">
        <x:f>SUM(F335:H335)</x:f>
        <x:v>0.7462045471376731</x:v>
      </x:c>
      <x:c r="J335" s="22" t="str">
        <x:v>0.7462045471376731 | 0.7621713693253351</x:v>
      </x:c>
      <x:c r="K335" s="22" t="str">
        <x:v>62</x:v>
      </x:c>
      <x:c r="L335" s="22" t="str"/>
      <x:c r="M335" s="22" t="str">
        <x:v>단가대비표</x:v>
      </x:c>
      <x:c r="N335" s="37" t="n">
        <x:v>37</x:v>
      </x:c>
      <x:c r="O3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5" s="22" t="str">
        <x:v>47d79c95e2c3273f84778935276c94526e369cc1b1bc057f6b03c998f44e253f</x:v>
      </x:c>
      <x:c r="Q335" s="22" t="str">
        <x:v>=O37+P37+V37</x:v>
      </x:c>
    </x:row>
    <x:row r="336">
      <x:c r="A336" s="22" t="str">
        <x:v>직접자원단가</x:v>
      </x:c>
      <x:c r="B336" s="22" t="str">
        <x:v>43AE2142BE734376C290839F524C066BE4C9E</x:v>
      </x:c>
      <x:c r="C336" s="25" t="str">
        <x:v>일반구조용압연강판</x:v>
      </x:c>
      <x:c r="D336" s="25" t="str">
        <x:v>일반구조용압연강판, 1.2mm</x:v>
      </x:c>
      <x:c r="E336" s="22" t="str">
        <x:v>kg</x:v>
      </x:c>
      <x:c r="F336" s="34" t="n">
        <x:v>0.7621713693253351</x:v>
      </x:c>
      <x:c r="G336" s="34" t="n">
        <x:v>0</x:v>
      </x:c>
      <x:c r="H336" s="34" t="n">
        <x:v>0</x:v>
      </x:c>
      <x:c r="I336" s="34" t="n">
        <x:f>SUM(F336:H336)</x:f>
        <x:v>0.7621713693253351</x:v>
      </x:c>
      <x:c r="J336" s="22" t="str">
        <x:v>0.7621713693253351</x:v>
      </x:c>
      <x:c r="K336" s="22" t="str">
        <x:v>62</x:v>
      </x:c>
      <x:c r="L336" s="22" t="str"/>
      <x:c r="M336" s="22" t="str">
        <x:v>단가대비표</x:v>
      </x:c>
      <x:c r="N336" s="37" t="n">
        <x:v>38</x:v>
      </x:c>
      <x:c r="O3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6" s="22" t="str">
        <x:v>47d79c95e2c3273f84778935276c94526e369cc1b1bc057f6b03c998f44e253f</x:v>
      </x:c>
      <x:c r="Q336" s="22" t="str">
        <x:v>=O38+P38+V38</x:v>
      </x:c>
    </x:row>
    <x:row r="337">
      <x:c r="A337" s="22" t="str">
        <x:v>직접자원단가</x:v>
      </x:c>
      <x:c r="B337" s="22" t="str">
        <x:v>43AE2142BE734376C290839F524C066BE4C9C</x:v>
      </x:c>
      <x:c r="C337" s="25" t="str">
        <x:v>일반구조용압연강판</x:v>
      </x:c>
      <x:c r="D337" s="25" t="str">
        <x:v>일반구조용압연강판, 1.6mm</x:v>
      </x:c>
      <x:c r="E337" s="22" t="str">
        <x:v>kg</x:v>
      </x:c>
      <x:c r="F337" s="34" t="n">
        <x:v>0.7543508849885212</x:v>
      </x:c>
      <x:c r="G337" s="34" t="n">
        <x:v>0</x:v>
      </x:c>
      <x:c r="H337" s="34" t="n">
        <x:v>0</x:v>
      </x:c>
      <x:c r="I337" s="34" t="n">
        <x:f>SUM(F337:H337)</x:f>
        <x:v>0.7543508849885212</x:v>
      </x:c>
      <x:c r="J337" s="22" t="str">
        <x:v>0.7543508849885212 | 0.7705620973117087</x:v>
      </x:c>
      <x:c r="K337" s="22" t="str">
        <x:v>62</x:v>
      </x:c>
      <x:c r="L337" s="22" t="str"/>
      <x:c r="M337" s="22" t="str">
        <x:v>단가대비표</x:v>
      </x:c>
      <x:c r="N337" s="37" t="n">
        <x:v>39</x:v>
      </x:c>
      <x:c r="O3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7" s="22" t="str">
        <x:v>47d79c95e2c3273f84778935276c94526e369cc1b1bc057f6b03c998f44e253f</x:v>
      </x:c>
      <x:c r="Q337" s="22" t="str">
        <x:v>=O39+P39+V39</x:v>
      </x:c>
    </x:row>
    <x:row r="338">
      <x:c r="A338" s="22" t="str">
        <x:v>직접자원단가</x:v>
      </x:c>
      <x:c r="B338" s="22" t="str">
        <x:v>43AE2142BE734376C290839F524C066BE4C9B</x:v>
      </x:c>
      <x:c r="C338" s="25" t="str">
        <x:v>일반구조용압연강판</x:v>
      </x:c>
      <x:c r="D338" s="25" t="str">
        <x:v>일반구조용압연강판, 2.3mm</x:v>
      </x:c>
      <x:c r="E338" s="22" t="str">
        <x:v>kg</x:v>
      </x:c>
      <x:c r="F338" s="34" t="n">
        <x:v>0.7608679552691995</x:v>
      </x:c>
      <x:c r="G338" s="34" t="n">
        <x:v>0</x:v>
      </x:c>
      <x:c r="H338" s="34" t="n">
        <x:v>0</x:v>
      </x:c>
      <x:c r="I338" s="34" t="n">
        <x:f>SUM(F338:H338)</x:f>
        <x:v>0.7608679552691995</x:v>
      </x:c>
      <x:c r="J338" s="22" t="str">
        <x:v>0.7608679552691995</x:v>
      </x:c>
      <x:c r="K338" s="22" t="str">
        <x:v>62</x:v>
      </x:c>
      <x:c r="L338" s="22" t="str"/>
      <x:c r="M338" s="22" t="str">
        <x:v>단가대비표</x:v>
      </x:c>
      <x:c r="N338" s="37" t="n">
        <x:v>40</x:v>
      </x:c>
      <x:c r="O3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8" s="22" t="str">
        <x:v>47d79c95e2c3273f84778935276c94526e369cc1b1bc057f6b03c998f44e253f</x:v>
      </x:c>
      <x:c r="Q338" s="22" t="str">
        <x:v>=O40+P40+V40</x:v>
      </x:c>
    </x:row>
    <x:row r="339">
      <x:c r="A339" s="22" t="str">
        <x:v>직접자원단가</x:v>
      </x:c>
      <x:c r="B339" s="22" t="str">
        <x:v>43AE2142BE734376C290839F7D15DB8914C70</x:v>
      </x:c>
      <x:c r="C339" s="25" t="str">
        <x:v>Steel Plate</x:v>
      </x:c>
      <x:c r="D339" s="25" t="str">
        <x:v>SS275, 9.0mm</x:v>
      </x:c>
      <x:c r="E339" s="22" t="str">
        <x:v>TON</x:v>
      </x:c>
      <x:c r="F339" s="34" t="n">
        <x:v>1300</x:v>
      </x:c>
      <x:c r="G339" s="34" t="n">
        <x:v>0</x:v>
      </x:c>
      <x:c r="H339" s="34" t="n">
        <x:v>0</x:v>
      </x:c>
      <x:c r="I339" s="34" t="n">
        <x:f>SUM(F339:H339)</x:f>
        <x:v>1300</x:v>
      </x:c>
      <x:c r="J339" s="22" t="str">
        <x:v>1300</x:v>
      </x:c>
      <x:c r="K339" s="22" t="str"/>
      <x:c r="L339" s="22" t="str">
        <x:v>※$$$$$$$$$</x:v>
      </x:c>
      <x:c r="M339" s="22" t="str">
        <x:v>단가대비표</x:v>
      </x:c>
      <x:c r="N339" s="37" t="n">
        <x:v>41</x:v>
      </x:c>
      <x:c r="O3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39" s="22" t="str">
        <x:v>47d79c95e2c3273f84778935276c94526e369cc1b1bc057f6b03c998f44e253f</x:v>
      </x:c>
      <x:c r="Q339" s="22" t="str">
        <x:v>=O41+P41+V41</x:v>
      </x:c>
    </x:row>
    <x:row r="340">
      <x:c r="A340" s="22" t="str">
        <x:v>직접자원단가</x:v>
      </x:c>
      <x:c r="B340" s="22" t="str">
        <x:v>43AE2142BE734376C290839F7D15DB8914D19</x:v>
      </x:c>
      <x:c r="C340" s="25" t="str">
        <x:v>Steel Plate</x:v>
      </x:c>
      <x:c r="D340" s="25" t="str">
        <x:v>SS275, 16mm</x:v>
      </x:c>
      <x:c r="E340" s="22" t="str">
        <x:v>TON</x:v>
      </x:c>
      <x:c r="F340" s="34" t="n">
        <x:v>1300</x:v>
      </x:c>
      <x:c r="G340" s="34" t="n">
        <x:v>0</x:v>
      </x:c>
      <x:c r="H340" s="34" t="n">
        <x:v>0</x:v>
      </x:c>
      <x:c r="I340" s="34" t="n">
        <x:f>SUM(F340:H340)</x:f>
        <x:v>1300</x:v>
      </x:c>
      <x:c r="J340" s="22" t="str">
        <x:v>1300</x:v>
      </x:c>
      <x:c r="K340" s="22" t="str"/>
      <x:c r="L340" s="22" t="str">
        <x:v>※$$$$$$$$$</x:v>
      </x:c>
      <x:c r="M340" s="22" t="str">
        <x:v>단가대비표</x:v>
      </x:c>
      <x:c r="N340" s="37" t="n">
        <x:v>42</x:v>
      </x:c>
      <x:c r="O3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0" s="22" t="str">
        <x:v>47d79c95e2c3273f84778935276c94526e369cc1b1bc057f6b03c998f44e253f</x:v>
      </x:c>
      <x:c r="Q340" s="22" t="str">
        <x:v>=O42+P42+V42</x:v>
      </x:c>
    </x:row>
    <x:row r="341">
      <x:c r="A341" s="22" t="str">
        <x:v>직접자원단가</x:v>
      </x:c>
      <x:c r="B341" s="22" t="str">
        <x:v>43AE2142BE734376C290839F7D15DB8914D16</x:v>
      </x:c>
      <x:c r="C341" s="25" t="str">
        <x:v>Steel Plate</x:v>
      </x:c>
      <x:c r="D341" s="25" t="str">
        <x:v>SS275, 19mm</x:v>
      </x:c>
      <x:c r="E341" s="22" t="str">
        <x:v>TON</x:v>
      </x:c>
      <x:c r="F341" s="34" t="n">
        <x:v>1300</x:v>
      </x:c>
      <x:c r="G341" s="34" t="n">
        <x:v>0</x:v>
      </x:c>
      <x:c r="H341" s="34" t="n">
        <x:v>0</x:v>
      </x:c>
      <x:c r="I341" s="34" t="n">
        <x:f>SUM(F341:H341)</x:f>
        <x:v>1300</x:v>
      </x:c>
      <x:c r="J341" s="22" t="str">
        <x:v>1300</x:v>
      </x:c>
      <x:c r="K341" s="22" t="str"/>
      <x:c r="L341" s="22" t="str">
        <x:v>※$$$$$$$$$</x:v>
      </x:c>
      <x:c r="M341" s="22" t="str">
        <x:v>단가대비표</x:v>
      </x:c>
      <x:c r="N341" s="37" t="n">
        <x:v>43</x:v>
      </x:c>
      <x:c r="O3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1" s="22" t="str">
        <x:v>47d79c95e2c3273f84778935276c94526e369cc1b1bc057f6b03c998f44e253f</x:v>
      </x:c>
      <x:c r="Q341" s="22" t="str">
        <x:v>=O43+P43+V43</x:v>
      </x:c>
    </x:row>
    <x:row r="342">
      <x:c r="A342" s="22" t="str">
        <x:v>직접자원단가</x:v>
      </x:c>
      <x:c r="B342" s="22" t="str">
        <x:v>43AE2142BE734376C2909C006728A8050D8A8</x:v>
      </x:c>
      <x:c r="C342" s="25" t="str">
        <x:v>스테인리스강판</x:v>
      </x:c>
      <x:c r="D342" s="25" t="str">
        <x:v>스테인리스강판, STS304, 1.2mm</x:v>
      </x:c>
      <x:c r="E342" s="22" t="str">
        <x:v>kg</x:v>
      </x:c>
      <x:c r="F342" s="34" t="n">
        <x:v>2.879730430274754</x:v>
      </x:c>
      <x:c r="G342" s="34" t="n">
        <x:v>0</x:v>
      </x:c>
      <x:c r="H342" s="34" t="n">
        <x:v>0</x:v>
      </x:c>
      <x:c r="I342" s="34" t="n">
        <x:f>SUM(F342:H342)</x:f>
        <x:v>2.879730430274754</x:v>
      </x:c>
      <x:c r="J342" s="22" t="str">
        <x:v>3.0141450048137455 | 3.054876694067985 | 2.879730430274754</x:v>
      </x:c>
      <x:c r="K342" s="22" t="str">
        <x:v>72 | 36</x:v>
      </x:c>
      <x:c r="L342" s="22" t="str"/>
      <x:c r="M342" s="22" t="str">
        <x:v>단가대비표</x:v>
      </x:c>
      <x:c r="N342" s="37" t="n">
        <x:v>44</x:v>
      </x:c>
      <x:c r="O3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2" s="22" t="str">
        <x:v>47d79c95e2c3273f84778935276c94526e369cc1b1bc057f6b03c998f44e253f</x:v>
      </x:c>
      <x:c r="Q342" s="22" t="str">
        <x:v>=O44+P44+V44</x:v>
      </x:c>
    </x:row>
    <x:row r="343">
      <x:c r="A343" s="22" t="str">
        <x:v>직접자원단가</x:v>
      </x:c>
      <x:c r="B343" s="22" t="str">
        <x:v>43AE2142BE734376C2909C006728A8050D8A9</x:v>
      </x:c>
      <x:c r="C343" s="25" t="str">
        <x:v>스테인리스강판</x:v>
      </x:c>
      <x:c r="D343" s="25" t="str">
        <x:v>스테인리스강판, STS304, 1.5mm</x:v>
      </x:c>
      <x:c r="E343" s="22" t="str">
        <x:v>kg</x:v>
      </x:c>
      <x:c r="F343" s="34" t="n">
        <x:v>2.8381841072354295</x:v>
      </x:c>
      <x:c r="G343" s="34" t="n">
        <x:v>0</x:v>
      </x:c>
      <x:c r="H343" s="34" t="n">
        <x:v>0</x:v>
      </x:c>
      <x:c r="I343" s="34" t="n">
        <x:f>SUM(F343:H343)</x:f>
        <x:v>2.8381841072354295</x:v>
      </x:c>
      <x:c r="J343" s="22" t="str">
        <x:v>2.9734133155595055 | 3.0141450048137455 | 2.8381841072354295</x:v>
      </x:c>
      <x:c r="K343" s="22" t="str">
        <x:v>72 | 36</x:v>
      </x:c>
      <x:c r="L343" s="22" t="str"/>
      <x:c r="M343" s="22" t="str">
        <x:v>단가대비표</x:v>
      </x:c>
      <x:c r="N343" s="37" t="n">
        <x:v>45</x:v>
      </x:c>
      <x:c r="O3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3" s="22" t="str">
        <x:v>47d79c95e2c3273f84778935276c94526e369cc1b1bc057f6b03c998f44e253f</x:v>
      </x:c>
      <x:c r="Q343" s="22" t="str">
        <x:v>=O45+P45+V45</x:v>
      </x:c>
    </x:row>
    <x:row r="344">
      <x:c r="A344" s="22" t="str">
        <x:v>직접자원단가</x:v>
      </x:c>
      <x:c r="B344" s="22" t="str">
        <x:v>43AE2142BE734376C2909C006728A8050D8AA</x:v>
      </x:c>
      <x:c r="C344" s="25" t="str">
        <x:v>스테인리스강판</x:v>
      </x:c>
      <x:c r="D344" s="25" t="str">
        <x:v>스테인리스강판, STS304, 2.0mm</x:v>
      </x:c>
      <x:c r="E344" s="22" t="str">
        <x:v>kg</x:v>
      </x:c>
      <x:c r="F344" s="34" t="n">
        <x:v>2.755906094941865</x:v>
      </x:c>
      <x:c r="G344" s="34" t="n">
        <x:v>0</x:v>
      </x:c>
      <x:c r="H344" s="34" t="n">
        <x:v>0</x:v>
      </x:c>
      <x:c r="I344" s="34" t="n">
        <x:f>SUM(F344:H344)</x:f>
        <x:v>2.755906094941865</x:v>
      </x:c>
      <x:c r="J344" s="22" t="str">
        <x:v>2.769754869288307 | 3.095608383322225 | 2.755906094941865</x:v>
      </x:c>
      <x:c r="K344" s="22" t="str">
        <x:v>73 | 36</x:v>
      </x:c>
      <x:c r="L344" s="22" t="str"/>
      <x:c r="M344" s="22" t="str">
        <x:v>단가대비표</x:v>
      </x:c>
      <x:c r="N344" s="37" t="n">
        <x:v>46</x:v>
      </x:c>
      <x:c r="O3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4" s="22" t="str">
        <x:v>47d79c95e2c3273f84778935276c94526e369cc1b1bc057f6b03c998f44e253f</x:v>
      </x:c>
      <x:c r="Q344" s="22" t="str">
        <x:v>=O46+P46+V46</x:v>
      </x:c>
    </x:row>
    <x:row r="345">
      <x:c r="A345" s="22" t="str">
        <x:v>직접자원단가</x:v>
      </x:c>
      <x:c r="B345" s="22" t="str">
        <x:v>43AE2142BE734376C2909C006728A8050DB7D</x:v>
      </x:c>
      <x:c r="C345" s="25" t="str">
        <x:v>스테인리스강판</x:v>
      </x:c>
      <x:c r="D345" s="25" t="str">
        <x:v>스테인리스강판, STS304, 3.0mm</x:v>
      </x:c>
      <x:c r="E345" s="22" t="str">
        <x:v>kg</x:v>
      </x:c>
      <x:c r="F345" s="34" t="n">
        <x:v>2.9326816263052655</x:v>
      </x:c>
      <x:c r="G345" s="34" t="n">
        <x:v>0</x:v>
      </x:c>
      <x:c r="H345" s="34" t="n">
        <x:v>0</x:v>
      </x:c>
      <x:c r="I345" s="34" t="n">
        <x:f>SUM(F345:H345)</x:f>
        <x:v>2.9326816263052655</x:v>
      </x:c>
      <x:c r="J345" s="22" t="str">
        <x:v>2.9326816263052655 | 2.9326816263052655 | 3.1265644671554473</x:v>
      </x:c>
      <x:c r="K345" s="22" t="str">
        <x:v>72 | 36</x:v>
      </x:c>
      <x:c r="L345" s="22" t="str"/>
      <x:c r="M345" s="22" t="str">
        <x:v>단가대비표</x:v>
      </x:c>
      <x:c r="N345" s="37" t="n">
        <x:v>47</x:v>
      </x:c>
      <x:c r="O3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5" s="22" t="str">
        <x:v>47d79c95e2c3273f84778935276c94526e369cc1b1bc057f6b03c998f44e253f</x:v>
      </x:c>
      <x:c r="Q345" s="22" t="str">
        <x:v>=O47+P47+V47</x:v>
      </x:c>
    </x:row>
    <x:row r="346">
      <x:c r="A346" s="22" t="str">
        <x:v>직접자원단가</x:v>
      </x:c>
      <x:c r="B346" s="22" t="str">
        <x:v>43AE2142BE734376C29056516458DDEAC104B</x:v>
      </x:c>
      <x:c r="C346" s="25" t="str">
        <x:v>동판</x:v>
      </x:c>
      <x:c r="D346" s="25" t="str">
        <x:v>동판, C1100P, 1.0mm</x:v>
      </x:c>
      <x:c r="E346" s="22" t="str">
        <x:v>kg</x:v>
      </x:c>
      <x:c r="F346" s="34" t="n">
        <x:v>12.333555506183812</x:v>
      </x:c>
      <x:c r="G346" s="34" t="n">
        <x:v>0</x:v>
      </x:c>
      <x:c r="H346" s="34" t="n">
        <x:v>0</x:v>
      </x:c>
      <x:c r="I346" s="34" t="n">
        <x:f>SUM(F346:H346)</x:f>
        <x:v>12.333555506183812</x:v>
      </x:c>
      <x:c r="J346" s="22" t="str">
        <x:v>13.685847589424574 | 12.333555506183812</x:v>
      </x:c>
      <x:c r="K346" s="22" t="str">
        <x:v>79 | 46</x:v>
      </x:c>
      <x:c r="L346" s="22" t="str"/>
      <x:c r="M346" s="22" t="str">
        <x:v>단가대비표</x:v>
      </x:c>
      <x:c r="N346" s="37" t="n">
        <x:v>48</x:v>
      </x:c>
      <x:c r="O3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6" s="22" t="str">
        <x:v>47d79c95e2c3273f84778935276c94526e369cc1b1bc057f6b03c998f44e253f</x:v>
      </x:c>
      <x:c r="Q346" s="22" t="str">
        <x:v>=O48+P48+V48</x:v>
      </x:c>
    </x:row>
    <x:row r="347">
      <x:c r="A347" s="22" t="str">
        <x:v>직접자원단가</x:v>
      </x:c>
      <x:c r="B347" s="22" t="str">
        <x:v>43AE2142BE734376C29056516458DDEAC1045</x:v>
      </x:c>
      <x:c r="C347" s="25" t="str">
        <x:v>동판</x:v>
      </x:c>
      <x:c r="D347" s="25" t="str">
        <x:v>동판, C1100P, 2.0mm</x:v>
      </x:c>
      <x:c r="E347" s="22" t="str">
        <x:v>kg</x:v>
      </x:c>
      <x:c r="F347" s="34" t="n">
        <x:v>12.333555506183812</x:v>
      </x:c>
      <x:c r="G347" s="34" t="n">
        <x:v>0</x:v>
      </x:c>
      <x:c r="H347" s="34" t="n">
        <x:v>0</x:v>
      </x:c>
      <x:c r="I347" s="34" t="n">
        <x:f>SUM(F347:H347)</x:f>
        <x:v>12.333555506183812</x:v>
      </x:c>
      <x:c r="J347" s="22" t="str">
        <x:v>13.685847589424574 | 12.333555506183812</x:v>
      </x:c>
      <x:c r="K347" s="22" t="str">
        <x:v>79 | 46</x:v>
      </x:c>
      <x:c r="L347" s="22" t="str"/>
      <x:c r="M347" s="22" t="str">
        <x:v>단가대비표</x:v>
      </x:c>
      <x:c r="N347" s="37" t="n">
        <x:v>49</x:v>
      </x:c>
      <x:c r="O3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7" s="22" t="str">
        <x:v>47d79c95e2c3273f84778935276c94526e369cc1b1bc057f6b03c998f44e253f</x:v>
      </x:c>
      <x:c r="Q347" s="22" t="str">
        <x:v>=O49+P49+V49</x:v>
      </x:c>
    </x:row>
    <x:row r="348">
      <x:c r="A348" s="22" t="str">
        <x:v>직접자원단가</x:v>
      </x:c>
      <x:c r="B348" s="22" t="str">
        <x:v>43AE2142BE734376C28625AD15EE5E48FB0E3</x:v>
      </x:c>
      <x:c r="C348" s="25" t="str">
        <x:v>슬래브용속빈PC판</x:v>
      </x:c>
      <x:c r="D348" s="25" t="str">
        <x:v>슬래브용속빈PC판, 스판크리트, 150mm(30)</x:v>
      </x:c>
      <x:c r="E348" s="22" t="str">
        <x:v>M2</x:v>
      </x:c>
      <x:c r="F348" s="34" t="n">
        <x:v>82.2780122935644</x:v>
      </x:c>
      <x:c r="G348" s="34" t="n">
        <x:v>0</x:v>
      </x:c>
      <x:c r="H348" s="34" t="n">
        <x:v>0</x:v>
      </x:c>
      <x:c r="I348" s="34" t="n">
        <x:f>SUM(F348:H348)</x:f>
        <x:v>82.2780122935644</x:v>
      </x:c>
      <x:c r="J348" s="22" t="str">
        <x:v>82.2780122935644</x:v>
      </x:c>
      <x:c r="K348" s="22" t="str">
        <x:v>448</x:v>
      </x:c>
      <x:c r="L348" s="22" t="str"/>
      <x:c r="M348" s="22" t="str">
        <x:v>단가대비표</x:v>
      </x:c>
      <x:c r="N348" s="37" t="n">
        <x:v>50</x:v>
      </x:c>
      <x:c r="O3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8" s="22" t="str">
        <x:v>47d79c95e2c3273f84778935276c94526e369cc1b1bc057f6b03c998f44e253f</x:v>
      </x:c>
      <x:c r="Q348" s="22" t="str">
        <x:v>=O50+P50+V50</x:v>
      </x:c>
    </x:row>
    <x:row r="349">
      <x:c r="A349" s="22" t="str">
        <x:v>직접자원단가</x:v>
      </x:c>
      <x:c r="B349" s="22" t="str">
        <x:v>43AE2142BE7343714281DD3BC5B3CC1DF69FB</x:v>
      </x:c>
      <x:c r="C349" s="25" t="str">
        <x:v>아연도금</x:v>
      </x:c>
      <x:c r="D349" s="25" t="str"/>
      <x:c r="E349" s="22" t="str">
        <x:v>kg</x:v>
      </x:c>
      <x:c r="F349" s="34" t="n">
        <x:v>0.0019551210842035107</x:v>
      </x:c>
      <x:c r="G349" s="34" t="n">
        <x:v>0</x:v>
      </x:c>
      <x:c r="H349" s="34" t="n">
        <x:v>0</x:v>
      </x:c>
      <x:c r="I349" s="34" t="n">
        <x:f>SUM(F349:H349)</x:f>
        <x:v>0.0019551210842035107</x:v>
      </x:c>
      <x:c r="J349" s="22" t="str">
        <x:v>0.0019551210842035107</x:v>
      </x:c>
      <x:c r="K349" s="22" t="str"/>
      <x:c r="L349" s="22" t="str"/>
      <x:c r="M349" s="22" t="str">
        <x:v>단가대비표</x:v>
      </x:c>
      <x:c r="N349" s="37" t="n">
        <x:v>51</x:v>
      </x:c>
      <x:c r="O3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49" s="22" t="str">
        <x:v>47d79c95e2c3273f84778935276c94526e369cc1b1bc057f6b03c998f44e253f</x:v>
      </x:c>
      <x:c r="Q349" s="22" t="str">
        <x:v>=O51+P51+V51</x:v>
      </x:c>
    </x:row>
    <x:row r="350">
      <x:c r="A350" s="22" t="str">
        <x:v>직접자원단가</x:v>
      </x:c>
      <x:c r="B350" s="22" t="str">
        <x:v>43AE2142BE73426FD285A45EEA96BAC86EC05</x:v>
      </x:c>
      <x:c r="C350" s="25" t="str">
        <x:v>스틸그레이팅</x:v>
      </x:c>
      <x:c r="D350" s="25" t="str">
        <x:v>상판용, I-25*5*3, 995*1000mm</x:v>
      </x:c>
      <x:c r="E350" s="22" t="str">
        <x:v>M2</x:v>
      </x:c>
      <x:c r="F350" s="34" t="n">
        <x:v>76.73850255498778</x:v>
      </x:c>
      <x:c r="G350" s="34" t="n">
        <x:v>0</x:v>
      </x:c>
      <x:c r="H350" s="34" t="n">
        <x:v>0</x:v>
      </x:c>
      <x:c r="I350" s="34" t="n">
        <x:f>SUM(F350:H350)</x:f>
        <x:v>76.73850255498778</x:v>
      </x:c>
      <x:c r="J350" s="22" t="str">
        <x:v>76.73850255498778 | 76.73850255498778</x:v>
      </x:c>
      <x:c r="K350" s="22" t="str">
        <x:v>238 | 209</x:v>
      </x:c>
      <x:c r="L350" s="22" t="str">
        <x:v>공장상차도</x:v>
      </x:c>
      <x:c r="M350" s="22" t="str">
        <x:v>단가대비표</x:v>
      </x:c>
      <x:c r="N350" s="37" t="n">
        <x:v>52</x:v>
      </x:c>
      <x:c r="O3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0" s="22" t="str">
        <x:v>47d79c95e2c3273f84778935276c94526e369cc1b1bc057f6b03c998f44e253f</x:v>
      </x:c>
      <x:c r="Q350" s="22" t="str">
        <x:v>=O52+P52+V52</x:v>
      </x:c>
    </x:row>
    <x:row r="351">
      <x:c r="A351" s="22" t="str">
        <x:v>직접자원단가</x:v>
      </x:c>
      <x:c r="B351" s="22" t="str">
        <x:v>43AE2142BE73426B72407AE86F70326439DA3</x:v>
      </x:c>
      <x:c r="C351" s="25" t="str">
        <x:v>각재</x:v>
      </x:c>
      <x:c r="D351" s="25" t="str">
        <x:v>각재, 미송</x:v>
      </x:c>
      <x:c r="E351" s="22" t="str">
        <x:v>재</x:v>
      </x:c>
      <x:c r="F351" s="34" t="n">
        <x:v>1.8158187069540104</x:v>
      </x:c>
      <x:c r="G351" s="34" t="n">
        <x:v>0</x:v>
      </x:c>
      <x:c r="H351" s="34" t="n">
        <x:v>0</x:v>
      </x:c>
      <x:c r="I351" s="34" t="n">
        <x:f>SUM(F351:H351)</x:f>
        <x:v>1.8158187069540104</x:v>
      </x:c>
      <x:c r="J351" s="22" t="str">
        <x:v>1.8158187069540104 | 2.4031696660001485 | 1.9209064652299492</x:v>
      </x:c>
      <x:c r="K351" s="22" t="str">
        <x:v>148 | 73</x:v>
      </x:c>
      <x:c r="L351" s="22" t="str"/>
      <x:c r="M351" s="22" t="str">
        <x:v>단가대비표</x:v>
      </x:c>
      <x:c r="N351" s="37" t="n">
        <x:v>53</x:v>
      </x:c>
      <x:c r="O3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1" s="22" t="str">
        <x:v>47d79c95e2c3273f84778935276c94526e369cc1b1bc057f6b03c998f44e253f</x:v>
      </x:c>
      <x:c r="Q351" s="22" t="str">
        <x:v>=O53+P53+V53</x:v>
      </x:c>
    </x:row>
    <x:row r="352">
      <x:c r="A352" s="22" t="str">
        <x:v>직접자원단가</x:v>
      </x:c>
      <x:c r="B352" s="22" t="str">
        <x:v>43AE2142BE73426B72407AE86F70326439ADF</x:v>
      </x:c>
      <x:c r="C352" s="25" t="str">
        <x:v>각재</x:v>
      </x:c>
      <x:c r="D352" s="25" t="str">
        <x:v>각재, 라왕, 일반증기건조</x:v>
      </x:c>
      <x:c r="E352" s="22" t="str">
        <x:v>재</x:v>
      </x:c>
      <x:c r="F352" s="34" t="n">
        <x:v>4.929349033548101</x:v>
      </x:c>
      <x:c r="G352" s="34" t="n">
        <x:v>0</x:v>
      </x:c>
      <x:c r="H352" s="34" t="n">
        <x:v>0</x:v>
      </x:c>
      <x:c r="I352" s="34" t="n">
        <x:f>SUM(F352:H352)</x:f>
        <x:v>4.929349033548101</x:v>
      </x:c>
      <x:c r="J352" s="22" t="str">
        <x:v>4.929349033548101</x:v>
      </x:c>
      <x:c r="K352" s="22" t="str"/>
      <x:c r="L352" s="22" t="str"/>
      <x:c r="M352" s="22" t="str">
        <x:v>단가대비표</x:v>
      </x:c>
      <x:c r="N352" s="37" t="n">
        <x:v>54</x:v>
      </x:c>
      <x:c r="O3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2" s="22" t="str">
        <x:v>47d79c95e2c3273f84778935276c94526e369cc1b1bc057f6b03c998f44e253f</x:v>
      </x:c>
      <x:c r="Q352" s="22" t="str">
        <x:v>=O54+P54+V54</x:v>
      </x:c>
    </x:row>
    <x:row r="353">
      <x:c r="A353" s="22" t="str">
        <x:v>직접자원단가</x:v>
      </x:c>
      <x:c r="B353" s="22" t="str">
        <x:v>43AE2142BE72BAF102D45DD52A0CA81817C51</x:v>
      </x:c>
      <x:c r="C353" s="25" t="str">
        <x:v>[현지기준단가]concrete(reinforced concrete)</x:v>
      </x:c>
      <x:c r="D353" s="25" t="str">
        <x:v>'f'c 350mpa, foucdation</x:v>
      </x:c>
      <x:c r="E353" s="22" t="str">
        <x:v>M3</x:v>
      </x:c>
      <x:c r="F353" s="34" t="n">
        <x:v>90</x:v>
      </x:c>
      <x:c r="G353" s="34" t="n">
        <x:v>10</x:v>
      </x:c>
      <x:c r="H353" s="34" t="n">
        <x:v>5</x:v>
      </x:c>
      <x:c r="I353" s="34" t="n">
        <x:f>SUM(F353:H353)</x:f>
        <x:v>105</x:v>
      </x:c>
      <x:c r="J353" s="22" t="str">
        <x:v>90</x:v>
      </x:c>
      <x:c r="K353" s="22" t="str"/>
      <x:c r="L353" s="22" t="str">
        <x:v>※$$$$$$$$$</x:v>
      </x:c>
      <x:c r="M353" s="22" t="str">
        <x:v>단가대비표</x:v>
      </x:c>
      <x:c r="N353" s="37" t="n">
        <x:v>55</x:v>
      </x:c>
      <x:c r="O3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3" s="22" t="str">
        <x:v>47d79c95e2c3273f84778935276c94526e369cc1b1bc057f6b03c998f44e253f</x:v>
      </x:c>
      <x:c r="Q353" s="22" t="str">
        <x:v>=O55+P55+V55</x:v>
      </x:c>
    </x:row>
    <x:row r="354">
      <x:c r="A354" s="22" t="str">
        <x:v>직접자원단가</x:v>
      </x:c>
      <x:c r="B354" s="22" t="str">
        <x:v>43AE2142BE72BAF102D45DD52A0CA81817F25</x:v>
      </x:c>
      <x:c r="C354" s="25" t="str">
        <x:v>[현지기준단가]concrete(reinforced concrete)</x:v>
      </x:c>
      <x:c r="D354" s="25" t="str">
        <x:v>'f'c 300mpa, all members except foundation</x:v>
      </x:c>
      <x:c r="E354" s="22" t="str">
        <x:v>M3</x:v>
      </x:c>
      <x:c r="F354" s="34" t="n">
        <x:v>90</x:v>
      </x:c>
      <x:c r="G354" s="34" t="n">
        <x:v>10</x:v>
      </x:c>
      <x:c r="H354" s="34" t="n">
        <x:v>5</x:v>
      </x:c>
      <x:c r="I354" s="34" t="n">
        <x:f>SUM(F354:H354)</x:f>
        <x:v>105</x:v>
      </x:c>
      <x:c r="J354" s="22" t="str">
        <x:v>90</x:v>
      </x:c>
      <x:c r="K354" s="22" t="str"/>
      <x:c r="L354" s="22" t="str">
        <x:v>※$$$$$$$$$</x:v>
      </x:c>
      <x:c r="M354" s="22" t="str">
        <x:v>단가대비표</x:v>
      </x:c>
      <x:c r="N354" s="37" t="n">
        <x:v>56</x:v>
      </x:c>
      <x:c r="O3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4" s="22" t="str">
        <x:v>47d79c95e2c3273f84778935276c94526e369cc1b1bc057f6b03c998f44e253f</x:v>
      </x:c>
      <x:c r="Q354" s="22" t="str">
        <x:v>=O56+P56+V56</x:v>
      </x:c>
    </x:row>
    <x:row r="355">
      <x:c r="A355" s="22" t="str">
        <x:v>직접자원단가</x:v>
      </x:c>
      <x:c r="B355" s="22" t="str">
        <x:v>43AE2142BE72BAF102D45DD52A0CA81817E1F</x:v>
      </x:c>
      <x:c r="C355" s="25" t="str">
        <x:v>[현지기준단가]concrete(finish)</x:v>
      </x:c>
      <x:c r="D355" s="25" t="str">
        <x:v>'f'c 120mpa, finish work</x:v>
      </x:c>
      <x:c r="E355" s="22" t="str">
        <x:v>M3</x:v>
      </x:c>
      <x:c r="F355" s="34" t="n">
        <x:v>65</x:v>
      </x:c>
      <x:c r="G355" s="34" t="n">
        <x:v>10</x:v>
      </x:c>
      <x:c r="H355" s="34" t="n">
        <x:v>2</x:v>
      </x:c>
      <x:c r="I355" s="34" t="n">
        <x:f>SUM(F355:H355)</x:f>
        <x:v>77</x:v>
      </x:c>
      <x:c r="J355" s="22" t="str">
        <x:v>65</x:v>
      </x:c>
      <x:c r="K355" s="22" t="str"/>
      <x:c r="L355" s="22" t="str">
        <x:v>※$$$$$$$$$</x:v>
      </x:c>
      <x:c r="M355" s="22" t="str">
        <x:v>단가대비표</x:v>
      </x:c>
      <x:c r="N355" s="37" t="n">
        <x:v>57</x:v>
      </x:c>
      <x:c r="O3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5" s="22" t="str">
        <x:v>47d79c95e2c3273f84778935276c94526e369cc1b1bc057f6b03c998f44e253f</x:v>
      </x:c>
      <x:c r="Q355" s="22" t="str">
        <x:v>=O57+P57+V57</x:v>
      </x:c>
    </x:row>
    <x:row r="356">
      <x:c r="A356" s="22" t="str">
        <x:v>직접자원단가</x:v>
      </x:c>
      <x:c r="B356" s="22" t="str">
        <x:v>43AE2142BE72BAF102D45DD52A0CA8181799D</x:v>
      </x:c>
      <x:c r="C356" s="25" t="str">
        <x:v>[현지기준단가]concrete(of leveling layer)</x:v>
      </x:c>
      <x:c r="D356" s="25" t="str">
        <x:v>'f'c 80mpa, for leveling layer</x:v>
      </x:c>
      <x:c r="E356" s="22" t="str">
        <x:v>M3</x:v>
      </x:c>
      <x:c r="F356" s="34" t="n">
        <x:v>60</x:v>
      </x:c>
      <x:c r="G356" s="34" t="n">
        <x:v>10</x:v>
      </x:c>
      <x:c r="H356" s="34" t="n">
        <x:v>2</x:v>
      </x:c>
      <x:c r="I356" s="34" t="n">
        <x:f>SUM(F356:H356)</x:f>
        <x:v>72</x:v>
      </x:c>
      <x:c r="J356" s="22" t="str">
        <x:v>60</x:v>
      </x:c>
      <x:c r="K356" s="22" t="str"/>
      <x:c r="L356" s="22" t="str">
        <x:v>※$$$$$$$$$</x:v>
      </x:c>
      <x:c r="M356" s="22" t="str">
        <x:v>단가대비표</x:v>
      </x:c>
      <x:c r="N356" s="37" t="n">
        <x:v>58</x:v>
      </x:c>
      <x:c r="O3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6" s="22" t="str">
        <x:v>47d79c95e2c3273f84778935276c94526e369cc1b1bc057f6b03c998f44e253f</x:v>
      </x:c>
      <x:c r="Q356" s="22" t="str">
        <x:v>=O58+P58+V58</x:v>
      </x:c>
    </x:row>
    <x:row r="357">
      <x:c r="A357" s="22" t="str">
        <x:v>직접자원단가</x:v>
      </x:c>
      <x:c r="B357" s="22" t="str">
        <x:v>43AE2142BE72BAF2124B08615B74D95A8F81C</x:v>
      </x:c>
      <x:c r="C357" s="25" t="str">
        <x:v>시멘트</x:v>
      </x:c>
      <x:c r="D357" s="25" t="str">
        <x:v>시멘트, 거리50km, 도착도</x:v>
      </x:c>
      <x:c r="E357" s="22" t="str">
        <x:v>kg</x:v>
      </x:c>
      <x:c r="F357" s="34" t="n">
        <x:v>0.137005109975561</x:v>
      </x:c>
      <x:c r="G357" s="34" t="n">
        <x:v>0</x:v>
      </x:c>
      <x:c r="H357" s="34" t="n">
        <x:v>0</x:v>
      </x:c>
      <x:c r="I357" s="34" t="n">
        <x:f>SUM(F357:H357)</x:f>
        <x:v>0.137005109975561</x:v>
      </x:c>
      <x:c r="J357" s="22" t="str">
        <x:v>0.137005109975561 | 0.14810856846626677</x:v>
      </x:c>
      <x:c r="K357" s="22" t="str">
        <x:v>103 | 62</x:v>
      </x:c>
      <x:c r="L357" s="22" t="str"/>
      <x:c r="M357" s="22" t="str">
        <x:v>단가대비표</x:v>
      </x:c>
      <x:c r="N357" s="37" t="n">
        <x:v>59</x:v>
      </x:c>
      <x:c r="O3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7" s="22" t="str">
        <x:v>47d79c95e2c3273f84778935276c94526e369cc1b1bc057f6b03c998f44e253f</x:v>
      </x:c>
      <x:c r="Q357" s="22" t="str">
        <x:v>=O59+P59+V59</x:v>
      </x:c>
    </x:row>
    <x:row r="358">
      <x:c r="A358" s="22" t="str">
        <x:v>직접자원단가</x:v>
      </x:c>
      <x:c r="B358" s="22" t="str">
        <x:v>43AE2142BE72BAFC12E262691A22282BC5EF9</x:v>
      </x:c>
      <x:c r="C358" s="25" t="str">
        <x:v>신축이음채움재</x:v>
      </x:c>
      <x:c r="D358" s="25" t="str">
        <x:v>RUBBER스폰지, 50*1000*1000</x:v>
      </x:c>
      <x:c r="E358" s="22" t="str">
        <x:v>M2</x:v>
      </x:c>
      <x:c r="F358" s="34" t="n">
        <x:v>28.512182477967865</x:v>
      </x:c>
      <x:c r="G358" s="34" t="n">
        <x:v>0</x:v>
      </x:c>
      <x:c r="H358" s="34" t="n">
        <x:v>0</x:v>
      </x:c>
      <x:c r="I358" s="34" t="n">
        <x:f>SUM(F358:H358)</x:f>
        <x:v>28.512182477967865</x:v>
      </x:c>
      <x:c r="J358" s="22" t="str">
        <x:v>28.512182477967865</x:v>
      </x:c>
      <x:c r="K358" s="22" t="str">
        <x:v>194</x:v>
      </x:c>
      <x:c r="L358" s="22" t="str"/>
      <x:c r="M358" s="22" t="str">
        <x:v>단가대비표</x:v>
      </x:c>
      <x:c r="N358" s="37" t="n">
        <x:v>60</x:v>
      </x:c>
      <x:c r="O3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8" s="22" t="str">
        <x:v>47d79c95e2c3273f84778935276c94526e369cc1b1bc057f6b03c998f44e253f</x:v>
      </x:c>
      <x:c r="Q358" s="22" t="str">
        <x:v>=O60+P60+V60</x:v>
      </x:c>
    </x:row>
    <x:row r="359">
      <x:c r="A359" s="22" t="str">
        <x:v>직접자원단가</x:v>
      </x:c>
      <x:c r="B359" s="22" t="str">
        <x:v>43AE2142BE72BAFC12E262691A22282BC5E8B</x:v>
      </x:c>
      <x:c r="C359" s="25" t="str">
        <x:v>발포우레탄폼</x:v>
      </x:c>
      <x:c r="D359" s="25" t="str">
        <x:v>난연성 폴리우레탄(750ML/개,발포용적40L)</x:v>
      </x:c>
      <x:c r="E359" s="22" t="str">
        <x:v>㎥</x:v>
      </x:c>
      <x:c r="F359" s="34" t="n">
        <x:v>58.246315633562915</x:v>
      </x:c>
      <x:c r="G359" s="34" t="n">
        <x:v>0</x:v>
      </x:c>
      <x:c r="H359" s="34" t="n">
        <x:v>0</x:v>
      </x:c>
      <x:c r="I359" s="34" t="n">
        <x:f>SUM(F359:H359)</x:f>
        <x:v>58.246315633562915</x:v>
      </x:c>
      <x:c r="J359" s="22" t="str">
        <x:v>58.246315633562915</x:v>
      </x:c>
      <x:c r="K359" s="22" t="str">
        <x:v>2860*25EA</x:v>
      </x:c>
      <x:c r="L359" s="22" t="str"/>
      <x:c r="M359" s="22" t="str">
        <x:v>단가대비표</x:v>
      </x:c>
      <x:c r="N359" s="37" t="n">
        <x:v>61</x:v>
      </x:c>
      <x:c r="O3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59" s="22" t="str">
        <x:v>47d79c95e2c3273f84778935276c94526e369cc1b1bc057f6b03c998f44e253f</x:v>
      </x:c>
      <x:c r="Q359" s="22" t="str">
        <x:v>=O61+P61+V61</x:v>
      </x:c>
    </x:row>
    <x:row r="360">
      <x:c r="A360" s="22" t="str">
        <x:v>직접자원단가</x:v>
      </x:c>
      <x:c r="B360" s="22" t="str">
        <x:v>43AE2142BE708CFC12B2EE8D58F552308BE30</x:v>
      </x:c>
      <x:c r="C360" s="25" t="str">
        <x:v>콘크리트블록</x:v>
      </x:c>
      <x:c r="D360" s="25" t="str">
        <x:v>보차도용블록, U형, T80mm, 회색</x:v>
      </x:c>
      <x:c r="E360" s="22" t="str">
        <x:v>㎡</x:v>
      </x:c>
      <x:c r="F360" s="34" t="n">
        <x:v>4.887802710508777</x:v>
      </x:c>
      <x:c r="G360" s="34" t="n">
        <x:v>0</x:v>
      </x:c>
      <x:c r="H360" s="34" t="n">
        <x:v>0</x:v>
      </x:c>
      <x:c r="I360" s="34" t="n">
        <x:f>SUM(F360:H360)</x:f>
        <x:v>4.887802710508777</x:v>
      </x:c>
      <x:c r="J360" s="22" t="str">
        <x:v>6.517070280678369 | 4.887802710508777 | 6.10975338813597</x:v>
      </x:c>
      <x:c r="K360" s="22" t="str">
        <x:v>178 | 197 | 167</x:v>
      </x:c>
      <x:c r="L360" s="22" t="str"/>
      <x:c r="M360" s="22" t="str">
        <x:v>단가대비표</x:v>
      </x:c>
      <x:c r="N360" s="37" t="n">
        <x:v>62</x:v>
      </x:c>
      <x:c r="O3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0" s="22" t="str">
        <x:v>47d79c95e2c3273f84778935276c94526e369cc1b1bc057f6b03c998f44e253f</x:v>
      </x:c>
      <x:c r="Q360" s="22" t="str">
        <x:v>=O62+P62+V62</x:v>
      </x:c>
    </x:row>
    <x:row r="361">
      <x:c r="A361" s="22" t="str">
        <x:v>직접자원단가</x:v>
      </x:c>
      <x:c r="B361" s="22" t="str">
        <x:v>43AE2142BE708CFC12B2EE8D58F552308BE31</x:v>
      </x:c>
      <x:c r="C361" s="25" t="str">
        <x:v>콘크리트블록</x:v>
      </x:c>
      <x:c r="D361" s="25" t="str">
        <x:v>보차도용블록, U형, T80mm, 적색</x:v>
      </x:c>
      <x:c r="E361" s="22" t="str">
        <x:v>㎡</x:v>
      </x:c>
      <x:c r="F361" s="34" t="n">
        <x:v>5.295119603051174</x:v>
      </x:c>
      <x:c r="G361" s="34" t="n">
        <x:v>0</x:v>
      </x:c>
      <x:c r="H361" s="34" t="n">
        <x:v>0</x:v>
      </x:c>
      <x:c r="I361" s="34" t="n">
        <x:f>SUM(F361:H361)</x:f>
        <x:v>5.295119603051174</x:v>
      </x:c>
      <x:c r="J361" s="22" t="str">
        <x:v>6.924387173220766 | 5.295119603051174 | 6.517070280678369</x:v>
      </x:c>
      <x:c r="K361" s="22" t="str">
        <x:v>178 | 197 | 167</x:v>
      </x:c>
      <x:c r="L361" s="22" t="str"/>
      <x:c r="M361" s="22" t="str">
        <x:v>단가대비표</x:v>
      </x:c>
      <x:c r="N361" s="37" t="n">
        <x:v>63</x:v>
      </x:c>
      <x:c r="O3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1" s="22" t="str">
        <x:v>47d79c95e2c3273f84778935276c94526e369cc1b1bc057f6b03c998f44e253f</x:v>
      </x:c>
      <x:c r="Q361" s="22" t="str">
        <x:v>=O63+P63+V63</x:v>
      </x:c>
    </x:row>
    <x:row r="362">
      <x:c r="A362" s="22" t="str">
        <x:v>직접자원단가</x:v>
      </x:c>
      <x:c r="B362" s="22" t="str">
        <x:v>43AE2142BE708CFFD20BAA9FB5BFCB1E3CD03</x:v>
      </x:c>
      <x:c r="C362" s="25" t="str">
        <x:v>[현지기준단가]Brick</x:v>
      </x:c>
      <x:c r="D362" s="25" t="str">
        <x:v>190*90*57, FOR Interior wall</x:v>
      </x:c>
      <x:c r="E362" s="22" t="str">
        <x:v>EA</x:v>
      </x:c>
      <x:c r="F362" s="34" t="n">
        <x:v>0.3</x:v>
      </x:c>
      <x:c r="G362" s="34" t="n">
        <x:v>0.03</x:v>
      </x:c>
      <x:c r="H362" s="34" t="n">
        <x:v>0</x:v>
      </x:c>
      <x:c r="I362" s="34" t="n">
        <x:f>SUM(F362:H362)</x:f>
        <x:v>0.32999999999999996</x:v>
      </x:c>
      <x:c r="J362" s="22" t="str">
        <x:v>0.3</x:v>
      </x:c>
      <x:c r="K362" s="22" t="str"/>
      <x:c r="L362" s="22" t="str">
        <x:v>※$$$$$$$$$</x:v>
      </x:c>
      <x:c r="M362" s="22" t="str">
        <x:v>단가대비표</x:v>
      </x:c>
      <x:c r="N362" s="37" t="n">
        <x:v>64</x:v>
      </x:c>
      <x:c r="O3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2" s="22" t="str">
        <x:v>47d79c95e2c3273f84778935276c94526e369cc1b1bc057f6b03c998f44e253f</x:v>
      </x:c>
      <x:c r="Q362" s="22" t="str">
        <x:v>=O64+P64+V64</x:v>
      </x:c>
    </x:row>
    <x:row r="363">
      <x:c r="A363" s="22" t="str">
        <x:v>직접자원단가</x:v>
      </x:c>
      <x:c r="B363" s="22" t="str">
        <x:v>43AE2142BE708CFEC2945E2533E8C8058320E</x:v>
      </x:c>
      <x:c r="C363" s="25" t="str">
        <x:v>대리석판재</x:v>
      </x:c>
      <x:c r="D363" s="25" t="str">
        <x:v>대리석판재, 벽체, 28mm</x:v>
      </x:c>
      <x:c r="E363" s="22" t="str">
        <x:v>M2</x:v>
      </x:c>
      <x:c r="F363" s="34" t="n">
        <x:v>42.36095682440939</x:v>
      </x:c>
      <x:c r="G363" s="34" t="n">
        <x:v>0</x:v>
      </x:c>
      <x:c r="H363" s="34" t="n">
        <x:v>0</x:v>
      </x:c>
      <x:c r="I363" s="34" t="n">
        <x:f>SUM(F363:H363)</x:f>
        <x:v>42.36095682440939</x:v>
      </x:c>
      <x:c r="J363" s="22" t="str">
        <x:v>42.36095682440939</x:v>
      </x:c>
      <x:c r="K363" s="22" t="str">
        <x:v>456</x:v>
      </x:c>
      <x:c r="L363" s="22" t="str"/>
      <x:c r="M363" s="22" t="str">
        <x:v>단가대비표</x:v>
      </x:c>
      <x:c r="N363" s="37" t="n">
        <x:v>65</x:v>
      </x:c>
      <x:c r="O3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3" s="22" t="str">
        <x:v>47d79c95e2c3273f84778935276c94526e369cc1b1bc057f6b03c998f44e253f</x:v>
      </x:c>
      <x:c r="Q363" s="22" t="str">
        <x:v>=O65+P65+V65</x:v>
      </x:c>
    </x:row>
    <x:row r="364">
      <x:c r="A364" s="22" t="str">
        <x:v>직접자원단가</x:v>
      </x:c>
      <x:c r="B364" s="22" t="str">
        <x:v>43AE2142BE708CFEC2945E2533E8C8058315D</x:v>
      </x:c>
      <x:c r="C364" s="25" t="str">
        <x:v>자연석판석</x:v>
      </x:c>
      <x:c r="D364" s="25" t="str">
        <x:v>자연석판석, 물갈기, 15mm, 포천석판재</x:v>
      </x:c>
      <x:c r="E364" s="22" t="str">
        <x:v>M2</x:v>
      </x:c>
      <x:c r="F364" s="34" t="n">
        <x:v>30.956083833222248</x:v>
      </x:c>
      <x:c r="G364" s="34" t="n">
        <x:v>0</x:v>
      </x:c>
      <x:c r="H364" s="34" t="n">
        <x:v>0</x:v>
      </x:c>
      <x:c r="I364" s="34" t="n">
        <x:f>SUM(F364:H364)</x:f>
        <x:v>30.956083833222248</x:v>
      </x:c>
      <x:c r="J364" s="22" t="str">
        <x:v>30.956083833222248</x:v>
      </x:c>
      <x:c r="K364" s="22" t="str">
        <x:v>457</x:v>
      </x:c>
      <x:c r="L364" s="22" t="str"/>
      <x:c r="M364" s="22" t="str">
        <x:v>단가대비표</x:v>
      </x:c>
      <x:c r="N364" s="37" t="n">
        <x:v>66</x:v>
      </x:c>
      <x:c r="O3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4" s="22" t="str">
        <x:v>47d79c95e2c3273f84778935276c94526e369cc1b1bc057f6b03c998f44e253f</x:v>
      </x:c>
      <x:c r="Q364" s="22" t="str">
        <x:v>=O66+P66+V66</x:v>
      </x:c>
    </x:row>
    <x:row r="365">
      <x:c r="A365" s="22" t="str">
        <x:v>직접자원단가</x:v>
      </x:c>
      <x:c r="B365" s="22" t="str">
        <x:v>43AE2142BE773DD372F1426DECE7B1BAD5F1C</x:v>
      </x:c>
      <x:c r="C365" s="25" t="str">
        <x:v>섬유단열재</x:v>
      </x:c>
      <x:c r="D365" s="25" t="str">
        <x:v>섬유단열재, 펠트, 밀도60kg/㎥, 50mm</x:v>
      </x:c>
      <x:c r="E365" s="22" t="str">
        <x:v>M2</x:v>
      </x:c>
      <x:c r="F365" s="34" t="n">
        <x:v>3.4890765015181815</x:v>
      </x:c>
      <x:c r="G365" s="34" t="n">
        <x:v>0</x:v>
      </x:c>
      <x:c r="H365" s="34" t="n">
        <x:v>0</x:v>
      </x:c>
      <x:c r="I365" s="34" t="n">
        <x:f>SUM(F365:H365)</x:f>
        <x:v>3.4890765015181815</x:v>
      </x:c>
      <x:c r="J365" s="22" t="str">
        <x:v>3.4890765015181815 | 5.83277790120714 | 5.718729171295268</x:v>
      </x:c>
      <x:c r="K365" s="22" t="str">
        <x:v>696 | 391</x:v>
      </x:c>
      <x:c r="L365" s="22" t="str"/>
      <x:c r="M365" s="22" t="str">
        <x:v>단가대비표</x:v>
      </x:c>
      <x:c r="N365" s="37" t="n">
        <x:v>67</x:v>
      </x:c>
      <x:c r="O3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5" s="22" t="str">
        <x:v>47d79c95e2c3273f84778935276c94526e369cc1b1bc057f6b03c998f44e253f</x:v>
      </x:c>
      <x:c r="Q365" s="22" t="str">
        <x:v>=O67+P67+V67</x:v>
      </x:c>
    </x:row>
    <x:row r="366">
      <x:c r="A366" s="22" t="str">
        <x:v>직접자원단가</x:v>
      </x:c>
      <x:c r="B366" s="22" t="str">
        <x:v>43AE2142BE773DD372E74EE2E1A955D5C7A4A</x:v>
      </x:c>
      <x:c r="C366" s="25" t="str">
        <x:v>opacity sheet</x:v>
      </x:c>
      <x:c r="D366" s="25" t="str"/>
      <x:c r="E366" s="22" t="str">
        <x:v>M2</x:v>
      </x:c>
      <x:c r="F366" s="34" t="n">
        <x:v>16.29267570169592</x:v>
      </x:c>
      <x:c r="G366" s="34" t="n">
        <x:v>2.4113160038509966</x:v>
      </x:c>
      <x:c r="H366" s="34" t="n">
        <x:v>0</x:v>
      </x:c>
      <x:c r="I366" s="34" t="n">
        <x:f>SUM(F366:H366)</x:f>
        <x:v>18.703991705546915</x:v>
      </x:c>
      <x:c r="J366" s="22" t="str">
        <x:v>16.29267570169592</x:v>
      </x:c>
      <x:c r="K366" s="22" t="str">
        <x:v>물정 572</x:v>
      </x:c>
      <x:c r="L366" s="22" t="str"/>
      <x:c r="M366" s="22" t="str">
        <x:v>단가대비표</x:v>
      </x:c>
      <x:c r="N366" s="37" t="n">
        <x:v>68</x:v>
      </x:c>
      <x:c r="O3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6" s="22" t="str">
        <x:v>47d79c95e2c3273f84778935276c94526e369cc1b1bc057f6b03c998f44e253f</x:v>
      </x:c>
      <x:c r="Q366" s="22" t="str">
        <x:v>=O68+P68+V68</x:v>
      </x:c>
    </x:row>
    <x:row r="367">
      <x:c r="A367" s="22" t="str">
        <x:v>직접자원단가</x:v>
      </x:c>
      <x:c r="B367" s="22" t="str">
        <x:v>43AE2142BE7617D5029DAE2EDCDECC8D05F81</x:v>
      </x:c>
      <x:c r="C367" s="25" t="str">
        <x:v>루프드레인</x:v>
      </x:c>
      <x:c r="D367" s="25" t="str">
        <x:v>루프드레인, L형, ISRD8570, 125mm</x:v>
      </x:c>
      <x:c r="E367" s="22" t="str">
        <x:v>개</x:v>
      </x:c>
      <x:c r="F367" s="34" t="n">
        <x:v>105.64333851736653</x:v>
      </x:c>
      <x:c r="G367" s="34" t="n">
        <x:v>0</x:v>
      </x:c>
      <x:c r="H367" s="34" t="n">
        <x:v>0</x:v>
      </x:c>
      <x:c r="I367" s="34" t="n">
        <x:f>SUM(F367:H367)</x:f>
        <x:v>105.64333851736653</x:v>
      </x:c>
      <x:c r="J367" s="22" t="str">
        <x:v>105.64333851736653</x:v>
      </x:c>
      <x:c r="K367" s="22" t="str"/>
      <x:c r="L367" s="22" t="str"/>
      <x:c r="M367" s="22" t="str">
        <x:v>단가대비표</x:v>
      </x:c>
      <x:c r="N367" s="37" t="n">
        <x:v>69</x:v>
      </x:c>
      <x:c r="O3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7" s="22" t="str">
        <x:v>47d79c95e2c3273f84778935276c94526e369cc1b1bc057f6b03c998f44e253f</x:v>
      </x:c>
      <x:c r="Q367" s="22" t="str">
        <x:v>=O69+P69+V69</x:v>
      </x:c>
    </x:row>
    <x:row r="368">
      <x:c r="A368" s="22" t="str">
        <x:v>직접자원단가</x:v>
      </x:c>
      <x:c r="B368" s="22" t="str">
        <x:v>43AE2142BE7617DB921214CC8B4447DD28FAF</x:v>
      </x:c>
      <x:c r="C368" s="25" t="str">
        <x:v>합금도금강판 KS D 3033(MAGNESIUVA, MVP)</x:v>
      </x:c>
      <x:c r="D368" s="25" t="str">
        <x:v>T:0.6, W:430, H:25mm</x:v>
      </x:c>
      <x:c r="E368" s="22" t="str">
        <x:v>M2</x:v>
      </x:c>
      <x:c r="F368" s="34" t="n">
        <x:v>15.478041916611124</x:v>
      </x:c>
      <x:c r="G368" s="34" t="n">
        <x:v>0</x:v>
      </x:c>
      <x:c r="H368" s="34" t="n">
        <x:v>0</x:v>
      </x:c>
      <x:c r="I368" s="34" t="n">
        <x:f>SUM(F368:H368)</x:f>
        <x:v>15.478041916611124</x:v>
      </x:c>
      <x:c r="J368" s="22" t="str">
        <x:v>15.478041916611124</x:v>
      </x:c>
      <x:c r="K368" s="22" t="str"/>
      <x:c r="L368" s="22" t="str"/>
      <x:c r="M368" s="22" t="str">
        <x:v>단가대비표</x:v>
      </x:c>
      <x:c r="N368" s="37" t="n">
        <x:v>70</x:v>
      </x:c>
      <x:c r="O3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8" s="22" t="str">
        <x:v>47d79c95e2c3273f84778935276c94526e369cc1b1bc057f6b03c998f44e253f</x:v>
      </x:c>
      <x:c r="Q368" s="22" t="str">
        <x:v>=O70+P70+V70</x:v>
      </x:c>
    </x:row>
    <x:row r="369">
      <x:c r="A369" s="22" t="str">
        <x:v>직접자원단가</x:v>
      </x:c>
      <x:c r="B369" s="22" t="str">
        <x:v>43AE2142BE7617DB921214CC8B4447B24537F</x:v>
      </x:c>
      <x:c r="C369" s="25" t="str">
        <x:v>알루미늄 시트패널</x:v>
      </x:c>
      <x:c r="D369" s="25" t="str">
        <x:v>평판 t=3 불소수지</x:v>
      </x:c>
      <x:c r="E369" s="22" t="str">
        <x:v>M2</x:v>
      </x:c>
      <x:c r="F369" s="34" t="n">
        <x:v>159.66822187662004</x:v>
      </x:c>
      <x:c r="G369" s="34" t="n">
        <x:v>0</x:v>
      </x:c>
      <x:c r="H369" s="34" t="n">
        <x:v>0</x:v>
      </x:c>
      <x:c r="I369" s="34" t="n">
        <x:f>SUM(F369:H369)</x:f>
        <x:v>159.66822187662004</x:v>
      </x:c>
      <x:c r="J369" s="22" t="str">
        <x:v>159.66822187662004</x:v>
      </x:c>
      <x:c r="K369" s="22" t="str">
        <x:v>443</x:v>
      </x:c>
      <x:c r="L369" s="22" t="str"/>
      <x:c r="M369" s="22" t="str">
        <x:v>단가대비표</x:v>
      </x:c>
      <x:c r="N369" s="37" t="n">
        <x:v>71</x:v>
      </x:c>
      <x:c r="O3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69" s="22" t="str">
        <x:v>47d79c95e2c3273f84778935276c94526e369cc1b1bc057f6b03c998f44e253f</x:v>
      </x:c>
      <x:c r="Q369" s="22" t="str">
        <x:v>=O71+P71+V71</x:v>
      </x:c>
    </x:row>
    <x:row r="370">
      <x:c r="A370" s="22" t="str">
        <x:v>직접자원단가</x:v>
      </x:c>
      <x:c r="B370" s="22" t="str">
        <x:v>43AE2142BE7617DB9285B242A26BB968A9327</x:v>
      </x:c>
      <x:c r="C370" s="25" t="str">
        <x:v>프라이머</x:v>
      </x:c>
      <x:c r="D370" s="25" t="str">
        <x:v>접착용</x:v>
      </x:c>
      <x:c r="E370" s="22" t="str">
        <x:v>KG</x:v>
      </x:c>
      <x:c r="F370" s="34" t="n">
        <x:v>4.07316892542398</x:v>
      </x:c>
      <x:c r="G370" s="34" t="n">
        <x:v>0</x:v>
      </x:c>
      <x:c r="H370" s="34" t="n">
        <x:v>0</x:v>
      </x:c>
      <x:c r="I370" s="34" t="n">
        <x:f>SUM(F370:H370)</x:f>
        <x:v>4.07316892542398</x:v>
      </x:c>
      <x:c r="J370" s="22" t="str">
        <x:v>4.07316892542398</x:v>
      </x:c>
      <x:c r="K370" s="22" t="str">
        <x:v>512</x:v>
      </x:c>
      <x:c r="L370" s="22" t="str"/>
      <x:c r="M370" s="22" t="str">
        <x:v>단가대비표</x:v>
      </x:c>
      <x:c r="N370" s="37" t="n">
        <x:v>72</x:v>
      </x:c>
      <x:c r="O3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0" s="22" t="str">
        <x:v>47d79c95e2c3273f84778935276c94526e369cc1b1bc057f6b03c998f44e253f</x:v>
      </x:c>
      <x:c r="Q370" s="22" t="str">
        <x:v>=O72+P72+V72</x:v>
      </x:c>
    </x:row>
    <x:row r="371">
      <x:c r="A371" s="22" t="str">
        <x:v>직접자원단가</x:v>
      </x:c>
      <x:c r="B371" s="22" t="str">
        <x:v>43AE2142BE7617DB9285B242A26BB9780575F</x:v>
      </x:c>
      <x:c r="C371" s="25" t="str">
        <x:v>합성고분자방수시트</x:v>
      </x:c>
      <x:c r="D371" s="25" t="str">
        <x:v>합성고분자방수시트, 폴리에틸렌방수층보호재, 20mm</x:v>
      </x:c>
      <x:c r="E371" s="22" t="str">
        <x:v>M2</x:v>
      </x:c>
      <x:c r="F371" s="34" t="n">
        <x:v>4.480485817966378</x:v>
      </x:c>
      <x:c r="G371" s="34" t="n">
        <x:v>0</x:v>
      </x:c>
      <x:c r="H371" s="34" t="n">
        <x:v>0</x:v>
      </x:c>
      <x:c r="I371" s="34" t="n">
        <x:f>SUM(F371:H371)</x:f>
        <x:v>4.480485817966378</x:v>
      </x:c>
      <x:c r="J371" s="22" t="str">
        <x:v>4.480485817966378</x:v>
      </x:c>
      <x:c r="K371" s="22" t="str">
        <x:v>583</x:v>
      </x:c>
      <x:c r="L371" s="22" t="str"/>
      <x:c r="M371" s="22" t="str">
        <x:v>단가대비표</x:v>
      </x:c>
      <x:c r="N371" s="37" t="n">
        <x:v>73</x:v>
      </x:c>
      <x:c r="O3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1" s="22" t="str">
        <x:v>47d79c95e2c3273f84778935276c94526e369cc1b1bc057f6b03c998f44e253f</x:v>
      </x:c>
      <x:c r="Q371" s="22" t="str">
        <x:v>=O73+P73+V73</x:v>
      </x:c>
    </x:row>
    <x:row r="372">
      <x:c r="A372" s="22" t="str">
        <x:v>직접자원단가</x:v>
      </x:c>
      <x:c r="B372" s="22" t="str">
        <x:v>43AE2142BE7617DB9285B242A26B62E7758D7</x:v>
      </x:c>
      <x:c r="C372" s="25" t="str">
        <x:v>투습방수지</x:v>
      </x:c>
      <x:c r="D372" s="25" t="str">
        <x:v>1.5M*50M</x:v>
      </x:c>
      <x:c r="E372" s="22" t="str">
        <x:v>M2</x:v>
      </x:c>
      <x:c r="F372" s="34" t="n">
        <x:v>3.6658520328815825</x:v>
      </x:c>
      <x:c r="G372" s="34" t="n">
        <x:v>0</x:v>
      </x:c>
      <x:c r="H372" s="34" t="n">
        <x:v>0</x:v>
      </x:c>
      <x:c r="I372" s="34" t="n">
        <x:f>SUM(F372:H372)</x:f>
        <x:v>3.6658520328815825</x:v>
      </x:c>
      <x:c r="J372" s="22" t="str">
        <x:v>3.6658520328815825</x:v>
      </x:c>
      <x:c r="K372" s="22" t="str"/>
      <x:c r="L372" s="22" t="str"/>
      <x:c r="M372" s="22" t="str">
        <x:v>단가대비표</x:v>
      </x:c>
      <x:c r="N372" s="37" t="n">
        <x:v>74</x:v>
      </x:c>
      <x:c r="O3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2" s="22" t="str">
        <x:v>47d79c95e2c3273f84778935276c94526e369cc1b1bc057f6b03c998f44e253f</x:v>
      </x:c>
      <x:c r="Q372" s="22" t="str">
        <x:v>=O74+P74+V74</x:v>
      </x:c>
    </x:row>
    <x:row r="373">
      <x:c r="A373" s="22" t="str">
        <x:v>직접자원단가</x:v>
      </x:c>
      <x:c r="B373" s="22" t="str">
        <x:v>43AE2142BE750E31B2CF5AD5765252E7E0167</x:v>
      </x:c>
      <x:c r="C373" s="25" t="str">
        <x:v>인테리어필름</x:v>
      </x:c>
      <x:c r="D373" s="25" t="str">
        <x:v>0.42*1.22, 방염</x:v>
      </x:c>
      <x:c r="E373" s="22" t="str">
        <x:v>M2</x:v>
      </x:c>
      <x:c r="F373" s="34" t="n">
        <x:v>24.43901355254388</x:v>
      </x:c>
      <x:c r="G373" s="34" t="n">
        <x:v>0</x:v>
      </x:c>
      <x:c r="H373" s="34" t="n">
        <x:v>0</x:v>
      </x:c>
      <x:c r="I373" s="34" t="n">
        <x:f>SUM(F373:H373)</x:f>
        <x:v>24.43901355254388</x:v>
      </x:c>
      <x:c r="J373" s="22" t="str">
        <x:v>24.43901355254388</x:v>
      </x:c>
      <x:c r="K373" s="22" t="str">
        <x:v>684</x:v>
      </x:c>
      <x:c r="L373" s="22" t="str">
        <x:v>현장설치도</x:v>
      </x:c>
      <x:c r="M373" s="22" t="str">
        <x:v>단가대비표</x:v>
      </x:c>
      <x:c r="N373" s="37" t="n">
        <x:v>75</x:v>
      </x:c>
      <x:c r="O3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3" s="22" t="str">
        <x:v>47d79c95e2c3273f84778935276c94526e369cc1b1bc057f6b03c998f44e253f</x:v>
      </x:c>
      <x:c r="Q373" s="22" t="str">
        <x:v>=O75+P75+V75</x:v>
      </x:c>
    </x:row>
    <x:row r="374">
      <x:c r="A374" s="22" t="str">
        <x:v>직접자원단가</x:v>
      </x:c>
      <x:c r="B374" s="22" t="str">
        <x:v>43AE2142BE750E31B2CF90B5CE134FF008964</x:v>
      </x:c>
      <x:c r="C374" s="25" t="str">
        <x:v>석고보드</x:v>
      </x:c>
      <x:c r="D374" s="25" t="str">
        <x:v>석고보드, 평보드, 12.5*900*2400mm(㎡)</x:v>
      </x:c>
      <x:c r="E374" s="22" t="str">
        <x:v>M2</x:v>
      </x:c>
      <x:c r="F374" s="34" t="n">
        <x:v>3.247944901133082</x:v>
      </x:c>
      <x:c r="G374" s="34" t="n">
        <x:v>0</x:v>
      </x:c>
      <x:c r="H374" s="34" t="n">
        <x:v>0</x:v>
      </x:c>
      <x:c r="I374" s="34" t="n">
        <x:f>SUM(F374:H374)</x:f>
        <x:v>3.247944901133082</x:v>
      </x:c>
      <x:c r="J374" s="22" t="str">
        <x:v>3.247944901133082 | 3.3565926090498412 | 3.4848159668221887</x:v>
      </x:c>
      <x:c r="K374" s="22" t="str">
        <x:v>675 | 408</x:v>
      </x:c>
      <x:c r="L374" s="22" t="str"/>
      <x:c r="M374" s="22" t="str">
        <x:v>단가대비표</x:v>
      </x:c>
      <x:c r="N374" s="37" t="n">
        <x:v>76</x:v>
      </x:c>
      <x:c r="O3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4" s="22" t="str">
        <x:v>47d79c95e2c3273f84778935276c94526e369cc1b1bc057f6b03c998f44e253f</x:v>
      </x:c>
      <x:c r="Q374" s="22" t="str">
        <x:v>=O76+P76+V76</x:v>
      </x:c>
    </x:row>
    <x:row r="375">
      <x:c r="A375" s="22" t="str">
        <x:v>직접자원단가</x:v>
      </x:c>
      <x:c r="B375" s="22" t="str">
        <x:v>43AE2142BE750E32422BE6D9DD3406C76FA01</x:v>
      </x:c>
      <x:c r="C375" s="25" t="str">
        <x:v>[현지기준단가]Suspended METAL CEILING Panel on Frame</x:v>
      </x:c>
      <x:c r="D375" s="25" t="str"/>
      <x:c r="E375" s="22" t="str">
        <x:v>M2</x:v>
      </x:c>
      <x:c r="F375" s="34" t="n">
        <x:v>5</x:v>
      </x:c>
      <x:c r="G375" s="34" t="n">
        <x:v>0</x:v>
      </x:c>
      <x:c r="H375" s="34" t="n">
        <x:v>0</x:v>
      </x:c>
      <x:c r="I375" s="34" t="n">
        <x:f>SUM(F375:H375)</x:f>
        <x:v>5</x:v>
      </x:c>
      <x:c r="J375" s="22" t="str">
        <x:v>5 | 5</x:v>
      </x:c>
      <x:c r="K375" s="22" t="str"/>
      <x:c r="L375" s="22" t="str">
        <x:v>※$$$$$$$$$</x:v>
      </x:c>
      <x:c r="M375" s="22" t="str">
        <x:v>단가대비표</x:v>
      </x:c>
      <x:c r="N375" s="37" t="n">
        <x:v>77</x:v>
      </x:c>
      <x:c r="O3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5" s="22" t="str">
        <x:v>47d79c95e2c3273f84778935276c94526e369cc1b1bc057f6b03c998f44e253f</x:v>
      </x:c>
      <x:c r="Q375" s="22" t="str">
        <x:v>=O77+P77+V77</x:v>
      </x:c>
    </x:row>
    <x:row r="376">
      <x:c r="A376" s="22" t="str">
        <x:v>직접자원단가</x:v>
      </x:c>
      <x:c r="B376" s="22" t="str">
        <x:v>43AE2142BE750E32422B8C4B8098C4ED224EF</x:v>
      </x:c>
      <x:c r="C376" s="25" t="str">
        <x:v>경량철골천장틀</x:v>
      </x:c>
      <x:c r="D376" s="25" t="str">
        <x:v>경량철골천장틀, 몰딩(알루미늄), L형, 30*30*1.0mm</x:v>
      </x:c>
      <x:c r="E376" s="22" t="str">
        <x:v>M</x:v>
      </x:c>
      <x:c r="F376" s="34" t="n">
        <x:v>2.1750722061764054</x:v>
      </x:c>
      <x:c r="G376" s="34" t="n">
        <x:v>0</x:v>
      </x:c>
      <x:c r="H376" s="34" t="n">
        <x:v>0</x:v>
      </x:c>
      <x:c r="I376" s="34" t="n">
        <x:f>SUM(F376:H376)</x:f>
        <x:v>2.1750722061764054</x:v>
      </x:c>
      <x:c r="J376" s="22" t="str">
        <x:v>2.1750722061764054 | 2.1750722061764054</x:v>
      </x:c>
      <x:c r="K376" s="22" t="str">
        <x:v>677 | 420</x:v>
      </x:c>
      <x:c r="L376" s="22" t="str"/>
      <x:c r="M376" s="22" t="str">
        <x:v>단가대비표</x:v>
      </x:c>
      <x:c r="N376" s="37" t="n">
        <x:v>78</x:v>
      </x:c>
      <x:c r="O3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6" s="22" t="str">
        <x:v>47d79c95e2c3273f84778935276c94526e369cc1b1bc057f6b03c998f44e253f</x:v>
      </x:c>
      <x:c r="Q376" s="22" t="str">
        <x:v>=O78+P78+V78</x:v>
      </x:c>
    </x:row>
    <x:row r="377">
      <x:c r="A377" s="22" t="str">
        <x:v>직접자원단가</x:v>
      </x:c>
      <x:c r="B377" s="22" t="str">
        <x:v>43AE2142BE750E32422B8C4B8098C4ED224E9</x:v>
      </x:c>
      <x:c r="C377" s="25" t="str">
        <x:v>경량철골천장틀</x:v>
      </x:c>
      <x:c r="D377" s="25" t="str">
        <x:v>경량철골천장틀, 몰딩(알루미늄), W형, 15*15*15*15*1.0mm</x:v>
      </x:c>
      <x:c r="E377" s="22" t="str">
        <x:v>M</x:v>
      </x:c>
      <x:c r="F377" s="34" t="n">
        <x:v>2.020291787010294</x:v>
      </x:c>
      <x:c r="G377" s="34" t="n">
        <x:v>0</x:v>
      </x:c>
      <x:c r="H377" s="34" t="n">
        <x:v>0</x:v>
      </x:c>
      <x:c r="I377" s="34" t="n">
        <x:f>SUM(F377:H377)</x:f>
        <x:v>2.020291787010294</x:v>
      </x:c>
      <x:c r="J377" s="22" t="str">
        <x:v>2.020291787010294 | 2.020291787010294</x:v>
      </x:c>
      <x:c r="K377" s="22" t="str">
        <x:v>677 | 420</x:v>
      </x:c>
      <x:c r="L377" s="22" t="str"/>
      <x:c r="M377" s="22" t="str">
        <x:v>단가대비표</x:v>
      </x:c>
      <x:c r="N377" s="37" t="n">
        <x:v>79</x:v>
      </x:c>
      <x:c r="O3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7" s="22" t="str">
        <x:v>47d79c95e2c3273f84778935276c94526e369cc1b1bc057f6b03c998f44e253f</x:v>
      </x:c>
      <x:c r="Q377" s="22" t="str">
        <x:v>=O79+P79+V79</x:v>
      </x:c>
    </x:row>
    <x:row r="378">
      <x:c r="A378" s="22" t="str">
        <x:v>직접자원단가</x:v>
      </x:c>
      <x:c r="B378" s="22" t="str">
        <x:v>43AE2142BE750E32422B8C4B8098C3F6EA6FF</x:v>
      </x:c>
      <x:c r="C378" s="25" t="str">
        <x:v>[현지기준단가]Thick 6.0 Gypsum Tex 1Ply  on M-Bar System</x:v>
      </x:c>
      <x:c r="D378" s="25" t="str"/>
      <x:c r="E378" s="22" t="str">
        <x:v>M2</x:v>
      </x:c>
      <x:c r="F378" s="34" t="n">
        <x:v>2</x:v>
      </x:c>
      <x:c r="G378" s="34" t="n">
        <x:v>0</x:v>
      </x:c>
      <x:c r="H378" s="34" t="n">
        <x:v>0</x:v>
      </x:c>
      <x:c r="I378" s="34" t="n">
        <x:f>SUM(F378:H378)</x:f>
        <x:v>2</x:v>
      </x:c>
      <x:c r="J378" s="22" t="str">
        <x:v>2</x:v>
      </x:c>
      <x:c r="K378" s="22" t="str"/>
      <x:c r="L378" s="22" t="str">
        <x:v>※$$$$$$$$$</x:v>
      </x:c>
      <x:c r="M378" s="22" t="str">
        <x:v>단가대비표</x:v>
      </x:c>
      <x:c r="N378" s="37" t="n">
        <x:v>80</x:v>
      </x:c>
      <x:c r="O3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8" s="22" t="str">
        <x:v>47d79c95e2c3273f84778935276c94526e369cc1b1bc057f6b03c998f44e253f</x:v>
      </x:c>
      <x:c r="Q378" s="22" t="str">
        <x:v>=O80+P80+V80</x:v>
      </x:c>
    </x:row>
    <x:row r="379">
      <x:c r="A379" s="22" t="str">
        <x:v>직접자원단가</x:v>
      </x:c>
      <x:c r="B379" s="22" t="str">
        <x:v>43AE2142BE750E32422B8C4B8098C3F6EA786</x:v>
      </x:c>
      <x:c r="C379" s="25" t="str">
        <x:v>[현지기준단가]Thick 15.0 suspended Acoustic Ceiling Tile on T-Bar System</x:v>
      </x:c>
      <x:c r="D379" s="25" t="str"/>
      <x:c r="E379" s="22" t="str">
        <x:v>M2</x:v>
      </x:c>
      <x:c r="F379" s="34" t="n">
        <x:v>8</x:v>
      </x:c>
      <x:c r="G379" s="34" t="n">
        <x:v>0</x:v>
      </x:c>
      <x:c r="H379" s="34" t="n">
        <x:v>0</x:v>
      </x:c>
      <x:c r="I379" s="34" t="n">
        <x:f>SUM(F379:H379)</x:f>
        <x:v>8</x:v>
      </x:c>
      <x:c r="J379" s="22" t="str">
        <x:v>8</x:v>
      </x:c>
      <x:c r="K379" s="22" t="str"/>
      <x:c r="L379" s="22" t="str">
        <x:v>※$$$$$$$$$</x:v>
      </x:c>
      <x:c r="M379" s="22" t="str">
        <x:v>단가대비표</x:v>
      </x:c>
      <x:c r="N379" s="37" t="n">
        <x:v>81</x:v>
      </x:c>
      <x:c r="O3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79" s="22" t="str">
        <x:v>47d79c95e2c3273f84778935276c94526e369cc1b1bc057f6b03c998f44e253f</x:v>
      </x:c>
      <x:c r="Q379" s="22" t="str">
        <x:v>=O81+P81+V81</x:v>
      </x:c>
    </x:row>
    <x:row r="380">
      <x:c r="A380" s="22" t="str">
        <x:v>직접자원단가</x:v>
      </x:c>
      <x:c r="B380" s="22" t="str">
        <x:v>43AE2142BE750E32422B8C4B8098C3F6EA026</x:v>
      </x:c>
      <x:c r="C380" s="25" t="str">
        <x:v>Thick 9.5 suspended Gypsum Board 2Ply with Vinyl Paint on M-Bar System</x:v>
      </x:c>
      <x:c r="D380" s="25" t="str"/>
      <x:c r="E380" s="22" t="str">
        <x:v>M2</x:v>
      </x:c>
      <x:c r="F380" s="34" t="n">
        <x:v>16</x:v>
      </x:c>
      <x:c r="G380" s="34" t="n">
        <x:v>0</x:v>
      </x:c>
      <x:c r="H380" s="34" t="n">
        <x:v>0</x:v>
      </x:c>
      <x:c r="I380" s="34" t="n">
        <x:f>SUM(F380:H380)</x:f>
        <x:v>16</x:v>
      </x:c>
      <x:c r="J380" s="22" t="str">
        <x:v>16</x:v>
      </x:c>
      <x:c r="K380" s="22" t="str"/>
      <x:c r="L380" s="22" t="str">
        <x:v>※$$$$$$$$$</x:v>
      </x:c>
      <x:c r="M380" s="22" t="str">
        <x:v>단가대비표</x:v>
      </x:c>
      <x:c r="N380" s="37" t="n">
        <x:v>82</x:v>
      </x:c>
      <x:c r="O3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0" s="22" t="str">
        <x:v>47d79c95e2c3273f84778935276c94526e369cc1b1bc057f6b03c998f44e253f</x:v>
      </x:c>
      <x:c r="Q380" s="22" t="str">
        <x:v>=O82+P82+V82</x:v>
      </x:c>
    </x:row>
    <x:row r="381">
      <x:c r="A381" s="22" t="str">
        <x:v>직접자원단가</x:v>
      </x:c>
      <x:c r="B381" s="22" t="str">
        <x:v>43AE2142BE750E32422B8C4B8098C3F6EA025</x:v>
      </x:c>
      <x:c r="C381" s="25" t="str">
        <x:v>Thick 9.5 suspended Gypsum Board 2Ply with Anti-bacterial Paint on M-Bar System</x:v>
      </x:c>
      <x:c r="D381" s="25" t="str"/>
      <x:c r="E381" s="22" t="str">
        <x:v>M2</x:v>
      </x:c>
      <x:c r="F381" s="34" t="n">
        <x:v>13</x:v>
      </x:c>
      <x:c r="G381" s="34" t="n">
        <x:v>0</x:v>
      </x:c>
      <x:c r="H381" s="34" t="n">
        <x:v>0</x:v>
      </x:c>
      <x:c r="I381" s="34" t="n">
        <x:f>SUM(F381:H381)</x:f>
        <x:v>13</x:v>
      </x:c>
      <x:c r="J381" s="22" t="str">
        <x:v>13</x:v>
      </x:c>
      <x:c r="K381" s="22" t="str"/>
      <x:c r="L381" s="22" t="str">
        <x:v>※$$$$$$$$$</x:v>
      </x:c>
      <x:c r="M381" s="22" t="str">
        <x:v>단가대비표</x:v>
      </x:c>
      <x:c r="N381" s="37" t="n">
        <x:v>83</x:v>
      </x:c>
      <x:c r="O3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1" s="22" t="str">
        <x:v>47d79c95e2c3273f84778935276c94526e369cc1b1bc057f6b03c998f44e253f</x:v>
      </x:c>
      <x:c r="Q381" s="22" t="str">
        <x:v>=O83+P83+V83</x:v>
      </x:c>
    </x:row>
    <x:row r="382">
      <x:c r="A382" s="22" t="str">
        <x:v>직접자원단가</x:v>
      </x:c>
      <x:c r="B382" s="22" t="str">
        <x:v>43AE2142BE750E32422B8C4B8098C3F6EA204</x:v>
      </x:c>
      <x:c r="C382" s="25" t="str">
        <x:v>[현지기준단가]Suspended PVC Ceiling on M-Bar System</x:v>
      </x:c>
      <x:c r="D382" s="25" t="str"/>
      <x:c r="E382" s="22" t="str">
        <x:v>M2</x:v>
      </x:c>
      <x:c r="F382" s="34" t="n">
        <x:v>2</x:v>
      </x:c>
      <x:c r="G382" s="34" t="n">
        <x:v>0</x:v>
      </x:c>
      <x:c r="H382" s="34" t="n">
        <x:v>0</x:v>
      </x:c>
      <x:c r="I382" s="34" t="n">
        <x:f>SUM(F382:H382)</x:f>
        <x:v>2</x:v>
      </x:c>
      <x:c r="J382" s="22" t="str">
        <x:v>2</x:v>
      </x:c>
      <x:c r="K382" s="22" t="str"/>
      <x:c r="L382" s="22" t="str">
        <x:v>※$$$$$$$$$</x:v>
      </x:c>
      <x:c r="M382" s="22" t="str">
        <x:v>단가대비표</x:v>
      </x:c>
      <x:c r="N382" s="37" t="n">
        <x:v>84</x:v>
      </x:c>
      <x:c r="O3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2" s="22" t="str">
        <x:v>47d79c95e2c3273f84778935276c94526e369cc1b1bc057f6b03c998f44e253f</x:v>
      </x:c>
      <x:c r="Q382" s="22" t="str">
        <x:v>=O84+P84+V84</x:v>
      </x:c>
    </x:row>
    <x:row r="383">
      <x:c r="A383" s="22" t="str">
        <x:v>직접자원단가</x:v>
      </x:c>
      <x:c r="B383" s="22" t="str">
        <x:v>43AE2142BE750E336294316086666BE173056</x:v>
      </x:c>
      <x:c r="C383" s="25" t="str">
        <x:v>인조대리석</x:v>
      </x:c>
      <x:c r="D383" s="25" t="str">
        <x:v>인조대리석, 15∼17mm, 글로톤, White/Red</x:v>
      </x:c>
      <x:c r="E383" s="22" t="str">
        <x:v>M2</x:v>
      </x:c>
      <x:c r="F383" s="34" t="n">
        <x:v>28.512182477967865</x:v>
      </x:c>
      <x:c r="G383" s="34" t="n">
        <x:v>0</x:v>
      </x:c>
      <x:c r="H383" s="34" t="n">
        <x:v>0</x:v>
      </x:c>
      <x:c r="I383" s="34" t="n">
        <x:f>SUM(F383:H383)</x:f>
        <x:v>28.512182477967865</x:v>
      </x:c>
      <x:c r="J383" s="22" t="str">
        <x:v>28.512182477967865</x:v>
      </x:c>
      <x:c r="K383" s="22" t="str">
        <x:v>562</x:v>
      </x:c>
      <x:c r="L383" s="22" t="str"/>
      <x:c r="M383" s="22" t="str">
        <x:v>단가대비표</x:v>
      </x:c>
      <x:c r="N383" s="37" t="n">
        <x:v>85</x:v>
      </x:c>
      <x:c r="O3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3" s="22" t="str">
        <x:v>47d79c95e2c3273f84778935276c94526e369cc1b1bc057f6b03c998f44e253f</x:v>
      </x:c>
      <x:c r="Q383" s="22" t="str">
        <x:v>=O85+P85+V85</x:v>
      </x:c>
    </x:row>
    <x:row r="384">
      <x:c r="A384" s="22" t="str">
        <x:v>직접자원단가</x:v>
      </x:c>
      <x:c r="B384" s="22" t="str">
        <x:v>43AE2142BE746972722185E78DB4FEB1E2477</x:v>
      </x:c>
      <x:c r="C384" s="25" t="str">
        <x:v>철재일반도아(일반분체), 문틀 포함</x:v>
      </x:c>
      <x:c r="D384" s="25" t="str">
        <x:v>150*45*1.6T, 0.9*2.1, 편개</x:v>
      </x:c>
      <x:c r="E384" s="22" t="str">
        <x:v>M2</x:v>
      </x:c>
      <x:c r="F384" s="34" t="n">
        <x:v>109.56824409390508</x:v>
      </x:c>
      <x:c r="G384" s="34" t="n">
        <x:v>0</x:v>
      </x:c>
      <x:c r="H384" s="34" t="n">
        <x:v>0</x:v>
      </x:c>
      <x:c r="I384" s="34" t="n">
        <x:f>SUM(F384:H384)</x:f>
        <x:v>109.56824409390508</x:v>
      </x:c>
      <x:c r="J384" s="22" t="str">
        <x:v>109.56824409390508</x:v>
      </x:c>
      <x:c r="K384" s="22" t="str"/>
      <x:c r="L384" s="22" t="str"/>
      <x:c r="M384" s="22" t="str">
        <x:v>단가대비표</x:v>
      </x:c>
      <x:c r="N384" s="37" t="n">
        <x:v>86</x:v>
      </x:c>
      <x:c r="O3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4" s="22" t="str">
        <x:v>47d79c95e2c3273f84778935276c94526e369cc1b1bc057f6b03c998f44e253f</x:v>
      </x:c>
      <x:c r="Q384" s="22" t="str">
        <x:v>=O86+P86+V86</x:v>
      </x:c>
    </x:row>
    <x:row r="385">
      <x:c r="A385" s="22" t="str">
        <x:v>직접자원단가</x:v>
      </x:c>
      <x:c r="B385" s="22" t="str">
        <x:v>43AE2142BE746972722185E78DB4FEB1E2A80</x:v>
      </x:c>
      <x:c r="C385" s="25" t="str">
        <x:v>철재일반도아(일반분체), 문틀 포함</x:v>
      </x:c>
      <x:c r="D385" s="25" t="str">
        <x:v>150*45*1.6T, 1.8*2.1, 양개</x:v>
      </x:c>
      <x:c r="E385" s="22" t="str">
        <x:v>M2</x:v>
      </x:c>
      <x:c r="F385" s="34" t="n">
        <x:v>103.37702732726062</x:v>
      </x:c>
      <x:c r="G385" s="34" t="n">
        <x:v>0</x:v>
      </x:c>
      <x:c r="H385" s="34" t="n">
        <x:v>0</x:v>
      </x:c>
      <x:c r="I385" s="34" t="n">
        <x:f>SUM(F385:H385)</x:f>
        <x:v>103.37702732726062</x:v>
      </x:c>
      <x:c r="J385" s="22" t="str">
        <x:v>103.37702732726062</x:v>
      </x:c>
      <x:c r="K385" s="22" t="str"/>
      <x:c r="L385" s="22" t="str"/>
      <x:c r="M385" s="22" t="str">
        <x:v>단가대비표</x:v>
      </x:c>
      <x:c r="N385" s="37" t="n">
        <x:v>87</x:v>
      </x:c>
      <x:c r="O3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5" s="22" t="str">
        <x:v>47d79c95e2c3273f84778935276c94526e369cc1b1bc057f6b03c998f44e253f</x:v>
      </x:c>
      <x:c r="Q385" s="22" t="str">
        <x:v>=O87+P87+V87</x:v>
      </x:c>
    </x:row>
    <x:row r="386">
      <x:c r="A386" s="22" t="str">
        <x:v>직접자원단가</x:v>
      </x:c>
      <x:c r="B386" s="22" t="str">
        <x:v>43AE2142BE746972722185E78DB4FEB1D127B</x:v>
      </x:c>
      <x:c r="C386" s="25" t="str">
        <x:v>철재후라쉬도아(일반분체), 문틀 포함</x:v>
      </x:c>
      <x:c r="D386" s="25" t="str">
        <x:v>240*45*1.6T, 0.9*2.1, 편개</x:v>
      </x:c>
      <x:c r="E386" s="22" t="str">
        <x:v>M2</x:v>
      </x:c>
      <x:c r="F386" s="34" t="n">
        <x:v>169.93260756868847</x:v>
      </x:c>
      <x:c r="G386" s="34" t="n">
        <x:v>0</x:v>
      </x:c>
      <x:c r="H386" s="34" t="n">
        <x:v>0</x:v>
      </x:c>
      <x:c r="I386" s="34" t="n">
        <x:f>SUM(F386:H386)</x:f>
        <x:v>169.93260756868847</x:v>
      </x:c>
      <x:c r="J386" s="22" t="str">
        <x:v>169.93260756868847</x:v>
      </x:c>
      <x:c r="K386" s="22" t="str"/>
      <x:c r="L386" s="22" t="str"/>
      <x:c r="M386" s="22" t="str">
        <x:v>단가대비표</x:v>
      </x:c>
      <x:c r="N386" s="37" t="n">
        <x:v>88</x:v>
      </x:c>
      <x:c r="O3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6" s="22" t="str">
        <x:v>47d79c95e2c3273f84778935276c94526e369cc1b1bc057f6b03c998f44e253f</x:v>
      </x:c>
      <x:c r="Q386" s="22" t="str">
        <x:v>=O88+P88+V88</x:v>
      </x:c>
    </x:row>
    <x:row r="387">
      <x:c r="A387" s="22" t="str">
        <x:v>직접자원단가</x:v>
      </x:c>
      <x:c r="B387" s="22" t="str">
        <x:v>43AE2142BE746972722185E78DB4FEB1A45CC</x:v>
      </x:c>
      <x:c r="C387" s="25" t="str">
        <x:v>철재후라쉬도아(일반분체), 문틀 포함</x:v>
      </x:c>
      <x:c r="D387" s="25" t="str">
        <x:v>240*45*1.6T, 1.8*2.1, 양개</x:v>
      </x:c>
      <x:c r="E387" s="22" t="str">
        <x:v>M2</x:v>
      </x:c>
      <x:c r="F387" s="34" t="n">
        <x:v>163.3340739095016</x:v>
      </x:c>
      <x:c r="G387" s="34" t="n">
        <x:v>0</x:v>
      </x:c>
      <x:c r="H387" s="34" t="n">
        <x:v>0</x:v>
      </x:c>
      <x:c r="I387" s="34" t="n">
        <x:f>SUM(F387:H387)</x:f>
        <x:v>163.3340739095016</x:v>
      </x:c>
      <x:c r="J387" s="22" t="str">
        <x:v>163.3340739095016</x:v>
      </x:c>
      <x:c r="K387" s="22" t="str"/>
      <x:c r="L387" s="22" t="str"/>
      <x:c r="M387" s="22" t="str">
        <x:v>단가대비표</x:v>
      </x:c>
      <x:c r="N387" s="37" t="n">
        <x:v>89</x:v>
      </x:c>
      <x:c r="O3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7" s="22" t="str">
        <x:v>47d79c95e2c3273f84778935276c94526e369cc1b1bc057f6b03c998f44e253f</x:v>
      </x:c>
      <x:c r="Q387" s="22" t="str">
        <x:v>=O89+P89+V89</x:v>
      </x:c>
    </x:row>
    <x:row r="388">
      <x:c r="A388" s="22" t="str">
        <x:v>직접자원단가</x:v>
      </x:c>
      <x:c r="B388" s="22" t="str">
        <x:v>43AE2142BE746972723205724FD0610FF9548</x:v>
      </x:c>
      <x:c r="C388" s="25" t="str">
        <x:v>도어클로저</x:v>
      </x:c>
      <x:c r="D388" s="25" t="str">
        <x:v>도어클로저, K-2840, KS4호, 고급방화, 60∼85kg</x:v>
      </x:c>
      <x:c r="E388" s="22" t="str">
        <x:v>조</x:v>
      </x:c>
      <x:c r="F388" s="34" t="n">
        <x:v>81.46337850847961</x:v>
      </x:c>
      <x:c r="G388" s="34" t="n">
        <x:v>0</x:v>
      </x:c>
      <x:c r="H388" s="34" t="n">
        <x:v>0</x:v>
      </x:c>
      <x:c r="I388" s="34" t="n">
        <x:f>SUM(F388:H388)</x:f>
        <x:v>81.46337850847961</x:v>
      </x:c>
      <x:c r="J388" s="22" t="str">
        <x:v>81.46337850847961 | 82.2780122935644</x:v>
      </x:c>
      <x:c r="K388" s="22" t="str">
        <x:v>658</x:v>
      </x:c>
      <x:c r="L388" s="22" t="str"/>
      <x:c r="M388" s="22" t="str">
        <x:v>단가대비표</x:v>
      </x:c>
      <x:c r="N388" s="37" t="n">
        <x:v>90</x:v>
      </x:c>
      <x:c r="O3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8" s="22" t="str">
        <x:v>47d79c95e2c3273f84778935276c94526e369cc1b1bc057f6b03c998f44e253f</x:v>
      </x:c>
      <x:c r="Q388" s="22" t="str">
        <x:v>=O90+P90+V90</x:v>
      </x:c>
    </x:row>
    <x:row r="389">
      <x:c r="A389" s="22" t="str">
        <x:v>직접자원단가</x:v>
      </x:c>
      <x:c r="B389" s="22" t="str">
        <x:v>43AE2142BE74697272054CEFC44DF27B21B1E</x:v>
      </x:c>
      <x:c r="C389" s="25" t="str">
        <x:v>마그네틱릴리즈</x:v>
      </x:c>
      <x:c r="D389" s="25" t="str">
        <x:v>K100 전자석</x:v>
      </x:c>
      <x:c r="E389" s="22" t="str">
        <x:v>EA</x:v>
      </x:c>
      <x:c r="F389" s="34" t="n">
        <x:v>52.951196030511746</x:v>
      </x:c>
      <x:c r="G389" s="34" t="n">
        <x:v>0</x:v>
      </x:c>
      <x:c r="H389" s="34" t="n">
        <x:v>0</x:v>
      </x:c>
      <x:c r="I389" s="34" t="n">
        <x:f>SUM(F389:H389)</x:f>
        <x:v>52.951196030511746</x:v>
      </x:c>
      <x:c r="J389" s="22" t="str">
        <x:v>52.951196030511746</x:v>
      </x:c>
      <x:c r="K389" s="22" t="str"/>
      <x:c r="L389" s="22" t="str"/>
      <x:c r="M389" s="22" t="str">
        <x:v>단가대비표</x:v>
      </x:c>
      <x:c r="N389" s="37" t="n">
        <x:v>91</x:v>
      </x:c>
      <x:c r="O3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89" s="22" t="str">
        <x:v>47d79c95e2c3273f84778935276c94526e369cc1b1bc057f6b03c998f44e253f</x:v>
      </x:c>
      <x:c r="Q389" s="22" t="str">
        <x:v>=O91+P91+V91</x:v>
      </x:c>
    </x:row>
    <x:row r="390">
      <x:c r="A390" s="22" t="str">
        <x:v>직접자원단가</x:v>
      </x:c>
      <x:c r="B390" s="22" t="str">
        <x:v>43AE2142BE74697272054CEFC44DF27B21B1D</x:v>
      </x:c>
      <x:c r="C390" s="25" t="str">
        <x:v>휴즈디바이스</x:v>
      </x:c>
      <x:c r="D390" s="25" t="str">
        <x:v>K50 휴즈홀다</x:v>
      </x:c>
      <x:c r="E390" s="22" t="str">
        <x:v>EA</x:v>
      </x:c>
      <x:c r="F390" s="34" t="n">
        <x:v>28.512182477967865</x:v>
      </x:c>
      <x:c r="G390" s="34" t="n">
        <x:v>0</x:v>
      </x:c>
      <x:c r="H390" s="34" t="n">
        <x:v>0</x:v>
      </x:c>
      <x:c r="I390" s="34" t="n">
        <x:f>SUM(F390:H390)</x:f>
        <x:v>28.512182477967865</x:v>
      </x:c>
      <x:c r="J390" s="22" t="str">
        <x:v>28.512182477967865</x:v>
      </x:c>
      <x:c r="K390" s="22" t="str"/>
      <x:c r="L390" s="22" t="str"/>
      <x:c r="M390" s="22" t="str">
        <x:v>단가대비표</x:v>
      </x:c>
      <x:c r="N390" s="37" t="n">
        <x:v>92</x:v>
      </x:c>
      <x:c r="O3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0" s="22" t="str">
        <x:v>47d79c95e2c3273f84778935276c94526e369cc1b1bc057f6b03c998f44e253f</x:v>
      </x:c>
      <x:c r="Q390" s="22" t="str">
        <x:v>=O92+P92+V92</x:v>
      </x:c>
    </x:row>
    <x:row r="391">
      <x:c r="A391" s="22" t="str">
        <x:v>직접자원단가</x:v>
      </x:c>
      <x:c r="B391" s="22" t="str">
        <x:v>43AE2142BE74697272054CEFC44DF27B21B1C</x:v>
      </x:c>
      <x:c r="C391" s="25" t="str">
        <x:v>자동폐쇄기</x:v>
      </x:c>
      <x:c r="D391" s="25" t="str">
        <x:v>자동복귀</x:v>
      </x:c>
      <x:c r="E391" s="22" t="str">
        <x:v>EA</x:v>
      </x:c>
      <x:c r="F391" s="34" t="n">
        <x:v>81.46337850847961</x:v>
      </x:c>
      <x:c r="G391" s="34" t="n">
        <x:v>0</x:v>
      </x:c>
      <x:c r="H391" s="34" t="n">
        <x:v>0</x:v>
      </x:c>
      <x:c r="I391" s="34" t="n">
        <x:f>SUM(F391:H391)</x:f>
        <x:v>81.46337850847961</x:v>
      </x:c>
      <x:c r="J391" s="22" t="str">
        <x:v>81.46337850847961</x:v>
      </x:c>
      <x:c r="K391" s="22" t="str"/>
      <x:c r="L391" s="22" t="str"/>
      <x:c r="M391" s="22" t="str">
        <x:v>단가대비표</x:v>
      </x:c>
      <x:c r="N391" s="37" t="n">
        <x:v>93</x:v>
      </x:c>
      <x:c r="O3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1" s="22" t="str">
        <x:v>47d79c95e2c3273f84778935276c94526e369cc1b1bc057f6b03c998f44e253f</x:v>
      </x:c>
      <x:c r="Q391" s="22" t="str">
        <x:v>=O93+P93+V93</x:v>
      </x:c>
    </x:row>
    <x:row r="392">
      <x:c r="A392" s="22" t="str">
        <x:v>직접자원단가</x:v>
      </x:c>
      <x:c r="B392" s="22" t="str">
        <x:v>43AE2142BE74697272054CEFC44DF27B21B1B</x:v>
      </x:c>
      <x:c r="C392" s="25" t="str">
        <x:v>순위조절기</x:v>
      </x:c>
      <x:c r="D392" s="25" t="str">
        <x:v>K34 양개도아</x:v>
      </x:c>
      <x:c r="E392" s="22" t="str">
        <x:v>EA</x:v>
      </x:c>
      <x:c r="F392" s="34" t="n">
        <x:v>28.512182477967865</x:v>
      </x:c>
      <x:c r="G392" s="34" t="n">
        <x:v>0</x:v>
      </x:c>
      <x:c r="H392" s="34" t="n">
        <x:v>0</x:v>
      </x:c>
      <x:c r="I392" s="34" t="n">
        <x:f>SUM(F392:H392)</x:f>
        <x:v>28.512182477967865</x:v>
      </x:c>
      <x:c r="J392" s="22" t="str">
        <x:v>28.512182477967865</x:v>
      </x:c>
      <x:c r="K392" s="22" t="str"/>
      <x:c r="L392" s="22" t="str"/>
      <x:c r="M392" s="22" t="str">
        <x:v>단가대비표</x:v>
      </x:c>
      <x:c r="N392" s="37" t="n">
        <x:v>94</x:v>
      </x:c>
      <x:c r="O3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2" s="22" t="str">
        <x:v>47d79c95e2c3273f84778935276c94526e369cc1b1bc057f6b03c998f44e253f</x:v>
      </x:c>
      <x:c r="Q392" s="22" t="str">
        <x:v>=O94+P94+V94</x:v>
      </x:c>
    </x:row>
    <x:row r="393">
      <x:c r="A393" s="22" t="str">
        <x:v>직접자원단가</x:v>
      </x:c>
      <x:c r="B393" s="22" t="str">
        <x:v>43AE2142BE74697272054CEFC44DF27B21B1A</x:v>
      </x:c>
      <x:c r="C393" s="25" t="str">
        <x:v>연동제어기</x:v>
      </x:c>
      <x:c r="D393" s="25" t="str">
        <x:v>매립형</x:v>
      </x:c>
      <x:c r="E393" s="22" t="str">
        <x:v>EA</x:v>
      </x:c>
      <x:c r="F393" s="34" t="n">
        <x:v>122.1950677627194</x:v>
      </x:c>
      <x:c r="G393" s="34" t="n">
        <x:v>0</x:v>
      </x:c>
      <x:c r="H393" s="34" t="n">
        <x:v>0</x:v>
      </x:c>
      <x:c r="I393" s="34" t="n">
        <x:f>SUM(F393:H393)</x:f>
        <x:v>122.1950677627194</x:v>
      </x:c>
      <x:c r="J393" s="22" t="str">
        <x:v>122.1950677627194</x:v>
      </x:c>
      <x:c r="K393" s="22" t="str"/>
      <x:c r="L393" s="22" t="str"/>
      <x:c r="M393" s="22" t="str">
        <x:v>단가대비표</x:v>
      </x:c>
      <x:c r="N393" s="37" t="n">
        <x:v>95</x:v>
      </x:c>
      <x:c r="O3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3" s="22" t="str">
        <x:v>47d79c95e2c3273f84778935276c94526e369cc1b1bc057f6b03c998f44e253f</x:v>
      </x:c>
      <x:c r="Q393" s="22" t="str">
        <x:v>=O95+P95+V95</x:v>
      </x:c>
    </x:row>
    <x:row r="394">
      <x:c r="A394" s="22" t="str">
        <x:v>직접자원단가</x:v>
      </x:c>
      <x:c r="B394" s="22" t="str">
        <x:v>43AE2142BE74697272054CEFC44DF27B21B19</x:v>
      </x:c>
      <x:c r="C394" s="25" t="str">
        <x:v>연감지기</x:v>
      </x:c>
      <x:c r="D394" s="25" t="str">
        <x:v>광전식</x:v>
      </x:c>
      <x:c r="E394" s="22" t="str">
        <x:v>EA</x:v>
      </x:c>
      <x:c r="F394" s="34" t="n">
        <x:v>14.66340813152633</x:v>
      </x:c>
      <x:c r="G394" s="34" t="n">
        <x:v>0</x:v>
      </x:c>
      <x:c r="H394" s="34" t="n">
        <x:v>0</x:v>
      </x:c>
      <x:c r="I394" s="34" t="n">
        <x:f>SUM(F394:H394)</x:f>
        <x:v>14.66340813152633</x:v>
      </x:c>
      <x:c r="J394" s="22" t="str">
        <x:v>14.66340813152633</x:v>
      </x:c>
      <x:c r="K394" s="22" t="str"/>
      <x:c r="L394" s="22" t="str"/>
      <x:c r="M394" s="22" t="str">
        <x:v>단가대비표</x:v>
      </x:c>
      <x:c r="N394" s="37" t="n">
        <x:v>96</x:v>
      </x:c>
      <x:c r="O3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4" s="22" t="str">
        <x:v>47d79c95e2c3273f84778935276c94526e369cc1b1bc057f6b03c998f44e253f</x:v>
      </x:c>
      <x:c r="Q394" s="22" t="str">
        <x:v>=O96+P96+V96</x:v>
      </x:c>
    </x:row>
    <x:row r="395">
      <x:c r="A395" s="22" t="str">
        <x:v>직접자원단가</x:v>
      </x:c>
      <x:c r="B395" s="22" t="str">
        <x:v>43AE2142BE74697272054CEFC44DF27B21B17</x:v>
      </x:c>
      <x:c r="C395" s="25" t="str">
        <x:v>샷타개폐기</x:v>
      </x:c>
      <x:c r="D395" s="25" t="str">
        <x:v>400 KG</x:v>
      </x:c>
      <x:c r="E395" s="22" t="str">
        <x:v>EA</x:v>
      </x:c>
      <x:c r="F395" s="34" t="n">
        <x:v>366.5852032881582</x:v>
      </x:c>
      <x:c r="G395" s="34" t="n">
        <x:v>0</x:v>
      </x:c>
      <x:c r="H395" s="34" t="n">
        <x:v>0</x:v>
      </x:c>
      <x:c r="I395" s="34" t="n">
        <x:f>SUM(F395:H395)</x:f>
        <x:v>366.5852032881582</x:v>
      </x:c>
      <x:c r="J395" s="22" t="str">
        <x:v>366.5852032881582</x:v>
      </x:c>
      <x:c r="K395" s="22" t="str">
        <x:v>597</x:v>
      </x:c>
      <x:c r="L395" s="22" t="str"/>
      <x:c r="M395" s="22" t="str">
        <x:v>단가대비표</x:v>
      </x:c>
      <x:c r="N395" s="37" t="n">
        <x:v>97</x:v>
      </x:c>
      <x:c r="O3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5" s="22" t="str">
        <x:v>47d79c95e2c3273f84778935276c94526e369cc1b1bc057f6b03c998f44e253f</x:v>
      </x:c>
      <x:c r="Q395" s="22" t="str">
        <x:v>=O97+P97+V97</x:v>
      </x:c>
    </x:row>
    <x:row r="396">
      <x:c r="A396" s="22" t="str">
        <x:v>직접자원단가</x:v>
      </x:c>
      <x:c r="B396" s="22" t="str">
        <x:v>43AE2142BE74697272054CEFC44DF27B21B16</x:v>
      </x:c>
      <x:c r="C396" s="25" t="str">
        <x:v>방화샷타(갈바나이즈)</x:v>
      </x:c>
      <x:c r="D396" s="25" t="str">
        <x:v>THK=1.6 시공비포함</x:v>
      </x:c>
      <x:c r="E396" s="22" t="str">
        <x:v>M2</x:v>
      </x:c>
      <x:c r="F396" s="34" t="n">
        <x:v>254.57305783899878</x:v>
      </x:c>
      <x:c r="G396" s="34" t="n">
        <x:v>0</x:v>
      </x:c>
      <x:c r="H396" s="34" t="n">
        <x:v>0</x:v>
      </x:c>
      <x:c r="I396" s="34" t="n">
        <x:f>SUM(F396:H396)</x:f>
        <x:v>254.57305783899878</x:v>
      </x:c>
      <x:c r="J396" s="22" t="str">
        <x:v>254.57305783899878</x:v>
      </x:c>
      <x:c r="K396" s="22" t="str">
        <x:v>570</x:v>
      </x:c>
      <x:c r="L396" s="22" t="str"/>
      <x:c r="M396" s="22" t="str">
        <x:v>단가대비표</x:v>
      </x:c>
      <x:c r="N396" s="37" t="n">
        <x:v>98</x:v>
      </x:c>
      <x:c r="O3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6" s="22" t="str">
        <x:v>47d79c95e2c3273f84778935276c94526e369cc1b1bc057f6b03c998f44e253f</x:v>
      </x:c>
      <x:c r="Q396" s="22" t="str">
        <x:v>=O98+P98+V98</x:v>
      </x:c>
    </x:row>
    <x:row r="397">
      <x:c r="A397" s="22" t="str">
        <x:v>직접자원단가</x:v>
      </x:c>
      <x:c r="B397" s="22" t="str">
        <x:v>43AE2142BE74697272054CEFC44DF27B21A78</x:v>
      </x:c>
      <x:c r="C397" s="25" t="str">
        <x:v>비상문</x:v>
      </x:c>
      <x:c r="D397" s="25" t="str">
        <x:v>900*2100</x:v>
      </x:c>
      <x:c r="E397" s="22" t="str">
        <x:v>조</x:v>
      </x:c>
      <x:c r="F397" s="34" t="n">
        <x:v>285.1218247796786</x:v>
      </x:c>
      <x:c r="G397" s="34" t="n">
        <x:v>0</x:v>
      </x:c>
      <x:c r="H397" s="34" t="n">
        <x:v>0</x:v>
      </x:c>
      <x:c r="I397" s="34" t="n">
        <x:f>SUM(F397:H397)</x:f>
        <x:v>285.1218247796786</x:v>
      </x:c>
      <x:c r="J397" s="22" t="str">
        <x:v>285.1218247796786</x:v>
      </x:c>
      <x:c r="K397" s="22" t="str">
        <x:v>452</x:v>
      </x:c>
      <x:c r="L397" s="22" t="str"/>
      <x:c r="M397" s="22" t="str">
        <x:v>단가대비표</x:v>
      </x:c>
      <x:c r="N397" s="37" t="n">
        <x:v>99</x:v>
      </x:c>
      <x:c r="O3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7" s="22" t="str">
        <x:v>47d79c95e2c3273f84778935276c94526e369cc1b1bc057f6b03c998f44e253f</x:v>
      </x:c>
      <x:c r="Q397" s="22" t="str">
        <x:v>=O99+P99+V99</x:v>
      </x:c>
    </x:row>
    <x:row r="398">
      <x:c r="A398" s="22" t="str">
        <x:v>직접자원단가</x:v>
      </x:c>
      <x:c r="B398" s="22" t="str">
        <x:v>43AE2142BE74697272B725004168FF3720C39</x:v>
      </x:c>
      <x:c r="C398" s="25" t="str">
        <x:v>홀딩도어</x:v>
      </x:c>
      <x:c r="D398" s="25" t="str">
        <x:v>양겹무지 중</x:v>
      </x:c>
      <x:c r="E398" s="22" t="str">
        <x:v>M2</x:v>
      </x:c>
      <x:c r="F398" s="34" t="n">
        <x:v>31.77071761830705</x:v>
      </x:c>
      <x:c r="G398" s="34" t="n">
        <x:v>0</x:v>
      </x:c>
      <x:c r="H398" s="34" t="n">
        <x:v>0</x:v>
      </x:c>
      <x:c r="I398" s="34" t="n">
        <x:f>SUM(F398:H398)</x:f>
        <x:v>31.77071761830705</x:v>
      </x:c>
      <x:c r="J398" s="22" t="str">
        <x:v>31.77071761830705</x:v>
      </x:c>
      <x:c r="K398" s="22" t="str">
        <x:v>702</x:v>
      </x:c>
      <x:c r="L398" s="22" t="str"/>
      <x:c r="M398" s="22" t="str">
        <x:v>단가대비표</x:v>
      </x:c>
      <x:c r="N398" s="37" t="n">
        <x:v>100</x:v>
      </x:c>
      <x:c r="O3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8" s="22" t="str">
        <x:v>47d79c95e2c3273f84778935276c94526e369cc1b1bc057f6b03c998f44e253f</x:v>
      </x:c>
      <x:c r="Q398" s="22" t="str">
        <x:v>=O100+P100+V100</x:v>
      </x:c>
    </x:row>
    <x:row r="399">
      <x:c r="A399" s="22" t="str">
        <x:v>직접자원단가</x:v>
      </x:c>
      <x:c r="B399" s="22" t="str">
        <x:v>43AE2142BE746970424045853B7FD2C6C14CE</x:v>
      </x:c>
      <x:c r="C399" s="25" t="str">
        <x:v>강화유리</x:v>
      </x:c>
      <x:c r="D399" s="25" t="str">
        <x:v>강화유리, 칼라, 10mm, 그린</x:v>
      </x:c>
      <x:c r="E399" s="22" t="str">
        <x:v>M2</x:v>
      </x:c>
      <x:c r="F399" s="34" t="n">
        <x:v>33.88876545952752</x:v>
      </x:c>
      <x:c r="G399" s="34" t="n">
        <x:v>0</x:v>
      </x:c>
      <x:c r="H399" s="34" t="n">
        <x:v>0</x:v>
      </x:c>
      <x:c r="I399" s="34" t="n">
        <x:f>SUM(F399:H399)</x:f>
        <x:v>33.88876545952752</x:v>
      </x:c>
      <x:c r="J399" s="22" t="str">
        <x:v>37.10412500925721 | 33.88876545952752 | 34.29608235206992</x:v>
      </x:c>
      <x:c r="K399" s="22" t="str">
        <x:v>665 | 463</x:v>
      </x:c>
      <x:c r="L399" s="22" t="str"/>
      <x:c r="M399" s="22" t="str">
        <x:v>단가대비표</x:v>
      </x:c>
      <x:c r="N399" s="37" t="n">
        <x:v>101</x:v>
      </x:c>
      <x:c r="O3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399" s="22" t="str">
        <x:v>47d79c95e2c3273f84778935276c94526e369cc1b1bc057f6b03c998f44e253f</x:v>
      </x:c>
      <x:c r="Q399" s="22" t="str">
        <x:v>=O101+P101+V101</x:v>
      </x:c>
    </x:row>
    <x:row r="400">
      <x:c r="A400" s="22" t="str">
        <x:v>직접자원단가</x:v>
      </x:c>
      <x:c r="B400" s="22" t="str">
        <x:v>43AE2142BE746970424045853B7FD2C6C14CD</x:v>
      </x:c>
      <x:c r="C400" s="25" t="str">
        <x:v>강화유리</x:v>
      </x:c>
      <x:c r="D400" s="25" t="str">
        <x:v>강화유리, 칼라, 12mm, 그린</x:v>
      </x:c>
      <x:c r="E400" s="22" t="str">
        <x:v>M2</x:v>
      </x:c>
      <x:c r="F400" s="34" t="n">
        <x:v>38.532178034510856</x:v>
      </x:c>
      <x:c r="G400" s="34" t="n">
        <x:v>0</x:v>
      </x:c>
      <x:c r="H400" s="34" t="n">
        <x:v>0</x:v>
      </x:c>
      <x:c r="I400" s="34" t="n">
        <x:f>SUM(F400:H400)</x:f>
        <x:v>38.532178034510856</x:v>
      </x:c>
      <x:c r="J400" s="22" t="str">
        <x:v>40.05961638154485 | 38.532178034510856 | 39.42827519810413</x:v>
      </x:c>
      <x:c r="K400" s="22" t="str">
        <x:v>665 | 463</x:v>
      </x:c>
      <x:c r="L400" s="22" t="str"/>
      <x:c r="M400" s="22" t="str">
        <x:v>단가대비표</x:v>
      </x:c>
      <x:c r="N400" s="37" t="n">
        <x:v>102</x:v>
      </x:c>
      <x:c r="O4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0" s="22" t="str">
        <x:v>47d79c95e2c3273f84778935276c94526e369cc1b1bc057f6b03c998f44e253f</x:v>
      </x:c>
      <x:c r="Q400" s="22" t="str">
        <x:v>=O102+P102+V102</x:v>
      </x:c>
    </x:row>
    <x:row r="401">
      <x:c r="A401" s="22" t="str">
        <x:v>직접자원단가</x:v>
      </x:c>
      <x:c r="B401" s="22" t="str">
        <x:v>43AE2142BE746970424045853B7FD2C14EBD8</x:v>
      </x:c>
      <x:c r="C401" s="25" t="str">
        <x:v>Tempered glass</x:v>
      </x:c>
      <x:c r="D401" s="25" t="str">
        <x:v>Tempered glass, Transparent, 5mm</x:v>
      </x:c>
      <x:c r="E401" s="22" t="str">
        <x:v>M2</x:v>
      </x:c>
      <x:c r="F401" s="34" t="n">
        <x:v>30.54876694067985</x:v>
      </x:c>
      <x:c r="G401" s="34" t="n">
        <x:v>0</x:v>
      </x:c>
      <x:c r="H401" s="34" t="n">
        <x:v>0</x:v>
      </x:c>
      <x:c r="I401" s="34" t="n">
        <x:f>SUM(F401:H401)</x:f>
        <x:v>30.54876694067985</x:v>
      </x:c>
      <x:c r="J401" s="22" t="str">
        <x:v>30.54876694067985</x:v>
      </x:c>
      <x:c r="K401" s="22" t="str">
        <x:v>665</x:v>
      </x:c>
      <x:c r="L401" s="22" t="str"/>
      <x:c r="M401" s="22" t="str">
        <x:v>단가대비표</x:v>
      </x:c>
      <x:c r="N401" s="37" t="n">
        <x:v>103</x:v>
      </x:c>
      <x:c r="O4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1" s="22" t="str">
        <x:v>47d79c95e2c3273f84778935276c94526e369cc1b1bc057f6b03c998f44e253f</x:v>
      </x:c>
      <x:c r="Q401" s="22" t="str">
        <x:v>=O103+P103+V103</x:v>
      </x:c>
    </x:row>
    <x:row r="402">
      <x:c r="A402" s="22" t="str">
        <x:v>직접자원단가</x:v>
      </x:c>
      <x:c r="B402" s="22" t="str">
        <x:v>43AE2142BE746970424045853B7FD2C14EA36</x:v>
      </x:c>
      <x:c r="C402" s="25" t="str">
        <x:v>Tempered glass</x:v>
      </x:c>
      <x:c r="D402" s="25" t="str">
        <x:v>Tempered glass, Transparent, 10mm</x:v>
      </x:c>
      <x:c r="E402" s="22" t="str">
        <x:v>M2</x:v>
      </x:c>
      <x:c r="F402" s="34" t="n">
        <x:v>30.54876694067985</x:v>
      </x:c>
      <x:c r="G402" s="34" t="n">
        <x:v>0</x:v>
      </x:c>
      <x:c r="H402" s="34" t="n">
        <x:v>0</x:v>
      </x:c>
      <x:c r="I402" s="34" t="n">
        <x:f>SUM(F402:H402)</x:f>
        <x:v>30.54876694067985</x:v>
      </x:c>
      <x:c r="J402" s="22" t="str">
        <x:v>30.54876694067985</x:v>
      </x:c>
      <x:c r="K402" s="22" t="str">
        <x:v>665</x:v>
      </x:c>
      <x:c r="L402" s="22" t="str"/>
      <x:c r="M402" s="22" t="str">
        <x:v>단가대비표</x:v>
      </x:c>
      <x:c r="N402" s="37" t="n">
        <x:v>104</x:v>
      </x:c>
      <x:c r="O4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2" s="22" t="str">
        <x:v>47d79c95e2c3273f84778935276c94526e369cc1b1bc057f6b03c998f44e253f</x:v>
      </x:c>
      <x:c r="Q402" s="22" t="str">
        <x:v>=O104+P104+V104</x:v>
      </x:c>
    </x:row>
    <x:row r="403">
      <x:c r="A403" s="22" t="str">
        <x:v>직접자원단가</x:v>
      </x:c>
      <x:c r="B403" s="22" t="str">
        <x:v>43AE2040227AB7E6B2F81FF151C83F4AFAB58</x:v>
      </x:c>
      <x:c r="C403" s="25" t="str">
        <x:v>앵커볼트</x:v>
      </x:c>
      <x:c r="D403" s="25" t="str">
        <x:v>앵커볼트, M16*300mm</x:v>
      </x:c>
      <x:c r="E403" s="22" t="str">
        <x:v>개</x:v>
      </x:c>
      <x:c r="F403" s="34" t="n">
        <x:v>0.8146337850847961</x:v>
      </x:c>
      <x:c r="G403" s="34" t="n">
        <x:v>0</x:v>
      </x:c>
      <x:c r="H403" s="34" t="n">
        <x:v>0</x:v>
      </x:c>
      <x:c r="I403" s="34" t="n">
        <x:f>SUM(F403:H403)</x:f>
        <x:v>0.8146337850847961</x:v>
      </x:c>
      <x:c r="J403" s="22" t="str">
        <x:v>0.8537362067688663 | 0.8146337850847961</x:v>
      </x:c>
      <x:c r="K403" s="22" t="str">
        <x:v>95</x:v>
      </x:c>
      <x:c r="L403" s="22" t="str"/>
      <x:c r="M403" s="22" t="str">
        <x:v>단가대비표</x:v>
      </x:c>
      <x:c r="N403" s="37" t="n">
        <x:v>105</x:v>
      </x:c>
      <x:c r="O4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3" s="22" t="str">
        <x:v>47d79c95e2c3273f84778935276c94526e369cc1b1bc057f6b03c998f44e253f</x:v>
      </x:c>
      <x:c r="Q403" s="22" t="str">
        <x:v>=O105+P105+V105</x:v>
      </x:c>
    </x:row>
    <x:row r="404">
      <x:c r="A404" s="22" t="str">
        <x:v>직접자원단가</x:v>
      </x:c>
      <x:c r="B404" s="22" t="str">
        <x:v>43AE2040227AB7E6B2F81FF17CE9B9B2C20A6</x:v>
      </x:c>
      <x:c r="C404" s="25" t="str">
        <x:v>Anchor Bolt Install</x:v>
      </x:c>
      <x:c r="D404" s="25" t="str">
        <x:v>M20*600mm</x:v>
      </x:c>
      <x:c r="E404" s="22" t="str">
        <x:v>EA</x:v>
      </x:c>
      <x:c r="F404" s="34" t="n">
        <x:v>20</x:v>
      </x:c>
      <x:c r="G404" s="34" t="n">
        <x:v>0</x:v>
      </x:c>
      <x:c r="H404" s="34" t="n">
        <x:v>0</x:v>
      </x:c>
      <x:c r="I404" s="34" t="n">
        <x:f>SUM(F404:H404)</x:f>
        <x:v>20</x:v>
      </x:c>
      <x:c r="J404" s="22" t="str">
        <x:v>20</x:v>
      </x:c>
      <x:c r="K404" s="22" t="str"/>
      <x:c r="L404" s="22" t="str">
        <x:v>※$$$$$$$$$</x:v>
      </x:c>
      <x:c r="M404" s="22" t="str">
        <x:v>단가대비표</x:v>
      </x:c>
      <x:c r="N404" s="37" t="n">
        <x:v>106</x:v>
      </x:c>
      <x:c r="O4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4" s="22" t="str">
        <x:v>47d79c95e2c3273f84778935276c94526e369cc1b1bc057f6b03c998f44e253f</x:v>
      </x:c>
      <x:c r="Q404" s="22" t="str">
        <x:v>=O106+P106+V106</x:v>
      </x:c>
    </x:row>
    <x:row r="405">
      <x:c r="A405" s="22" t="str">
        <x:v>직접자원단가</x:v>
      </x:c>
      <x:c r="B405" s="22" t="str">
        <x:v>43AE2040227AB42C921EE866A1AEDFF04A31B</x:v>
      </x:c>
      <x:c r="C405" s="25" t="str">
        <x:v>작은나사</x:v>
      </x:c>
      <x:c r="D405" s="25" t="str">
        <x:v>스테인리스, M5*12</x:v>
      </x:c>
      <x:c r="E405" s="22" t="str">
        <x:v>개</x:v>
      </x:c>
      <x:c r="F405" s="34" t="n">
        <x:v>0.026964378286306753</x:v>
      </x:c>
      <x:c r="G405" s="34" t="n">
        <x:v>0</x:v>
      </x:c>
      <x:c r="H405" s="34" t="n">
        <x:v>0</x:v>
      </x:c>
      <x:c r="I405" s="34" t="n">
        <x:f>SUM(F405:H405)</x:f>
        <x:v>0.026964378286306753</x:v>
      </x:c>
      <x:c r="J405" s="22" t="str">
        <x:v>0.026964378286306753 | 0.02745315855735763</x:v>
      </x:c>
      <x:c r="K405" s="22" t="str">
        <x:v>98 | 57</x:v>
      </x:c>
      <x:c r="L405" s="22" t="str"/>
      <x:c r="M405" s="22" t="str">
        <x:v>단가대비표</x:v>
      </x:c>
      <x:c r="N405" s="37" t="n">
        <x:v>107</x:v>
      </x:c>
      <x:c r="O4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5" s="22" t="str">
        <x:v>47d79c95e2c3273f84778935276c94526e369cc1b1bc057f6b03c998f44e253f</x:v>
      </x:c>
      <x:c r="Q405" s="22" t="str">
        <x:v>=O107+P107+V107</x:v>
      </x:c>
    </x:row>
    <x:row r="406">
      <x:c r="A406" s="22" t="str">
        <x:v>직접자원단가</x:v>
      </x:c>
      <x:c r="B406" s="22" t="str">
        <x:v>43AE2040227AB42DB27ECF8CD2B7B1F3C386D</x:v>
      </x:c>
      <x:c r="C406" s="25" t="str">
        <x:v>세트앵커</x:v>
      </x:c>
      <x:c r="D406" s="25" t="str">
        <x:v>세트앵커, M10*L75mm</x:v>
      </x:c>
      <x:c r="E406" s="22" t="str">
        <x:v>개</x:v>
      </x:c>
      <x:c r="F406" s="34" t="n">
        <x:v>0.10590239206102349</x:v>
      </x:c>
      <x:c r="G406" s="34" t="n">
        <x:v>0</x:v>
      </x:c>
      <x:c r="H406" s="34" t="n">
        <x:v>0</x:v>
      </x:c>
      <x:c r="I406" s="34" t="n">
        <x:f>SUM(F406:H406)</x:f>
        <x:v>0.10590239206102349</x:v>
      </x:c>
      <x:c r="J406" s="22" t="str">
        <x:v>0.10590239206102349 | 0.13034140561356736</x:v>
      </x:c>
      <x:c r="K406" s="22" t="str">
        <x:v>95 | 53</x:v>
      </x:c>
      <x:c r="L406" s="22" t="str"/>
      <x:c r="M406" s="22" t="str">
        <x:v>단가대비표</x:v>
      </x:c>
      <x:c r="N406" s="37" t="n">
        <x:v>108</x:v>
      </x:c>
      <x:c r="O4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6" s="22" t="str">
        <x:v>47d79c95e2c3273f84778935276c94526e369cc1b1bc057f6b03c998f44e253f</x:v>
      </x:c>
      <x:c r="Q406" s="22" t="str">
        <x:v>=O108+P108+V108</x:v>
      </x:c>
    </x:row>
    <x:row r="407">
      <x:c r="A407" s="22" t="str">
        <x:v>직접자원단가</x:v>
      </x:c>
      <x:c r="B407" s="22" t="str">
        <x:v>43AE2040227AB42DB27ECF8CD2B7B1F3C3B24</x:v>
      </x:c>
      <x:c r="C407" s="25" t="str">
        <x:v>스트롱앵커</x:v>
      </x:c>
      <x:c r="D407" s="25" t="str">
        <x:v>스트롱앵커, M10, 9.5mm</x:v>
      </x:c>
      <x:c r="E407" s="22" t="str">
        <x:v>개</x:v>
      </x:c>
      <x:c r="F407" s="34" t="n">
        <x:v>0.07657557579797084</x:v>
      </x:c>
      <x:c r="G407" s="34" t="n">
        <x:v>0</x:v>
      </x:c>
      <x:c r="H407" s="34" t="n">
        <x:v>0</x:v>
      </x:c>
      <x:c r="I407" s="34" t="n">
        <x:f>SUM(F407:H407)</x:f>
        <x:v>0.07657557579797084</x:v>
      </x:c>
      <x:c r="J407" s="22" t="str">
        <x:v>0.07657557579797084</x:v>
      </x:c>
      <x:c r="K407" s="22" t="str">
        <x:v>95</x:v>
      </x:c>
      <x:c r="L407" s="22" t="str"/>
      <x:c r="M407" s="22" t="str">
        <x:v>단가대비표</x:v>
      </x:c>
      <x:c r="N407" s="37" t="n">
        <x:v>109</x:v>
      </x:c>
      <x:c r="O4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7" s="22" t="str">
        <x:v>47d79c95e2c3273f84778935276c94526e369cc1b1bc057f6b03c998f44e253f</x:v>
      </x:c>
      <x:c r="Q407" s="22" t="str">
        <x:v>=O109+P109+V109</x:v>
      </x:c>
    </x:row>
    <x:row r="408">
      <x:c r="A408" s="22" t="str">
        <x:v>직접자원단가</x:v>
      </x:c>
      <x:c r="B408" s="22" t="str">
        <x:v>43AE2040227AB428326FFE0FE9BFAA819C86C</x:v>
      </x:c>
      <x:c r="C408" s="25" t="str">
        <x:v>Set Anchor Bolt Install</x:v>
      </x:c>
      <x:c r="D408" s="25" t="str">
        <x:v>M19*L150mm</x:v>
      </x:c>
      <x:c r="E408" s="22" t="str">
        <x:v>EA</x:v>
      </x:c>
      <x:c r="F408" s="34" t="n">
        <x:v>20</x:v>
      </x:c>
      <x:c r="G408" s="34" t="n">
        <x:v>0</x:v>
      </x:c>
      <x:c r="H408" s="34" t="n">
        <x:v>0</x:v>
      </x:c>
      <x:c r="I408" s="34" t="n">
        <x:f>SUM(F408:H408)</x:f>
        <x:v>20</x:v>
      </x:c>
      <x:c r="J408" s="22" t="str">
        <x:v>20</x:v>
      </x:c>
      <x:c r="K408" s="22" t="str"/>
      <x:c r="L408" s="22" t="str">
        <x:v>※$$$$$$$$$</x:v>
      </x:c>
      <x:c r="M408" s="22" t="str">
        <x:v>단가대비표</x:v>
      </x:c>
      <x:c r="N408" s="37" t="n">
        <x:v>110</x:v>
      </x:c>
      <x:c r="O4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8" s="22" t="str">
        <x:v>47d79c95e2c3273f84778935276c94526e369cc1b1bc057f6b03c998f44e253f</x:v>
      </x:c>
      <x:c r="Q408" s="22" t="str">
        <x:v>=O110+P110+V110</x:v>
      </x:c>
    </x:row>
    <x:row r="409">
      <x:c r="A409" s="22" t="str">
        <x:v>직접자원단가</x:v>
      </x:c>
      <x:c r="B409" s="22" t="str">
        <x:v>43AE2040227AB428326FFE0FE9BFC6721E265</x:v>
      </x:c>
      <x:c r="C409" s="25" t="str">
        <x:v>피벗힌지</x:v>
      </x:c>
      <x:c r="D409" s="25" t="str">
        <x:v>피벗힌지, 100kg, 방화문용</x:v>
      </x:c>
      <x:c r="E409" s="22" t="str">
        <x:v>조</x:v>
      </x:c>
      <x:c r="F409" s="34" t="n">
        <x:v>57.02436495593573</x:v>
      </x:c>
      <x:c r="G409" s="34" t="n">
        <x:v>0</x:v>
      </x:c>
      <x:c r="H409" s="34" t="n">
        <x:v>0</x:v>
      </x:c>
      <x:c r="I409" s="34" t="n">
        <x:f>SUM(F409:H409)</x:f>
        <x:v>57.02436495593573</x:v>
      </x:c>
      <x:c r="J409" s="22" t="str">
        <x:v>57.02436495593573 | 57.02436495593573 | 57.02436495593573</x:v>
      </x:c>
      <x:c r="K409" s="22" t="str">
        <x:v>661 | 454</x:v>
      </x:c>
      <x:c r="L409" s="22" t="str"/>
      <x:c r="M409" s="22" t="str">
        <x:v>단가대비표</x:v>
      </x:c>
      <x:c r="N409" s="37" t="n">
        <x:v>111</x:v>
      </x:c>
      <x:c r="O4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09" s="22" t="str">
        <x:v>47d79c95e2c3273f84778935276c94526e369cc1b1bc057f6b03c998f44e253f</x:v>
      </x:c>
      <x:c r="Q409" s="22" t="str">
        <x:v>=O111+P111+V111</x:v>
      </x:c>
    </x:row>
    <x:row r="410">
      <x:c r="A410" s="22" t="str">
        <x:v>직접자원단가</x:v>
      </x:c>
      <x:c r="B410" s="22" t="str">
        <x:v>43AE2040227AB42452B2AD3FAA8EDD4A52DB1</x:v>
      </x:c>
      <x:c r="C410" s="25" t="str">
        <x:v>도어핸들</x:v>
      </x:c>
      <x:c r="D410" s="25" t="str">
        <x:v>도어핸들, 9000PB, 레바형</x:v>
      </x:c>
      <x:c r="E410" s="22" t="str">
        <x:v>조</x:v>
      </x:c>
      <x:c r="F410" s="34" t="n">
        <x:v>30.956083833222248</x:v>
      </x:c>
      <x:c r="G410" s="34" t="n">
        <x:v>0</x:v>
      </x:c>
      <x:c r="H410" s="34" t="n">
        <x:v>0</x:v>
      </x:c>
      <x:c r="I410" s="34" t="n">
        <x:f>SUM(F410:H410)</x:f>
        <x:v>30.956083833222248</x:v>
      </x:c>
      <x:c r="J410" s="22" t="str">
        <x:v>30.956083833222248</x:v>
      </x:c>
      <x:c r="K410" s="22" t="str">
        <x:v>577</x:v>
      </x:c>
      <x:c r="L410" s="22" t="str"/>
      <x:c r="M410" s="22" t="str">
        <x:v>단가대비표</x:v>
      </x:c>
      <x:c r="N410" s="37" t="n">
        <x:v>112</x:v>
      </x:c>
      <x:c r="O4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0" s="22" t="str">
        <x:v>47d79c95e2c3273f84778935276c94526e369cc1b1bc057f6b03c998f44e253f</x:v>
      </x:c>
      <x:c r="Q410" s="22" t="str">
        <x:v>=O112+P112+V112</x:v>
      </x:c>
    </x:row>
    <x:row r="411">
      <x:c r="A411" s="22" t="str">
        <x:v>직접자원단가</x:v>
      </x:c>
      <x:c r="B411" s="22" t="str">
        <x:v>43AE2040227AB42452B29C82F0968C772EFD5</x:v>
      </x:c>
      <x:c r="C411" s="25" t="str">
        <x:v>Paper Holder</x:v>
      </x:c>
      <x:c r="D411" s="25" t="str"/>
      <x:c r="E411" s="22" t="str">
        <x:v>no</x:v>
      </x:c>
      <x:c r="F411" s="34" t="n">
        <x:v>23.624379767459086</x:v>
      </x:c>
      <x:c r="G411" s="34" t="n">
        <x:v>0</x:v>
      </x:c>
      <x:c r="H411" s="34" t="n">
        <x:v>0</x:v>
      </x:c>
      <x:c r="I411" s="34" t="n">
        <x:f>SUM(F411:H411)</x:f>
        <x:v>23.624379767459086</x:v>
      </x:c>
      <x:c r="J411" s="22" t="str">
        <x:v>23.624379767459086</x:v>
      </x:c>
      <x:c r="K411" s="22" t="str">
        <x:v>물정 884</x:v>
      </x:c>
      <x:c r="L411" s="22" t="str"/>
      <x:c r="M411" s="22" t="str">
        <x:v>단가대비표</x:v>
      </x:c>
      <x:c r="N411" s="37" t="n">
        <x:v>113</x:v>
      </x:c>
      <x:c r="O4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1" s="22" t="str">
        <x:v>47d79c95e2c3273f84778935276c94526e369cc1b1bc057f6b03c998f44e253f</x:v>
      </x:c>
      <x:c r="Q411" s="22" t="str">
        <x:v>=O113+P113+V113</x:v>
      </x:c>
    </x:row>
    <x:row r="412">
      <x:c r="A412" s="22" t="str">
        <x:v>직접자원단가</x:v>
      </x:c>
      <x:c r="B412" s="22" t="str">
        <x:v>43AE2040227AB42452B29C82F0968C772EC01</x:v>
      </x:c>
      <x:c r="C412" s="25" t="str">
        <x:v>Soap Dispenser</x:v>
      </x:c>
      <x:c r="D412" s="25" t="str"/>
      <x:c r="E412" s="22" t="str">
        <x:v>no</x:v>
      </x:c>
      <x:c r="F412" s="34" t="n">
        <x:v>13.848774346441532</x:v>
      </x:c>
      <x:c r="G412" s="34" t="n">
        <x:v>0</x:v>
      </x:c>
      <x:c r="H412" s="34" t="n">
        <x:v>0</x:v>
      </x:c>
      <x:c r="I412" s="34" t="n">
        <x:f>SUM(F412:H412)</x:f>
        <x:v>13.848774346441532</x:v>
      </x:c>
      <x:c r="J412" s="22" t="str">
        <x:v>13.848774346441532</x:v>
      </x:c>
      <x:c r="K412" s="22" t="str">
        <x:v>물정 887</x:v>
      </x:c>
      <x:c r="L412" s="22" t="str"/>
      <x:c r="M412" s="22" t="str">
        <x:v>단가대비표</x:v>
      </x:c>
      <x:c r="N412" s="37" t="n">
        <x:v>114</x:v>
      </x:c>
      <x:c r="O4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2" s="22" t="str">
        <x:v>47d79c95e2c3273f84778935276c94526e369cc1b1bc057f6b03c998f44e253f</x:v>
      </x:c>
      <x:c r="Q412" s="22" t="str">
        <x:v>=O114+P114+V114</x:v>
      </x:c>
    </x:row>
    <x:row r="413">
      <x:c r="A413" s="22" t="str">
        <x:v>직접자원단가</x:v>
      </x:c>
      <x:c r="B413" s="22" t="str">
        <x:v>43AE2040227AB42452B29C82F0968C772ED28</x:v>
      </x:c>
      <x:c r="C413" s="25" t="str">
        <x:v>Paper Towel Cabinet</x:v>
      </x:c>
      <x:c r="D413" s="25" t="str"/>
      <x:c r="E413" s="22" t="str">
        <x:v>no</x:v>
      </x:c>
      <x:c r="F413" s="34" t="n">
        <x:v>143.3755461749241</x:v>
      </x:c>
      <x:c r="G413" s="34" t="n">
        <x:v>0</x:v>
      </x:c>
      <x:c r="H413" s="34" t="n">
        <x:v>0</x:v>
      </x:c>
      <x:c r="I413" s="34" t="n">
        <x:f>SUM(F413:H413)</x:f>
        <x:v>143.3755461749241</x:v>
      </x:c>
      <x:c r="J413" s="22" t="str">
        <x:v>143.3755461749241</x:v>
      </x:c>
      <x:c r="K413" s="22" t="str">
        <x:v>물정 887</x:v>
      </x:c>
      <x:c r="L413" s="22" t="str"/>
      <x:c r="M413" s="22" t="str">
        <x:v>단가대비표</x:v>
      </x:c>
      <x:c r="N413" s="37" t="n">
        <x:v>115</x:v>
      </x:c>
      <x:c r="O4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3" s="22" t="str">
        <x:v>47d79c95e2c3273f84778935276c94526e369cc1b1bc057f6b03c998f44e253f</x:v>
      </x:c>
      <x:c r="Q413" s="22" t="str">
        <x:v>=O115+P115+V115</x:v>
      </x:c>
    </x:row>
    <x:row r="414">
      <x:c r="A414" s="22" t="str">
        <x:v>직접자원단가</x:v>
      </x:c>
      <x:c r="B414" s="22" t="str">
        <x:v>43AE2040227AB42452B29C82F0968C772EA54</x:v>
      </x:c>
      <x:c r="C414" s="25" t="str">
        <x:v>Coat Hook</x:v>
      </x:c>
      <x:c r="D414" s="25" t="str"/>
      <x:c r="E414" s="22" t="str">
        <x:v>no</x:v>
      </x:c>
      <x:c r="F414" s="34" t="n">
        <x:v>10.590239206102348</x:v>
      </x:c>
      <x:c r="G414" s="34" t="n">
        <x:v>0</x:v>
      </x:c>
      <x:c r="H414" s="34" t="n">
        <x:v>0</x:v>
      </x:c>
      <x:c r="I414" s="34" t="n">
        <x:f>SUM(F414:H414)</x:f>
        <x:v>10.590239206102348</x:v>
      </x:c>
      <x:c r="J414" s="22" t="str">
        <x:v>10.590239206102348</x:v>
      </x:c>
      <x:c r="K414" s="22" t="str">
        <x:v>물정 887</x:v>
      </x:c>
      <x:c r="L414" s="22" t="str"/>
      <x:c r="M414" s="22" t="str">
        <x:v>단가대비표</x:v>
      </x:c>
      <x:c r="N414" s="37" t="n">
        <x:v>116</x:v>
      </x:c>
      <x:c r="O4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4" s="22" t="str">
        <x:v>47d79c95e2c3273f84778935276c94526e369cc1b1bc057f6b03c998f44e253f</x:v>
      </x:c>
      <x:c r="Q414" s="22" t="str">
        <x:v>=O116+P116+V116</x:v>
      </x:c>
    </x:row>
    <x:row r="415">
      <x:c r="A415" s="22" t="str">
        <x:v>직접자원단가</x:v>
      </x:c>
      <x:c r="B415" s="22" t="str">
        <x:v>43AE2040227AB42452B29C82F0968C772EB7A</x:v>
      </x:c>
      <x:c r="C415" s="25" t="str">
        <x:v>Disabled toilet grab bars,Fix Type</x:v>
      </x:c>
      <x:c r="D415" s="25" t="str"/>
      <x:c r="E415" s="22" t="str">
        <x:v>no</x:v>
      </x:c>
      <x:c r="F415" s="34" t="n">
        <x:v>89.60971635932756</x:v>
      </x:c>
      <x:c r="G415" s="34" t="n">
        <x:v>0</x:v>
      </x:c>
      <x:c r="H415" s="34" t="n">
        <x:v>0</x:v>
      </x:c>
      <x:c r="I415" s="34" t="n">
        <x:f>SUM(F415:H415)</x:f>
        <x:v>89.60971635932756</x:v>
      </x:c>
      <x:c r="J415" s="22" t="str">
        <x:v>89.60971635932756</x:v>
      </x:c>
      <x:c r="K415" s="22" t="str">
        <x:v>물정 887</x:v>
      </x:c>
      <x:c r="L415" s="22" t="str"/>
      <x:c r="M415" s="22" t="str">
        <x:v>단가대비표</x:v>
      </x:c>
      <x:c r="N415" s="37" t="n">
        <x:v>117</x:v>
      </x:c>
      <x:c r="O4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5" s="22" t="str">
        <x:v>47d79c95e2c3273f84778935276c94526e369cc1b1bc057f6b03c998f44e253f</x:v>
      </x:c>
      <x:c r="Q415" s="22" t="str">
        <x:v>=O117+P117+V117</x:v>
      </x:c>
    </x:row>
    <x:row r="416">
      <x:c r="A416" s="22" t="str">
        <x:v>직접자원단가</x:v>
      </x:c>
      <x:c r="B416" s="22" t="str">
        <x:v>43AE2040227AB42452B29C82F0968C772E8A6</x:v>
      </x:c>
      <x:c r="C416" s="25" t="str">
        <x:v>Disabled toilet grab bars,Moving Type</x:v>
      </x:c>
      <x:c r="D416" s="25" t="str"/>
      <x:c r="E416" s="22" t="str">
        <x:v>no</x:v>
      </x:c>
      <x:c r="F416" s="34" t="n">
        <x:v>140.11701103458492</x:v>
      </x:c>
      <x:c r="G416" s="34" t="n">
        <x:v>0</x:v>
      </x:c>
      <x:c r="H416" s="34" t="n">
        <x:v>0</x:v>
      </x:c>
      <x:c r="I416" s="34" t="n">
        <x:f>SUM(F416:H416)</x:f>
        <x:v>140.11701103458492</x:v>
      </x:c>
      <x:c r="J416" s="22" t="str">
        <x:v>140.11701103458492</x:v>
      </x:c>
      <x:c r="K416" s="22" t="str">
        <x:v>물정 887</x:v>
      </x:c>
      <x:c r="L416" s="22" t="str"/>
      <x:c r="M416" s="22" t="str">
        <x:v>단가대비표</x:v>
      </x:c>
      <x:c r="N416" s="37" t="n">
        <x:v>118</x:v>
      </x:c>
      <x:c r="O4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6" s="22" t="str">
        <x:v>47d79c95e2c3273f84778935276c94526e369cc1b1bc057f6b03c998f44e253f</x:v>
      </x:c>
      <x:c r="Q416" s="22" t="str">
        <x:v>=O118+P118+V118</x:v>
      </x:c>
    </x:row>
    <x:row r="417">
      <x:c r="A417" s="22" t="str">
        <x:v>직접자원단가</x:v>
      </x:c>
      <x:c r="B417" s="22" t="str">
        <x:v>43AE2040227AB424522CA70CF69C78CAC454F</x:v>
      </x:c>
      <x:c r="C417" s="25" t="str">
        <x:v>화스너 및 앙카</x:v>
      </x:c>
      <x:c r="D417" s="25" t="str"/>
      <x:c r="E417" s="22" t="str">
        <x:v>SET</x:v>
      </x:c>
      <x:c r="F417" s="34" t="n">
        <x:v>2.8512182477967865</x:v>
      </x:c>
      <x:c r="G417" s="34" t="n">
        <x:v>0</x:v>
      </x:c>
      <x:c r="H417" s="34" t="n">
        <x:v>0</x:v>
      </x:c>
      <x:c r="I417" s="34" t="n">
        <x:f>SUM(F417:H417)</x:f>
        <x:v>2.8512182477967865</x:v>
      </x:c>
      <x:c r="J417" s="22" t="str">
        <x:v>2.8512182477967865</x:v>
      </x:c>
      <x:c r="K417" s="22" t="str"/>
      <x:c r="L417" s="22" t="str"/>
      <x:c r="M417" s="22" t="str">
        <x:v>단가대비표</x:v>
      </x:c>
      <x:c r="N417" s="37" t="n">
        <x:v>119</x:v>
      </x:c>
      <x:c r="O4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7" s="22" t="str">
        <x:v>47d79c95e2c3273f84778935276c94526e369cc1b1bc057f6b03c998f44e253f</x:v>
      </x:c>
      <x:c r="Q417" s="22" t="str">
        <x:v>=O119+P119+V119</x:v>
      </x:c>
    </x:row>
    <x:row r="418">
      <x:c r="A418" s="22" t="str">
        <x:v>직접자원단가</x:v>
      </x:c>
      <x:c r="B418" s="22" t="str">
        <x:v>43AE2040227AB424522CA70CF69C78CAC44A8</x:v>
      </x:c>
      <x:c r="C418" s="25" t="str">
        <x:v>고정 클립</x:v>
      </x:c>
      <x:c r="D418" s="25" t="str"/>
      <x:c r="E418" s="22" t="str">
        <x:v>EA</x:v>
      </x:c>
      <x:c r="F418" s="34" t="n">
        <x:v>0.4887802710508776</x:v>
      </x:c>
      <x:c r="G418" s="34" t="n">
        <x:v>0</x:v>
      </x:c>
      <x:c r="H418" s="34" t="n">
        <x:v>0</x:v>
      </x:c>
      <x:c r="I418" s="34" t="n">
        <x:f>SUM(F418:H418)</x:f>
        <x:v>0.4887802710508776</x:v>
      </x:c>
      <x:c r="J418" s="22" t="str">
        <x:v>0.4887802710508776</x:v>
      </x:c>
      <x:c r="K418" s="22" t="str"/>
      <x:c r="L418" s="22" t="str"/>
      <x:c r="M418" s="22" t="str">
        <x:v>단가대비표</x:v>
      </x:c>
      <x:c r="N418" s="37" t="n">
        <x:v>120</x:v>
      </x:c>
      <x:c r="O4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8" s="22" t="str">
        <x:v>47d79c95e2c3273f84778935276c94526e369cc1b1bc057f6b03c998f44e253f</x:v>
      </x:c>
      <x:c r="Q418" s="22" t="str">
        <x:v>=O120+P120+V120</x:v>
      </x:c>
    </x:row>
    <x:row r="419">
      <x:c r="A419" s="22" t="str">
        <x:v>직접자원단가</x:v>
      </x:c>
      <x:c r="B419" s="22" t="str">
        <x:v>43AE2040227AB424522CA739C98A9E50C9ECE</x:v>
      </x:c>
      <x:c r="C419" s="25" t="str">
        <x:v>일반철물</x:v>
      </x:c>
      <x:c r="D419" s="25" t="str">
        <x:v>일반철물, 선홈통지지철물, 철재</x:v>
      </x:c>
      <x:c r="E419" s="22" t="str">
        <x:v>개</x:v>
      </x:c>
      <x:c r="F419" s="34" t="n">
        <x:v>2.03658446271199</x:v>
      </x:c>
      <x:c r="G419" s="34" t="n">
        <x:v>0</x:v>
      </x:c>
      <x:c r="H419" s="34" t="n">
        <x:v>0</x:v>
      </x:c>
      <x:c r="I419" s="34" t="n">
        <x:f>SUM(F419:H419)</x:f>
        <x:v>2.03658446271199</x:v>
      </x:c>
      <x:c r="J419" s="22" t="str">
        <x:v>2.03658446271199</x:v>
      </x:c>
      <x:c r="K419" s="22" t="str">
        <x:v>물정 557</x:v>
      </x:c>
      <x:c r="L419" s="22" t="str"/>
      <x:c r="M419" s="22" t="str">
        <x:v>단가대비표</x:v>
      </x:c>
      <x:c r="N419" s="37" t="n">
        <x:v>121</x:v>
      </x:c>
      <x:c r="O4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19" s="22" t="str">
        <x:v>47d79c95e2c3273f84778935276c94526e369cc1b1bc057f6b03c998f44e253f</x:v>
      </x:c>
      <x:c r="Q419" s="22" t="str">
        <x:v>=O121+P121+V121</x:v>
      </x:c>
    </x:row>
    <x:row r="420">
      <x:c r="A420" s="22" t="str">
        <x:v>직접자원단가</x:v>
      </x:c>
      <x:c r="B420" s="22" t="str">
        <x:v>43AE204010766031C22E92A9A98ED5FABF52D</x:v>
      </x:c>
      <x:c r="C420" s="25" t="str">
        <x:v>초산비닐계접착제</x:v>
      </x:c>
      <x:c r="D420" s="25" t="str">
        <x:v>초산비닐계접착제, 일반목공용</x:v>
      </x:c>
      <x:c r="E420" s="22" t="str">
        <x:v>kg</x:v>
      </x:c>
      <x:c r="F420" s="34" t="n">
        <x:v>1.880989409760794</x:v>
      </x:c>
      <x:c r="G420" s="34" t="n">
        <x:v>0</x:v>
      </x:c>
      <x:c r="H420" s="34" t="n">
        <x:v>0</x:v>
      </x:c>
      <x:c r="I420" s="34" t="n">
        <x:f>SUM(F420:H420)</x:f>
        <x:v>1.880989409760794</x:v>
      </x:c>
      <x:c r="J420" s="22" t="str">
        <x:v>1.880989409760794</x:v>
      </x:c>
      <x:c r="K420" s="22" t="str"/>
      <x:c r="L420" s="22" t="str"/>
      <x:c r="M420" s="22" t="str">
        <x:v>단가대비표</x:v>
      </x:c>
      <x:c r="N420" s="37" t="n">
        <x:v>122</x:v>
      </x:c>
      <x:c r="O4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0" s="22" t="str">
        <x:v>47d79c95e2c3273f84778935276c94526e369cc1b1bc057f6b03c998f44e253f</x:v>
      </x:c>
      <x:c r="Q420" s="22" t="str">
        <x:v>=O122+P122+V122</x:v>
      </x:c>
    </x:row>
    <x:row r="421">
      <x:c r="A421" s="22" t="str">
        <x:v>직접자원단가</x:v>
      </x:c>
      <x:c r="B421" s="22" t="str">
        <x:v>43AE204010766031C22E92A9A98ED5FABF41F</x:v>
      </x:c>
      <x:c r="C421" s="25" t="str">
        <x:v>초산비닐계접착제</x:v>
      </x:c>
      <x:c r="D421" s="25" t="str">
        <x:v>초산비닐계접착제, 스치로폴, 암면</x:v>
      </x:c>
      <x:c r="E421" s="22" t="str">
        <x:v>kg</x:v>
      </x:c>
      <x:c r="F421" s="34" t="n">
        <x:v>2.2255795008516626</x:v>
      </x:c>
      <x:c r="G421" s="34" t="n">
        <x:v>0</x:v>
      </x:c>
      <x:c r="H421" s="34" t="n">
        <x:v>0</x:v>
      </x:c>
      <x:c r="I421" s="34" t="n">
        <x:f>SUM(F421:H421)</x:f>
        <x:v>2.2255795008516626</x:v>
      </x:c>
      <x:c r="J421" s="22" t="str">
        <x:v>2.2255795008516626</x:v>
      </x:c>
      <x:c r="K421" s="22" t="str"/>
      <x:c r="L421" s="22" t="str"/>
      <x:c r="M421" s="22" t="str">
        <x:v>단가대비표</x:v>
      </x:c>
      <x:c r="N421" s="37" t="n">
        <x:v>123</x:v>
      </x:c>
      <x:c r="O4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1" s="22" t="str">
        <x:v>47d79c95e2c3273f84778935276c94526e369cc1b1bc057f6b03c998f44e253f</x:v>
      </x:c>
      <x:c r="Q421" s="22" t="str">
        <x:v>=O123+P123+V123</x:v>
      </x:c>
    </x:row>
    <x:row r="422">
      <x:c r="A422" s="22" t="str">
        <x:v>직접자원단가</x:v>
      </x:c>
      <x:c r="B422" s="22" t="str">
        <x:v>43AE204010766031C22ED812F5123209AF711</x:v>
      </x:c>
      <x:c r="C422" s="25" t="str">
        <x:v>퍼티</x:v>
      </x:c>
      <x:c r="D422" s="25" t="str">
        <x:v>퍼티, 319퍼티, 백색</x:v>
      </x:c>
      <x:c r="E422" s="22" t="str">
        <x:v>kg</x:v>
      </x:c>
      <x:c r="F422" s="34" t="n">
        <x:v>2.546089017255425</x:v>
      </x:c>
      <x:c r="G422" s="34" t="n">
        <x:v>0</x:v>
      </x:c>
      <x:c r="H422" s="34" t="n">
        <x:v>0</x:v>
      </x:c>
      <x:c r="I422" s="34" t="n">
        <x:f>SUM(F422:H422)</x:f>
        <x:v>2.546089017255425</x:v>
      </x:c>
      <x:c r="J422" s="22" t="str">
        <x:v>2.546089017255425</x:v>
      </x:c>
      <x:c r="K422" s="22" t="str">
        <x:v>622</x:v>
      </x:c>
      <x:c r="L422" s="22" t="str">
        <x:v>1L=1.55kg</x:v>
      </x:c>
      <x:c r="M422" s="22" t="str">
        <x:v>단가대비표</x:v>
      </x:c>
      <x:c r="N422" s="37" t="n">
        <x:v>124</x:v>
      </x:c>
      <x:c r="O4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2" s="22" t="str">
        <x:v>47d79c95e2c3273f84778935276c94526e369cc1b1bc057f6b03c998f44e253f</x:v>
      </x:c>
      <x:c r="Q422" s="22" t="str">
        <x:v>=O124+P124+V124</x:v>
      </x:c>
    </x:row>
    <x:row r="423">
      <x:c r="A423" s="22" t="str">
        <x:v>직접자원단가</x:v>
      </x:c>
      <x:c r="B423" s="22" t="str">
        <x:v>43AE204010766031C22ED812F51232F0175C1</x:v>
      </x:c>
      <x:c r="C423" s="25" t="str">
        <x:v>a mold for concrete</x:v>
      </x:c>
      <x:c r="D423" s="25" t="str"/>
      <x:c r="E423" s="22" t="str">
        <x:v>M2</x:v>
      </x:c>
      <x:c r="F423" s="34" t="n">
        <x:v>5</x:v>
      </x:c>
      <x:c r="G423" s="34" t="n">
        <x:v>15</x:v>
      </x:c>
      <x:c r="H423" s="34" t="n">
        <x:v>0</x:v>
      </x:c>
      <x:c r="I423" s="34" t="n">
        <x:f>SUM(F423:H423)</x:f>
        <x:v>20</x:v>
      </x:c>
      <x:c r="J423" s="22" t="str">
        <x:v>5</x:v>
      </x:c>
      <x:c r="K423" s="22" t="str"/>
      <x:c r="L423" s="22" t="str">
        <x:v>※$$$$$$$$$</x:v>
      </x:c>
      <x:c r="M423" s="22" t="str">
        <x:v>단가대비표</x:v>
      </x:c>
      <x:c r="N423" s="37" t="n">
        <x:v>125</x:v>
      </x:c>
      <x:c r="O4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3" s="22" t="str">
        <x:v>47d79c95e2c3273f84778935276c94526e369cc1b1bc057f6b03c998f44e253f</x:v>
      </x:c>
      <x:c r="Q423" s="22" t="str">
        <x:v>=O125+P125+V125</x:v>
      </x:c>
    </x:row>
    <x:row r="424">
      <x:c r="A424" s="22" t="str">
        <x:v>직접자원단가</x:v>
      </x:c>
      <x:c r="B424" s="22" t="str">
        <x:v>43AE204010766031C22ED812F51232F0175C0</x:v>
      </x:c>
      <x:c r="C424" s="25" t="str">
        <x:v>PVC Water Stop installation</x:v>
      </x:c>
      <x:c r="D424" s="25" t="str"/>
      <x:c r="E424" s="22" t="str">
        <x:v>M</x:v>
      </x:c>
      <x:c r="F424" s="34" t="n">
        <x:v>1.5</x:v>
      </x:c>
      <x:c r="G424" s="34" t="n">
        <x:v>0.25</x:v>
      </x:c>
      <x:c r="H424" s="34" t="n">
        <x:v>0</x:v>
      </x:c>
      <x:c r="I424" s="34" t="n">
        <x:f>SUM(F424:H424)</x:f>
        <x:v>1.75</x:v>
      </x:c>
      <x:c r="J424" s="22" t="str">
        <x:v>1.5</x:v>
      </x:c>
      <x:c r="K424" s="22" t="str"/>
      <x:c r="L424" s="22" t="str">
        <x:v>※$$$$$$$$$</x:v>
      </x:c>
      <x:c r="M424" s="22" t="str">
        <x:v>단가대비표</x:v>
      </x:c>
      <x:c r="N424" s="37" t="n">
        <x:v>126</x:v>
      </x:c>
      <x:c r="O4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4" s="22" t="str">
        <x:v>47d79c95e2c3273f84778935276c94526e369cc1b1bc057f6b03c998f44e253f</x:v>
      </x:c>
      <x:c r="Q424" s="22" t="str">
        <x:v>=O126+P126+V126</x:v>
      </x:c>
    </x:row>
    <x:row r="425">
      <x:c r="A425" s="22" t="str">
        <x:v>직접자원단가</x:v>
      </x:c>
      <x:c r="B425" s="22" t="str">
        <x:v>43AE204010766031C22ED812F51232F0175C6</x:v>
      </x:c>
      <x:c r="C425" s="25" t="str">
        <x:v>CEMENT MORTAR (m3)</x:v>
      </x:c>
      <x:c r="D425" s="25" t="str"/>
      <x:c r="E425" s="22" t="str">
        <x:v>M3</x:v>
      </x:c>
      <x:c r="F425" s="34" t="n">
        <x:v>70</x:v>
      </x:c>
      <x:c r="G425" s="34" t="n">
        <x:v>0</x:v>
      </x:c>
      <x:c r="H425" s="34" t="n">
        <x:v>0</x:v>
      </x:c>
      <x:c r="I425" s="34" t="n">
        <x:f>SUM(F425:H425)</x:f>
        <x:v>70</x:v>
      </x:c>
      <x:c r="J425" s="22" t="str">
        <x:v>70</x:v>
      </x:c>
      <x:c r="K425" s="22" t="str"/>
      <x:c r="L425" s="22" t="str">
        <x:v>※$$$$$$$$$</x:v>
      </x:c>
      <x:c r="M425" s="22" t="str">
        <x:v>단가대비표</x:v>
      </x:c>
      <x:c r="N425" s="37" t="n">
        <x:v>127</x:v>
      </x:c>
      <x:c r="O4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5" s="22" t="str">
        <x:v>47d79c95e2c3273f84778935276c94526e369cc1b1bc057f6b03c998f44e253f</x:v>
      </x:c>
      <x:c r="Q425" s="22" t="str">
        <x:v>=O127+P127+V127</x:v>
      </x:c>
    </x:row>
    <x:row r="426">
      <x:c r="A426" s="22" t="str">
        <x:v>직접자원단가</x:v>
      </x:c>
      <x:c r="B426" s="22" t="str">
        <x:v>43AE204010766031C22ED812F51232F0175C4</x:v>
      </x:c>
      <x:c r="C426" s="25" t="str">
        <x:v>W/WM #8-150x150</x:v>
      </x:c>
      <x:c r="D426" s="25" t="str"/>
      <x:c r="E426" s="22" t="str">
        <x:v>M2</x:v>
      </x:c>
      <x:c r="F426" s="34" t="n">
        <x:v>6</x:v>
      </x:c>
      <x:c r="G426" s="34" t="n">
        <x:v>0</x:v>
      </x:c>
      <x:c r="H426" s="34" t="n">
        <x:v>0</x:v>
      </x:c>
      <x:c r="I426" s="34" t="n">
        <x:f>SUM(F426:H426)</x:f>
        <x:v>6</x:v>
      </x:c>
      <x:c r="J426" s="22" t="str">
        <x:v>6</x:v>
      </x:c>
      <x:c r="K426" s="22" t="str"/>
      <x:c r="L426" s="22" t="str">
        <x:v>※$$$$$$$$$</x:v>
      </x:c>
      <x:c r="M426" s="22" t="str">
        <x:v>단가대비표</x:v>
      </x:c>
      <x:c r="N426" s="37" t="n">
        <x:v>128</x:v>
      </x:c>
      <x:c r="O4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6" s="22" t="str">
        <x:v>47d79c95e2c3273f84778935276c94526e369cc1b1bc057f6b03c998f44e253f</x:v>
      </x:c>
      <x:c r="Q426" s="22" t="str">
        <x:v>=O128+P128+V128</x:v>
      </x:c>
    </x:row>
    <x:row r="427">
      <x:c r="A427" s="22" t="str">
        <x:v>직접자원단가</x:v>
      </x:c>
      <x:c r="B427" s="22" t="str">
        <x:v>43AE204010766031C22ED812F51232F0175CB</x:v>
      </x:c>
      <x:c r="C427" s="25" t="str">
        <x:v>THK0.1 PE FLIM 2PLY</x:v>
      </x:c>
      <x:c r="D427" s="25" t="str"/>
      <x:c r="E427" s="22" t="str">
        <x:v>M2</x:v>
      </x:c>
      <x:c r="F427" s="34" t="n">
        <x:v>1</x:v>
      </x:c>
      <x:c r="G427" s="34" t="n">
        <x:v>0</x:v>
      </x:c>
      <x:c r="H427" s="34" t="n">
        <x:v>0</x:v>
      </x:c>
      <x:c r="I427" s="34" t="n">
        <x:f>SUM(F427:H427)</x:f>
        <x:v>1</x:v>
      </x:c>
      <x:c r="J427" s="22" t="str">
        <x:v>1</x:v>
      </x:c>
      <x:c r="K427" s="22" t="str"/>
      <x:c r="L427" s="22" t="str">
        <x:v>※$$$$$$$$$</x:v>
      </x:c>
      <x:c r="M427" s="22" t="str">
        <x:v>단가대비표</x:v>
      </x:c>
      <x:c r="N427" s="37" t="n">
        <x:v>129</x:v>
      </x:c>
      <x:c r="O4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7" s="22" t="str">
        <x:v>47d79c95e2c3273f84778935276c94526e369cc1b1bc057f6b03c998f44e253f</x:v>
      </x:c>
      <x:c r="Q427" s="22" t="str">
        <x:v>=O129+P129+V129</x:v>
      </x:c>
    </x:row>
    <x:row r="428">
      <x:c r="A428" s="22" t="str">
        <x:v>직접자원단가</x:v>
      </x:c>
      <x:c r="B428" s="22" t="str">
        <x:v>43AE204010766031C22ED812F51232F0175CA</x:v>
      </x:c>
      <x:c r="C428" s="25" t="str">
        <x:v>THK50 HIGH DENSITY INSULATION BOARD</x:v>
      </x:c>
      <x:c r="D428" s="25" t="str"/>
      <x:c r="E428" s="22" t="str">
        <x:v>M2</x:v>
      </x:c>
      <x:c r="F428" s="34" t="n">
        <x:v>4</x:v>
      </x:c>
      <x:c r="G428" s="34" t="n">
        <x:v>0</x:v>
      </x:c>
      <x:c r="H428" s="34" t="n">
        <x:v>0</x:v>
      </x:c>
      <x:c r="I428" s="34" t="n">
        <x:f>SUM(F428:H428)</x:f>
        <x:v>4</x:v>
      </x:c>
      <x:c r="J428" s="22" t="str">
        <x:v>4</x:v>
      </x:c>
      <x:c r="K428" s="22" t="str"/>
      <x:c r="L428" s="22" t="str">
        <x:v>※$$$$$$$$$</x:v>
      </x:c>
      <x:c r="M428" s="22" t="str">
        <x:v>단가대비표</x:v>
      </x:c>
      <x:c r="N428" s="37" t="n">
        <x:v>130</x:v>
      </x:c>
      <x:c r="O4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8" s="22" t="str">
        <x:v>47d79c95e2c3273f84778935276c94526e369cc1b1bc057f6b03c998f44e253f</x:v>
      </x:c>
      <x:c r="Q428" s="22" t="str">
        <x:v>=O130+P130+V130</x:v>
      </x:c>
    </x:row>
    <x:row r="429">
      <x:c r="A429" s="22" t="str">
        <x:v>직접자원단가</x:v>
      </x:c>
      <x:c r="B429" s="22" t="str">
        <x:v>43AE204010766031C22ED812F51232F0175B2</x:v>
      </x:c>
      <x:c r="C429" s="25" t="str">
        <x:v>THK100 HIGH DENSITY INSULATION BOARD</x:v>
      </x:c>
      <x:c r="D429" s="25" t="str"/>
      <x:c r="E429" s="22" t="str">
        <x:v>M2</x:v>
      </x:c>
      <x:c r="F429" s="34" t="n">
        <x:v>8</x:v>
      </x:c>
      <x:c r="G429" s="34" t="n">
        <x:v>0</x:v>
      </x:c>
      <x:c r="H429" s="34" t="n">
        <x:v>0</x:v>
      </x:c>
      <x:c r="I429" s="34" t="n">
        <x:f>SUM(F429:H429)</x:f>
        <x:v>8</x:v>
      </x:c>
      <x:c r="J429" s="22" t="str">
        <x:v>8</x:v>
      </x:c>
      <x:c r="K429" s="22" t="str"/>
      <x:c r="L429" s="22" t="str">
        <x:v>※$$$$$$$$$</x:v>
      </x:c>
      <x:c r="M429" s="22" t="str">
        <x:v>단가대비표</x:v>
      </x:c>
      <x:c r="N429" s="37" t="n">
        <x:v>131</x:v>
      </x:c>
      <x:c r="O4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29" s="22" t="str">
        <x:v>47d79c95e2c3273f84778935276c94526e369cc1b1bc057f6b03c998f44e253f</x:v>
      </x:c>
      <x:c r="Q429" s="22" t="str">
        <x:v>=O131+P131+V131</x:v>
      </x:c>
    </x:row>
    <x:row r="430">
      <x:c r="A430" s="22" t="str">
        <x:v>직접자원단가</x:v>
      </x:c>
      <x:c r="B430" s="22" t="str">
        <x:v>43AE204010766031C22ED812F51232F0175B1</x:v>
      </x:c>
      <x:c r="C430" s="25" t="str">
        <x:v>Glass Woo BOARD(WALL &amp; CEILLIG)</x:v>
      </x:c>
      <x:c r="D430" s="25" t="str">
        <x:v>50mm thick, 48k</x:v>
      </x:c>
      <x:c r="E430" s="22" t="str">
        <x:v>M2</x:v>
      </x:c>
      <x:c r="F430" s="34" t="n">
        <x:v>4</x:v>
      </x:c>
      <x:c r="G430" s="34" t="n">
        <x:v>0</x:v>
      </x:c>
      <x:c r="H430" s="34" t="n">
        <x:v>0</x:v>
      </x:c>
      <x:c r="I430" s="34" t="n">
        <x:f>SUM(F430:H430)</x:f>
        <x:v>4</x:v>
      </x:c>
      <x:c r="J430" s="22" t="str">
        <x:v>4</x:v>
      </x:c>
      <x:c r="K430" s="22" t="str"/>
      <x:c r="L430" s="22" t="str">
        <x:v>※$$$$$$$$$</x:v>
      </x:c>
      <x:c r="M430" s="22" t="str">
        <x:v>단가대비표</x:v>
      </x:c>
      <x:c r="N430" s="37" t="n">
        <x:v>132</x:v>
      </x:c>
      <x:c r="O4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0" s="22" t="str">
        <x:v>47d79c95e2c3273f84778935276c94526e369cc1b1bc057f6b03c998f44e253f</x:v>
      </x:c>
      <x:c r="Q430" s="22" t="str">
        <x:v>=O132+P132+V132</x:v>
      </x:c>
    </x:row>
    <x:row r="431">
      <x:c r="A431" s="22" t="str">
        <x:v>직접자원단가</x:v>
      </x:c>
      <x:c r="B431" s="22" t="str">
        <x:v>43AE204010766031C22ED812F51232F0175B0</x:v>
      </x:c>
      <x:c r="C431" s="25" t="str">
        <x:v>[현지기준단가]THK30 GRANITE</x:v>
      </x:c>
      <x:c r="D431" s="25" t="str"/>
      <x:c r="E431" s="22" t="str">
        <x:v>M2</x:v>
      </x:c>
      <x:c r="F431" s="34" t="n">
        <x:v>60</x:v>
      </x:c>
      <x:c r="G431" s="34" t="n">
        <x:v>5</x:v>
      </x:c>
      <x:c r="H431" s="34" t="n">
        <x:v>2</x:v>
      </x:c>
      <x:c r="I431" s="34" t="n">
        <x:f>SUM(F431:H431)</x:f>
        <x:v>67</x:v>
      </x:c>
      <x:c r="J431" s="22" t="str">
        <x:v>60</x:v>
      </x:c>
      <x:c r="K431" s="22" t="str"/>
      <x:c r="L431" s="22" t="str">
        <x:v>※$$$$$$$$$</x:v>
      </x:c>
      <x:c r="M431" s="22" t="str">
        <x:v>단가대비표</x:v>
      </x:c>
      <x:c r="N431" s="37" t="n">
        <x:v>133</x:v>
      </x:c>
      <x:c r="O4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1" s="22" t="str">
        <x:v>47d79c95e2c3273f84778935276c94526e369cc1b1bc057f6b03c998f44e253f</x:v>
      </x:c>
      <x:c r="Q431" s="22" t="str">
        <x:v>=O133+P133+V133</x:v>
      </x:c>
    </x:row>
    <x:row r="432">
      <x:c r="A432" s="22" t="str">
        <x:v>직접자원단가</x:v>
      </x:c>
      <x:c r="B432" s="22" t="str">
        <x:v>43AE204010766031C22ED812F51232F0176E8</x:v>
      </x:c>
      <x:c r="C432" s="25" t="str">
        <x:v>THK9 PORCELAIN TILE</x:v>
      </x:c>
      <x:c r="D432" s="25" t="str"/>
      <x:c r="E432" s="22" t="str">
        <x:v>M2</x:v>
      </x:c>
      <x:c r="F432" s="34" t="n">
        <x:v>20</x:v>
      </x:c>
      <x:c r="G432" s="34" t="n">
        <x:v>3</x:v>
      </x:c>
      <x:c r="H432" s="34" t="n">
        <x:v>0</x:v>
      </x:c>
      <x:c r="I432" s="34" t="n">
        <x:f>SUM(F432:H432)</x:f>
        <x:v>23</x:v>
      </x:c>
      <x:c r="J432" s="22" t="str">
        <x:v>20</x:v>
      </x:c>
      <x:c r="K432" s="22" t="str"/>
      <x:c r="L432" s="22" t="str">
        <x:v>※$$$$$$$$$</x:v>
      </x:c>
      <x:c r="M432" s="22" t="str">
        <x:v>단가대비표</x:v>
      </x:c>
      <x:c r="N432" s="37" t="n">
        <x:v>134</x:v>
      </x:c>
      <x:c r="O4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2" s="22" t="str">
        <x:v>47d79c95e2c3273f84778935276c94526e369cc1b1bc057f6b03c998f44e253f</x:v>
      </x:c>
      <x:c r="Q432" s="22" t="str">
        <x:v>=O134+P134+V134</x:v>
      </x:c>
    </x:row>
    <x:row r="433">
      <x:c r="A433" s="22" t="str">
        <x:v>직접자원단가</x:v>
      </x:c>
      <x:c r="B433" s="22" t="str">
        <x:v>43AE204010766031C22ED812F51232F0176E9</x:v>
      </x:c>
      <x:c r="C433" s="25" t="str">
        <x:v>THK9 PORCELAIN TILE(NON-SLIP)</x:v>
      </x:c>
      <x:c r="D433" s="25" t="str"/>
      <x:c r="E433" s="22" t="str">
        <x:v>M2</x:v>
      </x:c>
      <x:c r="F433" s="34" t="n">
        <x:v>25</x:v>
      </x:c>
      <x:c r="G433" s="34" t="n">
        <x:v>3</x:v>
      </x:c>
      <x:c r="H433" s="34" t="n">
        <x:v>0</x:v>
      </x:c>
      <x:c r="I433" s="34" t="n">
        <x:f>SUM(F433:H433)</x:f>
        <x:v>28</x:v>
      </x:c>
      <x:c r="J433" s="22" t="str">
        <x:v>25</x:v>
      </x:c>
      <x:c r="K433" s="22" t="str"/>
      <x:c r="L433" s="22" t="str">
        <x:v>※$$$$$$$$$</x:v>
      </x:c>
      <x:c r="M433" s="22" t="str">
        <x:v>단가대비표</x:v>
      </x:c>
      <x:c r="N433" s="37" t="n">
        <x:v>135</x:v>
      </x:c>
      <x:c r="O4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3" s="22" t="str">
        <x:v>47d79c95e2c3273f84778935276c94526e369cc1b1bc057f6b03c998f44e253f</x:v>
      </x:c>
      <x:c r="Q433" s="22" t="str">
        <x:v>=O135+P135+V135</x:v>
      </x:c>
    </x:row>
    <x:row r="434">
      <x:c r="A434" s="22" t="str">
        <x:v>직접자원단가</x:v>
      </x:c>
      <x:c r="B434" s="22" t="str">
        <x:v>43AE204010766031C22ED812F51232F0176EC</x:v>
      </x:c>
      <x:c r="C434" s="25" t="str">
        <x:v>EPOXY COATING  (DUST PREVENTION)</x:v>
      </x:c>
      <x:c r="D434" s="25" t="str"/>
      <x:c r="E434" s="22" t="str">
        <x:v>M2</x:v>
      </x:c>
      <x:c r="F434" s="34" t="n">
        <x:v>4.25</x:v>
      </x:c>
      <x:c r="G434" s="34" t="n">
        <x:v>0</x:v>
      </x:c>
      <x:c r="H434" s="34" t="n">
        <x:v>0</x:v>
      </x:c>
      <x:c r="I434" s="34" t="n">
        <x:f>SUM(F434:H434)</x:f>
        <x:v>4.25</x:v>
      </x:c>
      <x:c r="J434" s="22" t="str">
        <x:v>4.25</x:v>
      </x:c>
      <x:c r="K434" s="22" t="str"/>
      <x:c r="L434" s="22" t="str">
        <x:v>※$$$$$$$$$</x:v>
      </x:c>
      <x:c r="M434" s="22" t="str">
        <x:v>단가대비표</x:v>
      </x:c>
      <x:c r="N434" s="37" t="n">
        <x:v>136</x:v>
      </x:c>
      <x:c r="O4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4" s="22" t="str">
        <x:v>47d79c95e2c3273f84778935276c94526e369cc1b1bc057f6b03c998f44e253f</x:v>
      </x:c>
      <x:c r="Q434" s="22" t="str">
        <x:v>=O136+P136+V136</x:v>
      </x:c>
    </x:row>
    <x:row r="435">
      <x:c r="A435" s="22" t="str">
        <x:v>직접자원단가</x:v>
      </x:c>
      <x:c r="B435" s="22" t="str">
        <x:v>43AE204010766031C22ED812F51232F0176ED</x:v>
      </x:c>
      <x:c r="C435" s="25" t="str">
        <x:v>EPOXY FLOOR COATING</x:v>
      </x:c>
      <x:c r="D435" s="25" t="str"/>
      <x:c r="E435" s="22" t="str">
        <x:v>M2</x:v>
      </x:c>
      <x:c r="F435" s="34" t="n">
        <x:v>20</x:v>
      </x:c>
      <x:c r="G435" s="34" t="n">
        <x:v>0</x:v>
      </x:c>
      <x:c r="H435" s="34" t="n">
        <x:v>0</x:v>
      </x:c>
      <x:c r="I435" s="34" t="n">
        <x:f>SUM(F435:H435)</x:f>
        <x:v>20</x:v>
      </x:c>
      <x:c r="J435" s="22" t="str">
        <x:v>20</x:v>
      </x:c>
      <x:c r="K435" s="22" t="str"/>
      <x:c r="L435" s="22" t="str">
        <x:v>※$$$$$$$$$</x:v>
      </x:c>
      <x:c r="M435" s="22" t="str">
        <x:v>단가대비표</x:v>
      </x:c>
      <x:c r="N435" s="37" t="n">
        <x:v>137</x:v>
      </x:c>
      <x:c r="O4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5" s="22" t="str">
        <x:v>47d79c95e2c3273f84778935276c94526e369cc1b1bc057f6b03c998f44e253f</x:v>
      </x:c>
      <x:c r="Q435" s="22" t="str">
        <x:v>=O137+P137+V137</x:v>
      </x:c>
    </x:row>
    <x:row r="436">
      <x:c r="A436" s="22" t="str">
        <x:v>직접자원단가</x:v>
      </x:c>
      <x:c r="B436" s="22" t="str">
        <x:v>43AE204010766031C22ED812F51232F0176E3</x:v>
      </x:c>
      <x:c r="C436" s="25" t="str">
        <x:v>THK25 TERRAZZO TILE</x:v>
      </x:c>
      <x:c r="D436" s="25" t="str"/>
      <x:c r="E436" s="22" t="str">
        <x:v>M2</x:v>
      </x:c>
      <x:c r="F436" s="34" t="n">
        <x:v>9</x:v>
      </x:c>
      <x:c r="G436" s="34" t="n">
        <x:v>3</x:v>
      </x:c>
      <x:c r="H436" s="34" t="n">
        <x:v>0</x:v>
      </x:c>
      <x:c r="I436" s="34" t="n">
        <x:f>SUM(F436:H436)</x:f>
        <x:v>12</x:v>
      </x:c>
      <x:c r="J436" s="22" t="str">
        <x:v>9</x:v>
      </x:c>
      <x:c r="K436" s="22" t="str"/>
      <x:c r="L436" s="22" t="str">
        <x:v>※$$$$$$$$$</x:v>
      </x:c>
      <x:c r="M436" s="22" t="str">
        <x:v>단가대비표</x:v>
      </x:c>
      <x:c r="N436" s="37" t="n">
        <x:v>138</x:v>
      </x:c>
      <x:c r="O4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6" s="22" t="str">
        <x:v>47d79c95e2c3273f84778935276c94526e369cc1b1bc057f6b03c998f44e253f</x:v>
      </x:c>
      <x:c r="Q436" s="22" t="str">
        <x:v>=O138+P138+V138</x:v>
      </x:c>
    </x:row>
    <x:row r="437">
      <x:c r="A437" s="22" t="str">
        <x:v>직접자원단가</x:v>
      </x:c>
      <x:c r="B437" s="22" t="str">
        <x:v>43AE204010766031C22ED812F51232F006C25</x:v>
      </x:c>
      <x:c r="C437" s="25" t="str">
        <x:v>락카신너</x:v>
      </x:c>
      <x:c r="D437" s="25" t="str"/>
      <x:c r="E437" s="22" t="str">
        <x:v>L</x:v>
      </x:c>
      <x:c r="F437" s="34" t="n">
        <x:v>3.8735836480782053</x:v>
      </x:c>
      <x:c r="G437" s="34" t="n">
        <x:v>0</x:v>
      </x:c>
      <x:c r="H437" s="34" t="n">
        <x:v>0</x:v>
      </x:c>
      <x:c r="I437" s="34" t="n">
        <x:f>SUM(F437:H437)</x:f>
        <x:v>3.8735836480782053</x:v>
      </x:c>
      <x:c r="J437" s="22" t="str">
        <x:v>3.8735836480782053</x:v>
      </x:c>
      <x:c r="K437" s="22" t="str">
        <x:v>620</x:v>
      </x:c>
      <x:c r="L437" s="22" t="str"/>
      <x:c r="M437" s="22" t="str">
        <x:v>단가대비표</x:v>
      </x:c>
      <x:c r="N437" s="37" t="n">
        <x:v>139</x:v>
      </x:c>
      <x:c r="O4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7" s="22" t="str">
        <x:v>47d79c95e2c3273f84778935276c94526e369cc1b1bc057f6b03c998f44e253f</x:v>
      </x:c>
      <x:c r="Q437" s="22" t="str">
        <x:v>=O139+P139+V139</x:v>
      </x:c>
    </x:row>
    <x:row r="438">
      <x:c r="A438" s="22" t="str">
        <x:v>직접자원단가</x:v>
      </x:c>
      <x:c r="B438" s="22" t="str">
        <x:v>43AE204010766031C22ED812F51232F006ED7</x:v>
      </x:c>
      <x:c r="C438" s="25" t="str">
        <x:v>Ceramic tiles</x:v>
      </x:c>
      <x:c r="D438" s="25" t="str">
        <x:v>9mm thick</x:v>
      </x:c>
      <x:c r="E438" s="22" t="str">
        <x:v>M2</x:v>
      </x:c>
      <x:c r="F438" s="34" t="n">
        <x:v>20</x:v>
      </x:c>
      <x:c r="G438" s="34" t="n">
        <x:v>3</x:v>
      </x:c>
      <x:c r="H438" s="34" t="n">
        <x:v>0</x:v>
      </x:c>
      <x:c r="I438" s="34" t="n">
        <x:f>SUM(F438:H438)</x:f>
        <x:v>23</x:v>
      </x:c>
      <x:c r="J438" s="22" t="str">
        <x:v>20</x:v>
      </x:c>
      <x:c r="K438" s="22" t="str"/>
      <x:c r="L438" s="22" t="str">
        <x:v>※$$$$$$$$$</x:v>
      </x:c>
      <x:c r="M438" s="22" t="str">
        <x:v>단가대비표</x:v>
      </x:c>
      <x:c r="N438" s="37" t="n">
        <x:v>140</x:v>
      </x:c>
      <x:c r="O4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8" s="22" t="str">
        <x:v>47d79c95e2c3273f84778935276c94526e369cc1b1bc057f6b03c998f44e253f</x:v>
      </x:c>
      <x:c r="Q438" s="22" t="str">
        <x:v>=O140+P140+V140</x:v>
      </x:c>
    </x:row>
    <x:row r="439">
      <x:c r="A439" s="22" t="str">
        <x:v>직접자원단가</x:v>
      </x:c>
      <x:c r="B439" s="22" t="str">
        <x:v>43AE204010766031C22ED812F51232F006ED4</x:v>
      </x:c>
      <x:c r="C439" s="25" t="str">
        <x:v>THK3 TILE ADHESIVE</x:v>
      </x:c>
      <x:c r="D439" s="25" t="str"/>
      <x:c r="E439" s="22" t="str">
        <x:v>M2</x:v>
      </x:c>
      <x:c r="F439" s="34" t="n">
        <x:v>2</x:v>
      </x:c>
      <x:c r="G439" s="34" t="n">
        <x:v>3</x:v>
      </x:c>
      <x:c r="H439" s="34" t="n">
        <x:v>0</x:v>
      </x:c>
      <x:c r="I439" s="34" t="n">
        <x:f>SUM(F439:H439)</x:f>
        <x:v>5</x:v>
      </x:c>
      <x:c r="J439" s="22" t="str">
        <x:v>2</x:v>
      </x:c>
      <x:c r="K439" s="22" t="str"/>
      <x:c r="L439" s="22" t="str">
        <x:v>※$$$$$$$$$</x:v>
      </x:c>
      <x:c r="M439" s="22" t="str">
        <x:v>단가대비표</x:v>
      </x:c>
      <x:c r="N439" s="37" t="n">
        <x:v>141</x:v>
      </x:c>
      <x:c r="O4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39" s="22" t="str">
        <x:v>47d79c95e2c3273f84778935276c94526e369cc1b1bc057f6b03c998f44e253f</x:v>
      </x:c>
      <x:c r="Q439" s="22" t="str">
        <x:v>=O141+P141+V141</x:v>
      </x:c>
    </x:row>
    <x:row r="440">
      <x:c r="A440" s="22" t="str">
        <x:v>직접자원단가</x:v>
      </x:c>
      <x:c r="B440" s="22" t="str">
        <x:v>43AE204010766031C22ED812F51232F006ED5</x:v>
      </x:c>
      <x:c r="C440" s="25" t="str">
        <x:v>THK5 RESIN MORTAR</x:v>
      </x:c>
      <x:c r="D440" s="25" t="str"/>
      <x:c r="E440" s="22" t="str">
        <x:v>M2</x:v>
      </x:c>
      <x:c r="F440" s="34" t="n">
        <x:v>7.15</x:v>
      </x:c>
      <x:c r="G440" s="34" t="n">
        <x:v>0</x:v>
      </x:c>
      <x:c r="H440" s="34" t="n">
        <x:v>0</x:v>
      </x:c>
      <x:c r="I440" s="34" t="n">
        <x:f>SUM(F440:H440)</x:f>
        <x:v>7.15</x:v>
      </x:c>
      <x:c r="J440" s="22" t="str">
        <x:v>7.15</x:v>
      </x:c>
      <x:c r="K440" s="22" t="str"/>
      <x:c r="L440" s="22" t="str">
        <x:v>※$$$$$$$$$</x:v>
      </x:c>
      <x:c r="M440" s="22" t="str">
        <x:v>단가대비표</x:v>
      </x:c>
      <x:c r="N440" s="37" t="n">
        <x:v>142</x:v>
      </x:c>
      <x:c r="O4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0" s="22" t="str">
        <x:v>47d79c95e2c3273f84778935276c94526e369cc1b1bc057f6b03c998f44e253f</x:v>
      </x:c>
      <x:c r="Q440" s="22" t="str">
        <x:v>=O142+P142+V142</x:v>
      </x:c>
    </x:row>
    <x:row r="441">
      <x:c r="A441" s="22" t="str">
        <x:v>직접자원단가</x:v>
      </x:c>
      <x:c r="B441" s="22" t="str">
        <x:v>43AE204010766031C22ED812F51232F006EDA</x:v>
      </x:c>
      <x:c r="C441" s="25" t="str">
        <x:v>CONCRETE SURFACE TREATMENT</x:v>
      </x:c>
      <x:c r="D441" s="25" t="str">
        <x:v>wall</x:v>
      </x:c>
      <x:c r="E441" s="22" t="str">
        <x:v>M2</x:v>
      </x:c>
      <x:c r="F441" s="34" t="n">
        <x:v>3</x:v>
      </x:c>
      <x:c r="G441" s="34" t="n">
        <x:v>0</x:v>
      </x:c>
      <x:c r="H441" s="34" t="n">
        <x:v>0</x:v>
      </x:c>
      <x:c r="I441" s="34" t="n">
        <x:f>SUM(F441:H441)</x:f>
        <x:v>3</x:v>
      </x:c>
      <x:c r="J441" s="22" t="str">
        <x:v>3</x:v>
      </x:c>
      <x:c r="K441" s="22" t="str"/>
      <x:c r="L441" s="22" t="str">
        <x:v>※$$$$$$$$$</x:v>
      </x:c>
      <x:c r="M441" s="22" t="str">
        <x:v>단가대비표</x:v>
      </x:c>
      <x:c r="N441" s="37" t="n">
        <x:v>143</x:v>
      </x:c>
      <x:c r="O4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1" s="22" t="str">
        <x:v>47d79c95e2c3273f84778935276c94526e369cc1b1bc057f6b03c998f44e253f</x:v>
      </x:c>
      <x:c r="Q441" s="22" t="str">
        <x:v>=O143+P143+V143</x:v>
      </x:c>
    </x:row>
    <x:row r="442">
      <x:c r="A442" s="22" t="str">
        <x:v>직접자원단가</x:v>
      </x:c>
      <x:c r="B442" s="22" t="str">
        <x:v>43AE204010766031C22ED812F51232F006EDB</x:v>
      </x:c>
      <x:c r="C442" s="25" t="str">
        <x:v>CONCRETE SURFACE TREATMENT</x:v>
      </x:c>
      <x:c r="D442" s="25" t="str">
        <x:v>floor</x:v>
      </x:c>
      <x:c r="E442" s="22" t="str">
        <x:v>M2</x:v>
      </x:c>
      <x:c r="F442" s="34" t="n">
        <x:v>3</x:v>
      </x:c>
      <x:c r="G442" s="34" t="n">
        <x:v>0</x:v>
      </x:c>
      <x:c r="H442" s="34" t="n">
        <x:v>0</x:v>
      </x:c>
      <x:c r="I442" s="34" t="n">
        <x:f>SUM(F442:H442)</x:f>
        <x:v>3</x:v>
      </x:c>
      <x:c r="J442" s="22" t="str">
        <x:v>3</x:v>
      </x:c>
      <x:c r="K442" s="22" t="str"/>
      <x:c r="L442" s="22" t="str">
        <x:v>※$$$$$$$$$</x:v>
      </x:c>
      <x:c r="M442" s="22" t="str">
        <x:v>단가대비표</x:v>
      </x:c>
      <x:c r="N442" s="37" t="n">
        <x:v>144</x:v>
      </x:c>
      <x:c r="O4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2" s="22" t="str">
        <x:v>47d79c95e2c3273f84778935276c94526e369cc1b1bc057f6b03c998f44e253f</x:v>
      </x:c>
      <x:c r="Q442" s="22" t="str">
        <x:v>=O144+P144+V144</x:v>
      </x:c>
    </x:row>
    <x:row r="443">
      <x:c r="A443" s="22" t="str">
        <x:v>직접자원단가</x:v>
      </x:c>
      <x:c r="B443" s="22" t="str">
        <x:v>43AE204010766031C22ED812F51232F006957</x:v>
      </x:c>
      <x:c r="C443" s="25" t="str">
        <x:v>ACRYLIC PAINT (H:100)</x:v>
      </x:c>
      <x:c r="D443" s="25" t="str"/>
      <x:c r="E443" s="22" t="str">
        <x:v>M2</x:v>
      </x:c>
      <x:c r="F443" s="34" t="n">
        <x:v>5</x:v>
      </x:c>
      <x:c r="G443" s="34" t="n">
        <x:v>0</x:v>
      </x:c>
      <x:c r="H443" s="34" t="n">
        <x:v>0</x:v>
      </x:c>
      <x:c r="I443" s="34" t="n">
        <x:f>SUM(F443:H443)</x:f>
        <x:v>5</x:v>
      </x:c>
      <x:c r="J443" s="22" t="str">
        <x:v>5</x:v>
      </x:c>
      <x:c r="K443" s="22" t="str"/>
      <x:c r="L443" s="22" t="str">
        <x:v>※$$$$$$$$$</x:v>
      </x:c>
      <x:c r="M443" s="22" t="str">
        <x:v>단가대비표</x:v>
      </x:c>
      <x:c r="N443" s="37" t="n">
        <x:v>145</x:v>
      </x:c>
      <x:c r="O4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3" s="22" t="str">
        <x:v>47d79c95e2c3273f84778935276c94526e369cc1b1bc057f6b03c998f44e253f</x:v>
      </x:c>
      <x:c r="Q443" s="22" t="str">
        <x:v>=O145+P145+V145</x:v>
      </x:c>
    </x:row>
    <x:row r="444">
      <x:c r="A444" s="22" t="str">
        <x:v>직접자원단가</x:v>
      </x:c>
      <x:c r="B444" s="22" t="str">
        <x:v>43AE204010766031C22ED812F51232F006849</x:v>
      </x:c>
      <x:c r="C444" s="25" t="str">
        <x:v>ELASTIC waterproofing systems</x:v>
      </x:c>
      <x:c r="D444" s="25" t="str">
        <x:v>3mm thick</x:v>
      </x:c>
      <x:c r="E444" s="22" t="str">
        <x:v>M2</x:v>
      </x:c>
      <x:c r="F444" s="34" t="n">
        <x:v>3.75</x:v>
      </x:c>
      <x:c r="G444" s="34" t="n">
        <x:v>0</x:v>
      </x:c>
      <x:c r="H444" s="34" t="n">
        <x:v>0</x:v>
      </x:c>
      <x:c r="I444" s="34" t="n">
        <x:f>SUM(F444:H444)</x:f>
        <x:v>3.75</x:v>
      </x:c>
      <x:c r="J444" s="22" t="str">
        <x:v>3.75</x:v>
      </x:c>
      <x:c r="K444" s="22" t="str"/>
      <x:c r="L444" s="22" t="str">
        <x:v>※$$$$$$$$$</x:v>
      </x:c>
      <x:c r="M444" s="22" t="str">
        <x:v>단가대비표</x:v>
      </x:c>
      <x:c r="N444" s="37" t="n">
        <x:v>146</x:v>
      </x:c>
      <x:c r="O4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4" s="22" t="str">
        <x:v>47d79c95e2c3273f84778935276c94526e369cc1b1bc057f6b03c998f44e253f</x:v>
      </x:c>
      <x:c r="Q444" s="22" t="str">
        <x:v>=O146+P146+V146</x:v>
      </x:c>
    </x:row>
    <x:row r="445">
      <x:c r="A445" s="22" t="str">
        <x:v>직접자원단가</x:v>
      </x:c>
      <x:c r="B445" s="22" t="str">
        <x:v>43AE204010766031C22ED812F51232F006848</x:v>
      </x:c>
      <x:c r="C445" s="25" t="str">
        <x:v>Multi-layer composite waterproofing</x:v>
      </x:c>
      <x:c r="D445" s="25" t="str">
        <x:v>3mm thick</x:v>
      </x:c>
      <x:c r="E445" s="22" t="str">
        <x:v>M2</x:v>
      </x:c>
      <x:c r="F445" s="34" t="n">
        <x:v>2</x:v>
      </x:c>
      <x:c r="G445" s="34" t="n">
        <x:v>0</x:v>
      </x:c>
      <x:c r="H445" s="34" t="n">
        <x:v>0</x:v>
      </x:c>
      <x:c r="I445" s="34" t="n">
        <x:f>SUM(F445:H445)</x:f>
        <x:v>2</x:v>
      </x:c>
      <x:c r="J445" s="22" t="str">
        <x:v>2</x:v>
      </x:c>
      <x:c r="K445" s="22" t="str"/>
      <x:c r="L445" s="22" t="str">
        <x:v>※$$$$$$$$$</x:v>
      </x:c>
      <x:c r="M445" s="22" t="str">
        <x:v>단가대비표</x:v>
      </x:c>
      <x:c r="N445" s="37" t="n">
        <x:v>147</x:v>
      </x:c>
      <x:c r="O4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5" s="22" t="str">
        <x:v>47d79c95e2c3273f84778935276c94526e369cc1b1bc057f6b03c998f44e253f</x:v>
      </x:c>
      <x:c r="Q445" s="22" t="str">
        <x:v>=O147+P147+V147</x:v>
      </x:c>
    </x:row>
    <x:row r="446">
      <x:c r="A446" s="22" t="str">
        <x:v>직접자원단가</x:v>
      </x:c>
      <x:c r="B446" s="22" t="str">
        <x:v>43AE204010766031C22ED812F51232F00684A</x:v>
      </x:c>
      <x:c r="C446" s="25" t="str">
        <x:v>ROOF DRAIN, FLOOR DRAIN</x:v>
      </x:c>
      <x:c r="D446" s="25" t="str">
        <x:v>Diameter 100mm</x:v>
      </x:c>
      <x:c r="E446" s="22" t="str">
        <x:v>EA</x:v>
      </x:c>
      <x:c r="F446" s="34" t="n">
        <x:v>35</x:v>
      </x:c>
      <x:c r="G446" s="34" t="n">
        <x:v>0</x:v>
      </x:c>
      <x:c r="H446" s="34" t="n">
        <x:v>0</x:v>
      </x:c>
      <x:c r="I446" s="34" t="n">
        <x:f>SUM(F446:H446)</x:f>
        <x:v>35</x:v>
      </x:c>
      <x:c r="J446" s="22" t="str">
        <x:v>35</x:v>
      </x:c>
      <x:c r="K446" s="22" t="str"/>
      <x:c r="L446" s="22" t="str">
        <x:v>※$$$$$$$$$</x:v>
      </x:c>
      <x:c r="M446" s="22" t="str">
        <x:v>단가대비표</x:v>
      </x:c>
      <x:c r="N446" s="37" t="n">
        <x:v>148</x:v>
      </x:c>
      <x:c r="O4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6" s="22" t="str">
        <x:v>47d79c95e2c3273f84778935276c94526e369cc1b1bc057f6b03c998f44e253f</x:v>
      </x:c>
      <x:c r="Q446" s="22" t="str">
        <x:v>=O148+P148+V148</x:v>
      </x:c>
    </x:row>
    <x:row r="447">
      <x:c r="A447" s="22" t="str">
        <x:v>직접자원단가</x:v>
      </x:c>
      <x:c r="B447" s="22" t="str">
        <x:v>43AE204010766031C22ED812F51232F00684C</x:v>
      </x:c>
      <x:c r="C447" s="25" t="str">
        <x:v>Metal Sheet Panel Cladding</x:v>
      </x:c>
      <x:c r="D447" s="25" t="str">
        <x:v>P.V.D.F coated Aluminum Sheet, Thicknes</x:v>
      </x:c>
      <x:c r="E447" s="22" t="str">
        <x:v>M2</x:v>
      </x:c>
      <x:c r="F447" s="34" t="n">
        <x:v>5</x:v>
      </x:c>
      <x:c r="G447" s="34" t="n">
        <x:v>0</x:v>
      </x:c>
      <x:c r="H447" s="34" t="n">
        <x:v>0</x:v>
      </x:c>
      <x:c r="I447" s="34" t="n">
        <x:f>SUM(F447:H447)</x:f>
        <x:v>5</x:v>
      </x:c>
      <x:c r="J447" s="22" t="str">
        <x:v>5</x:v>
      </x:c>
      <x:c r="K447" s="22" t="str"/>
      <x:c r="L447" s="22" t="str">
        <x:v>※$$$$$$$$$</x:v>
      </x:c>
      <x:c r="M447" s="22" t="str">
        <x:v>단가대비표</x:v>
      </x:c>
      <x:c r="N447" s="37" t="n">
        <x:v>149</x:v>
      </x:c>
      <x:c r="O4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7" s="22" t="str">
        <x:v>47d79c95e2c3273f84778935276c94526e369cc1b1bc057f6b03c998f44e253f</x:v>
      </x:c>
      <x:c r="Q447" s="22" t="str">
        <x:v>=O149+P149+V149</x:v>
      </x:c>
    </x:row>
    <x:row r="448">
      <x:c r="A448" s="22" t="str">
        <x:v>직접자원단가</x:v>
      </x:c>
      <x:c r="B448" s="22" t="str">
        <x:v>43AE204010766031C22ED812F51232F00684F</x:v>
      </x:c>
      <x:c r="C448" s="25" t="str">
        <x:v>EMULSION PAINT</x:v>
      </x:c>
      <x:c r="D448" s="25" t="str"/>
      <x:c r="E448" s="22" t="str">
        <x:v>M2</x:v>
      </x:c>
      <x:c r="F448" s="34" t="n">
        <x:v>2</x:v>
      </x:c>
      <x:c r="G448" s="34" t="n">
        <x:v>0</x:v>
      </x:c>
      <x:c r="H448" s="34" t="n">
        <x:v>0</x:v>
      </x:c>
      <x:c r="I448" s="34" t="n">
        <x:f>SUM(F448:H448)</x:f>
        <x:v>2</x:v>
      </x:c>
      <x:c r="J448" s="22" t="str">
        <x:v>2</x:v>
      </x:c>
      <x:c r="K448" s="22" t="str"/>
      <x:c r="L448" s="22" t="str">
        <x:v>※$$$$$$$$$</x:v>
      </x:c>
      <x:c r="M448" s="22" t="str">
        <x:v>단가대비표</x:v>
      </x:c>
      <x:c r="N448" s="37" t="n">
        <x:v>150</x:v>
      </x:c>
      <x:c r="O4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8" s="22" t="str">
        <x:v>47d79c95e2c3273f84778935276c94526e369cc1b1bc057f6b03c998f44e253f</x:v>
      </x:c>
      <x:c r="Q448" s="22" t="str">
        <x:v>=O150+P150+V150</x:v>
      </x:c>
    </x:row>
    <x:row r="449">
      <x:c r="A449" s="22" t="str">
        <x:v>직접자원단가</x:v>
      </x:c>
      <x:c r="B449" s="22" t="str">
        <x:v>43AE204010766031C22ED812F51232F00684E</x:v>
      </x:c>
      <x:c r="C449" s="25" t="str">
        <x:v>ANTI-BACTERIAL PAINT</x:v>
      </x:c>
      <x:c r="D449" s="25" t="str"/>
      <x:c r="E449" s="22" t="str">
        <x:v>M2</x:v>
      </x:c>
      <x:c r="F449" s="34" t="n">
        <x:v>3</x:v>
      </x:c>
      <x:c r="G449" s="34" t="n">
        <x:v>0</x:v>
      </x:c>
      <x:c r="H449" s="34" t="n">
        <x:v>0</x:v>
      </x:c>
      <x:c r="I449" s="34" t="n">
        <x:f>SUM(F449:H449)</x:f>
        <x:v>3</x:v>
      </x:c>
      <x:c r="J449" s="22" t="str">
        <x:v>3</x:v>
      </x:c>
      <x:c r="K449" s="22" t="str"/>
      <x:c r="L449" s="22" t="str">
        <x:v>※$$$$$$$$$</x:v>
      </x:c>
      <x:c r="M449" s="22" t="str">
        <x:v>단가대비표</x:v>
      </x:c>
      <x:c r="N449" s="37" t="n">
        <x:v>151</x:v>
      </x:c>
      <x:c r="O4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49" s="22" t="str">
        <x:v>47d79c95e2c3273f84778935276c94526e369cc1b1bc057f6b03c998f44e253f</x:v>
      </x:c>
      <x:c r="Q449" s="22" t="str">
        <x:v>=O151+P151+V151</x:v>
      </x:c>
    </x:row>
    <x:row r="450">
      <x:c r="A450" s="22" t="str">
        <x:v>직접자원단가</x:v>
      </x:c>
      <x:c r="B450" s="22" t="str">
        <x:v>43AE204010766031C22ED812F51232F006B1D</x:v>
      </x:c>
      <x:c r="C450" s="25" t="str">
        <x:v>aluminium windows (best quality)</x:v>
      </x:c>
      <x:c r="D450" s="25" t="str"/>
      <x:c r="E450" s="22" t="str">
        <x:v>M2</x:v>
      </x:c>
      <x:c r="F450" s="34" t="n">
        <x:v>185</x:v>
      </x:c>
      <x:c r="G450" s="34" t="n">
        <x:v>0</x:v>
      </x:c>
      <x:c r="H450" s="34" t="n">
        <x:v>0</x:v>
      </x:c>
      <x:c r="I450" s="34" t="n">
        <x:f>SUM(F450:H450)</x:f>
        <x:v>185</x:v>
      </x:c>
      <x:c r="J450" s="22" t="str">
        <x:v>185</x:v>
      </x:c>
      <x:c r="K450" s="22" t="str"/>
      <x:c r="L450" s="22" t="str">
        <x:v>※$$$$$$$$$</x:v>
      </x:c>
      <x:c r="M450" s="22" t="str">
        <x:v>단가대비표</x:v>
      </x:c>
      <x:c r="N450" s="37" t="n">
        <x:v>152</x:v>
      </x:c>
      <x:c r="O4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0" s="22" t="str">
        <x:v>47d79c95e2c3273f84778935276c94526e369cc1b1bc057f6b03c998f44e253f</x:v>
      </x:c>
      <x:c r="Q450" s="22" t="str">
        <x:v>=O152+P152+V152</x:v>
      </x:c>
    </x:row>
    <x:row r="451">
      <x:c r="A451" s="22" t="str">
        <x:v>직접자원단가</x:v>
      </x:c>
      <x:c r="B451" s="22" t="str">
        <x:v>43AE204010766031C22ED812F51232F006A72</x:v>
      </x:c>
      <x:c r="C451" s="25" t="str">
        <x:v>Cubical curtains rail tracks</x:v>
      </x:c>
      <x:c r="D451" s="25" t="str"/>
      <x:c r="E451" s="22" t="str">
        <x:v>M</x:v>
      </x:c>
      <x:c r="F451" s="34" t="n">
        <x:v>50</x:v>
      </x:c>
      <x:c r="G451" s="34" t="n">
        <x:v>0</x:v>
      </x:c>
      <x:c r="H451" s="34" t="n">
        <x:v>0</x:v>
      </x:c>
      <x:c r="I451" s="34" t="n">
        <x:f>SUM(F451:H451)</x:f>
        <x:v>50</x:v>
      </x:c>
      <x:c r="J451" s="22" t="str">
        <x:v>50</x:v>
      </x:c>
      <x:c r="K451" s="22" t="str"/>
      <x:c r="L451" s="22" t="str">
        <x:v>※$$$$$$$$$</x:v>
      </x:c>
      <x:c r="M451" s="22" t="str">
        <x:v>단가대비표</x:v>
      </x:c>
      <x:c r="N451" s="37" t="n">
        <x:v>153</x:v>
      </x:c>
      <x:c r="O4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1" s="22" t="str">
        <x:v>47d79c95e2c3273f84778935276c94526e369cc1b1bc057f6b03c998f44e253f</x:v>
      </x:c>
      <x:c r="Q451" s="22" t="str">
        <x:v>=O153+P153+V153</x:v>
      </x:c>
    </x:row>
    <x:row r="452">
      <x:c r="A452" s="22" t="str">
        <x:v>직접자원단가</x:v>
      </x:c>
      <x:c r="B452" s="22" t="str">
        <x:v>43AE204010766031C22ED812F51232F0065F5</x:v>
      </x:c>
      <x:c r="C452" s="25" t="str">
        <x:v>[현지기준단가]Limestone</x:v>
      </x:c>
      <x:c r="D452" s="25" t="str">
        <x:v>50mm thick</x:v>
      </x:c>
      <x:c r="E452" s="22" t="str">
        <x:v>M2</x:v>
      </x:c>
      <x:c r="F452" s="34" t="n">
        <x:v>20</x:v>
      </x:c>
      <x:c r="G452" s="34" t="n">
        <x:v>10</x:v>
      </x:c>
      <x:c r="H452" s="34" t="n">
        <x:v>5</x:v>
      </x:c>
      <x:c r="I452" s="34" t="n">
        <x:f>SUM(F452:H452)</x:f>
        <x:v>35</x:v>
      </x:c>
      <x:c r="J452" s="22" t="str">
        <x:v>20</x:v>
      </x:c>
      <x:c r="K452" s="22" t="str"/>
      <x:c r="L452" s="22" t="str">
        <x:v>※$$$$$$$$$</x:v>
      </x:c>
      <x:c r="M452" s="22" t="str">
        <x:v>단가대비표</x:v>
      </x:c>
      <x:c r="N452" s="37" t="n">
        <x:v>154</x:v>
      </x:c>
      <x:c r="O4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2" s="22" t="str">
        <x:v>47d79c95e2c3273f84778935276c94526e369cc1b1bc057f6b03c998f44e253f</x:v>
      </x:c>
      <x:c r="Q452" s="22" t="str">
        <x:v>=O154+P154+V154</x:v>
      </x:c>
    </x:row>
    <x:row r="453">
      <x:c r="A453" s="22" t="str">
        <x:v>직접자원단가</x:v>
      </x:c>
      <x:c r="B453" s="22" t="str">
        <x:v>43AE204010766031C22ED812F51232F0065F4</x:v>
      </x:c>
      <x:c r="C453" s="25" t="str">
        <x:v>TD 1000*2200</x:v>
      </x:c>
      <x:c r="D453" s="25" t="str"/>
      <x:c r="E453" s="22" t="str">
        <x:v>EA</x:v>
      </x:c>
      <x:c r="F453" s="34" t="n">
        <x:v>350</x:v>
      </x:c>
      <x:c r="G453" s="34" t="n">
        <x:v>0</x:v>
      </x:c>
      <x:c r="H453" s="34" t="n">
        <x:v>0</x:v>
      </x:c>
      <x:c r="I453" s="34" t="n">
        <x:f>SUM(F453:H453)</x:f>
        <x:v>350</x:v>
      </x:c>
      <x:c r="J453" s="22" t="str">
        <x:v>350</x:v>
      </x:c>
      <x:c r="K453" s="22" t="str"/>
      <x:c r="L453" s="22" t="str">
        <x:v>※$$$$$$$$$</x:v>
      </x:c>
      <x:c r="M453" s="22" t="str">
        <x:v>단가대비표</x:v>
      </x:c>
      <x:c r="N453" s="37" t="n">
        <x:v>155</x:v>
      </x:c>
      <x:c r="O4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3" s="22" t="str">
        <x:v>47d79c95e2c3273f84778935276c94526e369cc1b1bc057f6b03c998f44e253f</x:v>
      </x:c>
      <x:c r="Q453" s="22" t="str">
        <x:v>=O155+P155+V155</x:v>
      </x:c>
    </x:row>
    <x:row r="454">
      <x:c r="A454" s="22" t="str">
        <x:v>직접자원단가</x:v>
      </x:c>
      <x:c r="B454" s="22" t="str">
        <x:v>43AE204010766031C22ED812F51232F0065F7</x:v>
      </x:c>
      <x:c r="C454" s="25" t="str">
        <x:v>TD 900*2200</x:v>
      </x:c>
      <x:c r="D454" s="25" t="str"/>
      <x:c r="E454" s="22" t="str">
        <x:v>EA</x:v>
      </x:c>
      <x:c r="F454" s="34" t="n">
        <x:v>350</x:v>
      </x:c>
      <x:c r="G454" s="34" t="n">
        <x:v>0</x:v>
      </x:c>
      <x:c r="H454" s="34" t="n">
        <x:v>0</x:v>
      </x:c>
      <x:c r="I454" s="34" t="n">
        <x:f>SUM(F454:H454)</x:f>
        <x:v>350</x:v>
      </x:c>
      <x:c r="J454" s="22" t="str">
        <x:v>350</x:v>
      </x:c>
      <x:c r="K454" s="22" t="str"/>
      <x:c r="L454" s="22" t="str">
        <x:v>※$$$$$$$$$</x:v>
      </x:c>
      <x:c r="M454" s="22" t="str">
        <x:v>단가대비표</x:v>
      </x:c>
      <x:c r="N454" s="37" t="n">
        <x:v>156</x:v>
      </x:c>
      <x:c r="O4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4" s="22" t="str">
        <x:v>47d79c95e2c3273f84778935276c94526e369cc1b1bc057f6b03c998f44e253f</x:v>
      </x:c>
      <x:c r="Q454" s="22" t="str">
        <x:v>=O156+P156+V156</x:v>
      </x:c>
    </x:row>
    <x:row r="455">
      <x:c r="A455" s="22" t="str">
        <x:v>직접자원단가</x:v>
      </x:c>
      <x:c r="B455" s="22" t="str">
        <x:v>43AE204010766031C22ED812F51232F0065F6</x:v>
      </x:c>
      <x:c r="C455" s="25" t="str">
        <x:v>TD 1800*2200</x:v>
      </x:c>
      <x:c r="D455" s="25" t="str"/>
      <x:c r="E455" s="22" t="str">
        <x:v>EA</x:v>
      </x:c>
      <x:c r="F455" s="34" t="n">
        <x:v>430</x:v>
      </x:c>
      <x:c r="G455" s="34" t="n">
        <x:v>0</x:v>
      </x:c>
      <x:c r="H455" s="34" t="n">
        <x:v>0</x:v>
      </x:c>
      <x:c r="I455" s="34" t="n">
        <x:f>SUM(F455:H455)</x:f>
        <x:v>430</x:v>
      </x:c>
      <x:c r="J455" s="22" t="str">
        <x:v>430</x:v>
      </x:c>
      <x:c r="K455" s="22" t="str"/>
      <x:c r="L455" s="22" t="str">
        <x:v>※$$$$$$$$$</x:v>
      </x:c>
      <x:c r="M455" s="22" t="str">
        <x:v>단가대비표</x:v>
      </x:c>
      <x:c r="N455" s="37" t="n">
        <x:v>157</x:v>
      </x:c>
      <x:c r="O4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5" s="22" t="str">
        <x:v>47d79c95e2c3273f84778935276c94526e369cc1b1bc057f6b03c998f44e253f</x:v>
      </x:c>
      <x:c r="Q455" s="22" t="str">
        <x:v>=O157+P157+V157</x:v>
      </x:c>
    </x:row>
    <x:row r="456">
      <x:c r="A456" s="22" t="str">
        <x:v>직접자원단가</x:v>
      </x:c>
      <x:c r="B456" s="22" t="str">
        <x:v>43AE204010766031C22ED812F51232F0065F1</x:v>
      </x:c>
      <x:c r="C456" s="25" t="str">
        <x:v>TD 750*2200</x:v>
      </x:c>
      <x:c r="D456" s="25" t="str"/>
      <x:c r="E456" s="22" t="str">
        <x:v>EA</x:v>
      </x:c>
      <x:c r="F456" s="34" t="n">
        <x:v>350</x:v>
      </x:c>
      <x:c r="G456" s="34" t="n">
        <x:v>0</x:v>
      </x:c>
      <x:c r="H456" s="34" t="n">
        <x:v>0</x:v>
      </x:c>
      <x:c r="I456" s="34" t="n">
        <x:f>SUM(F456:H456)</x:f>
        <x:v>350</x:v>
      </x:c>
      <x:c r="J456" s="22" t="str">
        <x:v>350</x:v>
      </x:c>
      <x:c r="K456" s="22" t="str"/>
      <x:c r="L456" s="22" t="str">
        <x:v>※$$$$$$$$$</x:v>
      </x:c>
      <x:c r="M456" s="22" t="str">
        <x:v>단가대비표</x:v>
      </x:c>
      <x:c r="N456" s="37" t="n">
        <x:v>158</x:v>
      </x:c>
      <x:c r="O4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6" s="22" t="str">
        <x:v>47d79c95e2c3273f84778935276c94526e369cc1b1bc057f6b03c998f44e253f</x:v>
      </x:c>
      <x:c r="Q456" s="22" t="str">
        <x:v>=O158+P158+V158</x:v>
      </x:c>
    </x:row>
    <x:row r="457">
      <x:c r="A457" s="22" t="str">
        <x:v>직접자원단가</x:v>
      </x:c>
      <x:c r="B457" s="22" t="str">
        <x:v>43AE204010766031C22ED812F51232F0065F0</x:v>
      </x:c>
      <x:c r="C457" s="25" t="str">
        <x:v>TD 1100*2200</x:v>
      </x:c>
      <x:c r="D457" s="25" t="str"/>
      <x:c r="E457" s="22" t="str">
        <x:v>EA</x:v>
      </x:c>
      <x:c r="F457" s="34" t="n">
        <x:v>350</x:v>
      </x:c>
      <x:c r="G457" s="34" t="n">
        <x:v>0</x:v>
      </x:c>
      <x:c r="H457" s="34" t="n">
        <x:v>0</x:v>
      </x:c>
      <x:c r="I457" s="34" t="n">
        <x:f>SUM(F457:H457)</x:f>
        <x:v>350</x:v>
      </x:c>
      <x:c r="J457" s="22" t="str">
        <x:v>350</x:v>
      </x:c>
      <x:c r="K457" s="22" t="str"/>
      <x:c r="L457" s="22" t="str">
        <x:v>※$$$$$$$$$</x:v>
      </x:c>
      <x:c r="M457" s="22" t="str">
        <x:v>단가대비표</x:v>
      </x:c>
      <x:c r="N457" s="37" t="n">
        <x:v>159</x:v>
      </x:c>
      <x:c r="O4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7" s="22" t="str">
        <x:v>47d79c95e2c3273f84778935276c94526e369cc1b1bc057f6b03c998f44e253f</x:v>
      </x:c>
      <x:c r="Q457" s="22" t="str">
        <x:v>=O159+P159+V159</x:v>
      </x:c>
    </x:row>
    <x:row r="458">
      <x:c r="A458" s="22" t="str">
        <x:v>직접자원단가</x:v>
      </x:c>
      <x:c r="B458" s="22" t="str">
        <x:v>43AE204010766031C22ED812F51232F0320EA</x:v>
      </x:c>
      <x:c r="C458" s="25" t="str">
        <x:v>락카에나멜</x:v>
      </x:c>
      <x:c r="D458" s="25" t="str"/>
      <x:c r="E458" s="22" t="str">
        <x:v>L</x:v>
      </x:c>
      <x:c r="F458" s="34" t="n">
        <x:v>8.191142709027623</x:v>
      </x:c>
      <x:c r="G458" s="34" t="n">
        <x:v>0</x:v>
      </x:c>
      <x:c r="H458" s="34" t="n">
        <x:v>0</x:v>
      </x:c>
      <x:c r="I458" s="34" t="n">
        <x:f>SUM(F458:H458)</x:f>
        <x:v>8.191142709027623</x:v>
      </x:c>
      <x:c r="J458" s="22" t="str">
        <x:v>8.191142709027623</x:v>
      </x:c>
      <x:c r="K458" s="22" t="str">
        <x:v>621</x:v>
      </x:c>
      <x:c r="L458" s="22" t="str"/>
      <x:c r="M458" s="22" t="str">
        <x:v>단가대비표</x:v>
      </x:c>
      <x:c r="N458" s="37" t="n">
        <x:v>160</x:v>
      </x:c>
      <x:c r="O4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8" s="22" t="str">
        <x:v>47d79c95e2c3273f84778935276c94526e369cc1b1bc057f6b03c998f44e253f</x:v>
      </x:c>
      <x:c r="Q458" s="22" t="str">
        <x:v>=O160+P160+V160</x:v>
      </x:c>
    </x:row>
    <x:row r="459">
      <x:c r="A459" s="22" t="str">
        <x:v>직접자원단가</x:v>
      </x:c>
      <x:c r="B459" s="22" t="str">
        <x:v>43AE204010766031C22ED812F512356699399</x:v>
      </x:c>
      <x:c r="C459" s="25" t="str">
        <x:v>H Shape Steel</x:v>
      </x:c>
      <x:c r="D459" s="25" t="str">
        <x:v>SS275, 200*100*5.5*8mm</x:v>
      </x:c>
      <x:c r="E459" s="22" t="str">
        <x:v>TON</x:v>
      </x:c>
      <x:c r="F459" s="34" t="n">
        <x:v>1800</x:v>
      </x:c>
      <x:c r="G459" s="34" t="n">
        <x:v>0</x:v>
      </x:c>
      <x:c r="H459" s="34" t="n">
        <x:v>0</x:v>
      </x:c>
      <x:c r="I459" s="34" t="n">
        <x:f>SUM(F459:H459)</x:f>
        <x:v>1800</x:v>
      </x:c>
      <x:c r="J459" s="22" t="str">
        <x:v>1800</x:v>
      </x:c>
      <x:c r="K459" s="22" t="str"/>
      <x:c r="L459" s="22" t="str">
        <x:v>※$$$$$$$$$</x:v>
      </x:c>
      <x:c r="M459" s="22" t="str">
        <x:v>단가대비표</x:v>
      </x:c>
      <x:c r="N459" s="37" t="n">
        <x:v>161</x:v>
      </x:c>
      <x:c r="O4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59" s="22" t="str">
        <x:v>47d79c95e2c3273f84778935276c94526e369cc1b1bc057f6b03c998f44e253f</x:v>
      </x:c>
      <x:c r="Q459" s="22" t="str">
        <x:v>=O161+P161+V161</x:v>
      </x:c>
    </x:row>
    <x:row r="460">
      <x:c r="A460" s="22" t="str">
        <x:v>직접자원단가</x:v>
      </x:c>
      <x:c r="B460" s="22" t="str">
        <x:v>43AE204010766031C22ED812F51235669939A</x:v>
      </x:c>
      <x:c r="C460" s="25" t="str">
        <x:v>H Shape Steel</x:v>
      </x:c>
      <x:c r="D460" s="25" t="str">
        <x:v>SS275, 300*150*6.5*9mm</x:v>
      </x:c>
      <x:c r="E460" s="22" t="str">
        <x:v>TON</x:v>
      </x:c>
      <x:c r="F460" s="34" t="n">
        <x:v>1800</x:v>
      </x:c>
      <x:c r="G460" s="34" t="n">
        <x:v>0</x:v>
      </x:c>
      <x:c r="H460" s="34" t="n">
        <x:v>0</x:v>
      </x:c>
      <x:c r="I460" s="34" t="n">
        <x:f>SUM(F460:H460)</x:f>
        <x:v>1800</x:v>
      </x:c>
      <x:c r="J460" s="22" t="str">
        <x:v>1800</x:v>
      </x:c>
      <x:c r="K460" s="22" t="str"/>
      <x:c r="L460" s="22" t="str">
        <x:v>※$$$$$$$$$</x:v>
      </x:c>
      <x:c r="M460" s="22" t="str">
        <x:v>단가대비표</x:v>
      </x:c>
      <x:c r="N460" s="37" t="n">
        <x:v>162</x:v>
      </x:c>
      <x:c r="O4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0" s="22" t="str">
        <x:v>47d79c95e2c3273f84778935276c94526e369cc1b1bc057f6b03c998f44e253f</x:v>
      </x:c>
      <x:c r="Q460" s="22" t="str">
        <x:v>=O162+P162+V162</x:v>
      </x:c>
    </x:row>
    <x:row r="461">
      <x:c r="A461" s="22" t="str">
        <x:v>직접자원단가</x:v>
      </x:c>
      <x:c r="B461" s="22" t="str">
        <x:v>43AE204010766031C22ED812F51235669939B</x:v>
      </x:c>
      <x:c r="C461" s="25" t="str">
        <x:v>H Shape Steel</x:v>
      </x:c>
      <x:c r="D461" s="25" t="str">
        <x:v>SS275, 300*300*10*15mm</x:v>
      </x:c>
      <x:c r="E461" s="22" t="str">
        <x:v>TON</x:v>
      </x:c>
      <x:c r="F461" s="34" t="n">
        <x:v>1800</x:v>
      </x:c>
      <x:c r="G461" s="34" t="n">
        <x:v>0</x:v>
      </x:c>
      <x:c r="H461" s="34" t="n">
        <x:v>0</x:v>
      </x:c>
      <x:c r="I461" s="34" t="n">
        <x:f>SUM(F461:H461)</x:f>
        <x:v>1800</x:v>
      </x:c>
      <x:c r="J461" s="22" t="str">
        <x:v>1800</x:v>
      </x:c>
      <x:c r="K461" s="22" t="str"/>
      <x:c r="L461" s="22" t="str">
        <x:v>※$$$$$$$$$</x:v>
      </x:c>
      <x:c r="M461" s="22" t="str">
        <x:v>단가대비표</x:v>
      </x:c>
      <x:c r="N461" s="37" t="n">
        <x:v>163</x:v>
      </x:c>
      <x:c r="O4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1" s="22" t="str">
        <x:v>47d79c95e2c3273f84778935276c94526e369cc1b1bc057f6b03c998f44e253f</x:v>
      </x:c>
      <x:c r="Q461" s="22" t="str">
        <x:v>=O163+P163+V163</x:v>
      </x:c>
    </x:row>
    <x:row r="462">
      <x:c r="A462" s="22" t="str">
        <x:v>직접자원단가</x:v>
      </x:c>
      <x:c r="B462" s="22" t="str">
        <x:v>43AE204010766031C22ED812F51235669939C</x:v>
      </x:c>
      <x:c r="C462" s="25" t="str">
        <x:v>H Shape Steel</x:v>
      </x:c>
      <x:c r="D462" s="25" t="str">
        <x:v>SM275A, 300*150*6.5*9mm</x:v>
      </x:c>
      <x:c r="E462" s="22" t="str">
        <x:v>TON</x:v>
      </x:c>
      <x:c r="F462" s="34" t="n">
        <x:v>1800</x:v>
      </x:c>
      <x:c r="G462" s="34" t="n">
        <x:v>0</x:v>
      </x:c>
      <x:c r="H462" s="34" t="n">
        <x:v>0</x:v>
      </x:c>
      <x:c r="I462" s="34" t="n">
        <x:f>SUM(F462:H462)</x:f>
        <x:v>1800</x:v>
      </x:c>
      <x:c r="J462" s="22" t="str">
        <x:v>1800</x:v>
      </x:c>
      <x:c r="K462" s="22" t="str"/>
      <x:c r="L462" s="22" t="str">
        <x:v>※$$$$$$$$$</x:v>
      </x:c>
      <x:c r="M462" s="22" t="str">
        <x:v>단가대비표</x:v>
      </x:c>
      <x:c r="N462" s="37" t="n">
        <x:v>164</x:v>
      </x:c>
      <x:c r="O4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2" s="22" t="str">
        <x:v>47d79c95e2c3273f84778935276c94526e369cc1b1bc057f6b03c998f44e253f</x:v>
      </x:c>
      <x:c r="Q462" s="22" t="str">
        <x:v>=O164+P164+V164</x:v>
      </x:c>
    </x:row>
    <x:row r="463">
      <x:c r="A463" s="22" t="str">
        <x:v>직접자원단가</x:v>
      </x:c>
      <x:c r="B463" s="22" t="str">
        <x:v>43AE204010766031C22ED812F51235669939E</x:v>
      </x:c>
      <x:c r="C463" s="25" t="str">
        <x:v>Light Gage Steel</x:v>
      </x:c>
      <x:c r="D463" s="25" t="str">
        <x:v>C, 150*50*20, t3.2</x:v>
      </x:c>
      <x:c r="E463" s="22" t="str">
        <x:v>TON</x:v>
      </x:c>
      <x:c r="F463" s="34" t="n">
        <x:v>2000</x:v>
      </x:c>
      <x:c r="G463" s="34" t="n">
        <x:v>0</x:v>
      </x:c>
      <x:c r="H463" s="34" t="n">
        <x:v>0</x:v>
      </x:c>
      <x:c r="I463" s="34" t="n">
        <x:f>SUM(F463:H463)</x:f>
        <x:v>2000</x:v>
      </x:c>
      <x:c r="J463" s="22" t="str">
        <x:v>2000</x:v>
      </x:c>
      <x:c r="K463" s="22" t="str"/>
      <x:c r="L463" s="22" t="str">
        <x:v>※$$$$$$$$$</x:v>
      </x:c>
      <x:c r="M463" s="22" t="str">
        <x:v>단가대비표</x:v>
      </x:c>
      <x:c r="N463" s="37" t="n">
        <x:v>165</x:v>
      </x:c>
      <x:c r="O4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3" s="22" t="str">
        <x:v>47d79c95e2c3273f84778935276c94526e369cc1b1bc057f6b03c998f44e253f</x:v>
      </x:c>
      <x:c r="Q463" s="22" t="str">
        <x:v>=O165+P165+V165</x:v>
      </x:c>
    </x:row>
    <x:row r="464">
      <x:c r="A464" s="22" t="str">
        <x:v>직접자원단가</x:v>
      </x:c>
      <x:c r="B464" s="22" t="str">
        <x:v>43AE204010766031C22ED812F51235669939F</x:v>
      </x:c>
      <x:c r="C464" s="25" t="str">
        <x:v>Steel Plate</x:v>
      </x:c>
      <x:c r="D464" s="25" t="str">
        <x:v>SS275, 6.0mm</x:v>
      </x:c>
      <x:c r="E464" s="22" t="str">
        <x:v>TON</x:v>
      </x:c>
      <x:c r="F464" s="34" t="n">
        <x:v>1300</x:v>
      </x:c>
      <x:c r="G464" s="34" t="n">
        <x:v>0</x:v>
      </x:c>
      <x:c r="H464" s="34" t="n">
        <x:v>0</x:v>
      </x:c>
      <x:c r="I464" s="34" t="n">
        <x:f>SUM(F464:H464)</x:f>
        <x:v>1300</x:v>
      </x:c>
      <x:c r="J464" s="22" t="str">
        <x:v>1300</x:v>
      </x:c>
      <x:c r="K464" s="22" t="str"/>
      <x:c r="L464" s="22" t="str">
        <x:v>※$$$$$$$$$</x:v>
      </x:c>
      <x:c r="M464" s="22" t="str">
        <x:v>단가대비표</x:v>
      </x:c>
      <x:c r="N464" s="37" t="n">
        <x:v>166</x:v>
      </x:c>
      <x:c r="O4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4" s="22" t="str">
        <x:v>47d79c95e2c3273f84778935276c94526e369cc1b1bc057f6b03c998f44e253f</x:v>
      </x:c>
      <x:c r="Q464" s="22" t="str">
        <x:v>=O166+P166+V166</x:v>
      </x:c>
    </x:row>
    <x:row r="465">
      <x:c r="A465" s="22" t="str">
        <x:v>직접자원단가</x:v>
      </x:c>
      <x:c r="B465" s="22" t="str">
        <x:v>43AE204010766031C22ED812F512356699390</x:v>
      </x:c>
      <x:c r="C465" s="25" t="str">
        <x:v>Steel Plate</x:v>
      </x:c>
      <x:c r="D465" s="25" t="str">
        <x:v>SS275, 8.0mm</x:v>
      </x:c>
      <x:c r="E465" s="22" t="str">
        <x:v>TON</x:v>
      </x:c>
      <x:c r="F465" s="34" t="n">
        <x:v>1300</x:v>
      </x:c>
      <x:c r="G465" s="34" t="n">
        <x:v>0</x:v>
      </x:c>
      <x:c r="H465" s="34" t="n">
        <x:v>0</x:v>
      </x:c>
      <x:c r="I465" s="34" t="n">
        <x:f>SUM(F465:H465)</x:f>
        <x:v>1300</x:v>
      </x:c>
      <x:c r="J465" s="22" t="str">
        <x:v>1300</x:v>
      </x:c>
      <x:c r="K465" s="22" t="str"/>
      <x:c r="L465" s="22" t="str">
        <x:v>※$$$$$$$$$</x:v>
      </x:c>
      <x:c r="M465" s="22" t="str">
        <x:v>단가대비표</x:v>
      </x:c>
      <x:c r="N465" s="37" t="n">
        <x:v>167</x:v>
      </x:c>
      <x:c r="O4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5" s="22" t="str">
        <x:v>47d79c95e2c3273f84778935276c94526e369cc1b1bc057f6b03c998f44e253f</x:v>
      </x:c>
      <x:c r="Q465" s="22" t="str">
        <x:v>=O167+P167+V167</x:v>
      </x:c>
    </x:row>
    <x:row r="466">
      <x:c r="A466" s="22" t="str">
        <x:v>직접자원단가</x:v>
      </x:c>
      <x:c r="B466" s="22" t="str">
        <x:v>43AE204010766031C22ED812F512356699391</x:v>
      </x:c>
      <x:c r="C466" s="25" t="str">
        <x:v>Steel Plate</x:v>
      </x:c>
      <x:c r="D466" s="25" t="str">
        <x:v>SS275, 15mm</x:v>
      </x:c>
      <x:c r="E466" s="22" t="str">
        <x:v>TON</x:v>
      </x:c>
      <x:c r="F466" s="34" t="n">
        <x:v>1300</x:v>
      </x:c>
      <x:c r="G466" s="34" t="n">
        <x:v>0</x:v>
      </x:c>
      <x:c r="H466" s="34" t="n">
        <x:v>0</x:v>
      </x:c>
      <x:c r="I466" s="34" t="n">
        <x:f>SUM(F466:H466)</x:f>
        <x:v>1300</x:v>
      </x:c>
      <x:c r="J466" s="22" t="str">
        <x:v>1300</x:v>
      </x:c>
      <x:c r="K466" s="22" t="str"/>
      <x:c r="L466" s="22" t="str">
        <x:v>※$$$$$$$$$</x:v>
      </x:c>
      <x:c r="M466" s="22" t="str">
        <x:v>단가대비표</x:v>
      </x:c>
      <x:c r="N466" s="37" t="n">
        <x:v>168</x:v>
      </x:c>
      <x:c r="O4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6" s="22" t="str">
        <x:v>47d79c95e2c3273f84778935276c94526e369cc1b1bc057f6b03c998f44e253f</x:v>
      </x:c>
      <x:c r="Q466" s="22" t="str">
        <x:v>=O168+P168+V168</x:v>
      </x:c>
    </x:row>
    <x:row r="467">
      <x:c r="A467" s="22" t="str">
        <x:v>직접자원단가</x:v>
      </x:c>
      <x:c r="B467" s="22" t="str">
        <x:v>43AE204010766031C22ED812F5123566993E9</x:v>
      </x:c>
      <x:c r="C467" s="25" t="str">
        <x:v>H Shape Steel</x:v>
      </x:c>
      <x:c r="D467" s="25" t="str">
        <x:v>SM275A, 390*300*10*16mm</x:v>
      </x:c>
      <x:c r="E467" s="22" t="str">
        <x:v>TON</x:v>
      </x:c>
      <x:c r="F467" s="34" t="n">
        <x:v>1800</x:v>
      </x:c>
      <x:c r="G467" s="34" t="n">
        <x:v>0</x:v>
      </x:c>
      <x:c r="H467" s="34" t="n">
        <x:v>0</x:v>
      </x:c>
      <x:c r="I467" s="34" t="n">
        <x:f>SUM(F467:H467)</x:f>
        <x:v>1800</x:v>
      </x:c>
      <x:c r="J467" s="22" t="str">
        <x:v>1800</x:v>
      </x:c>
      <x:c r="K467" s="22" t="str"/>
      <x:c r="L467" s="22" t="str">
        <x:v>※$$$$$$$$$</x:v>
      </x:c>
      <x:c r="M467" s="22" t="str">
        <x:v>단가대비표</x:v>
      </x:c>
      <x:c r="N467" s="37" t="n">
        <x:v>169</x:v>
      </x:c>
      <x:c r="O4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7" s="22" t="str">
        <x:v>47d79c95e2c3273f84778935276c94526e369cc1b1bc057f6b03c998f44e253f</x:v>
      </x:c>
      <x:c r="Q467" s="22" t="str">
        <x:v>=O169+P169+V169</x:v>
      </x:c>
    </x:row>
    <x:row r="468">
      <x:c r="A468" s="22" t="str">
        <x:v>직접자원단가</x:v>
      </x:c>
      <x:c r="B468" s="22" t="str">
        <x:v>43AE204010766031C22ED812F5123566992F1</x:v>
      </x:c>
      <x:c r="C468" s="25" t="str">
        <x:v>Steel Plate</x:v>
      </x:c>
      <x:c r="D468" s="25" t="str">
        <x:v>SS275, 18mm</x:v>
      </x:c>
      <x:c r="E468" s="22" t="str">
        <x:v>TON</x:v>
      </x:c>
      <x:c r="F468" s="34" t="n">
        <x:v>1300</x:v>
      </x:c>
      <x:c r="G468" s="34" t="n">
        <x:v>0</x:v>
      </x:c>
      <x:c r="H468" s="34" t="n">
        <x:v>0</x:v>
      </x:c>
      <x:c r="I468" s="34" t="n">
        <x:f>SUM(F468:H468)</x:f>
        <x:v>1300</x:v>
      </x:c>
      <x:c r="J468" s="22" t="str">
        <x:v>1300</x:v>
      </x:c>
      <x:c r="K468" s="22" t="str"/>
      <x:c r="L468" s="22" t="str">
        <x:v>※$$$$$$$$$</x:v>
      </x:c>
      <x:c r="M468" s="22" t="str">
        <x:v>단가대비표</x:v>
      </x:c>
      <x:c r="N468" s="37" t="n">
        <x:v>170</x:v>
      </x:c>
      <x:c r="O4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8" s="22" t="str">
        <x:v>47d79c95e2c3273f84778935276c94526e369cc1b1bc057f6b03c998f44e253f</x:v>
      </x:c>
      <x:c r="Q468" s="22" t="str">
        <x:v>=O170+P170+V170</x:v>
      </x:c>
    </x:row>
    <x:row r="469">
      <x:c r="A469" s="22" t="str">
        <x:v>직접자원단가</x:v>
      </x:c>
      <x:c r="B469" s="22" t="str">
        <x:v>43AE204010766031C22ED812F5123566992F0</x:v>
      </x:c>
      <x:c r="C469" s="25" t="str">
        <x:v>Steel Plate</x:v>
      </x:c>
      <x:c r="D469" s="25" t="str">
        <x:v>SS275, 25mm</x:v>
      </x:c>
      <x:c r="E469" s="22" t="str">
        <x:v>TON</x:v>
      </x:c>
      <x:c r="F469" s="34" t="n">
        <x:v>1300</x:v>
      </x:c>
      <x:c r="G469" s="34" t="n">
        <x:v>0</x:v>
      </x:c>
      <x:c r="H469" s="34" t="n">
        <x:v>0</x:v>
      </x:c>
      <x:c r="I469" s="34" t="n">
        <x:f>SUM(F469:H469)</x:f>
        <x:v>1300</x:v>
      </x:c>
      <x:c r="J469" s="22" t="str">
        <x:v>1300</x:v>
      </x:c>
      <x:c r="K469" s="22" t="str"/>
      <x:c r="L469" s="22" t="str">
        <x:v>※$$$$$$$$$</x:v>
      </x:c>
      <x:c r="M469" s="22" t="str">
        <x:v>단가대비표</x:v>
      </x:c>
      <x:c r="N469" s="37" t="n">
        <x:v>171</x:v>
      </x:c>
      <x:c r="O4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69" s="22" t="str">
        <x:v>47d79c95e2c3273f84778935276c94526e369cc1b1bc057f6b03c998f44e253f</x:v>
      </x:c>
      <x:c r="Q469" s="22" t="str">
        <x:v>=O171+P171+V171</x:v>
      </x:c>
    </x:row>
    <x:row r="470">
      <x:c r="A470" s="22" t="str">
        <x:v>직접자원단가</x:v>
      </x:c>
      <x:c r="B470" s="22" t="str">
        <x:v>43AE204010766031C22ED812F5123566992F3</x:v>
      </x:c>
      <x:c r="C470" s="25" t="str">
        <x:v>Steel Plate</x:v>
      </x:c>
      <x:c r="D470" s="25" t="str">
        <x:v>SM275, 6.0mm</x:v>
      </x:c>
      <x:c r="E470" s="22" t="str">
        <x:v>TON</x:v>
      </x:c>
      <x:c r="F470" s="34" t="n">
        <x:v>1400</x:v>
      </x:c>
      <x:c r="G470" s="34" t="n">
        <x:v>0</x:v>
      </x:c>
      <x:c r="H470" s="34" t="n">
        <x:v>0</x:v>
      </x:c>
      <x:c r="I470" s="34" t="n">
        <x:f>SUM(F470:H470)</x:f>
        <x:v>1400</x:v>
      </x:c>
      <x:c r="J470" s="22" t="str">
        <x:v>1400</x:v>
      </x:c>
      <x:c r="K470" s="22" t="str"/>
      <x:c r="L470" s="22" t="str">
        <x:v>※$$$$$$$$$</x:v>
      </x:c>
      <x:c r="M470" s="22" t="str">
        <x:v>단가대비표</x:v>
      </x:c>
      <x:c r="N470" s="37" t="n">
        <x:v>172</x:v>
      </x:c>
      <x:c r="O4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0" s="22" t="str">
        <x:v>47d79c95e2c3273f84778935276c94526e369cc1b1bc057f6b03c998f44e253f</x:v>
      </x:c>
      <x:c r="Q470" s="22" t="str">
        <x:v>=O172+P172+V172</x:v>
      </x:c>
    </x:row>
    <x:row r="471">
      <x:c r="A471" s="22" t="str">
        <x:v>직접자원단가</x:v>
      </x:c>
      <x:c r="B471" s="22" t="str">
        <x:v>43AE204010766031C22ED812F5123566992F2</x:v>
      </x:c>
      <x:c r="C471" s="25" t="str">
        <x:v>Steel Plate</x:v>
      </x:c>
      <x:c r="D471" s="25" t="str">
        <x:v>SM275, 8.0mm</x:v>
      </x:c>
      <x:c r="E471" s="22" t="str">
        <x:v>TON</x:v>
      </x:c>
      <x:c r="F471" s="34" t="n">
        <x:v>1400</x:v>
      </x:c>
      <x:c r="G471" s="34" t="n">
        <x:v>0</x:v>
      </x:c>
      <x:c r="H471" s="34" t="n">
        <x:v>0</x:v>
      </x:c>
      <x:c r="I471" s="34" t="n">
        <x:f>SUM(F471:H471)</x:f>
        <x:v>1400</x:v>
      </x:c>
      <x:c r="J471" s="22" t="str">
        <x:v>1400</x:v>
      </x:c>
      <x:c r="K471" s="22" t="str"/>
      <x:c r="L471" s="22" t="str">
        <x:v>※$$$$$$$$$</x:v>
      </x:c>
      <x:c r="M471" s="22" t="str">
        <x:v>단가대비표</x:v>
      </x:c>
      <x:c r="N471" s="37" t="n">
        <x:v>173</x:v>
      </x:c>
      <x:c r="O4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1" s="22" t="str">
        <x:v>47d79c95e2c3273f84778935276c94526e369cc1b1bc057f6b03c998f44e253f</x:v>
      </x:c>
      <x:c r="Q471" s="22" t="str">
        <x:v>=O173+P173+V173</x:v>
      </x:c>
    </x:row>
    <x:row r="472">
      <x:c r="A472" s="22" t="str">
        <x:v>직접자원단가</x:v>
      </x:c>
      <x:c r="B472" s="22" t="str">
        <x:v>43AE204010766031C22ED812F5123566992F5</x:v>
      </x:c>
      <x:c r="C472" s="25" t="str">
        <x:v>Steel Plate</x:v>
      </x:c>
      <x:c r="D472" s="25" t="str">
        <x:v>SM275, 9.0mm</x:v>
      </x:c>
      <x:c r="E472" s="22" t="str">
        <x:v>TON</x:v>
      </x:c>
      <x:c r="F472" s="34" t="n">
        <x:v>1400</x:v>
      </x:c>
      <x:c r="G472" s="34" t="n">
        <x:v>0</x:v>
      </x:c>
      <x:c r="H472" s="34" t="n">
        <x:v>0</x:v>
      </x:c>
      <x:c r="I472" s="34" t="n">
        <x:f>SUM(F472:H472)</x:f>
        <x:v>1400</x:v>
      </x:c>
      <x:c r="J472" s="22" t="str">
        <x:v>1400</x:v>
      </x:c>
      <x:c r="K472" s="22" t="str"/>
      <x:c r="L472" s="22" t="str">
        <x:v>※$$$$$$$$$</x:v>
      </x:c>
      <x:c r="M472" s="22" t="str">
        <x:v>단가대비표</x:v>
      </x:c>
      <x:c r="N472" s="37" t="n">
        <x:v>174</x:v>
      </x:c>
      <x:c r="O4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2" s="22" t="str">
        <x:v>47d79c95e2c3273f84778935276c94526e369cc1b1bc057f6b03c998f44e253f</x:v>
      </x:c>
      <x:c r="Q472" s="22" t="str">
        <x:v>=O174+P174+V174</x:v>
      </x:c>
    </x:row>
    <x:row r="473">
      <x:c r="A473" s="22" t="str">
        <x:v>직접자원단가</x:v>
      </x:c>
      <x:c r="B473" s="22" t="str">
        <x:v>43AE204010766031C22ED812F5123566992F4</x:v>
      </x:c>
      <x:c r="C473" s="25" t="str">
        <x:v>Steel Plate</x:v>
      </x:c>
      <x:c r="D473" s="25" t="str">
        <x:v>SM275, 12mm</x:v>
      </x:c>
      <x:c r="E473" s="22" t="str">
        <x:v>TON</x:v>
      </x:c>
      <x:c r="F473" s="34" t="n">
        <x:v>1400</x:v>
      </x:c>
      <x:c r="G473" s="34" t="n">
        <x:v>0</x:v>
      </x:c>
      <x:c r="H473" s="34" t="n">
        <x:v>0</x:v>
      </x:c>
      <x:c r="I473" s="34" t="n">
        <x:f>SUM(F473:H473)</x:f>
        <x:v>1400</x:v>
      </x:c>
      <x:c r="J473" s="22" t="str">
        <x:v>1400</x:v>
      </x:c>
      <x:c r="K473" s="22" t="str"/>
      <x:c r="L473" s="22" t="str">
        <x:v>※$$$$$$$$$</x:v>
      </x:c>
      <x:c r="M473" s="22" t="str">
        <x:v>단가대비표</x:v>
      </x:c>
      <x:c r="N473" s="37" t="n">
        <x:v>175</x:v>
      </x:c>
      <x:c r="O4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3" s="22" t="str">
        <x:v>47d79c95e2c3273f84778935276c94526e369cc1b1bc057f6b03c998f44e253f</x:v>
      </x:c>
      <x:c r="Q473" s="22" t="str">
        <x:v>=O175+P175+V175</x:v>
      </x:c>
    </x:row>
    <x:row r="474">
      <x:c r="A474" s="22" t="str">
        <x:v>직접자원단가</x:v>
      </x:c>
      <x:c r="B474" s="22" t="str">
        <x:v>43AE204010766031C22ED812F5123566992F7</x:v>
      </x:c>
      <x:c r="C474" s="25" t="str">
        <x:v>Steel Plate</x:v>
      </x:c>
      <x:c r="D474" s="25" t="str">
        <x:v>SM275, 16mm</x:v>
      </x:c>
      <x:c r="E474" s="22" t="str">
        <x:v>TON</x:v>
      </x:c>
      <x:c r="F474" s="34" t="n">
        <x:v>1400</x:v>
      </x:c>
      <x:c r="G474" s="34" t="n">
        <x:v>0</x:v>
      </x:c>
      <x:c r="H474" s="34" t="n">
        <x:v>0</x:v>
      </x:c>
      <x:c r="I474" s="34" t="n">
        <x:f>SUM(F474:H474)</x:f>
        <x:v>1400</x:v>
      </x:c>
      <x:c r="J474" s="22" t="str">
        <x:v>1400</x:v>
      </x:c>
      <x:c r="K474" s="22" t="str"/>
      <x:c r="L474" s="22" t="str">
        <x:v>※$$$$$$$$$</x:v>
      </x:c>
      <x:c r="M474" s="22" t="str">
        <x:v>단가대비표</x:v>
      </x:c>
      <x:c r="N474" s="37" t="n">
        <x:v>176</x:v>
      </x:c>
      <x:c r="O4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4" s="22" t="str">
        <x:v>47d79c95e2c3273f84778935276c94526e369cc1b1bc057f6b03c998f44e253f</x:v>
      </x:c>
      <x:c r="Q474" s="22" t="str">
        <x:v>=O176+P176+V176</x:v>
      </x:c>
    </x:row>
    <x:row r="475">
      <x:c r="A475" s="22" t="str">
        <x:v>직접자원단가</x:v>
      </x:c>
      <x:c r="B475" s="22" t="str">
        <x:v>43AE204010766031C22ED812F5123566992F6</x:v>
      </x:c>
      <x:c r="C475" s="25" t="str">
        <x:v>Steel Plate</x:v>
      </x:c>
      <x:c r="D475" s="25" t="str">
        <x:v>SM275, 22mm</x:v>
      </x:c>
      <x:c r="E475" s="22" t="str">
        <x:v>TON</x:v>
      </x:c>
      <x:c r="F475" s="34" t="n">
        <x:v>1400</x:v>
      </x:c>
      <x:c r="G475" s="34" t="n">
        <x:v>0</x:v>
      </x:c>
      <x:c r="H475" s="34" t="n">
        <x:v>0</x:v>
      </x:c>
      <x:c r="I475" s="34" t="n">
        <x:f>SUM(F475:H475)</x:f>
        <x:v>1400</x:v>
      </x:c>
      <x:c r="J475" s="22" t="str">
        <x:v>1400</x:v>
      </x:c>
      <x:c r="K475" s="22" t="str"/>
      <x:c r="L475" s="22" t="str">
        <x:v>※$$$$$$$$$</x:v>
      </x:c>
      <x:c r="M475" s="22" t="str">
        <x:v>단가대비표</x:v>
      </x:c>
      <x:c r="N475" s="37" t="n">
        <x:v>177</x:v>
      </x:c>
      <x:c r="O4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5" s="22" t="str">
        <x:v>47d79c95e2c3273f84778935276c94526e369cc1b1bc057f6b03c998f44e253f</x:v>
      </x:c>
      <x:c r="Q475" s="22" t="str">
        <x:v>=O177+P177+V177</x:v>
      </x:c>
    </x:row>
    <x:row r="476">
      <x:c r="A476" s="22" t="str">
        <x:v>직접자원단가</x:v>
      </x:c>
      <x:c r="B476" s="22" t="str">
        <x:v>43AE204010766031C22ED812F5123566992F9</x:v>
      </x:c>
      <x:c r="C476" s="25" t="str">
        <x:v>Anchor Bolt</x:v>
      </x:c>
      <x:c r="D476" s="25" t="str">
        <x:v>M30*750mm</x:v>
      </x:c>
      <x:c r="E476" s="22" t="str">
        <x:v>EA</x:v>
      </x:c>
      <x:c r="F476" s="34" t="n">
        <x:v>20</x:v>
      </x:c>
      <x:c r="G476" s="34" t="n">
        <x:v>0</x:v>
      </x:c>
      <x:c r="H476" s="34" t="n">
        <x:v>0</x:v>
      </x:c>
      <x:c r="I476" s="34" t="n">
        <x:f>SUM(F476:H476)</x:f>
        <x:v>20</x:v>
      </x:c>
      <x:c r="J476" s="22" t="str">
        <x:v>20</x:v>
      </x:c>
      <x:c r="K476" s="22" t="str"/>
      <x:c r="L476" s="22" t="str">
        <x:v>※$$$$$$$$$</x:v>
      </x:c>
      <x:c r="M476" s="22" t="str">
        <x:v>단가대비표</x:v>
      </x:c>
      <x:c r="N476" s="37" t="n">
        <x:v>178</x:v>
      </x:c>
      <x:c r="O4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6" s="22" t="str">
        <x:v>47d79c95e2c3273f84778935276c94526e369cc1b1bc057f6b03c998f44e253f</x:v>
      </x:c>
      <x:c r="Q476" s="22" t="str">
        <x:v>=O178+P178+V178</x:v>
      </x:c>
    </x:row>
    <x:row r="477">
      <x:c r="A477" s="22" t="str">
        <x:v>직접자원단가</x:v>
      </x:c>
      <x:c r="B477" s="22" t="str">
        <x:v>43AE204010766031C22ED812F5123566992F8</x:v>
      </x:c>
      <x:c r="C477" s="25" t="str">
        <x:v>High Strength Bolt</x:v>
      </x:c>
      <x:c r="D477" s="25" t="str">
        <x:v>F10T, M20*50mm</x:v>
      </x:c>
      <x:c r="E477" s="22" t="str">
        <x:v>SET</x:v>
      </x:c>
      <x:c r="F477" s="34" t="n">
        <x:v>3</x:v>
      </x:c>
      <x:c r="G477" s="34" t="n">
        <x:v>0</x:v>
      </x:c>
      <x:c r="H477" s="34" t="n">
        <x:v>0</x:v>
      </x:c>
      <x:c r="I477" s="34" t="n">
        <x:f>SUM(F477:H477)</x:f>
        <x:v>3</x:v>
      </x:c>
      <x:c r="J477" s="22" t="str">
        <x:v>3</x:v>
      </x:c>
      <x:c r="K477" s="22" t="str"/>
      <x:c r="L477" s="22" t="str">
        <x:v>※$$$$$$$$$</x:v>
      </x:c>
      <x:c r="M477" s="22" t="str">
        <x:v>단가대비표</x:v>
      </x:c>
      <x:c r="N477" s="37" t="n">
        <x:v>179</x:v>
      </x:c>
      <x:c r="O4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7" s="22" t="str">
        <x:v>47d79c95e2c3273f84778935276c94526e369cc1b1bc057f6b03c998f44e253f</x:v>
      </x:c>
      <x:c r="Q477" s="22" t="str">
        <x:v>=O179+P179+V179</x:v>
      </x:c>
    </x:row>
    <x:row r="478">
      <x:c r="A478" s="22" t="str">
        <x:v>직접자원단가</x:v>
      </x:c>
      <x:c r="B478" s="22" t="str">
        <x:v>43AE204010766031C22ED812F5123566991EA</x:v>
      </x:c>
      <x:c r="C478" s="25" t="str">
        <x:v>High Strength Bolt</x:v>
      </x:c>
      <x:c r="D478" s="25" t="str">
        <x:v>F10T, M20*55mm</x:v>
      </x:c>
      <x:c r="E478" s="22" t="str">
        <x:v>SET</x:v>
      </x:c>
      <x:c r="F478" s="34" t="n">
        <x:v>3</x:v>
      </x:c>
      <x:c r="G478" s="34" t="n">
        <x:v>0</x:v>
      </x:c>
      <x:c r="H478" s="34" t="n">
        <x:v>0</x:v>
      </x:c>
      <x:c r="I478" s="34" t="n">
        <x:f>SUM(F478:H478)</x:f>
        <x:v>3</x:v>
      </x:c>
      <x:c r="J478" s="22" t="str">
        <x:v>3</x:v>
      </x:c>
      <x:c r="K478" s="22" t="str"/>
      <x:c r="L478" s="22" t="str">
        <x:v>※$$$$$$$$$</x:v>
      </x:c>
      <x:c r="M478" s="22" t="str">
        <x:v>단가대비표</x:v>
      </x:c>
      <x:c r="N478" s="37" t="n">
        <x:v>180</x:v>
      </x:c>
      <x:c r="O4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8" s="22" t="str">
        <x:v>47d79c95e2c3273f84778935276c94526e369cc1b1bc057f6b03c998f44e253f</x:v>
      </x:c>
      <x:c r="Q478" s="22" t="str">
        <x:v>=O180+P180+V180</x:v>
      </x:c>
    </x:row>
    <x:row r="479">
      <x:c r="A479" s="22" t="str">
        <x:v>직접자원단가</x:v>
      </x:c>
      <x:c r="B479" s="22" t="str">
        <x:v>43AE204010766031C22ED812F5123566991EB</x:v>
      </x:c>
      <x:c r="C479" s="25" t="str">
        <x:v>High Strength Bolt</x:v>
      </x:c>
      <x:c r="D479" s="25" t="str">
        <x:v>F10T, M20*60mm</x:v>
      </x:c>
      <x:c r="E479" s="22" t="str">
        <x:v>SET</x:v>
      </x:c>
      <x:c r="F479" s="34" t="n">
        <x:v>3</x:v>
      </x:c>
      <x:c r="G479" s="34" t="n">
        <x:v>0</x:v>
      </x:c>
      <x:c r="H479" s="34" t="n">
        <x:v>0</x:v>
      </x:c>
      <x:c r="I479" s="34" t="n">
        <x:f>SUM(F479:H479)</x:f>
        <x:v>3</x:v>
      </x:c>
      <x:c r="J479" s="22" t="str">
        <x:v>3</x:v>
      </x:c>
      <x:c r="K479" s="22" t="str"/>
      <x:c r="L479" s="22" t="str">
        <x:v>※$$$$$$$$$</x:v>
      </x:c>
      <x:c r="M479" s="22" t="str">
        <x:v>단가대비표</x:v>
      </x:c>
      <x:c r="N479" s="37" t="n">
        <x:v>181</x:v>
      </x:c>
      <x:c r="O4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79" s="22" t="str">
        <x:v>47d79c95e2c3273f84778935276c94526e369cc1b1bc057f6b03c998f44e253f</x:v>
      </x:c>
      <x:c r="Q479" s="22" t="str">
        <x:v>=O181+P181+V181</x:v>
      </x:c>
    </x:row>
    <x:row r="480">
      <x:c r="A480" s="22" t="str">
        <x:v>직접자원단가</x:v>
      </x:c>
      <x:c r="B480" s="22" t="str">
        <x:v>43AE204010766031C22ED812F5123566991E8</x:v>
      </x:c>
      <x:c r="C480" s="25" t="str">
        <x:v>High Strength Bolt</x:v>
      </x:c>
      <x:c r="D480" s="25" t="str">
        <x:v>F10T, M20*65mm</x:v>
      </x:c>
      <x:c r="E480" s="22" t="str">
        <x:v>SET</x:v>
      </x:c>
      <x:c r="F480" s="34" t="n">
        <x:v>3</x:v>
      </x:c>
      <x:c r="G480" s="34" t="n">
        <x:v>0</x:v>
      </x:c>
      <x:c r="H480" s="34" t="n">
        <x:v>0</x:v>
      </x:c>
      <x:c r="I480" s="34" t="n">
        <x:f>SUM(F480:H480)</x:f>
        <x:v>3</x:v>
      </x:c>
      <x:c r="J480" s="22" t="str">
        <x:v>3</x:v>
      </x:c>
      <x:c r="K480" s="22" t="str"/>
      <x:c r="L480" s="22" t="str">
        <x:v>※$$$$$$$$$</x:v>
      </x:c>
      <x:c r="M480" s="22" t="str">
        <x:v>단가대비표</x:v>
      </x:c>
      <x:c r="N480" s="37" t="n">
        <x:v>182</x:v>
      </x:c>
      <x:c r="O4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0" s="22" t="str">
        <x:v>47d79c95e2c3273f84778935276c94526e369cc1b1bc057f6b03c998f44e253f</x:v>
      </x:c>
      <x:c r="Q480" s="22" t="str">
        <x:v>=O182+P182+V182</x:v>
      </x:c>
    </x:row>
    <x:row r="481">
      <x:c r="A481" s="22" t="str">
        <x:v>직접자원단가</x:v>
      </x:c>
      <x:c r="B481" s="22" t="str">
        <x:v>43AE204010766031C22ED812F5123566991E9</x:v>
      </x:c>
      <x:c r="C481" s="25" t="str">
        <x:v>High Strength Bolt</x:v>
      </x:c>
      <x:c r="D481" s="25" t="str">
        <x:v>F10T, M20*70mm</x:v>
      </x:c>
      <x:c r="E481" s="22" t="str">
        <x:v>SET</x:v>
      </x:c>
      <x:c r="F481" s="34" t="n">
        <x:v>3</x:v>
      </x:c>
      <x:c r="G481" s="34" t="n">
        <x:v>0</x:v>
      </x:c>
      <x:c r="H481" s="34" t="n">
        <x:v>0</x:v>
      </x:c>
      <x:c r="I481" s="34" t="n">
        <x:f>SUM(F481:H481)</x:f>
        <x:v>3</x:v>
      </x:c>
      <x:c r="J481" s="22" t="str">
        <x:v>3</x:v>
      </x:c>
      <x:c r="K481" s="22" t="str"/>
      <x:c r="L481" s="22" t="str">
        <x:v>※$$$$$$$$$</x:v>
      </x:c>
      <x:c r="M481" s="22" t="str">
        <x:v>단가대비표</x:v>
      </x:c>
      <x:c r="N481" s="37" t="n">
        <x:v>183</x:v>
      </x:c>
      <x:c r="O4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1" s="22" t="str">
        <x:v>47d79c95e2c3273f84778935276c94526e369cc1b1bc057f6b03c998f44e253f</x:v>
      </x:c>
      <x:c r="Q481" s="22" t="str">
        <x:v>=O183+P183+V183</x:v>
      </x:c>
    </x:row>
    <x:row r="482">
      <x:c r="A482" s="22" t="str">
        <x:v>직접자원단가</x:v>
      </x:c>
      <x:c r="B482" s="22" t="str">
        <x:v>43AE204010766031C22ED812F5123566991EE</x:v>
      </x:c>
      <x:c r="C482" s="25" t="str">
        <x:v>High Strength Bolt</x:v>
      </x:c>
      <x:c r="D482" s="25" t="str">
        <x:v>F10T, M20*80mm</x:v>
      </x:c>
      <x:c r="E482" s="22" t="str">
        <x:v>SET</x:v>
      </x:c>
      <x:c r="F482" s="34" t="n">
        <x:v>3</x:v>
      </x:c>
      <x:c r="G482" s="34" t="n">
        <x:v>0</x:v>
      </x:c>
      <x:c r="H482" s="34" t="n">
        <x:v>0</x:v>
      </x:c>
      <x:c r="I482" s="34" t="n">
        <x:f>SUM(F482:H482)</x:f>
        <x:v>3</x:v>
      </x:c>
      <x:c r="J482" s="22" t="str">
        <x:v>3</x:v>
      </x:c>
      <x:c r="K482" s="22" t="str"/>
      <x:c r="L482" s="22" t="str">
        <x:v>※$$$$$$$$$</x:v>
      </x:c>
      <x:c r="M482" s="22" t="str">
        <x:v>단가대비표</x:v>
      </x:c>
      <x:c r="N482" s="37" t="n">
        <x:v>184</x:v>
      </x:c>
      <x:c r="O4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2" s="22" t="str">
        <x:v>47d79c95e2c3273f84778935276c94526e369cc1b1bc057f6b03c998f44e253f</x:v>
      </x:c>
      <x:c r="Q482" s="22" t="str">
        <x:v>=O184+P184+V184</x:v>
      </x:c>
    </x:row>
    <x:row r="483">
      <x:c r="A483" s="22" t="str">
        <x:v>직접자원단가</x:v>
      </x:c>
      <x:c r="B483" s="22" t="str">
        <x:v>43AE204010766031C22ED812F5123566991EF</x:v>
      </x:c>
      <x:c r="C483" s="25" t="str">
        <x:v>High Strength Bolt</x:v>
      </x:c>
      <x:c r="D483" s="25" t="str">
        <x:v>F10T, M16*40mm</x:v>
      </x:c>
      <x:c r="E483" s="22" t="str">
        <x:v>SET</x:v>
      </x:c>
      <x:c r="F483" s="34" t="n">
        <x:v>3</x:v>
      </x:c>
      <x:c r="G483" s="34" t="n">
        <x:v>0</x:v>
      </x:c>
      <x:c r="H483" s="34" t="n">
        <x:v>0</x:v>
      </x:c>
      <x:c r="I483" s="34" t="n">
        <x:f>SUM(F483:H483)</x:f>
        <x:v>3</x:v>
      </x:c>
      <x:c r="J483" s="22" t="str">
        <x:v>3</x:v>
      </x:c>
      <x:c r="K483" s="22" t="str"/>
      <x:c r="L483" s="22" t="str">
        <x:v>※$$$$$$$$$</x:v>
      </x:c>
      <x:c r="M483" s="22" t="str">
        <x:v>단가대비표</x:v>
      </x:c>
      <x:c r="N483" s="37" t="n">
        <x:v>185</x:v>
      </x:c>
      <x:c r="O4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3" s="22" t="str">
        <x:v>47d79c95e2c3273f84778935276c94526e369cc1b1bc057f6b03c998f44e253f</x:v>
      </x:c>
      <x:c r="Q483" s="22" t="str">
        <x:v>=O185+P185+V185</x:v>
      </x:c>
    </x:row>
    <x:row r="484">
      <x:c r="A484" s="22" t="str">
        <x:v>직접자원단가</x:v>
      </x:c>
      <x:c r="B484" s="22" t="str">
        <x:v>43AE204010766031C22ED812F5123566991EC</x:v>
      </x:c>
      <x:c r="C484" s="25" t="str">
        <x:v>Anchor Bolt Install</x:v>
      </x:c>
      <x:c r="D484" s="25" t="str">
        <x:v>∮32</x:v>
      </x:c>
      <x:c r="E484" s="22" t="str">
        <x:v>EA</x:v>
      </x:c>
      <x:c r="F484" s="34" t="n">
        <x:v>20</x:v>
      </x:c>
      <x:c r="G484" s="34" t="n">
        <x:v>19.76</x:v>
      </x:c>
      <x:c r="H484" s="34" t="n">
        <x:v>0.4</x:v>
      </x:c>
      <x:c r="I484" s="34" t="n">
        <x:f>SUM(F484:H484)</x:f>
        <x:v>40.160000000000004</x:v>
      </x:c>
      <x:c r="J484" s="22" t="str">
        <x:v>20</x:v>
      </x:c>
      <x:c r="K484" s="22" t="str"/>
      <x:c r="L484" s="22" t="str">
        <x:v>※$$$$$$$$$</x:v>
      </x:c>
      <x:c r="M484" s="22" t="str">
        <x:v>단가대비표</x:v>
      </x:c>
      <x:c r="N484" s="37" t="n">
        <x:v>186</x:v>
      </x:c>
      <x:c r="O4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4" s="22" t="str">
        <x:v>47d79c95e2c3273f84778935276c94526e369cc1b1bc057f6b03c998f44e253f</x:v>
      </x:c>
      <x:c r="Q484" s="22" t="str">
        <x:v>=O186+P186+V186</x:v>
      </x:c>
    </x:row>
    <x:row r="485">
      <x:c r="A485" s="22" t="str">
        <x:v>직접자원단가</x:v>
      </x:c>
      <x:c r="B485" s="22" t="str">
        <x:v>43AE204010766031C22ED812F5123566991ED</x:v>
      </x:c>
      <x:c r="C485" s="25" t="str">
        <x:v>Stud Bolt Installer</x:v>
      </x:c>
      <x:c r="D485" s="25" t="str">
        <x:v>M22*180</x:v>
      </x:c>
      <x:c r="E485" s="22" t="str">
        <x:v>EA</x:v>
      </x:c>
      <x:c r="F485" s="34" t="n">
        <x:v>0.79</x:v>
      </x:c>
      <x:c r="G485" s="34" t="n">
        <x:v>0.19</x:v>
      </x:c>
      <x:c r="H485" s="34" t="n">
        <x:v>0.05</x:v>
      </x:c>
      <x:c r="I485" s="34" t="n">
        <x:f>SUM(F485:H485)</x:f>
        <x:v>1.03</x:v>
      </x:c>
      <x:c r="J485" s="22" t="str">
        <x:v>0.79</x:v>
      </x:c>
      <x:c r="K485" s="22" t="str"/>
      <x:c r="L485" s="22" t="str">
        <x:v>※$$$$$$$$$</x:v>
      </x:c>
      <x:c r="M485" s="22" t="str">
        <x:v>단가대비표</x:v>
      </x:c>
      <x:c r="N485" s="37" t="n">
        <x:v>187</x:v>
      </x:c>
      <x:c r="O4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5" s="22" t="str">
        <x:v>47d79c95e2c3273f84778935276c94526e369cc1b1bc057f6b03c998f44e253f</x:v>
      </x:c>
      <x:c r="Q485" s="22" t="str">
        <x:v>=O187+P187+V187</x:v>
      </x:c>
    </x:row>
    <x:row r="486">
      <x:c r="A486" s="22" t="str">
        <x:v>직접자원단가</x:v>
      </x:c>
      <x:c r="B486" s="22" t="str">
        <x:v>43AE204010766031C22ED812F5123566991E2</x:v>
      </x:c>
      <x:c r="C486" s="25" t="str">
        <x:v>Non Shrink Mortar</x:v>
      </x:c>
      <x:c r="D486" s="25" t="str">
        <x:v>590*590*30mm</x:v>
      </x:c>
      <x:c r="E486" s="22" t="str">
        <x:v>EA</x:v>
      </x:c>
      <x:c r="F486" s="34" t="n">
        <x:v>6.88</x:v>
      </x:c>
      <x:c r="G486" s="34" t="n">
        <x:v>22.65</x:v>
      </x:c>
      <x:c r="H486" s="34" t="n">
        <x:v>0</x:v>
      </x:c>
      <x:c r="I486" s="34" t="n">
        <x:f>SUM(F486:H486)</x:f>
        <x:v>29.529999999999998</x:v>
      </x:c>
      <x:c r="J486" s="22" t="str">
        <x:v>6.88</x:v>
      </x:c>
      <x:c r="K486" s="22" t="str"/>
      <x:c r="L486" s="22" t="str">
        <x:v>※$$$$$$$$$</x:v>
      </x:c>
      <x:c r="M486" s="22" t="str">
        <x:v>단가대비표</x:v>
      </x:c>
      <x:c r="N486" s="37" t="n">
        <x:v>188</x:v>
      </x:c>
      <x:c r="O4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6" s="22" t="str">
        <x:v>47d79c95e2c3273f84778935276c94526e369cc1b1bc057f6b03c998f44e253f</x:v>
      </x:c>
      <x:c r="Q486" s="22" t="str">
        <x:v>=O188+P188+V188</x:v>
      </x:c>
    </x:row>
    <x:row r="487">
      <x:c r="A487" s="22" t="str">
        <x:v>직접자원단가</x:v>
      </x:c>
      <x:c r="B487" s="22" t="str">
        <x:v>43AE204010766031C22ED812F5123566991E3</x:v>
      </x:c>
      <x:c r="C487" s="25" t="str">
        <x:v>Rust Resisting Paint</x:v>
      </x:c>
      <x:c r="D487" s="25" t="str">
        <x:v>Steel Structure Face</x:v>
      </x:c>
      <x:c r="E487" s="22" t="str">
        <x:v>M2</x:v>
      </x:c>
      <x:c r="F487" s="34" t="n">
        <x:v>1</x:v>
      </x:c>
      <x:c r="G487" s="34" t="n">
        <x:v>0.29</x:v>
      </x:c>
      <x:c r="H487" s="34" t="n">
        <x:v>0.03</x:v>
      </x:c>
      <x:c r="I487" s="34" t="n">
        <x:f>SUM(F487:H487)</x:f>
        <x:v>1.32</x:v>
      </x:c>
      <x:c r="J487" s="22" t="str">
        <x:v>1</x:v>
      </x:c>
      <x:c r="K487" s="22" t="str"/>
      <x:c r="L487" s="22" t="str">
        <x:v>※$$$$$$$$$</x:v>
      </x:c>
      <x:c r="M487" s="22" t="str">
        <x:v>단가대비표</x:v>
      </x:c>
      <x:c r="N487" s="37" t="n">
        <x:v>189</x:v>
      </x:c>
      <x:c r="O4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7" s="22" t="str">
        <x:v>47d79c95e2c3273f84778935276c94526e369cc1b1bc057f6b03c998f44e253f</x:v>
      </x:c>
      <x:c r="Q487" s="22" t="str">
        <x:v>=O189+P189+V189</x:v>
      </x:c>
    </x:row>
    <x:row r="488">
      <x:c r="A488" s="22" t="str">
        <x:v>직접자원단가</x:v>
      </x:c>
      <x:c r="B488" s="22" t="str">
        <x:v>43AE204010766031C22ED812F5123566990C4</x:v>
      </x:c>
      <x:c r="C488" s="25" t="str">
        <x:v>Ready Mixed Paint</x:v>
      </x:c>
      <x:c r="D488" s="25" t="str">
        <x:v>Steel Structure Face</x:v>
      </x:c>
      <x:c r="E488" s="22" t="str">
        <x:v>M2</x:v>
      </x:c>
      <x:c r="F488" s="34" t="n">
        <x:v>1</x:v>
      </x:c>
      <x:c r="G488" s="34" t="n">
        <x:v>0.58</x:v>
      </x:c>
      <x:c r="H488" s="34" t="n">
        <x:v>0.06</x:v>
      </x:c>
      <x:c r="I488" s="34" t="n">
        <x:f>SUM(F488:H488)</x:f>
        <x:v>1.6400000000000001</x:v>
      </x:c>
      <x:c r="J488" s="22" t="str">
        <x:v>1</x:v>
      </x:c>
      <x:c r="K488" s="22" t="str"/>
      <x:c r="L488" s="22" t="str">
        <x:v>※$$$$$$$$$</x:v>
      </x:c>
      <x:c r="M488" s="22" t="str">
        <x:v>단가대비표</x:v>
      </x:c>
      <x:c r="N488" s="37" t="n">
        <x:v>190</x:v>
      </x:c>
      <x:c r="O4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8" s="22" t="str">
        <x:v>47d79c95e2c3273f84778935276c94526e369cc1b1bc057f6b03c998f44e253f</x:v>
      </x:c>
      <x:c r="Q488" s="22" t="str">
        <x:v>=O190+P190+V190</x:v>
      </x:c>
    </x:row>
    <x:row r="489">
      <x:c r="A489" s="22" t="str">
        <x:v>직접자원단가</x:v>
      </x:c>
      <x:c r="B489" s="22" t="str">
        <x:v>43AE20401077096A02D64A3EA5CA41C1A6208</x:v>
      </x:c>
      <x:c r="C489" s="25" t="str">
        <x:v>에나멜페인트</x:v>
      </x:c>
      <x:c r="D489" s="25" t="str">
        <x:v>에나멜페인트, SB-EE-400, 에폭시수지, 에포마, 백색</x:v>
      </x:c>
      <x:c r="E489" s="22" t="str">
        <x:v>L</x:v>
      </x:c>
      <x:c r="F489" s="34" t="n">
        <x:v>8.2125268458861</x:v>
      </x:c>
      <x:c r="G489" s="34" t="n">
        <x:v>0</x:v>
      </x:c>
      <x:c r="H489" s="34" t="n">
        <x:v>0</x:v>
      </x:c>
      <x:c r="I489" s="34" t="n">
        <x:f>SUM(F489:H489)</x:f>
        <x:v>8.2125268458861</x:v>
      </x:c>
      <x:c r="J489" s="22" t="str">
        <x:v>8.2125268458861 | 8.2125268458861</x:v>
      </x:c>
      <x:c r="K489" s="22" t="str">
        <x:v>618 | 477</x:v>
      </x:c>
      <x:c r="L489" s="22" t="str"/>
      <x:c r="M489" s="22" t="str">
        <x:v>단가대비표</x:v>
      </x:c>
      <x:c r="N489" s="37" t="n">
        <x:v>191</x:v>
      </x:c>
      <x:c r="O4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89" s="22" t="str">
        <x:v>47d79c95e2c3273f84778935276c94526e369cc1b1bc057f6b03c998f44e253f</x:v>
      </x:c>
      <x:c r="Q489" s="22" t="str">
        <x:v>=O191+P191+V191</x:v>
      </x:c>
    </x:row>
    <x:row r="490">
      <x:c r="A490" s="22" t="str">
        <x:v>직접자원단가</x:v>
      </x:c>
      <x:c r="B490" s="22" t="str">
        <x:v>43AE20401077096A02D6774F6A42B4F78D630</x:v>
      </x:c>
      <x:c r="C490" s="25" t="str">
        <x:v>수성페인트</x:v>
      </x:c>
      <x:c r="D490" s="25" t="str">
        <x:v>수성페인트, KSM6010-2종1급, 백색</x:v>
      </x:c>
      <x:c r="E490" s="22" t="str">
        <x:v>L</x:v>
      </x:c>
      <x:c r="F490" s="34" t="n">
        <x:v>2.7534621935866106</x:v>
      </x:c>
      <x:c r="G490" s="34" t="n">
        <x:v>0</x:v>
      </x:c>
      <x:c r="H490" s="34" t="n">
        <x:v>0</x:v>
      </x:c>
      <x:c r="I490" s="34" t="n">
        <x:f>SUM(F490:H490)</x:f>
        <x:v>2.7534621935866106</x:v>
      </x:c>
      <x:c r="J490" s="22" t="str">
        <x:v>2.7534621935866106 | 4.57099977782715</x:v>
      </x:c>
      <x:c r="K490" s="22" t="str">
        <x:v>615</x:v>
      </x:c>
      <x:c r="L490" s="22" t="str"/>
      <x:c r="M490" s="22" t="str">
        <x:v>단가대비표</x:v>
      </x:c>
      <x:c r="N490" s="37" t="n">
        <x:v>192</x:v>
      </x:c>
      <x:c r="O4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0" s="22" t="str">
        <x:v>47d79c95e2c3273f84778935276c94526e369cc1b1bc057f6b03c998f44e253f</x:v>
      </x:c>
      <x:c r="Q490" s="22" t="str">
        <x:v>=O192+P192+V192</x:v>
      </x:c>
    </x:row>
    <x:row r="491">
      <x:c r="A491" s="22" t="str">
        <x:v>직접자원단가</x:v>
      </x:c>
      <x:c r="B491" s="22" t="str">
        <x:v>43AE20401077096A0240AAE0E2065CFC168E5</x:v>
      </x:c>
      <x:c r="C491" s="25" t="str">
        <x:v>방청페인트</x:v>
      </x:c>
      <x:c r="D491" s="25" t="str">
        <x:v>방청페인트, KSM6030-1종1류, 광명단페인트</x:v>
      </x:c>
      <x:c r="E491" s="22" t="str">
        <x:v>L</x:v>
      </x:c>
      <x:c r="F491" s="34" t="n">
        <x:v>6.7886121602606835</x:v>
      </x:c>
      <x:c r="G491" s="34" t="n">
        <x:v>0</x:v>
      </x:c>
      <x:c r="H491" s="34" t="n">
        <x:v>0</x:v>
      </x:c>
      <x:c r="I491" s="34" t="n">
        <x:f>SUM(F491:H491)</x:f>
        <x:v>6.7886121602606835</x:v>
      </x:c>
      <x:c r="J491" s="22" t="str">
        <x:v>8.94956676294157 | 6.7886121602606835</x:v>
      </x:c>
      <x:c r="K491" s="22" t="str">
        <x:v>615</x:v>
      </x:c>
      <x:c r="L491" s="22" t="str"/>
      <x:c r="M491" s="22" t="str">
        <x:v>단가대비표</x:v>
      </x:c>
      <x:c r="N491" s="37" t="n">
        <x:v>193</x:v>
      </x:c>
      <x:c r="O4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1" s="22" t="str">
        <x:v>47d79c95e2c3273f84778935276c94526e369cc1b1bc057f6b03c998f44e253f</x:v>
      </x:c>
      <x:c r="Q491" s="22" t="str">
        <x:v>=O193+P193+V193</x:v>
      </x:c>
    </x:row>
    <x:row r="492">
      <x:c r="A492" s="22" t="str">
        <x:v>직접자원단가</x:v>
      </x:c>
      <x:c r="B492" s="22" t="str">
        <x:v>43AE20401077096A0240AAE0E2065CFC168E4</x:v>
      </x:c>
      <x:c r="C492" s="25" t="str">
        <x:v>방청페인트</x:v>
      </x:c>
      <x:c r="D492" s="25" t="str">
        <x:v>방청페인트, KSM6030-1종2류, 광명단페인트</x:v>
      </x:c>
      <x:c r="E492" s="22" t="str">
        <x:v>L</x:v>
      </x:c>
      <x:c r="F492" s="34" t="n">
        <x:v>5.665777975264756</x:v>
      </x:c>
      <x:c r="G492" s="34" t="n">
        <x:v>0</x:v>
      </x:c>
      <x:c r="H492" s="34" t="n">
        <x:v>0</x:v>
      </x:c>
      <x:c r="I492" s="34" t="n">
        <x:f>SUM(F492:H492)</x:f>
        <x:v>5.665777975264756</x:v>
      </x:c>
      <x:c r="J492" s="22" t="str">
        <x:v>5.665777975264756</x:v>
      </x:c>
      <x:c r="K492" s="22" t="str"/>
      <x:c r="L492" s="22" t="str"/>
      <x:c r="M492" s="22" t="str">
        <x:v>단가대비표</x:v>
      </x:c>
      <x:c r="N492" s="37" t="n">
        <x:v>194</x:v>
      </x:c>
      <x:c r="O4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2" s="22" t="str">
        <x:v>47d79c95e2c3273f84778935276c94526e369cc1b1bc057f6b03c998f44e253f</x:v>
      </x:c>
      <x:c r="Q492" s="22" t="str">
        <x:v>=O194+P194+V194</x:v>
      </x:c>
    </x:row>
    <x:row r="493">
      <x:c r="A493" s="22" t="str">
        <x:v>직접자원단가</x:v>
      </x:c>
      <x:c r="B493" s="22" t="str">
        <x:v>43AE20401077096A0240E05C01B63FCC8C8E3</x:v>
      </x:c>
      <x:c r="C493" s="25" t="str">
        <x:v>조합페인트</x:v>
      </x:c>
      <x:c r="D493" s="25" t="str">
        <x:v>조합페인트, KSM6020-1종1급, 백색</x:v>
      </x:c>
      <x:c r="E493" s="22" t="str">
        <x:v>L</x:v>
      </x:c>
      <x:c r="F493" s="34" t="n">
        <x:v>4.770495445456566</x:v>
      </x:c>
      <x:c r="G493" s="34" t="n">
        <x:v>0</x:v>
      </x:c>
      <x:c r="H493" s="34" t="n">
        <x:v>0</x:v>
      </x:c>
      <x:c r="I493" s="34" t="n">
        <x:f>SUM(F493:H493)</x:f>
        <x:v>4.770495445456566</x:v>
      </x:c>
      <x:c r="J493" s="22" t="str">
        <x:v>4.770495445456566 | 8.59890765015182</x:v>
      </x:c>
      <x:c r="K493" s="22" t="str">
        <x:v>616</x:v>
      </x:c>
      <x:c r="L493" s="22" t="str"/>
      <x:c r="M493" s="22" t="str">
        <x:v>단가대비표</x:v>
      </x:c>
      <x:c r="N493" s="37" t="n">
        <x:v>195</x:v>
      </x:c>
      <x:c r="O4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3" s="22" t="str">
        <x:v>47d79c95e2c3273f84778935276c94526e369cc1b1bc057f6b03c998f44e253f</x:v>
      </x:c>
      <x:c r="Q493" s="22" t="str">
        <x:v>=O195+P195+V195</x:v>
      </x:c>
    </x:row>
    <x:row r="494">
      <x:c r="A494" s="22" t="str">
        <x:v>직접자원단가</x:v>
      </x:c>
      <x:c r="B494" s="22" t="str">
        <x:v>43AE204010770968420FB52D05F7FCA010733</x:v>
      </x:c>
      <x:c r="C494" s="25" t="str">
        <x:v>래커</x:v>
      </x:c>
      <x:c r="D494" s="25" t="str">
        <x:v>래커, SB-L33, #230래커, 투명</x:v>
      </x:c>
      <x:c r="E494" s="22" t="str">
        <x:v>L</x:v>
      </x:c>
      <x:c r="F494" s="34" t="n">
        <x:v>6.0144412352810495</x:v>
      </x:c>
      <x:c r="G494" s="34" t="n">
        <x:v>0</x:v>
      </x:c>
      <x:c r="H494" s="34" t="n">
        <x:v>0</x:v>
      </x:c>
      <x:c r="I494" s="34" t="n">
        <x:f>SUM(F494:H494)</x:f>
        <x:v>6.0144412352810495</x:v>
      </x:c>
      <x:c r="J494" s="22" t="str">
        <x:v>6.0144412352810495</x:v>
      </x:c>
      <x:c r="K494" s="22" t="str">
        <x:v>621</x:v>
      </x:c>
      <x:c r="L494" s="22" t="str"/>
      <x:c r="M494" s="22" t="str">
        <x:v>단가대비표</x:v>
      </x:c>
      <x:c r="N494" s="37" t="n">
        <x:v>196</x:v>
      </x:c>
      <x:c r="O4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4" s="22" t="str">
        <x:v>47d79c95e2c3273f84778935276c94526e369cc1b1bc057f6b03c998f44e253f</x:v>
      </x:c>
      <x:c r="Q494" s="22" t="str">
        <x:v>=O196+P196+V196</x:v>
      </x:c>
    </x:row>
    <x:row r="495">
      <x:c r="A495" s="22" t="str">
        <x:v>직접자원단가</x:v>
      </x:c>
      <x:c r="B495" s="22" t="str">
        <x:v>43AE204010770968420FC78D337DF7587493F</x:v>
      </x:c>
      <x:c r="C495" s="25" t="str">
        <x:v>실링재</x:v>
      </x:c>
      <x:c r="D495" s="25" t="str">
        <x:v>실링재, 실리콘, 비초산, 유리용, 창호주위</x:v>
      </x:c>
      <x:c r="E495" s="22" t="str">
        <x:v>L</x:v>
      </x:c>
      <x:c r="F495" s="34" t="n">
        <x:v>10.413463674738948</x:v>
      </x:c>
      <x:c r="G495" s="34" t="n">
        <x:v>0</x:v>
      </x:c>
      <x:c r="H495" s="34" t="n">
        <x:v>0</x:v>
      </x:c>
      <x:c r="I495" s="34" t="n">
        <x:f>SUM(F495:H495)</x:f>
        <x:v>10.413463674738948</x:v>
      </x:c>
      <x:c r="J495" s="22" t="str">
        <x:v>10.413463674738948 | 15.070725024068727</x:v>
      </x:c>
      <x:c r="K495" s="22" t="str">
        <x:v>607</x:v>
      </x:c>
      <x:c r="L495" s="22" t="str"/>
      <x:c r="M495" s="22" t="str">
        <x:v>단가대비표</x:v>
      </x:c>
      <x:c r="N495" s="37" t="n">
        <x:v>197</x:v>
      </x:c>
      <x:c r="O4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5" s="22" t="str">
        <x:v>47d79c95e2c3273f84778935276c94526e369cc1b1bc057f6b03c998f44e253f</x:v>
      </x:c>
      <x:c r="Q495" s="22" t="str">
        <x:v>=O197+P197+V197</x:v>
      </x:c>
    </x:row>
    <x:row r="496">
      <x:c r="A496" s="22" t="str">
        <x:v>직접자원단가</x:v>
      </x:c>
      <x:c r="B496" s="22" t="str">
        <x:v>43AE204010770968420FC78D337DF75874931</x:v>
      </x:c>
      <x:c r="C496" s="25" t="str">
        <x:v>실링재</x:v>
      </x:c>
      <x:c r="D496" s="25" t="str">
        <x:v>실링재, 실리콘, 비초산, 구조용</x:v>
      </x:c>
      <x:c r="E496" s="22" t="str">
        <x:v>L</x:v>
      </x:c>
      <x:c r="F496" s="34" t="n">
        <x:v>17.278382581648525</x:v>
      </x:c>
      <x:c r="G496" s="34" t="n">
        <x:v>0</x:v>
      </x:c>
      <x:c r="H496" s="34" t="n">
        <x:v>0</x:v>
      </x:c>
      <x:c r="I496" s="34" t="n">
        <x:f>SUM(F496:H496)</x:f>
        <x:v>17.278382581648525</x:v>
      </x:c>
      <x:c r="J496" s="22" t="str">
        <x:v>19.462415759460864 | 17.278382581648525</x:v>
      </x:c>
      <x:c r="K496" s="22" t="str">
        <x:v>607</x:v>
      </x:c>
      <x:c r="L496" s="22" t="str"/>
      <x:c r="M496" s="22" t="str">
        <x:v>단가대비표</x:v>
      </x:c>
      <x:c r="N496" s="37" t="n">
        <x:v>198</x:v>
      </x:c>
      <x:c r="O4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6" s="22" t="str">
        <x:v>47d79c95e2c3273f84778935276c94526e369cc1b1bc057f6b03c998f44e253f</x:v>
      </x:c>
      <x:c r="Q496" s="22" t="str">
        <x:v>=O198+P198+V198</x:v>
      </x:c>
    </x:row>
    <x:row r="497">
      <x:c r="A497" s="22" t="str">
        <x:v>직접자원단가</x:v>
      </x:c>
      <x:c r="B497" s="22" t="str">
        <x:v>43AE204010770968420FC78D337DF75874EBA</x:v>
      </x:c>
      <x:c r="C497" s="25" t="str">
        <x:v>실링재</x:v>
      </x:c>
      <x:c r="D497" s="25" t="str">
        <x:v>실링재, 실리콘, 비초산, 방균용</x:v>
      </x:c>
      <x:c r="E497" s="22" t="str">
        <x:v>L</x:v>
      </x:c>
      <x:c r="F497" s="34" t="n">
        <x:v>13.463452566096425</x:v>
      </x:c>
      <x:c r="G497" s="34" t="n">
        <x:v>0</x:v>
      </x:c>
      <x:c r="H497" s="34" t="n">
        <x:v>0</x:v>
      </x:c>
      <x:c r="I497" s="34" t="n">
        <x:f>SUM(F497:H497)</x:f>
        <x:v>13.463452566096425</x:v>
      </x:c>
      <x:c r="J497" s="22" t="str">
        <x:v>13.463452566096425 | 15.070725024068727</x:v>
      </x:c>
      <x:c r="K497" s="22" t="str">
        <x:v>607</x:v>
      </x:c>
      <x:c r="L497" s="22" t="str"/>
      <x:c r="M497" s="22" t="str">
        <x:v>단가대비표</x:v>
      </x:c>
      <x:c r="N497" s="37" t="n">
        <x:v>199</x:v>
      </x:c>
      <x:c r="O4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7" s="22" t="str">
        <x:v>47d79c95e2c3273f84778935276c94526e369cc1b1bc057f6b03c998f44e253f</x:v>
      </x:c>
      <x:c r="Q497" s="22" t="str">
        <x:v>=O199+P199+V199</x:v>
      </x:c>
    </x:row>
    <x:row r="498">
      <x:c r="A498" s="22" t="str">
        <x:v>직접자원단가</x:v>
      </x:c>
      <x:c r="B498" s="22" t="str">
        <x:v>43AE204010770968420FC78D337DF75874F40</x:v>
      </x:c>
      <x:c r="C498" s="25" t="str">
        <x:v>실링재</x:v>
      </x:c>
      <x:c r="D498" s="25" t="str">
        <x:v>실링재, 폴리우레탄</x:v>
      </x:c>
      <x:c r="E498" s="22" t="str">
        <x:v>L</x:v>
      </x:c>
      <x:c r="F498" s="34" t="n">
        <x:v>4.786788121158262</x:v>
      </x:c>
      <x:c r="G498" s="34" t="n">
        <x:v>0</x:v>
      </x:c>
      <x:c r="H498" s="34" t="n">
        <x:v>0</x:v>
      </x:c>
      <x:c r="I498" s="34" t="n">
        <x:f>SUM(F498:H498)</x:f>
        <x:v>4.786788121158262</x:v>
      </x:c>
      <x:c r="J498" s="22" t="str">
        <x:v>4.786788121158262 | 5.429534177590166</x:v>
      </x:c>
      <x:c r="K498" s="22" t="str">
        <x:v>607</x:v>
      </x:c>
      <x:c r="L498" s="22" t="str"/>
      <x:c r="M498" s="22" t="str">
        <x:v>단가대비표</x:v>
      </x:c>
      <x:c r="N498" s="37" t="n">
        <x:v>200</x:v>
      </x:c>
      <x:c r="O4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8" s="22" t="str">
        <x:v>47d79c95e2c3273f84778935276c94526e369cc1b1bc057f6b03c998f44e253f</x:v>
      </x:c>
      <x:c r="Q498" s="22" t="str">
        <x:v>=O200+P200+V200</x:v>
      </x:c>
    </x:row>
    <x:row r="499">
      <x:c r="A499" s="22" t="str">
        <x:v>직접자원단가</x:v>
      </x:c>
      <x:c r="B499" s="22" t="str">
        <x:v>43AE204010770967B292558DC46C194195554</x:v>
      </x:c>
      <x:c r="C499" s="25" t="str">
        <x:v>시너</x:v>
      </x:c>
      <x:c r="D499" s="25" t="str">
        <x:v>시너, KSM6060, 1종</x:v>
      </x:c>
      <x:c r="E499" s="22" t="str">
        <x:v>L</x:v>
      </x:c>
      <x:c r="F499" s="34" t="n">
        <x:v>2.846688883951715</x:v>
      </x:c>
      <x:c r="G499" s="34" t="n">
        <x:v>0</x:v>
      </x:c>
      <x:c r="H499" s="34" t="n">
        <x:v>0</x:v>
      </x:c>
      <x:c r="I499" s="34" t="n">
        <x:f>SUM(F499:H499)</x:f>
        <x:v>2.846688883951715</x:v>
      </x:c>
      <x:c r="J499" s="22" t="str">
        <x:v>2.846688883951715 | 3.032246167518329</x:v>
      </x:c>
      <x:c r="K499" s="22" t="str">
        <x:v>615 | 466</x:v>
      </x:c>
      <x:c r="L499" s="22" t="str"/>
      <x:c r="M499" s="22" t="str">
        <x:v>단가대비표</x:v>
      </x:c>
      <x:c r="N499" s="37" t="n">
        <x:v>201</x:v>
      </x:c>
      <x:c r="O4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499" s="22" t="str">
        <x:v>47d79c95e2c3273f84778935276c94526e369cc1b1bc057f6b03c998f44e253f</x:v>
      </x:c>
      <x:c r="Q499" s="22" t="str">
        <x:v>=O201+P201+V201</x:v>
      </x:c>
    </x:row>
    <x:row r="500">
      <x:c r="A500" s="22" t="str">
        <x:v>직접자원단가</x:v>
      </x:c>
      <x:c r="B500" s="22" t="str">
        <x:v>43AE204010770967B292558DC46C194195555</x:v>
      </x:c>
      <x:c r="C500" s="25" t="str">
        <x:v>시너</x:v>
      </x:c>
      <x:c r="D500" s="25" t="str">
        <x:v>시너, KSM6060, 2종</x:v>
      </x:c>
      <x:c r="E500" s="22" t="str">
        <x:v>L</x:v>
      </x:c>
      <x:c r="F500" s="34" t="n">
        <x:v>2.9191016811079025</x:v>
      </x:c>
      <x:c r="G500" s="34" t="n">
        <x:v>0</x:v>
      </x:c>
      <x:c r="H500" s="34" t="n">
        <x:v>0</x:v>
      </x:c>
      <x:c r="I500" s="34" t="n">
        <x:f>SUM(F500:H500)</x:f>
        <x:v>2.9191016811079025</x:v>
      </x:c>
      <x:c r="J500" s="22" t="str">
        <x:v>2.9191016811079025 | 3.1680130341405617</x:v>
      </x:c>
      <x:c r="K500" s="22" t="str">
        <x:v>615 | 466</x:v>
      </x:c>
      <x:c r="L500" s="22" t="str"/>
      <x:c r="M500" s="22" t="str">
        <x:v>단가대비표</x:v>
      </x:c>
      <x:c r="N500" s="37" t="n">
        <x:v>202</x:v>
      </x:c>
      <x:c r="O5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0" s="22" t="str">
        <x:v>47d79c95e2c3273f84778935276c94526e369cc1b1bc057f6b03c998f44e253f</x:v>
      </x:c>
      <x:c r="Q500" s="22" t="str">
        <x:v>=O202+P202+V202</x:v>
      </x:c>
    </x:row>
    <x:row r="501">
      <x:c r="A501" s="22" t="str">
        <x:v>직접자원단가</x:v>
      </x:c>
      <x:c r="B501" s="22" t="str">
        <x:v>43DB25488771DFA68239840A63B698C227053</x:v>
      </x:c>
      <x:c r="C501" s="25" t="str">
        <x:v>아연도각관</x:v>
      </x:c>
      <x:c r="D501" s="25" t="str">
        <x:v>30*30*t1.6mm, 1.380kg/m</x:v>
      </x:c>
      <x:c r="E501" s="22" t="str">
        <x:v>M</x:v>
      </x:c>
      <x:c r="F501" s="34" t="n">
        <x:v>1.5233651781085686</x:v>
      </x:c>
      <x:c r="G501" s="34" t="n">
        <x:v>0</x:v>
      </x:c>
      <x:c r="H501" s="34" t="n">
        <x:v>0</x:v>
      </x:c>
      <x:c r="I501" s="34" t="n">
        <x:f>SUM(F501:H501)</x:f>
        <x:v>1.5233651781085686</x:v>
      </x:c>
      <x:c r="J501" s="22" t="str">
        <x:v>1.5233651781085686</x:v>
      </x:c>
      <x:c r="K501" s="22" t="str">
        <x:v>71</x:v>
      </x:c>
      <x:c r="L501" s="22" t="str"/>
      <x:c r="M501" s="22" t="str">
        <x:v>단가대비표</x:v>
      </x:c>
      <x:c r="N501" s="37" t="n">
        <x:v>203</x:v>
      </x:c>
      <x:c r="O5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1" s="22" t="str">
        <x:v>47d79c95e2c3273f84778935276c94526e369cc1b1bc057f6b03c998f44e253f</x:v>
      </x:c>
      <x:c r="Q501" s="22" t="str">
        <x:v>=O203+P203+V203</x:v>
      </x:c>
    </x:row>
    <x:row r="502">
      <x:c r="A502" s="22" t="str">
        <x:v>직접자원단가</x:v>
      </x:c>
      <x:c r="B502" s="22" t="str">
        <x:v>43DB25488771DFA68239840A63B698C2152AE</x:v>
      </x:c>
      <x:c r="C502" s="25" t="str">
        <x:v>아연도각관</x:v>
      </x:c>
      <x:c r="D502" s="25" t="str">
        <x:v>40*40*t2.3mm, 2.616kg/m</x:v>
      </x:c>
      <x:c r="E502" s="22" t="str">
        <x:v>M</x:v>
      </x:c>
      <x:c r="F502" s="34" t="n">
        <x:v>2.8023402206916983</x:v>
      </x:c>
      <x:c r="G502" s="34" t="n">
        <x:v>0</x:v>
      </x:c>
      <x:c r="H502" s="34" t="n">
        <x:v>0</x:v>
      </x:c>
      <x:c r="I502" s="34" t="n">
        <x:f>SUM(F502:H502)</x:f>
        <x:v>2.8023402206916983</x:v>
      </x:c>
      <x:c r="J502" s="22" t="str">
        <x:v>2.8023402206916983</x:v>
      </x:c>
      <x:c r="K502" s="22" t="str">
        <x:v>71</x:v>
      </x:c>
      <x:c r="L502" s="22" t="str"/>
      <x:c r="M502" s="22" t="str">
        <x:v>단가대비표</x:v>
      </x:c>
      <x:c r="N502" s="37" t="n">
        <x:v>204</x:v>
      </x:c>
      <x:c r="O5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2" s="22" t="str">
        <x:v>47d79c95e2c3273f84778935276c94526e369cc1b1bc057f6b03c998f44e253f</x:v>
      </x:c>
      <x:c r="Q502" s="22" t="str">
        <x:v>=O204+P204+V204</x:v>
      </x:c>
    </x:row>
    <x:row r="503">
      <x:c r="A503" s="22" t="str">
        <x:v>직접자원단가</x:v>
      </x:c>
      <x:c r="B503" s="22" t="str">
        <x:v>43DB25488771DFA6823996B29215D22883267</x:v>
      </x:c>
      <x:c r="C503" s="25" t="str">
        <x:v>일반구조용각형강관</x:v>
      </x:c>
      <x:c r="D503" s="25" t="str">
        <x:v>일반구조용각형강관, 각형강관, 40*40*1.4mm</x:v>
      </x:c>
      <x:c r="E503" s="22" t="str">
        <x:v>M</x:v>
      </x:c>
      <x:c r="F503" s="34" t="n">
        <x:v>1.7677553136340076</x:v>
      </x:c>
      <x:c r="G503" s="34" t="n">
        <x:v>0</x:v>
      </x:c>
      <x:c r="H503" s="34" t="n">
        <x:v>0</x:v>
      </x:c>
      <x:c r="I503" s="34" t="n">
        <x:f>SUM(F503:H503)</x:f>
        <x:v>1.7677553136340076</x:v>
      </x:c>
      <x:c r="J503" s="22" t="str">
        <x:v>1.7677553136340076 | 2.7534621935866106</x:v>
      </x:c>
      <x:c r="K503" s="22" t="str">
        <x:v>34</x:v>
      </x:c>
      <x:c r="L503" s="22" t="str"/>
      <x:c r="M503" s="22" t="str">
        <x:v>단가대비표</x:v>
      </x:c>
      <x:c r="N503" s="37" t="n">
        <x:v>205</x:v>
      </x:c>
      <x:c r="O5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3" s="22" t="str">
        <x:v>47d79c95e2c3273f84778935276c94526e369cc1b1bc057f6b03c998f44e253f</x:v>
      </x:c>
      <x:c r="Q503" s="22" t="str">
        <x:v>=O205+P205+V205</x:v>
      </x:c>
    </x:row>
    <x:row r="504">
      <x:c r="A504" s="22" t="str">
        <x:v>직접자원단가</x:v>
      </x:c>
      <x:c r="B504" s="22" t="str">
        <x:v>43DB25488771DFA6823996B2811091E70F15D</x:v>
      </x:c>
      <x:c r="C504" s="25" t="str">
        <x:v>The Square Steel Pipe For The Construction Structure</x:v>
      </x:c>
      <x:c r="D504" s="25" t="str">
        <x:v>100*100*4.5mm(13.49kg)</x:v>
      </x:c>
      <x:c r="E504" s="22" t="str">
        <x:v>M</x:v>
      </x:c>
      <x:c r="F504" s="34" t="n">
        <x:v>11.364141301932904</x:v>
      </x:c>
      <x:c r="G504" s="34" t="n">
        <x:v>0</x:v>
      </x:c>
      <x:c r="H504" s="34" t="n">
        <x:v>0</x:v>
      </x:c>
      <x:c r="I504" s="34" t="n">
        <x:f>SUM(F504:H504)</x:f>
        <x:v>11.364141301932904</x:v>
      </x:c>
      <x:c r="J504" s="22" t="str">
        <x:v>11.364141301932904</x:v>
      </x:c>
      <x:c r="K504" s="22" t="str"/>
      <x:c r="L504" s="22" t="str"/>
      <x:c r="M504" s="22" t="str">
        <x:v>단가대비표</x:v>
      </x:c>
      <x:c r="N504" s="37" t="n">
        <x:v>206</x:v>
      </x:c>
      <x:c r="O5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4" s="22" t="str">
        <x:v>47d79c95e2c3273f84778935276c94526e369cc1b1bc057f6b03c998f44e253f</x:v>
      </x:c>
      <x:c r="Q504" s="22" t="str">
        <x:v>=O206+P206+V206</x:v>
      </x:c>
    </x:row>
    <x:row r="505">
      <x:c r="A505" s="22" t="str">
        <x:v>직접자원단가</x:v>
      </x:c>
      <x:c r="B505" s="22" t="str">
        <x:v>43DB25488771DFA6823996B2811091E70F15C</x:v>
      </x:c>
      <x:c r="C505" s="25" t="str">
        <x:v>The Square Steel Pipe For The Construction Structure</x:v>
      </x:c>
      <x:c r="D505" s="25" t="str">
        <x:v>120*50*2.3mm(5.97kg)</x:v>
      </x:c>
      <x:c r="E505" s="22" t="str">
        <x:v>M</x:v>
      </x:c>
      <x:c r="F505" s="34" t="n">
        <x:v>5.620973117085093</x:v>
      </x:c>
      <x:c r="G505" s="34" t="n">
        <x:v>0</x:v>
      </x:c>
      <x:c r="H505" s="34" t="n">
        <x:v>0</x:v>
      </x:c>
      <x:c r="I505" s="34" t="n">
        <x:f>SUM(F505:H505)</x:f>
        <x:v>5.620973117085093</x:v>
      </x:c>
      <x:c r="J505" s="22" t="str">
        <x:v>5.620973117085093</x:v>
      </x:c>
      <x:c r="K505" s="22" t="str"/>
      <x:c r="L505" s="22" t="str"/>
      <x:c r="M505" s="22" t="str">
        <x:v>단가대비표</x:v>
      </x:c>
      <x:c r="N505" s="37" t="n">
        <x:v>207</x:v>
      </x:c>
      <x:c r="O5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5" s="22" t="str">
        <x:v>47d79c95e2c3273f84778935276c94526e369cc1b1bc057f6b03c998f44e253f</x:v>
      </x:c>
      <x:c r="Q505" s="22" t="str">
        <x:v>=O207+P207+V207</x:v>
      </x:c>
    </x:row>
    <x:row r="506">
      <x:c r="A506" s="22" t="str">
        <x:v>직접자원단가</x:v>
      </x:c>
      <x:c r="B506" s="22" t="str">
        <x:v>43DB25488771DFA68239696A4BCCD7EE7D084</x:v>
      </x:c>
      <x:c r="C506" s="25" t="str">
        <x:v>기계구조용스테인리스강관</x:v>
      </x:c>
      <x:c r="D506" s="25" t="str">
        <x:v>기계구조용스테인리스강관, ∮22.3*2.0mm</x:v>
      </x:c>
      <x:c r="E506" s="22" t="str">
        <x:v>M</x:v>
      </x:c>
      <x:c r="F506" s="34" t="n">
        <x:v>4.863363696956232</x:v>
      </x:c>
      <x:c r="G506" s="34" t="n">
        <x:v>0</x:v>
      </x:c>
      <x:c r="H506" s="34" t="n">
        <x:v>0</x:v>
      </x:c>
      <x:c r="I506" s="34" t="n">
        <x:f>SUM(F506:H506)</x:f>
        <x:v>4.863363696956232</x:v>
      </x:c>
      <x:c r="J506" s="22" t="str">
        <x:v>4.863363696956232 | 5.050729467525735 | 7.657557579797083</x:v>
      </x:c>
      <x:c r="K506" s="22" t="str">
        <x:v>77 | 38</x:v>
      </x:c>
      <x:c r="L506" s="22" t="str"/>
      <x:c r="M506" s="22" t="str">
        <x:v>단가대비표</x:v>
      </x:c>
      <x:c r="N506" s="37" t="n">
        <x:v>208</x:v>
      </x:c>
      <x:c r="O5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6" s="22" t="str">
        <x:v>47d79c95e2c3273f84778935276c94526e369cc1b1bc057f6b03c998f44e253f</x:v>
      </x:c>
      <x:c r="Q506" s="22" t="str">
        <x:v>=O208+P208+V208</x:v>
      </x:c>
    </x:row>
    <x:row r="507">
      <x:c r="A507" s="22" t="str">
        <x:v>직접자원단가</x:v>
      </x:c>
      <x:c r="B507" s="22" t="str">
        <x:v>43DB25488771DFA68239696A4BCCD7EE7D1A9</x:v>
      </x:c>
      <x:c r="C507" s="25" t="str">
        <x:v>기계구조용스테인리스강관</x:v>
      </x:c>
      <x:c r="D507" s="25" t="str">
        <x:v>기계구조용스테인리스강관, ∮25.4*1.2mm</x:v>
      </x:c>
      <x:c r="E507" s="22" t="str">
        <x:v>M</x:v>
      </x:c>
      <x:c r="F507" s="34" t="n">
        <x:v>3.31555950529512</x:v>
      </x:c>
      <x:c r="G507" s="34" t="n">
        <x:v>0</x:v>
      </x:c>
      <x:c r="H507" s="34" t="n">
        <x:v>0</x:v>
      </x:c>
      <x:c r="I507" s="34" t="n">
        <x:f>SUM(F507:H507)</x:f>
        <x:v>3.31555950529512</x:v>
      </x:c>
      <x:c r="J507" s="22" t="str">
        <x:v>3.31555950529512 | 3.445900910908687 | 5.0914611567799755</x:v>
      </x:c>
      <x:c r="K507" s="22" t="str">
        <x:v>77 | 38</x:v>
      </x:c>
      <x:c r="L507" s="22" t="str"/>
      <x:c r="M507" s="22" t="str">
        <x:v>단가대비표</x:v>
      </x:c>
      <x:c r="N507" s="37" t="n">
        <x:v>209</x:v>
      </x:c>
      <x:c r="O5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7" s="22" t="str">
        <x:v>47d79c95e2c3273f84778935276c94526e369cc1b1bc057f6b03c998f44e253f</x:v>
      </x:c>
      <x:c r="Q507" s="22" t="str">
        <x:v>=O209+P209+V209</x:v>
      </x:c>
    </x:row>
    <x:row r="508">
      <x:c r="A508" s="22" t="str">
        <x:v>직접자원단가</x:v>
      </x:c>
      <x:c r="B508" s="22" t="str">
        <x:v>43DB25488771DFA68239696A4BCCD7EE8FD34</x:v>
      </x:c>
      <x:c r="C508" s="25" t="str">
        <x:v>기계구조용스테인리스강관</x:v>
      </x:c>
      <x:c r="D508" s="25" t="str">
        <x:v>기계구조용스테인리스강관, ∮50.8*1.5mm</x:v>
      </x:c>
      <x:c r="E508" s="22" t="str">
        <x:v>M</x:v>
      </x:c>
      <x:c r="F508" s="34" t="n">
        <x:v>8.292971932163224</x:v>
      </x:c>
      <x:c r="G508" s="34" t="n">
        <x:v>0</x:v>
      </x:c>
      <x:c r="H508" s="34" t="n">
        <x:v>0</x:v>
      </x:c>
      <x:c r="I508" s="34" t="n">
        <x:f>SUM(F508:H508)</x:f>
        <x:v>8.292971932163224</x:v>
      </x:c>
      <x:c r="J508" s="22" t="str">
        <x:v>8.292971932163224 | 8.610679108346295 | 13.001555209953345</x:v>
      </x:c>
      <x:c r="K508" s="22" t="str">
        <x:v>77 | 38</x:v>
      </x:c>
      <x:c r="L508" s="22" t="str"/>
      <x:c r="M508" s="22" t="str">
        <x:v>단가대비표</x:v>
      </x:c>
      <x:c r="N508" s="37" t="n">
        <x:v>210</x:v>
      </x:c>
      <x:c r="O5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8" s="22" t="str">
        <x:v>47d79c95e2c3273f84778935276c94526e369cc1b1bc057f6b03c998f44e253f</x:v>
      </x:c>
      <x:c r="Q508" s="22" t="str">
        <x:v>=O210+P210+V210</x:v>
      </x:c>
    </x:row>
    <x:row r="509">
      <x:c r="A509" s="22" t="str">
        <x:v>직접자원단가</x:v>
      </x:c>
      <x:c r="B509" s="22" t="str">
        <x:v>43DB25488771DFA68239696A4BCCD7EE8FB00</x:v>
      </x:c>
      <x:c r="C509" s="25" t="str">
        <x:v>기계구조용스테인리스강관</x:v>
      </x:c>
      <x:c r="D509" s="25" t="str">
        <x:v>기계구조용스테인리스강관, ∮101.6*1.2mm</x:v>
      </x:c>
      <x:c r="E509" s="22" t="str">
        <x:v>M</x:v>
      </x:c>
      <x:c r="F509" s="34" t="n">
        <x:v>13.628823224468638</x:v>
      </x:c>
      <x:c r="G509" s="34" t="n">
        <x:v>0</x:v>
      </x:c>
      <x:c r="H509" s="34" t="n">
        <x:v>0</x:v>
      </x:c>
      <x:c r="I509" s="34" t="n">
        <x:f>SUM(F509:H509)</x:f>
        <x:v>13.628823224468638</x:v>
      </x:c>
      <x:c r="J509" s="22" t="str">
        <x:v>13.628823224468638 | 14.142042509072061 | 21.367844182774203</x:v>
      </x:c>
      <x:c r="K509" s="22" t="str">
        <x:v>78 | 38</x:v>
      </x:c>
      <x:c r="L509" s="22" t="str"/>
      <x:c r="M509" s="22" t="str">
        <x:v>단가대비표</x:v>
      </x:c>
      <x:c r="N509" s="37" t="n">
        <x:v>211</x:v>
      </x:c>
      <x:c r="O5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09" s="22" t="str">
        <x:v>47d79c95e2c3273f84778935276c94526e369cc1b1bc057f6b03c998f44e253f</x:v>
      </x:c>
      <x:c r="Q509" s="22" t="str">
        <x:v>=O211+P211+V211</x:v>
      </x:c>
    </x:row>
    <x:row r="510">
      <x:c r="A510" s="22" t="str">
        <x:v>직접자원단가</x:v>
      </x:c>
      <x:c r="B510" s="22" t="str">
        <x:v>43DB25488771DFA68239696A4BCCD7EE8F7A2</x:v>
      </x:c>
      <x:c r="C510" s="25" t="str">
        <x:v>기계구조용스테인리스강관</x:v>
      </x:c>
      <x:c r="D510" s="25" t="str">
        <x:v>기계구조용스테인리스강관, 사각관, 40*40*2.0mm</x:v>
      </x:c>
      <x:c r="E510" s="22" t="str">
        <x:v>M</x:v>
      </x:c>
      <x:c r="F510" s="34" t="n">
        <x:v>11.90179960008887</x:v>
      </x:c>
      <x:c r="G510" s="34" t="n">
        <x:v>0</x:v>
      </x:c>
      <x:c r="H510" s="34" t="n">
        <x:v>0</x:v>
      </x:c>
      <x:c r="I510" s="34" t="n">
        <x:f>SUM(F510:H510)</x:f>
        <x:v>11.90179960008887</x:v>
      </x:c>
      <x:c r="J510" s="22" t="str">
        <x:v>11.90179960008887</x:v>
      </x:c>
      <x:c r="K510" s="22" t="str">
        <x:v>76</x:v>
      </x:c>
      <x:c r="L510" s="22" t="str"/>
      <x:c r="M510" s="22" t="str">
        <x:v>단가대비표</x:v>
      </x:c>
      <x:c r="N510" s="37" t="n">
        <x:v>212</x:v>
      </x:c>
      <x:c r="O5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0" s="22" t="str">
        <x:v>47d79c95e2c3273f84778935276c94526e369cc1b1bc057f6b03c998f44e253f</x:v>
      </x:c>
      <x:c r="Q510" s="22" t="str">
        <x:v>=O212+P212+V212</x:v>
      </x:c>
    </x:row>
    <x:row r="511">
      <x:c r="A511" s="22" t="str">
        <x:v>직접자원단가</x:v>
      </x:c>
      <x:c r="B511" s="22" t="str">
        <x:v>43DB25488771DFA68239696A54BD13B633145</x:v>
      </x:c>
      <x:c r="C511" s="25" t="str">
        <x:v>기계구조용스테인리스강관</x:v>
      </x:c>
      <x:c r="D511" s="25" t="str">
        <x:v>기계구조용스테인리스강관, ∮38.1*1.5mm</x:v>
      </x:c>
      <x:c r="E511" s="22" t="str">
        <x:v>M</x:v>
      </x:c>
      <x:c r="F511" s="34" t="n">
        <x:v>5.702436495593573</x:v>
      </x:c>
      <x:c r="G511" s="34" t="n">
        <x:v>0</x:v>
      </x:c>
      <x:c r="H511" s="34" t="n">
        <x:v>0</x:v>
      </x:c>
      <x:c r="I511" s="34" t="n">
        <x:f>SUM(F511:H511)</x:f>
        <x:v>5.702436495593573</x:v>
      </x:c>
      <x:c r="J511" s="22" t="str">
        <x:v>5.702436495593573 | 9.71043471821077</x:v>
      </x:c>
      <x:c r="K511" s="22" t="str">
        <x:v>77 | 38</x:v>
      </x:c>
      <x:c r="L511" s="22" t="str"/>
      <x:c r="M511" s="22" t="str">
        <x:v>단가대비표</x:v>
      </x:c>
      <x:c r="N511" s="37" t="n">
        <x:v>213</x:v>
      </x:c>
      <x:c r="O5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1" s="22" t="str">
        <x:v>47d79c95e2c3273f84778935276c94526e369cc1b1bc057f6b03c998f44e253f</x:v>
      </x:c>
      <x:c r="Q511" s="22" t="str">
        <x:v>=O213+P213+V213</x:v>
      </x:c>
    </x:row>
    <x:row r="512">
      <x:c r="A512" s="22" t="str">
        <x:v>직접자원단가</x:v>
      </x:c>
      <x:c r="B512" s="22" t="str">
        <x:v>43DB25488771DFA68239696A54BD13B633146</x:v>
      </x:c>
      <x:c r="C512" s="25" t="str">
        <x:v>기계구조용스테인리스강관</x:v>
      </x:c>
      <x:c r="D512" s="25" t="str">
        <x:v>기계구조용스테인리스강관, ∮38.1*2.0mm</x:v>
      </x:c>
      <x:c r="E512" s="22" t="str">
        <x:v>M</x:v>
      </x:c>
      <x:c r="F512" s="34" t="n">
        <x:v>6.997704213878397</x:v>
      </x:c>
      <x:c r="G512" s="34" t="n">
        <x:v>0</x:v>
      </x:c>
      <x:c r="H512" s="34" t="n">
        <x:v>0</x:v>
      </x:c>
      <x:c r="I512" s="34" t="n">
        <x:f>SUM(F512:H512)</x:f>
        <x:v>6.997704213878397</x:v>
      </x:c>
      <x:c r="J512" s="22" t="str">
        <x:v>6.997704213878397 | 12.594238317410946</x:v>
      </x:c>
      <x:c r="K512" s="22" t="str">
        <x:v>77 | 38</x:v>
      </x:c>
      <x:c r="L512" s="22" t="str"/>
      <x:c r="M512" s="22" t="str">
        <x:v>단가대비표</x:v>
      </x:c>
      <x:c r="N512" s="37" t="n">
        <x:v>214</x:v>
      </x:c>
      <x:c r="O5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2" s="22" t="str">
        <x:v>47d79c95e2c3273f84778935276c94526e369cc1b1bc057f6b03c998f44e253f</x:v>
      </x:c>
      <x:c r="Q512" s="22" t="str">
        <x:v>=O214+P214+V214</x:v>
      </x:c>
    </x:row>
    <x:row r="513">
      <x:c r="A513" s="22" t="str">
        <x:v>직접자원단가</x:v>
      </x:c>
      <x:c r="B513" s="22" t="str">
        <x:v>43DB2243517C0218D2716FB0CBF14E13DCF52</x:v>
      </x:c>
      <x:c r="C513" s="25" t="str">
        <x:v>백업제</x:v>
      </x:c>
      <x:c r="D513" s="25" t="str">
        <x:v>원형8mm</x:v>
      </x:c>
      <x:c r="E513" s="22" t="str">
        <x:v>M</x:v>
      </x:c>
      <x:c r="F513" s="34" t="n">
        <x:v>0.01629267570169592</x:v>
      </x:c>
      <x:c r="G513" s="34" t="n">
        <x:v>0</x:v>
      </x:c>
      <x:c r="H513" s="34" t="n">
        <x:v>0</x:v>
      </x:c>
      <x:c r="I513" s="34" t="n">
        <x:f>SUM(F513:H513)</x:f>
        <x:v>0.01629267570169592</x:v>
      </x:c>
      <x:c r="J513" s="22" t="str">
        <x:v>0.01629267570169592</x:v>
      </x:c>
      <x:c r="K513" s="22" t="str">
        <x:v>80000/4000</x:v>
      </x:c>
      <x:c r="L513" s="22" t="str"/>
      <x:c r="M513" s="22" t="str">
        <x:v>단가대비표</x:v>
      </x:c>
      <x:c r="N513" s="37" t="n">
        <x:v>215</x:v>
      </x:c>
      <x:c r="O5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3" s="22" t="str">
        <x:v>47d79c95e2c3273f84778935276c94526e369cc1b1bc057f6b03c998f44e253f</x:v>
      </x:c>
      <x:c r="Q513" s="22" t="str">
        <x:v>=O215+P215+V215</x:v>
      </x:c>
    </x:row>
    <x:row r="514">
      <x:c r="A514" s="22" t="str">
        <x:v>직접자원단가</x:v>
      </x:c>
      <x:c r="B514" s="22" t="str">
        <x:v>43DB2243517C0218D2716FB0CBF14E13DCE4B</x:v>
      </x:c>
      <x:c r="C514" s="25" t="str">
        <x:v>Norton Thermalbond</x:v>
      </x:c>
      <x:c r="D514" s="25" t="str">
        <x:v>8*10</x:v>
      </x:c>
      <x:c r="E514" s="22" t="str">
        <x:v>m</x:v>
      </x:c>
      <x:c r="F514" s="34" t="n">
        <x:v>1.3184196104569357</x:v>
      </x:c>
      <x:c r="G514" s="34" t="n">
        <x:v>0</x:v>
      </x:c>
      <x:c r="H514" s="34" t="n">
        <x:v>0</x:v>
      </x:c>
      <x:c r="I514" s="34" t="n">
        <x:f>SUM(F514:H514)</x:f>
        <x:v>1.3184196104569357</x:v>
      </x:c>
      <x:c r="J514" s="22" t="str">
        <x:v>1.3184196104569357</x:v>
      </x:c>
      <x:c r="K514" s="22" t="str">
        <x:v>12300/7.6</x:v>
      </x:c>
      <x:c r="L514" s="22" t="str"/>
      <x:c r="M514" s="22" t="str">
        <x:v>단가대비표</x:v>
      </x:c>
      <x:c r="N514" s="37" t="n">
        <x:v>216</x:v>
      </x:c>
      <x:c r="O5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4" s="22" t="str">
        <x:v>47d79c95e2c3273f84778935276c94526e369cc1b1bc057f6b03c998f44e253f</x:v>
      </x:c>
      <x:c r="Q514" s="22" t="str">
        <x:v>=O216+P216+V216</x:v>
      </x:c>
    </x:row>
    <x:row r="515">
      <x:c r="A515" s="22" t="str">
        <x:v>직접자원단가</x:v>
      </x:c>
      <x:c r="B515" s="22" t="str">
        <x:v>43CA2D4F0D7D5312823C87A9A3F</x:v>
      </x:c>
      <x:c r="C515" s="25" t="str">
        <x:v>셋트앵커</x:v>
      </x:c>
      <x:c r="D515" s="25" t="str">
        <x:v>M10×L75mm</x:v>
      </x:c>
      <x:c r="E515" s="22" t="str">
        <x:v>개</x:v>
      </x:c>
      <x:c r="F515" s="34" t="n">
        <x:v>0.09775605421017554</x:v>
      </x:c>
      <x:c r="G515" s="34" t="n">
        <x:v>0</x:v>
      </x:c>
      <x:c r="H515" s="34" t="n">
        <x:v>0</x:v>
      </x:c>
      <x:c r="I515" s="34" t="n">
        <x:f>SUM(F515:H515)</x:f>
        <x:v>0.09775605421017554</x:v>
      </x:c>
      <x:c r="J515" s="22" t="str">
        <x:v>0.09775605421017554 | 0.10997556098644747</x:v>
      </x:c>
      <x:c r="K515" s="22" t="str">
        <x:v>89 | 78</x:v>
      </x:c>
      <x:c r="L515" s="22" t="str"/>
      <x:c r="M515" s="22" t="str">
        <x:v>단가대비표</x:v>
      </x:c>
      <x:c r="N515" s="37" t="n">
        <x:v>217</x:v>
      </x:c>
      <x:c r="O5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5" s="22" t="str">
        <x:v>47d79c95e2c3273f84778935276c94526e369cc1b1bc057f6b03c998f44e253f</x:v>
      </x:c>
      <x:c r="Q515" s="22" t="str">
        <x:v>=O217+P217+V217</x:v>
      </x:c>
    </x:row>
    <x:row r="516">
      <x:c r="A516" s="22" t="str">
        <x:v>직접자원단가</x:v>
      </x:c>
      <x:c r="B516" s="22" t="str">
        <x:v>43CA2840F6709E0452672F02AF826236E5EE3</x:v>
      </x:c>
      <x:c r="C516" s="25" t="str">
        <x:v>거울</x:v>
      </x:c>
      <x:c r="D516" s="25" t="str">
        <x:v>거울, 1000*1000*5mm</x:v>
      </x:c>
      <x:c r="E516" s="22" t="str">
        <x:v>개</x:v>
      </x:c>
      <x:c r="F516" s="34" t="n">
        <x:v>21.506331926238616</x:v>
      </x:c>
      <x:c r="G516" s="34" t="n">
        <x:v>0</x:v>
      </x:c>
      <x:c r="H516" s="34" t="n">
        <x:v>0</x:v>
      </x:c>
      <x:c r="I516" s="34" t="n">
        <x:f>SUM(F516:H516)</x:f>
        <x:v>21.506331926238616</x:v>
      </x:c>
      <x:c r="J516" s="22" t="str">
        <x:v>21.506331926238616 | 23.13559949640821</x:v>
      </x:c>
      <x:c r="K516" s="22" t="str">
        <x:v>666 | 463</x:v>
      </x:c>
      <x:c r="L516" s="22" t="str">
        <x:v>A * M2단가</x:v>
      </x:c>
      <x:c r="M516" s="22" t="str">
        <x:v>단가대비표</x:v>
      </x:c>
      <x:c r="N516" s="37" t="n">
        <x:v>218</x:v>
      </x:c>
      <x:c r="O5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6" s="22" t="str">
        <x:v>47d79c95e2c3273f84778935276c94526e369cc1b1bc057f6b03c998f44e253f</x:v>
      </x:c>
      <x:c r="Q516" s="22" t="str">
        <x:v>=O218+P218+V218</x:v>
      </x:c>
    </x:row>
    <x:row r="517">
      <x:c r="A517" s="22" t="str">
        <x:v>직접자원단가</x:v>
      </x:c>
      <x:c r="B517" s="22" t="str">
        <x:v>44822A48C472F2FD923775FA6ED66</x:v>
      </x:c>
      <x:c r="C517" s="25" t="str">
        <x:v>내화페인트</x:v>
      </x:c>
      <x:c r="D517" s="25" t="str">
        <x:v>1시간, 보</x:v>
      </x:c>
      <x:c r="E517" s="22" t="str">
        <x:v>㎡</x:v>
      </x:c>
      <x:c r="F517" s="34" t="n">
        <x:v>15.366437088054507</x:v>
      </x:c>
      <x:c r="G517" s="34" t="n">
        <x:v>3.3267118418129313</x:v>
      </x:c>
      <x:c r="H517" s="34" t="n">
        <x:v>0</x:v>
      </x:c>
      <x:c r="I517" s="34" t="n">
        <x:f>SUM(F517:H517)</x:f>
        <x:v>18.693148929867437</x:v>
      </x:c>
      <x:c r="J517" s="22" t="str">
        <x:v>15.366437088054507</x:v>
      </x:c>
      <x:c r="K517" s="22" t="str"/>
      <x:c r="L517" s="22" t="str"/>
      <x:c r="M517" s="22" t="str">
        <x:v>단가대비표</x:v>
      </x:c>
      <x:c r="N517" s="37" t="n">
        <x:v>219</x:v>
      </x:c>
      <x:c r="O5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7" s="22" t="str">
        <x:v>47d79c95e2c3273f84778935276c94526e369cc1b1bc057f6b03c998f44e253f</x:v>
      </x:c>
      <x:c r="Q517" s="22" t="str">
        <x:v>=O219+P219+V219</x:v>
      </x:c>
    </x:row>
    <x:row r="518">
      <x:c r="A518" s="22" t="str">
        <x:v>직접자원단가</x:v>
      </x:c>
      <x:c r="B518" s="22" t="str">
        <x:v>44822343A07AED31F29B5608197DE</x:v>
      </x:c>
      <x:c r="C518" s="25" t="str">
        <x:v>스텐창호(헤어라인)-문틀</x:v>
      </x:c>
      <x:c r="D518" s="25" t="str">
        <x:v>150*40*1.5T</x:v>
      </x:c>
      <x:c r="E518" s="22" t="str">
        <x:v>m</x:v>
      </x:c>
      <x:c r="F518" s="34" t="n">
        <x:v>44.72991187143598</x:v>
      </x:c>
      <x:c r="G518" s="34" t="n">
        <x:v>6.619665259571949</x:v>
      </x:c>
      <x:c r="H518" s="34" t="n">
        <x:v>0</x:v>
      </x:c>
      <x:c r="I518" s="34" t="n">
        <x:f>SUM(F518:H518)</x:f>
        <x:v>51.34957713100793</x:v>
      </x:c>
      <x:c r="J518" s="22" t="str">
        <x:v>44.72991187143598</x:v>
      </x:c>
      <x:c r="K518" s="22" t="str"/>
      <x:c r="L518" s="22" t="str"/>
      <x:c r="M518" s="22" t="str">
        <x:v>단가대비표</x:v>
      </x:c>
      <x:c r="N518" s="37" t="n">
        <x:v>220</x:v>
      </x:c>
      <x:c r="O5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8" s="22" t="str">
        <x:v>47d79c95e2c3273f84778935276c94526e369cc1b1bc057f6b03c998f44e253f</x:v>
      </x:c>
      <x:c r="Q518" s="22" t="str">
        <x:v>=O220+P220+V220</x:v>
      </x:c>
    </x:row>
    <x:row r="519">
      <x:c r="A519" s="22" t="str">
        <x:v>직접자원단가</x:v>
      </x:c>
      <x:c r="B519" s="22" t="str">
        <x:v>44822343A07AED31F29B5635DB4F4</x:v>
      </x:c>
      <x:c r="C519" s="25" t="str">
        <x:v>스텐창호(헤어라인)- 중간틀</x:v>
      </x:c>
      <x:c r="D519" s="25" t="str">
        <x:v>150*40*1.5T</x:v>
      </x:c>
      <x:c r="E519" s="22" t="str">
        <x:v>m</x:v>
      </x:c>
      <x:c r="F519" s="34" t="n">
        <x:v>53.74872250610976</x:v>
      </x:c>
      <x:c r="G519" s="34" t="n">
        <x:v>8.436893282974154</x:v>
      </x:c>
      <x:c r="H519" s="34" t="n">
        <x:v>0</x:v>
      </x:c>
      <x:c r="I519" s="34" t="n">
        <x:f>SUM(F519:H519)</x:f>
        <x:v>62.18561578908391</x:v>
      </x:c>
      <x:c r="J519" s="22" t="str">
        <x:v>53.74872250610976</x:v>
      </x:c>
      <x:c r="K519" s="22" t="str"/>
      <x:c r="L519" s="22" t="str"/>
      <x:c r="M519" s="22" t="str">
        <x:v>단가대비표</x:v>
      </x:c>
      <x:c r="N519" s="37" t="n">
        <x:v>221</x:v>
      </x:c>
      <x:c r="O5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19" s="22" t="str">
        <x:v>47d79c95e2c3273f84778935276c94526e369cc1b1bc057f6b03c998f44e253f</x:v>
      </x:c>
      <x:c r="Q519" s="22" t="str">
        <x:v>=O221+P221+V221</x:v>
      </x:c>
    </x:row>
    <x:row r="520">
      <x:c r="A520" s="22" t="str">
        <x:v>직접자원단가</x:v>
      </x:c>
      <x:c r="B520" s="22" t="str">
        <x:v>44822343A07AED31F29B562B267DE</x:v>
      </x:c>
      <x:c r="C520" s="25" t="str">
        <x:v>스텐창호(헤어라인)-밑틀</x:v>
      </x:c>
      <x:c r="D520" s="25" t="str">
        <x:v>150*40*1.5T</x:v>
      </x:c>
      <x:c r="E520" s="22" t="str">
        <x:v>m</x:v>
      </x:c>
      <x:c r="F520" s="34" t="n">
        <x:v>47.7725690587277</x:v>
      </x:c>
      <x:c r="G520" s="34" t="n">
        <x:v>7.923282974153893</x:v>
      </x:c>
      <x:c r="H520" s="34" t="n">
        <x:v>0</x:v>
      </x:c>
      <x:c r="I520" s="34" t="n">
        <x:f>SUM(F520:H520)</x:f>
        <x:v>55.69585203288159</x:v>
      </x:c>
      <x:c r="J520" s="22" t="str">
        <x:v>47.7725690587277</x:v>
      </x:c>
      <x:c r="K520" s="22" t="str"/>
      <x:c r="L520" s="22" t="str"/>
      <x:c r="M520" s="22" t="str">
        <x:v>단가대비표</x:v>
      </x:c>
      <x:c r="N520" s="37" t="n">
        <x:v>222</x:v>
      </x:c>
      <x:c r="O5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0" s="22" t="str">
        <x:v>47d79c95e2c3273f84778935276c94526e369cc1b1bc057f6b03c998f44e253f</x:v>
      </x:c>
      <x:c r="Q520" s="22" t="str">
        <x:v>=O222+P222+V222</x:v>
      </x:c>
    </x:row>
    <x:row r="521">
      <x:c r="A521" s="22" t="str">
        <x:v>직접자원단가</x:v>
      </x:c>
      <x:c r="B521" s="22" t="str">
        <x:v>44822048DF7586FF72CAAF229B413</x:v>
      </x:c>
      <x:c r="C521" s="25" t="str">
        <x:v>석재벽체시공비(t=30mm)</x:v>
      </x:c>
      <x:c r="D521" s="25" t="str">
        <x:v>건식(스텐앙카,코킹포함)</x:v>
      </x:c>
      <x:c r="E521" s="22" t="str">
        <x:v>㎡</x:v>
      </x:c>
      <x:c r="F521" s="34" t="n">
        <x:v>18.65185514330149</x:v>
      </x:c>
      <x:c r="G521" s="34" t="n">
        <x:v>27.73133970228838</x:v>
      </x:c>
      <x:c r="H521" s="34" t="n">
        <x:v>0</x:v>
      </x:c>
      <x:c r="I521" s="34" t="n">
        <x:f>SUM(F521:H521)</x:f>
        <x:v>46.38319484558987</x:v>
      </x:c>
      <x:c r="J521" s="22" t="str">
        <x:v>18.65185514330149</x:v>
      </x:c>
      <x:c r="K521" s="22" t="str"/>
      <x:c r="L521" s="22" t="str"/>
      <x:c r="M521" s="22" t="str">
        <x:v>단가대비표</x:v>
      </x:c>
      <x:c r="N521" s="37" t="n">
        <x:v>223</x:v>
      </x:c>
      <x:c r="O5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1" s="22" t="str">
        <x:v>47d79c95e2c3273f84778935276c94526e369cc1b1bc057f6b03c998f44e253f</x:v>
      </x:c>
      <x:c r="Q521" s="22" t="str">
        <x:v>=O223+P223+V223</x:v>
      </x:c>
    </x:row>
    <x:row r="522">
      <x:c r="A522" s="22" t="str">
        <x:v>직접자원단가</x:v>
      </x:c>
      <x:c r="B522" s="22" t="str">
        <x:v>44582B4C1E7E6D4C121EAEBA6DD78C37C9F5F</x:v>
      </x:c>
      <x:c r="C522" s="25" t="str">
        <x:v>보통인부</x:v>
      </x:c>
      <x:c r="D522" s="25" t="str">
        <x:v>일반공사 직종</x:v>
      </x:c>
      <x:c r="E522" s="22" t="str">
        <x:v>인</x:v>
      </x:c>
      <x:c r="F522" s="34" t="n">
        <x:v>0</x:v>
      </x:c>
      <x:c r="G522" s="34" t="n">
        <x:v>49.897663482189145</x:v>
      </x:c>
      <x:c r="H522" s="34" t="n">
        <x:v>0</x:v>
      </x:c>
      <x:c r="I522" s="34" t="n">
        <x:f>SUM(F522:H522)</x:f>
        <x:v>49.897663482189145</x:v>
      </x:c>
      <x:c r="J522" s="22" t="str"/>
      <x:c r="K522" s="22" t="str"/>
      <x:c r="L522" s="22" t="str"/>
      <x:c r="M522" s="22" t="str">
        <x:v>단가대비표</x:v>
      </x:c>
      <x:c r="N522" s="37" t="n">
        <x:v>224</x:v>
      </x:c>
      <x:c r="O5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2" s="22" t="str">
        <x:v>47d79c95e2c3273f84778935276c94526e369cc1b1bc057f6b03c998f44e253f</x:v>
      </x:c>
      <x:c r="Q522" s="22" t="str">
        <x:v>=O224+P224+V224</x:v>
      </x:c>
    </x:row>
    <x:row r="523">
      <x:c r="A523" s="22" t="str">
        <x:v>직접자원단가</x:v>
      </x:c>
      <x:c r="B523" s="22" t="str">
        <x:v>44582B4C1E7E6D4C121EAEBA6DD78C37C9F5E</x:v>
      </x:c>
      <x:c r="C523" s="25" t="str">
        <x:v>특별인부</x:v>
      </x:c>
      <x:c r="D523" s="25" t="str">
        <x:v>일반공사 직종</x:v>
      </x:c>
      <x:c r="E523" s="22" t="str">
        <x:v>인</x:v>
      </x:c>
      <x:c r="F523" s="34" t="n">
        <x:v>0</x:v>
      </x:c>
      <x:c r="G523" s="34" t="n">
        <x:v>64.56961712212102</x:v>
      </x:c>
      <x:c r="H523" s="34" t="n">
        <x:v>0</x:v>
      </x:c>
      <x:c r="I523" s="34" t="n">
        <x:f>SUM(F523:H523)</x:f>
        <x:v>64.56961712212102</x:v>
      </x:c>
      <x:c r="J523" s="22" t="str"/>
      <x:c r="K523" s="22" t="str"/>
      <x:c r="L523" s="22" t="str"/>
      <x:c r="M523" s="22" t="str">
        <x:v>단가대비표</x:v>
      </x:c>
      <x:c r="N523" s="37" t="n">
        <x:v>225</x:v>
      </x:c>
      <x:c r="O5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3" s="22" t="str">
        <x:v>47d79c95e2c3273f84778935276c94526e369cc1b1bc057f6b03c998f44e253f</x:v>
      </x:c>
      <x:c r="Q523" s="22" t="str">
        <x:v>=O225+P225+V225</x:v>
      </x:c>
    </x:row>
    <x:row r="524">
      <x:c r="A524" s="22" t="str">
        <x:v>직접자원단가</x:v>
      </x:c>
      <x:c r="B524" s="22" t="str">
        <x:v>44582B4C1E7E6D4C121EAEBA6DD78C37C9F54</x:v>
      </x:c>
      <x:c r="C524" s="25" t="str">
        <x:v>철공</x:v>
      </x:c>
      <x:c r="D524" s="25" t="str">
        <x:v>일반공사 직종</x:v>
      </x:c>
      <x:c r="E524" s="22" t="str">
        <x:v>인</x:v>
      </x:c>
      <x:c r="F524" s="34" t="n">
        <x:v>0</x:v>
      </x:c>
      <x:c r="G524" s="34" t="n">
        <x:v>70.45684514552322</x:v>
      </x:c>
      <x:c r="H524" s="34" t="n">
        <x:v>0</x:v>
      </x:c>
      <x:c r="I524" s="34" t="n">
        <x:f>SUM(F524:H524)</x:f>
        <x:v>70.45684514552322</x:v>
      </x:c>
      <x:c r="J524" s="22" t="str"/>
      <x:c r="K524" s="22" t="str"/>
      <x:c r="L524" s="22" t="str"/>
      <x:c r="M524" s="22" t="str">
        <x:v>단가대비표</x:v>
      </x:c>
      <x:c r="N524" s="37" t="n">
        <x:v>226</x:v>
      </x:c>
      <x:c r="O5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4" s="22" t="str">
        <x:v>47d79c95e2c3273f84778935276c94526e369cc1b1bc057f6b03c998f44e253f</x:v>
      </x:c>
      <x:c r="Q524" s="22" t="str">
        <x:v>=O226+P226+V226</x:v>
      </x:c>
    </x:row>
    <x:row r="525">
      <x:c r="A525" s="22" t="str">
        <x:v>직접자원단가</x:v>
      </x:c>
      <x:c r="B525" s="22" t="str">
        <x:v>44582B4C1E7E6D4C121EAEBA6DD78C37C9EB7</x:v>
      </x:c>
      <x:c r="C525" s="25" t="str">
        <x:v>철골공</x:v>
      </x:c>
      <x:c r="D525" s="25" t="str">
        <x:v>일반공사 직종</x:v>
      </x:c>
      <x:c r="E525" s="22" t="str">
        <x:v>인</x:v>
      </x:c>
      <x:c r="F525" s="34" t="n">
        <x:v>0</x:v>
      </x:c>
      <x:c r="G525" s="34" t="n">
        <x:v>73.28170184403466</x:v>
      </x:c>
      <x:c r="H525" s="34" t="n">
        <x:v>0</x:v>
      </x:c>
      <x:c r="I525" s="34" t="n">
        <x:f>SUM(F525:H525)</x:f>
        <x:v>73.28170184403466</x:v>
      </x:c>
      <x:c r="J525" s="22" t="str"/>
      <x:c r="K525" s="22" t="str"/>
      <x:c r="L525" s="22" t="str"/>
      <x:c r="M525" s="22" t="str">
        <x:v>단가대비표</x:v>
      </x:c>
      <x:c r="N525" s="37" t="n">
        <x:v>227</x:v>
      </x:c>
      <x:c r="O5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5" s="22" t="str">
        <x:v>47d79c95e2c3273f84778935276c94526e369cc1b1bc057f6b03c998f44e253f</x:v>
      </x:c>
      <x:c r="Q525" s="22" t="str">
        <x:v>=O227+P227+V227</x:v>
      </x:c>
    </x:row>
    <x:row r="526">
      <x:c r="A526" s="22" t="str">
        <x:v>직접자원단가</x:v>
      </x:c>
      <x:c r="B526" s="22" t="str">
        <x:v>44582B4C1E7E6D4C121EAEBA6DD78C37C9EB4</x:v>
      </x:c>
      <x:c r="C526" s="25" t="str">
        <x:v>용접공</x:v>
      </x:c>
      <x:c r="D526" s="25" t="str">
        <x:v>일반공사 직종</x:v>
      </x:c>
      <x:c r="E526" s="22" t="str">
        <x:v>인</x:v>
      </x:c>
      <x:c r="F526" s="34" t="n">
        <x:v>0</x:v>
      </x:c>
      <x:c r="G526" s="34" t="n">
        <x:v>80.48400133303711</x:v>
      </x:c>
      <x:c r="H526" s="34" t="n">
        <x:v>0</x:v>
      </x:c>
      <x:c r="I526" s="34" t="n">
        <x:f>SUM(F526:H526)</x:f>
        <x:v>80.48400133303711</x:v>
      </x:c>
      <x:c r="J526" s="22" t="str"/>
      <x:c r="K526" s="22" t="str"/>
      <x:c r="L526" s="22" t="str"/>
      <x:c r="M526" s="22" t="str">
        <x:v>단가대비표</x:v>
      </x:c>
      <x:c r="N526" s="37" t="n">
        <x:v>228</x:v>
      </x:c>
      <x:c r="O5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6" s="22" t="str">
        <x:v>47d79c95e2c3273f84778935276c94526e369cc1b1bc057f6b03c998f44e253f</x:v>
      </x:c>
      <x:c r="Q526" s="22" t="str">
        <x:v>=O228+P228+V228</x:v>
      </x:c>
    </x:row>
    <x:row r="527">
      <x:c r="A527" s="22" t="str">
        <x:v>직접자원단가</x:v>
      </x:c>
      <x:c r="B527" s="22" t="str">
        <x:v>44582B4C1E7E6D4C121EAEBA6DD78C37C9DAC</x:v>
      </x:c>
      <x:c r="C527" s="25" t="str">
        <x:v>건축목공</x:v>
      </x:c>
      <x:c r="D527" s="25" t="str">
        <x:v>일반공사 직종</x:v>
      </x:c>
      <x:c r="E527" s="22" t="str">
        <x:v>인</x:v>
      </x:c>
      <x:c r="F527" s="34" t="n">
        <x:v>0</x:v>
      </x:c>
      <x:c r="G527" s="34" t="n">
        <x:v>80.7965681700363</x:v>
      </x:c>
      <x:c r="H527" s="34" t="n">
        <x:v>0</x:v>
      </x:c>
      <x:c r="I527" s="34" t="n">
        <x:f>SUM(F527:H527)</x:f>
        <x:v>80.7965681700363</x:v>
      </x:c>
      <x:c r="J527" s="22" t="str"/>
      <x:c r="K527" s="22" t="str"/>
      <x:c r="L527" s="22" t="str"/>
      <x:c r="M527" s="22" t="str">
        <x:v>단가대비표</x:v>
      </x:c>
      <x:c r="N527" s="37" t="n">
        <x:v>229</x:v>
      </x:c>
      <x:c r="O5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7" s="22" t="str">
        <x:v>47d79c95e2c3273f84778935276c94526e369cc1b1bc057f6b03c998f44e253f</x:v>
      </x:c>
      <x:c r="Q527" s="22" t="str">
        <x:v>=O229+P229+V229</x:v>
      </x:c>
    </x:row>
    <x:row r="528">
      <x:c r="A528" s="22" t="str">
        <x:v>직접자원단가</x:v>
      </x:c>
      <x:c r="B528" s="22" t="str">
        <x:v>44582B4C1E7E6D4C121EAEBA6DD78C37C9DAB</x:v>
      </x:c>
      <x:c r="C528" s="25" t="str">
        <x:v>창호공</x:v>
      </x:c>
      <x:c r="D528" s="25" t="str">
        <x:v>일반공사 직종</x:v>
      </x:c>
      <x:c r="E528" s="22" t="str">
        <x:v>인</x:v>
      </x:c>
      <x:c r="F528" s="34" t="n">
        <x:v>0</x:v>
      </x:c>
      <x:c r="G528" s="34" t="n">
        <x:v>74.82253277049544</x:v>
      </x:c>
      <x:c r="H528" s="34" t="n">
        <x:v>0</x:v>
      </x:c>
      <x:c r="I528" s="34" t="n">
        <x:f>SUM(F528:H528)</x:f>
        <x:v>74.82253277049544</x:v>
      </x:c>
      <x:c r="J528" s="22" t="str"/>
      <x:c r="K528" s="22" t="str"/>
      <x:c r="L528" s="22" t="str"/>
      <x:c r="M528" s="22" t="str">
        <x:v>단가대비표</x:v>
      </x:c>
      <x:c r="N528" s="37" t="n">
        <x:v>230</x:v>
      </x:c>
      <x:c r="O5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8" s="22" t="str">
        <x:v>47d79c95e2c3273f84778935276c94526e369cc1b1bc057f6b03c998f44e253f</x:v>
      </x:c>
      <x:c r="Q528" s="22" t="str">
        <x:v>=O230+P230+V230</x:v>
      </x:c>
    </x:row>
    <x:row r="529">
      <x:c r="A529" s="22" t="str">
        <x:v>직접자원단가</x:v>
      </x:c>
      <x:c r="B529" s="22" t="str">
        <x:v>44582B4C1E7E6D4C121EAEBA6DD78C37C9DAA</x:v>
      </x:c>
      <x:c r="C529" s="25" t="str">
        <x:v>유리공</x:v>
      </x:c>
      <x:c r="D529" s="25" t="str">
        <x:v>일반공사 직종</x:v>
      </x:c>
      <x:c r="E529" s="22" t="str">
        <x:v>인</x:v>
      </x:c>
      <x:c r="F529" s="34" t="n">
        <x:v>0</x:v>
      </x:c>
      <x:c r="G529" s="34" t="n">
        <x:v>74.64319114270903</x:v>
      </x:c>
      <x:c r="H529" s="34" t="n">
        <x:v>0</x:v>
      </x:c>
      <x:c r="I529" s="34" t="n">
        <x:f>SUM(F529:H529)</x:f>
        <x:v>74.64319114270903</x:v>
      </x:c>
      <x:c r="J529" s="22" t="str"/>
      <x:c r="K529" s="22" t="str"/>
      <x:c r="L529" s="22" t="str"/>
      <x:c r="M529" s="22" t="str">
        <x:v>단가대비표</x:v>
      </x:c>
      <x:c r="N529" s="37" t="n">
        <x:v>231</x:v>
      </x:c>
      <x:c r="O5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29" s="22" t="str">
        <x:v>47d79c95e2c3273f84778935276c94526e369cc1b1bc057f6b03c998f44e253f</x:v>
      </x:c>
      <x:c r="Q529" s="22" t="str">
        <x:v>=O231+P231+V231</x:v>
      </x:c>
    </x:row>
    <x:row r="530">
      <x:c r="A530" s="22" t="str">
        <x:v>직접자원단가</x:v>
      </x:c>
      <x:c r="B530" s="22" t="str">
        <x:v>44582B4C1E7E6D4C121EAEBA6DD78C37C9DA9</x:v>
      </x:c>
      <x:c r="C530" s="25" t="str">
        <x:v>방수공</x:v>
      </x:c>
      <x:c r="D530" s="25" t="str">
        <x:v>일반공사 직종</x:v>
      </x:c>
      <x:c r="E530" s="22" t="str">
        <x:v>인</x:v>
      </x:c>
      <x:c r="F530" s="34" t="n">
        <x:v>0</x:v>
      </x:c>
      <x:c r="G530" s="34" t="n">
        <x:v>64.06926905132192</x:v>
      </x:c>
      <x:c r="H530" s="34" t="n">
        <x:v>0</x:v>
      </x:c>
      <x:c r="I530" s="34" t="n">
        <x:f>SUM(F530:H530)</x:f>
        <x:v>64.06926905132192</x:v>
      </x:c>
      <x:c r="J530" s="22" t="str"/>
      <x:c r="K530" s="22" t="str"/>
      <x:c r="L530" s="22" t="str"/>
      <x:c r="M530" s="22" t="str">
        <x:v>단가대비표</x:v>
      </x:c>
      <x:c r="N530" s="37" t="n">
        <x:v>232</x:v>
      </x:c>
      <x:c r="O5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0" s="22" t="str">
        <x:v>47d79c95e2c3273f84778935276c94526e369cc1b1bc057f6b03c998f44e253f</x:v>
      </x:c>
      <x:c r="Q530" s="22" t="str">
        <x:v>=O232+P232+V232</x:v>
      </x:c>
    </x:row>
    <x:row r="531">
      <x:c r="A531" s="22" t="str">
        <x:v>직접자원단가</x:v>
      </x:c>
      <x:c r="B531" s="22" t="str">
        <x:v>44582B4C1E7E6D4C121EAEBA6DD78C37C9DA8</x:v>
      </x:c>
      <x:c r="C531" s="25" t="str">
        <x:v>미장공</x:v>
      </x:c>
      <x:c r="D531" s="25" t="str">
        <x:v>일반공사 직종</x:v>
      </x:c>
      <x:c r="E531" s="22" t="str">
        <x:v>인</x:v>
      </x:c>
      <x:c r="F531" s="34" t="n">
        <x:v>0</x:v>
      </x:c>
      <x:c r="G531" s="34" t="n">
        <x:v>80.41347033992447</x:v>
      </x:c>
      <x:c r="H531" s="34" t="n">
        <x:v>0</x:v>
      </x:c>
      <x:c r="I531" s="34" t="n">
        <x:f>SUM(F531:H531)</x:f>
        <x:v>80.41347033992447</x:v>
      </x:c>
      <x:c r="J531" s="22" t="str"/>
      <x:c r="K531" s="22" t="str"/>
      <x:c r="L531" s="22" t="str"/>
      <x:c r="M531" s="22" t="str">
        <x:v>단가대비표</x:v>
      </x:c>
      <x:c r="N531" s="37" t="n">
        <x:v>233</x:v>
      </x:c>
      <x:c r="O5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1" s="22" t="str">
        <x:v>47d79c95e2c3273f84778935276c94526e369cc1b1bc057f6b03c998f44e253f</x:v>
      </x:c>
      <x:c r="Q531" s="22" t="str">
        <x:v>=O233+P233+V233</x:v>
      </x:c>
    </x:row>
    <x:row r="532">
      <x:c r="A532" s="22" t="str">
        <x:v>직접자원단가</x:v>
      </x:c>
      <x:c r="B532" s="22" t="str">
        <x:v>44582B4C1E7E6D4C121EAEBA6DD78C37C9DA6</x:v>
      </x:c>
      <x:c r="C532" s="25" t="str">
        <x:v>도장공</x:v>
      </x:c>
      <x:c r="D532" s="25" t="str">
        <x:v>일반공사 직종</x:v>
      </x:c>
      <x:c r="E532" s="22" t="str">
        <x:v>인</x:v>
      </x:c>
      <x:c r="F532" s="34" t="n">
        <x:v>0</x:v>
      </x:c>
      <x:c r="G532" s="34" t="n">
        <x:v>75.5875227727172</x:v>
      </x:c>
      <x:c r="H532" s="34" t="n">
        <x:v>0</x:v>
      </x:c>
      <x:c r="I532" s="34" t="n">
        <x:f>SUM(F532:H532)</x:f>
        <x:v>75.5875227727172</x:v>
      </x:c>
      <x:c r="J532" s="22" t="str"/>
      <x:c r="K532" s="22" t="str"/>
      <x:c r="L532" s="22" t="str"/>
      <x:c r="M532" s="22" t="str">
        <x:v>단가대비표</x:v>
      </x:c>
      <x:c r="N532" s="37" t="n">
        <x:v>234</x:v>
      </x:c>
      <x:c r="O5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2" s="22" t="str">
        <x:v>47d79c95e2c3273f84778935276c94526e369cc1b1bc057f6b03c998f44e253f</x:v>
      </x:c>
      <x:c r="Q532" s="22" t="str">
        <x:v>=O234+P234+V234</x:v>
      </x:c>
    </x:row>
    <x:row r="533">
      <x:c r="A533" s="22" t="str">
        <x:v>직접자원단가</x:v>
      </x:c>
      <x:c r="B533" s="22" t="str">
        <x:v>44582B4C1E7E6D4C121EAEBA6DD78C37C9C89</x:v>
      </x:c>
      <x:c r="C533" s="25" t="str">
        <x:v>내장공</x:v>
      </x:c>
      <x:c r="D533" s="25" t="str">
        <x:v>일반공사 직종</x:v>
      </x:c>
      <x:c r="E533" s="22" t="str">
        <x:v>인</x:v>
      </x:c>
      <x:c r="F533" s="34" t="n">
        <x:v>0</x:v>
      </x:c>
      <x:c r="G533" s="34" t="n">
        <x:v>73.40588461823299</x:v>
      </x:c>
      <x:c r="H533" s="34" t="n">
        <x:v>0</x:v>
      </x:c>
      <x:c r="I533" s="34" t="n">
        <x:f>SUM(F533:H533)</x:f>
        <x:v>73.40588461823299</x:v>
      </x:c>
      <x:c r="J533" s="22" t="str"/>
      <x:c r="K533" s="22" t="str"/>
      <x:c r="L533" s="22" t="str"/>
      <x:c r="M533" s="22" t="str">
        <x:v>단가대비표</x:v>
      </x:c>
      <x:c r="N533" s="37" t="n">
        <x:v>235</x:v>
      </x:c>
      <x:c r="O5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3" s="22" t="str">
        <x:v>47d79c95e2c3273f84778935276c94526e369cc1b1bc057f6b03c998f44e253f</x:v>
      </x:c>
      <x:c r="Q533" s="22" t="str">
        <x:v>=O235+P235+V235</x:v>
      </x:c>
    </x:row>
    <x:row r="534">
      <x:c r="A534" s="22" t="str">
        <x:v>직접자원단가</x:v>
      </x:c>
      <x:c r="B534" s="22" t="str">
        <x:v>44582B4C1E7E6D4C121EAEBA6DD78C37C9C8A</x:v>
      </x:c>
      <x:c r="C534" s="25" t="str">
        <x:v>석공</x:v>
      </x:c>
      <x:c r="D534" s="25" t="str">
        <x:v>일반공사 직종</x:v>
      </x:c>
      <x:c r="E534" s="22" t="str">
        <x:v>인</x:v>
      </x:c>
      <x:c r="F534" s="34" t="n">
        <x:v>0</x:v>
      </x:c>
      <x:c r="G534" s="34" t="n">
        <x:v>78.04676368214471</x:v>
      </x:c>
      <x:c r="H534" s="34" t="n">
        <x:v>0</x:v>
      </x:c>
      <x:c r="I534" s="34" t="n">
        <x:f>SUM(F534:H534)</x:f>
        <x:v>78.04676368214471</x:v>
      </x:c>
      <x:c r="J534" s="22" t="str"/>
      <x:c r="K534" s="22" t="str"/>
      <x:c r="L534" s="22" t="str"/>
      <x:c r="M534" s="22" t="str">
        <x:v>단가대비표</x:v>
      </x:c>
      <x:c r="N534" s="37" t="n">
        <x:v>236</x:v>
      </x:c>
      <x:c r="O5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4" s="22" t="str">
        <x:v>47d79c95e2c3273f84778935276c94526e369cc1b1bc057f6b03c998f44e253f</x:v>
      </x:c>
      <x:c r="Q534" s="22" t="str">
        <x:v>=O236+P236+V236</x:v>
      </x:c>
    </x:row>
    <x:row r="535">
      <x:c r="A535" s="22" t="str">
        <x:v>직접자원단가</x:v>
      </x:c>
      <x:c r="B535" s="22" t="str">
        <x:v>44582B4C1E7E6D4C121EAEBA6DD78C37C9C8F</x:v>
      </x:c>
      <x:c r="C535" s="25" t="str">
        <x:v>지붕잇기공</x:v>
      </x:c>
      <x:c r="D535" s="25" t="str">
        <x:v>일반공사 직종</x:v>
      </x:c>
      <x:c r="E535" s="22" t="str">
        <x:v>인</x:v>
      </x:c>
      <x:c r="F535" s="34" t="n">
        <x:v>0</x:v>
      </x:c>
      <x:c r="G535" s="34" t="n">
        <x:v>67.0183085240317</x:v>
      </x:c>
      <x:c r="H535" s="34" t="n">
        <x:v>0</x:v>
      </x:c>
      <x:c r="I535" s="34" t="n">
        <x:f>SUM(F535:H535)</x:f>
        <x:v>67.0183085240317</x:v>
      </x:c>
      <x:c r="J535" s="22" t="str"/>
      <x:c r="K535" s="22" t="str"/>
      <x:c r="L535" s="22" t="str"/>
      <x:c r="M535" s="22" t="str">
        <x:v>단가대비표</x:v>
      </x:c>
      <x:c r="N535" s="37" t="n">
        <x:v>237</x:v>
      </x:c>
      <x:c r="O5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5" s="22" t="str">
        <x:v>47d79c95e2c3273f84778935276c94526e369cc1b1bc057f6b03c998f44e253f</x:v>
      </x:c>
      <x:c r="Q535" s="22" t="str">
        <x:v>=O237+P237+V237</x:v>
      </x:c>
    </x:row>
    <x:row r="536">
      <x:c r="A536" s="22" t="str">
        <x:v>직접자원단가</x:v>
      </x:c>
      <x:c r="B536" s="22" t="str">
        <x:v>44582B4C1E7E6D4C121EAEBA6DD78C37C9C80</x:v>
      </x:c>
      <x:c r="C536" s="25" t="str">
        <x:v>배관공</x:v>
      </x:c>
      <x:c r="D536" s="25" t="str">
        <x:v>일반공사 직종</x:v>
      </x:c>
      <x:c r="E536" s="22" t="str">
        <x:v>인</x:v>
      </x:c>
      <x:c r="F536" s="34" t="n">
        <x:v>0</x:v>
      </x:c>
      <x:c r="G536" s="34" t="n">
        <x:v>69.16920239946678</x:v>
      </x:c>
      <x:c r="H536" s="34" t="n">
        <x:v>0</x:v>
      </x:c>
      <x:c r="I536" s="34" t="n">
        <x:f>SUM(F536:H536)</x:f>
        <x:v>69.16920239946678</x:v>
      </x:c>
      <x:c r="J536" s="22" t="str"/>
      <x:c r="K536" s="22" t="str"/>
      <x:c r="L536" s="22" t="str"/>
      <x:c r="M536" s="22" t="str">
        <x:v>단가대비표</x:v>
      </x:c>
      <x:c r="N536" s="37" t="n">
        <x:v>238</x:v>
      </x:c>
      <x:c r="O5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6" s="22" t="str">
        <x:v>47d79c95e2c3273f84778935276c94526e369cc1b1bc057f6b03c998f44e253f</x:v>
      </x:c>
      <x:c r="Q536" s="22" t="str">
        <x:v>=O238+P238+V238</x:v>
      </x:c>
    </x:row>
    <x:row r="537">
      <x:c r="A537" s="22" t="str">
        <x:v>직접자원단가</x:v>
      </x:c>
      <x:c r="B537" s="22" t="str">
        <x:v>44582B4C1E7E6D4C121EAEBA6DD78C37C9BEA</x:v>
      </x:c>
      <x:c r="C537" s="25" t="str">
        <x:v>건설기계운전사</x:v>
      </x:c>
      <x:c r="D537" s="25" t="str">
        <x:v>일반공사 직종</x:v>
      </x:c>
      <x:c r="E537" s="22" t="str">
        <x:v>인</x:v>
      </x:c>
      <x:c r="F537" s="34" t="n">
        <x:v>0</x:v>
      </x:c>
      <x:c r="G537" s="34" t="n">
        <x:v>73.33264089461602</x:v>
      </x:c>
      <x:c r="H537" s="34" t="n">
        <x:v>0</x:v>
      </x:c>
      <x:c r="I537" s="34" t="n">
        <x:f>SUM(F537:H537)</x:f>
        <x:v>73.33264089461602</x:v>
      </x:c>
      <x:c r="J537" s="22" t="str"/>
      <x:c r="K537" s="22" t="str"/>
      <x:c r="L537" s="22" t="str"/>
      <x:c r="M537" s="22" t="str">
        <x:v>단가대비표</x:v>
      </x:c>
      <x:c r="N537" s="37" t="n">
        <x:v>239</x:v>
      </x:c>
      <x:c r="O5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7" s="22" t="str">
        <x:v>47d79c95e2c3273f84778935276c94526e369cc1b1bc057f6b03c998f44e253f</x:v>
      </x:c>
      <x:c r="Q537" s="22" t="str">
        <x:v>=O239+P239+V239</x:v>
      </x:c>
    </x:row>
    <x:row r="538">
      <x:c r="A538" s="22" t="str">
        <x:v>직접자원단가</x:v>
      </x:c>
      <x:c r="B538" s="22" t="str">
        <x:v>44582B4C1E7E6D4C121EAEBA6DD78C37C9ADB</x:v>
      </x:c>
      <x:c r="C538" s="25" t="str">
        <x:v>일반기계운전사</x:v>
      </x:c>
      <x:c r="D538" s="25" t="str">
        <x:v>일반공사 직종</x:v>
      </x:c>
      <x:c r="E538" s="22" t="str">
        <x:v>인</x:v>
      </x:c>
      <x:c r="F538" s="34" t="n">
        <x:v>0</x:v>
      </x:c>
      <x:c r="G538" s="34" t="n">
        <x:v>48.57053543656966</x:v>
      </x:c>
      <x:c r="H538" s="34" t="n">
        <x:v>0</x:v>
      </x:c>
      <x:c r="I538" s="34" t="n">
        <x:f>SUM(F538:H538)</x:f>
        <x:v>48.57053543656966</x:v>
      </x:c>
      <x:c r="J538" s="22" t="str"/>
      <x:c r="K538" s="22" t="str"/>
      <x:c r="L538" s="22" t="str"/>
      <x:c r="M538" s="22" t="str">
        <x:v>단가대비표</x:v>
      </x:c>
      <x:c r="N538" s="37" t="n">
        <x:v>240</x:v>
      </x:c>
      <x:c r="O5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8" s="22" t="str">
        <x:v>47d79c95e2c3273f84778935276c94526e369cc1b1bc057f6b03c998f44e253f</x:v>
      </x:c>
      <x:c r="Q538" s="22" t="str">
        <x:v>=O240+P240+V240</x:v>
      </x:c>
    </x:row>
    <x:row r="539">
      <x:c r="A539" s="22" t="str">
        <x:v>직접자원단가</x:v>
      </x:c>
      <x:c r="B539" s="22" t="str">
        <x:v>44582B4C1E7E6D4C121EE46D9A9B060ACF592</x:v>
      </x:c>
      <x:c r="C539" s="25" t="str">
        <x:v>코킹공</x:v>
      </x:c>
      <x:c r="D539" s="25" t="str">
        <x:v>기타 직종</x:v>
      </x:c>
      <x:c r="E539" s="22" t="str">
        <x:v>인</x:v>
      </x:c>
      <x:c r="F539" s="34" t="n">
        <x:v>0</x:v>
      </x:c>
      <x:c r="G539" s="34" t="n">
        <x:v>60.46465304006518</x:v>
      </x:c>
      <x:c r="H539" s="34" t="n">
        <x:v>0</x:v>
      </x:c>
      <x:c r="I539" s="34" t="n">
        <x:f>SUM(F539:H539)</x:f>
        <x:v>60.46465304006518</x:v>
      </x:c>
      <x:c r="J539" s="22" t="str"/>
      <x:c r="K539" s="22" t="str"/>
      <x:c r="L539" s="22" t="str"/>
      <x:c r="M539" s="22" t="str">
        <x:v>단가대비표</x:v>
      </x:c>
      <x:c r="N539" s="37" t="n">
        <x:v>241</x:v>
      </x:c>
      <x:c r="O5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39" s="22" t="str">
        <x:v>47d79c95e2c3273f84778935276c94526e369cc1b1bc057f6b03c998f44e253f</x:v>
      </x:c>
      <x:c r="Q539" s="22" t="str">
        <x:v>=O241+P241+V241</x:v>
      </x:c>
    </x:row>
    <x:row r="540">
      <x:c r="A540" s="22" t="str">
        <x:v>직접자원단가</x:v>
      </x:c>
      <x:c r="B540" s="22" t="str">
        <x:v>4531284DDC776A4702EA22A0C0638FB35052E</x:v>
      </x:c>
      <x:c r="C540" s="25" t="str">
        <x:v>[현지기준단가]100mm thick brick, Interior wall</x:v>
      </x:c>
      <x:c r="D540" s="25" t="str"/>
      <x:c r="E540" s="22" t="str">
        <x:v>M2</x:v>
      </x:c>
      <x:c r="F540" s="34" t="n">
        <x:v>6</x:v>
      </x:c>
      <x:c r="G540" s="34" t="n">
        <x:v>4</x:v>
      </x:c>
      <x:c r="H540" s="34" t="n">
        <x:v>0.21</x:v>
      </x:c>
      <x:c r="I540" s="34" t="n">
        <x:f>SUM(F540:H540)</x:f>
        <x:v>10.21</x:v>
      </x:c>
      <x:c r="J540" s="22" t="str">
        <x:v>6</x:v>
      </x:c>
      <x:c r="K540" s="22" t="str"/>
      <x:c r="L540" s="22" t="str">
        <x:v>※$$$$$$$$$</x:v>
      </x:c>
      <x:c r="M540" s="22" t="str">
        <x:v>단가대비표</x:v>
      </x:c>
      <x:c r="N540" s="37" t="n">
        <x:v>242</x:v>
      </x:c>
      <x:c r="O5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0" s="22" t="str">
        <x:v>47d79c95e2c3273f84778935276c94526e369cc1b1bc057f6b03c998f44e253f</x:v>
      </x:c>
      <x:c r="Q540" s="22" t="str">
        <x:v>=O242+P242+V242</x:v>
      </x:c>
    </x:row>
    <x:row r="541">
      <x:c r="A541" s="22" t="str">
        <x:v>직접자원단가</x:v>
      </x:c>
      <x:c r="B541" s="22" t="str">
        <x:v>4531284DDC776A4702EA22A0C0638FB350521</x:v>
      </x:c>
      <x:c r="C541" s="25" t="str">
        <x:v>[현지기준단가]200mm thick brick, Interior wall</x:v>
      </x:c>
      <x:c r="D541" s="25" t="str"/>
      <x:c r="E541" s="22" t="str">
        <x:v>M2</x:v>
      </x:c>
      <x:c r="F541" s="34" t="n">
        <x:v>7</x:v>
      </x:c>
      <x:c r="G541" s="34" t="n">
        <x:v>4</x:v>
      </x:c>
      <x:c r="H541" s="34" t="n">
        <x:v>0.21</x:v>
      </x:c>
      <x:c r="I541" s="34" t="n">
        <x:f>SUM(F541:H541)</x:f>
        <x:v>11.21</x:v>
      </x:c>
      <x:c r="J541" s="22" t="str">
        <x:v>7</x:v>
      </x:c>
      <x:c r="K541" s="22" t="str"/>
      <x:c r="L541" s="22" t="str">
        <x:v>※$$$$$$$$$</x:v>
      </x:c>
      <x:c r="M541" s="22" t="str">
        <x:v>단가대비표</x:v>
      </x:c>
      <x:c r="N541" s="37" t="n">
        <x:v>243</x:v>
      </x:c>
      <x:c r="O5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1" s="22" t="str">
        <x:v>47d79c95e2c3273f84778935276c94526e369cc1b1bc057f6b03c998f44e253f</x:v>
      </x:c>
      <x:c r="Q541" s="22" t="str">
        <x:v>=O243+P243+V243</x:v>
      </x:c>
    </x:row>
    <x:row r="542">
      <x:c r="A542" s="22" t="str">
        <x:v>직접자원단가</x:v>
      </x:c>
      <x:c r="B542" s="22" t="str">
        <x:v>4531284DDC776A4702EA22A0C0638FB350520</x:v>
      </x:c>
      <x:c r="C542" s="25" t="str">
        <x:v>[현지기준단가]Concrete Lintel, 200mm thick</x:v>
      </x:c>
      <x:c r="D542" s="25" t="str"/>
      <x:c r="E542" s="22" t="str">
        <x:v>M</x:v>
      </x:c>
      <x:c r="F542" s="34" t="n">
        <x:v>4</x:v>
      </x:c>
      <x:c r="G542" s="34" t="n">
        <x:v>5</x:v>
      </x:c>
      <x:c r="H542" s="34" t="n">
        <x:v>0</x:v>
      </x:c>
      <x:c r="I542" s="34" t="n">
        <x:f>SUM(F542:H542)</x:f>
        <x:v>9</x:v>
      </x:c>
      <x:c r="J542" s="22" t="str">
        <x:v>4</x:v>
      </x:c>
      <x:c r="K542" s="22" t="str"/>
      <x:c r="L542" s="22" t="str">
        <x:v>※$$$$$$$$$</x:v>
      </x:c>
      <x:c r="M542" s="22" t="str">
        <x:v>단가대비표</x:v>
      </x:c>
      <x:c r="N542" s="37" t="n">
        <x:v>244</x:v>
      </x:c>
      <x:c r="O5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2" s="22" t="str">
        <x:v>47d79c95e2c3273f84778935276c94526e369cc1b1bc057f6b03c998f44e253f</x:v>
      </x:c>
      <x:c r="Q542" s="22" t="str">
        <x:v>=O244+P244+V244</x:v>
      </x:c>
    </x:row>
    <x:row r="543">
      <x:c r="A543" s="22" t="str">
        <x:v>직접자원단가</x:v>
      </x:c>
      <x:c r="B543" s="22" t="str">
        <x:v>4531284DDC776A4702EA22A0C0638FB350402</x:v>
      </x:c>
      <x:c r="C543" s="25" t="str">
        <x:v>[현지기준단가]Basin counter/toilet W:600</x:v>
      </x:c>
      <x:c r="D543" s="25" t="str"/>
      <x:c r="E543" s="22" t="str">
        <x:v>M</x:v>
      </x:c>
      <x:c r="F543" s="34" t="n">
        <x:v>69</x:v>
      </x:c>
      <x:c r="G543" s="34" t="n">
        <x:v>0</x:v>
      </x:c>
      <x:c r="H543" s="34" t="n">
        <x:v>0</x:v>
      </x:c>
      <x:c r="I543" s="34" t="n">
        <x:f>SUM(F543:H543)</x:f>
        <x:v>69</x:v>
      </x:c>
      <x:c r="J543" s="22" t="str">
        <x:v>69</x:v>
      </x:c>
      <x:c r="K543" s="22" t="str"/>
      <x:c r="L543" s="22" t="str">
        <x:v>※$$$$$$$$$</x:v>
      </x:c>
      <x:c r="M543" s="22" t="str">
        <x:v>단가대비표</x:v>
      </x:c>
      <x:c r="N543" s="37" t="n">
        <x:v>245</x:v>
      </x:c>
      <x:c r="O5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3" s="22" t="str">
        <x:v>47d79c95e2c3273f84778935276c94526e369cc1b1bc057f6b03c998f44e253f</x:v>
      </x:c>
      <x:c r="Q543" s="22" t="str">
        <x:v>=O245+P245+V245</x:v>
      </x:c>
    </x:row>
    <x:row r="544">
      <x:c r="A544" s="22" t="str">
        <x:v>직접자원단가</x:v>
      </x:c>
      <x:c r="B544" s="22" t="str">
        <x:v>4531284DDC776A4702EA22A0C0638FB350401</x:v>
      </x:c>
      <x:c r="C544" s="25" t="str">
        <x:v>[현지기준단가]Supply &amp; Fixing of Limestone Capping 65*30mm, Mortar 15mm</x:v>
      </x:c>
      <x:c r="D544" s="25" t="str"/>
      <x:c r="E544" s="22" t="str">
        <x:v>M</x:v>
      </x:c>
      <x:c r="F544" s="34" t="n">
        <x:v>3</x:v>
      </x:c>
      <x:c r="G544" s="34" t="n">
        <x:v>2.09</x:v>
      </x:c>
      <x:c r="H544" s="34" t="n">
        <x:v>0.03</x:v>
      </x:c>
      <x:c r="I544" s="34" t="n">
        <x:f>SUM(F544:H544)</x:f>
        <x:v>5.12</x:v>
      </x:c>
      <x:c r="J544" s="22" t="str">
        <x:v>3</x:v>
      </x:c>
      <x:c r="K544" s="22" t="str"/>
      <x:c r="L544" s="22" t="str">
        <x:v>※$$$$$$$$$</x:v>
      </x:c>
      <x:c r="M544" s="22" t="str">
        <x:v>단가대비표</x:v>
      </x:c>
      <x:c r="N544" s="37" t="n">
        <x:v>246</x:v>
      </x:c>
      <x:c r="O5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4" s="22" t="str">
        <x:v>47d79c95e2c3273f84778935276c94526e369cc1b1bc057f6b03c998f44e253f</x:v>
      </x:c>
      <x:c r="Q544" s="22" t="str">
        <x:v>=O246+P246+V246</x:v>
      </x:c>
    </x:row>
    <x:row r="545">
      <x:c r="A545" s="22" t="str">
        <x:v>직접자원단가</x:v>
      </x:c>
      <x:c r="B545" s="22" t="str">
        <x:v>4531284DDC776A4702EA22A0C0638FB350406</x:v>
      </x:c>
      <x:c r="C545" s="25" t="str">
        <x:v>[현지기준단가]Tile Bottom Mortar /Floor, Mortar 25mm</x:v>
      </x:c>
      <x:c r="D545" s="25" t="str">
        <x:v>FLOOR</x:v>
      </x:c>
      <x:c r="E545" s="22" t="str">
        <x:v>M2</x:v>
      </x:c>
      <x:c r="F545" s="34" t="n">
        <x:v>1.65</x:v>
      </x:c>
      <x:c r="G545" s="34" t="n">
        <x:v>3</x:v>
      </x:c>
      <x:c r="H545" s="34" t="n">
        <x:v>0</x:v>
      </x:c>
      <x:c r="I545" s="34" t="n">
        <x:f>SUM(F545:H545)</x:f>
        <x:v>4.65</x:v>
      </x:c>
      <x:c r="J545" s="22" t="str">
        <x:v>1.65</x:v>
      </x:c>
      <x:c r="K545" s="22" t="str"/>
      <x:c r="L545" s="22" t="str">
        <x:v>※$$$$$$$$$</x:v>
      </x:c>
      <x:c r="M545" s="22" t="str">
        <x:v>단가대비표</x:v>
      </x:c>
      <x:c r="N545" s="37" t="n">
        <x:v>247</x:v>
      </x:c>
      <x:c r="O5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5" s="22" t="str">
        <x:v>47d79c95e2c3273f84778935276c94526e369cc1b1bc057f6b03c998f44e253f</x:v>
      </x:c>
      <x:c r="Q545" s="22" t="str">
        <x:v>=O247+P247+V247</x:v>
      </x:c>
    </x:row>
    <x:row r="546">
      <x:c r="A546" s="22" t="str">
        <x:v>직접자원단가</x:v>
      </x:c>
      <x:c r="B546" s="22" t="str">
        <x:v>4531284DDC776A4702EA22A0C0638FB350407</x:v>
      </x:c>
      <x:c r="C546" s="25" t="str">
        <x:v>[현지기준단가]Tile Bottom Mortar /Floor, Mortar 41mm</x:v>
      </x:c>
      <x:c r="D546" s="25" t="str">
        <x:v>FLOOR</x:v>
      </x:c>
      <x:c r="E546" s="22" t="str">
        <x:v>M2</x:v>
      </x:c>
      <x:c r="F546" s="34" t="n">
        <x:v>2.71</x:v>
      </x:c>
      <x:c r="G546" s="34" t="n">
        <x:v>3</x:v>
      </x:c>
      <x:c r="H546" s="34" t="n">
        <x:v>0</x:v>
      </x:c>
      <x:c r="I546" s="34" t="n">
        <x:f>SUM(F546:H546)</x:f>
        <x:v>5.71</x:v>
      </x:c>
      <x:c r="J546" s="22" t="str">
        <x:v>2.71</x:v>
      </x:c>
      <x:c r="K546" s="22" t="str"/>
      <x:c r="L546" s="22" t="str">
        <x:v>※$$$$$$$$$</x:v>
      </x:c>
      <x:c r="M546" s="22" t="str">
        <x:v>단가대비표</x:v>
      </x:c>
      <x:c r="N546" s="37" t="n">
        <x:v>248</x:v>
      </x:c>
      <x:c r="O5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6" s="22" t="str">
        <x:v>47d79c95e2c3273f84778935276c94526e369cc1b1bc057f6b03c998f44e253f</x:v>
      </x:c>
      <x:c r="Q546" s="22" t="str">
        <x:v>=O248+P248+V248</x:v>
      </x:c>
    </x:row>
    <x:row r="547">
      <x:c r="A547" s="22" t="str">
        <x:v>직접자원단가</x:v>
      </x:c>
      <x:c r="B547" s="22" t="str">
        <x:v>4531284DDC776A4702EA22A0C0638FB350404</x:v>
      </x:c>
      <x:c r="C547" s="25" t="str">
        <x:v>[현지기준단가]Tile Bottom Mortar /Floor, Mortar 51mm</x:v>
      </x:c>
      <x:c r="D547" s="25" t="str">
        <x:v>FLOOR</x:v>
      </x:c>
      <x:c r="E547" s="22" t="str">
        <x:v>M2</x:v>
      </x:c>
      <x:c r="F547" s="34" t="n">
        <x:v>3.37</x:v>
      </x:c>
      <x:c r="G547" s="34" t="n">
        <x:v>3</x:v>
      </x:c>
      <x:c r="H547" s="34" t="n">
        <x:v>0</x:v>
      </x:c>
      <x:c r="I547" s="34" t="n">
        <x:f>SUM(F547:H547)</x:f>
        <x:v>6.37</x:v>
      </x:c>
      <x:c r="J547" s="22" t="str">
        <x:v>3.37</x:v>
      </x:c>
      <x:c r="K547" s="22" t="str"/>
      <x:c r="L547" s="22" t="str">
        <x:v>※$$$$$$$$$</x:v>
      </x:c>
      <x:c r="M547" s="22" t="str">
        <x:v>단가대비표</x:v>
      </x:c>
      <x:c r="N547" s="37" t="n">
        <x:v>249</x:v>
      </x:c>
      <x:c r="O5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7" s="22" t="str">
        <x:v>47d79c95e2c3273f84778935276c94526e369cc1b1bc057f6b03c998f44e253f</x:v>
      </x:c>
      <x:c r="Q547" s="22" t="str">
        <x:v>=O249+P249+V249</x:v>
      </x:c>
    </x:row>
    <x:row r="548">
      <x:c r="A548" s="22" t="str">
        <x:v>직접자원단가</x:v>
      </x:c>
      <x:c r="B548" s="22" t="str">
        <x:v>4531284DDC776A4702EA22A0C0638FB350405</x:v>
      </x:c>
      <x:c r="C548" s="25" t="str">
        <x:v>[현지기준단가]Tile Bottom Mortar /WALL, Mortar 23mm</x:v>
      </x:c>
      <x:c r="D548" s="25" t="str">
        <x:v>WALL</x:v>
      </x:c>
      <x:c r="E548" s="22" t="str">
        <x:v>M2</x:v>
      </x:c>
      <x:c r="F548" s="34" t="n">
        <x:v>1.52</x:v>
      </x:c>
      <x:c r="G548" s="34" t="n">
        <x:v>3</x:v>
      </x:c>
      <x:c r="H548" s="34" t="n">
        <x:v>0</x:v>
      </x:c>
      <x:c r="I548" s="34" t="n">
        <x:f>SUM(F548:H548)</x:f>
        <x:v>4.52</x:v>
      </x:c>
      <x:c r="J548" s="22" t="str">
        <x:v>1.52</x:v>
      </x:c>
      <x:c r="K548" s="22" t="str"/>
      <x:c r="L548" s="22" t="str">
        <x:v>※$$$$$$$$$</x:v>
      </x:c>
      <x:c r="M548" s="22" t="str">
        <x:v>단가대비표</x:v>
      </x:c>
      <x:c r="N548" s="37" t="n">
        <x:v>250</x:v>
      </x:c>
      <x:c r="O54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8" s="22" t="str">
        <x:v>47d79c95e2c3273f84778935276c94526e369cc1b1bc057f6b03c998f44e253f</x:v>
      </x:c>
      <x:c r="Q548" s="22" t="str">
        <x:v>=O250+P250+V250</x:v>
      </x:c>
    </x:row>
    <x:row r="549">
      <x:c r="A549" s="22" t="str">
        <x:v>직접자원단가</x:v>
      </x:c>
      <x:c r="B549" s="22" t="str">
        <x:v>4531284DDC776A4702EA22A0C0638FB35040A</x:v>
      </x:c>
      <x:c r="C549" s="25" t="str">
        <x:v>[현지기준단가]THK197 ACCESS FLOOR, THK3 CONDUCTIVE TILE</x:v>
      </x:c>
      <x:c r="D549" s="25" t="str"/>
      <x:c r="E549" s="22" t="str">
        <x:v>M2</x:v>
      </x:c>
      <x:c r="F549" s="34" t="n">
        <x:v>110</x:v>
      </x:c>
      <x:c r="G549" s="34" t="n">
        <x:v>20</x:v>
      </x:c>
      <x:c r="H549" s="34" t="n">
        <x:v>0</x:v>
      </x:c>
      <x:c r="I549" s="34" t="n">
        <x:f>SUM(F549:H549)</x:f>
        <x:v>130</x:v>
      </x:c>
      <x:c r="J549" s="22" t="str">
        <x:v>110</x:v>
      </x:c>
      <x:c r="K549" s="22" t="str"/>
      <x:c r="L549" s="22" t="str">
        <x:v>※$$$$$$$$$</x:v>
      </x:c>
      <x:c r="M549" s="22" t="str">
        <x:v>단가대비표</x:v>
      </x:c>
      <x:c r="N549" s="37" t="n">
        <x:v>251</x:v>
      </x:c>
      <x:c r="O54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49" s="22" t="str">
        <x:v>47d79c95e2c3273f84778935276c94526e369cc1b1bc057f6b03c998f44e253f</x:v>
      </x:c>
      <x:c r="Q549" s="22" t="str">
        <x:v>=O251+P251+V251</x:v>
      </x:c>
    </x:row>
    <x:row r="550">
      <x:c r="A550" s="22" t="str">
        <x:v>직접자원단가</x:v>
      </x:c>
      <x:c r="B550" s="22" t="str">
        <x:v>4531284DDC776A4702EA22A0C0638FB35040B</x:v>
      </x:c>
      <x:c r="C550" s="25" t="str">
        <x:v>[현지기준단가]Bathroom Partition</x:v>
      </x:c>
      <x:c r="D550" s="25" t="str"/>
      <x:c r="E550" s="22" t="str">
        <x:v>M2</x:v>
      </x:c>
      <x:c r="F550" s="34" t="n">
        <x:v>130</x:v>
      </x:c>
      <x:c r="G550" s="34" t="n">
        <x:v>0</x:v>
      </x:c>
      <x:c r="H550" s="34" t="n">
        <x:v>0</x:v>
      </x:c>
      <x:c r="I550" s="34" t="n">
        <x:f>SUM(F550:H550)</x:f>
        <x:v>130</x:v>
      </x:c>
      <x:c r="J550" s="22" t="str">
        <x:v>130</x:v>
      </x:c>
      <x:c r="K550" s="22" t="str"/>
      <x:c r="L550" s="22" t="str">
        <x:v>※$$$$$$$$$</x:v>
      </x:c>
      <x:c r="M550" s="22" t="str">
        <x:v>단가대비표</x:v>
      </x:c>
      <x:c r="N550" s="37" t="n">
        <x:v>252</x:v>
      </x:c>
      <x:c r="O55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0" s="22" t="str">
        <x:v>47d79c95e2c3273f84778935276c94526e369cc1b1bc057f6b03c998f44e253f</x:v>
      </x:c>
      <x:c r="Q550" s="22" t="str">
        <x:v>=O252+P252+V252</x:v>
      </x:c>
    </x:row>
    <x:row r="551">
      <x:c r="A551" s="22" t="str">
        <x:v>직접자원단가</x:v>
      </x:c>
      <x:c r="B551" s="22" t="str">
        <x:v>4531284DDC776A4702EA22A0C0638FB3507D6</x:v>
      </x:c>
      <x:c r="C551" s="25" t="str">
        <x:v>[현지기준단가]Thk 2mm,Vinyl Sheet (A / GENERAL), W/Plastering 58mm thick on concrete floors</x:v>
      </x:c>
      <x:c r="D551" s="25" t="str"/>
      <x:c r="E551" s="22" t="str">
        <x:v>M2</x:v>
      </x:c>
      <x:c r="F551" s="34" t="n">
        <x:v>15</x:v>
      </x:c>
      <x:c r="G551" s="34" t="n">
        <x:v>2.04</x:v>
      </x:c>
      <x:c r="H551" s="34" t="n">
        <x:v>0</x:v>
      </x:c>
      <x:c r="I551" s="34" t="n">
        <x:f>SUM(F551:H551)</x:f>
        <x:v>17.04</x:v>
      </x:c>
      <x:c r="J551" s="22" t="str">
        <x:v>15</x:v>
      </x:c>
      <x:c r="K551" s="22" t="str"/>
      <x:c r="L551" s="22" t="str">
        <x:v>※$$$$$$$$$</x:v>
      </x:c>
      <x:c r="M551" s="22" t="str">
        <x:v>단가대비표</x:v>
      </x:c>
      <x:c r="N551" s="37" t="n">
        <x:v>253</x:v>
      </x:c>
      <x:c r="O55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1" s="22" t="str">
        <x:v>47d79c95e2c3273f84778935276c94526e369cc1b1bc057f6b03c998f44e253f</x:v>
      </x:c>
      <x:c r="Q551" s="22" t="str">
        <x:v>=O253+P253+V253</x:v>
      </x:c>
    </x:row>
    <x:row r="552">
      <x:c r="A552" s="22" t="str">
        <x:v>직접자원단가</x:v>
      </x:c>
      <x:c r="B552" s="22" t="str">
        <x:v>4531284DDC776A4702EA22A0C0638FB3507D7</x:v>
      </x:c>
      <x:c r="C552" s="25" t="str">
        <x:v>[현지기준단가]Thk 2mm,Vinyl Sheet (B / HEAVY DUTY), W/Plastering 58mm thick on concrete floors</x:v>
      </x:c>
      <x:c r="D552" s="25" t="str"/>
      <x:c r="E552" s="22" t="str">
        <x:v>M2</x:v>
      </x:c>
      <x:c r="F552" s="34" t="n">
        <x:v>16</x:v>
      </x:c>
      <x:c r="G552" s="34" t="n">
        <x:v>2.04</x:v>
      </x:c>
      <x:c r="H552" s="34" t="n">
        <x:v>0</x:v>
      </x:c>
      <x:c r="I552" s="34" t="n">
        <x:f>SUM(F552:H552)</x:f>
        <x:v>18.04</x:v>
      </x:c>
      <x:c r="J552" s="22" t="str">
        <x:v>16</x:v>
      </x:c>
      <x:c r="K552" s="22" t="str"/>
      <x:c r="L552" s="22" t="str">
        <x:v>※$$$$$$$$$</x:v>
      </x:c>
      <x:c r="M552" s="22" t="str">
        <x:v>단가대비표</x:v>
      </x:c>
      <x:c r="N552" s="37" t="n">
        <x:v>254</x:v>
      </x:c>
      <x:c r="O55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2" s="22" t="str">
        <x:v>47d79c95e2c3273f84778935276c94526e369cc1b1bc057f6b03c998f44e253f</x:v>
      </x:c>
      <x:c r="Q552" s="22" t="str">
        <x:v>=O254+P254+V254</x:v>
      </x:c>
    </x:row>
    <x:row r="553">
      <x:c r="A553" s="22" t="str">
        <x:v>직접자원단가</x:v>
      </x:c>
      <x:c r="B553" s="22" t="str">
        <x:v>4531284DDC776A4702EA22A0C0638FB3507D4</x:v>
      </x:c>
      <x:c r="C553" s="25" t="str">
        <x:v>[현지기준단가]Thk 2mm,Vinyl Sheet (C / ANTI-BACTERIAL), W/Plastering 58mm thick on concrete floors</x:v>
      </x:c>
      <x:c r="D553" s="25" t="str"/>
      <x:c r="E553" s="22" t="str">
        <x:v>M2</x:v>
      </x:c>
      <x:c r="F553" s="34" t="n">
        <x:v>20</x:v>
      </x:c>
      <x:c r="G553" s="34" t="n">
        <x:v>2.04</x:v>
      </x:c>
      <x:c r="H553" s="34" t="n">
        <x:v>0</x:v>
      </x:c>
      <x:c r="I553" s="34" t="n">
        <x:f>SUM(F553:H553)</x:f>
        <x:v>22.04</x:v>
      </x:c>
      <x:c r="J553" s="22" t="str">
        <x:v>20</x:v>
      </x:c>
      <x:c r="K553" s="22" t="str"/>
      <x:c r="L553" s="22" t="str">
        <x:v>※$$$$$$$$$</x:v>
      </x:c>
      <x:c r="M553" s="22" t="str">
        <x:v>단가대비표</x:v>
      </x:c>
      <x:c r="N553" s="37" t="n">
        <x:v>255</x:v>
      </x:c>
      <x:c r="O55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3" s="22" t="str">
        <x:v>47d79c95e2c3273f84778935276c94526e369cc1b1bc057f6b03c998f44e253f</x:v>
      </x:c>
      <x:c r="Q553" s="22" t="str">
        <x:v>=O255+P255+V255</x:v>
      </x:c>
    </x:row>
    <x:row r="554">
      <x:c r="A554" s="22" t="str">
        <x:v>직접자원단가</x:v>
      </x:c>
      <x:c r="B554" s="22" t="str">
        <x:v>4531284DDC776A4702EA22A0C0638FB3507D5</x:v>
      </x:c>
      <x:c r="C554" s="25" t="str">
        <x:v>[현지기준단가]Thk 2mm,Vinyl Sheet (B / HEAVY DUTY), W/Plastering 48mm thick on concrete floors</x:v>
      </x:c>
      <x:c r="D554" s="25" t="str"/>
      <x:c r="E554" s="22" t="str">
        <x:v>M2</x:v>
      </x:c>
      <x:c r="F554" s="34" t="n">
        <x:v>15.5</x:v>
      </x:c>
      <x:c r="G554" s="34" t="n">
        <x:v>2.04</x:v>
      </x:c>
      <x:c r="H554" s="34" t="n">
        <x:v>0</x:v>
      </x:c>
      <x:c r="I554" s="34" t="n">
        <x:f>SUM(F554:H554)</x:f>
        <x:v>17.54</x:v>
      </x:c>
      <x:c r="J554" s="22" t="str">
        <x:v>15.5</x:v>
      </x:c>
      <x:c r="K554" s="22" t="str"/>
      <x:c r="L554" s="22" t="str">
        <x:v>※$$$$$$$$$</x:v>
      </x:c>
      <x:c r="M554" s="22" t="str">
        <x:v>단가대비표</x:v>
      </x:c>
      <x:c r="N554" s="37" t="n">
        <x:v>256</x:v>
      </x:c>
      <x:c r="O55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4" s="22" t="str">
        <x:v>47d79c95e2c3273f84778935276c94526e369cc1b1bc057f6b03c998f44e253f</x:v>
      </x:c>
      <x:c r="Q554" s="22" t="str">
        <x:v>=O256+P256+V256</x:v>
      </x:c>
    </x:row>
    <x:row r="555">
      <x:c r="A555" s="22" t="str">
        <x:v>직접자원단가</x:v>
      </x:c>
      <x:c r="B555" s="22" t="str">
        <x:v>4531284DDC776A4702EA22A0C0638FB3507D2</x:v>
      </x:c>
      <x:c r="C555" s="25" t="str">
        <x:v>[현지기준단가]Thk 2mm,Vinyl Sheet (C / ANTI-BACTERIAL), W/Plastering 48mm thick on concrete floors</x:v>
      </x:c>
      <x:c r="D555" s="25" t="str"/>
      <x:c r="E555" s="22" t="str">
        <x:v>M2</x:v>
      </x:c>
      <x:c r="F555" s="34" t="n">
        <x:v>20</x:v>
      </x:c>
      <x:c r="G555" s="34" t="n">
        <x:v>2.04</x:v>
      </x:c>
      <x:c r="H555" s="34" t="n">
        <x:v>0</x:v>
      </x:c>
      <x:c r="I555" s="34" t="n">
        <x:f>SUM(F555:H555)</x:f>
        <x:v>22.04</x:v>
      </x:c>
      <x:c r="J555" s="22" t="str">
        <x:v>20</x:v>
      </x:c>
      <x:c r="K555" s="22" t="str"/>
      <x:c r="L555" s="22" t="str">
        <x:v>※$$$$$$$$$</x:v>
      </x:c>
      <x:c r="M555" s="22" t="str">
        <x:v>단가대비표</x:v>
      </x:c>
      <x:c r="N555" s="37" t="n">
        <x:v>257</x:v>
      </x:c>
      <x:c r="O55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5" s="22" t="str">
        <x:v>47d79c95e2c3273f84778935276c94526e369cc1b1bc057f6b03c998f44e253f</x:v>
      </x:c>
      <x:c r="Q555" s="22" t="str">
        <x:v>=O257+P257+V257</x:v>
      </x:c>
    </x:row>
    <x:row r="556">
      <x:c r="A556" s="22" t="str">
        <x:v>직접자원단가</x:v>
      </x:c>
      <x:c r="B556" s="22" t="str">
        <x:v>4531284DDC776A4702EA22A0C0638FB3507D3</x:v>
      </x:c>
      <x:c r="C556" s="25" t="str">
        <x:v>[현지기준단가]Thk 2mm,Vinyl Sheet (D / CONDUCTIVE), W/Plastering 48mm thick on concrete floors</x:v>
      </x:c>
      <x:c r="D556" s="25" t="str"/>
      <x:c r="E556" s="22" t="str">
        <x:v>M2</x:v>
      </x:c>
      <x:c r="F556" s="34" t="n">
        <x:v>20</x:v>
      </x:c>
      <x:c r="G556" s="34" t="n">
        <x:v>2.04</x:v>
      </x:c>
      <x:c r="H556" s="34" t="n">
        <x:v>0</x:v>
      </x:c>
      <x:c r="I556" s="34" t="n">
        <x:f>SUM(F556:H556)</x:f>
        <x:v>22.04</x:v>
      </x:c>
      <x:c r="J556" s="22" t="str">
        <x:v>20</x:v>
      </x:c>
      <x:c r="K556" s="22" t="str"/>
      <x:c r="L556" s="22" t="str">
        <x:v>※$$$$$$$$$</x:v>
      </x:c>
      <x:c r="M556" s="22" t="str">
        <x:v>단가대비표</x:v>
      </x:c>
      <x:c r="N556" s="37" t="n">
        <x:v>258</x:v>
      </x:c>
      <x:c r="O55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6" s="22" t="str">
        <x:v>47d79c95e2c3273f84778935276c94526e369cc1b1bc057f6b03c998f44e253f</x:v>
      </x:c>
      <x:c r="Q556" s="22" t="str">
        <x:v>=O258+P258+V258</x:v>
      </x:c>
    </x:row>
    <x:row r="557">
      <x:c r="A557" s="22" t="str">
        <x:v>직접자원단가</x:v>
      </x:c>
      <x:c r="B557" s="22" t="str">
        <x:v>4531284DDC776A4702EA22A0C0638FB3507D0</x:v>
      </x:c>
      <x:c r="C557" s="25" t="str">
        <x:v>[현지기준단가]Thk 2mm,Vinyl Sheet (A / GENERAL), W/Plastering 48mm thick on concrete floors</x:v>
      </x:c>
      <x:c r="D557" s="25" t="str"/>
      <x:c r="E557" s="22" t="str">
        <x:v>M2</x:v>
      </x:c>
      <x:c r="F557" s="34" t="n">
        <x:v>14.5</x:v>
      </x:c>
      <x:c r="G557" s="34" t="n">
        <x:v>2.04</x:v>
      </x:c>
      <x:c r="H557" s="34" t="n">
        <x:v>0</x:v>
      </x:c>
      <x:c r="I557" s="34" t="n">
        <x:f>SUM(F557:H557)</x:f>
        <x:v>16.54</x:v>
      </x:c>
      <x:c r="J557" s="22" t="str">
        <x:v>14.5</x:v>
      </x:c>
      <x:c r="K557" s="22" t="str"/>
      <x:c r="L557" s="22" t="str">
        <x:v>※$$$$$$$$$</x:v>
      </x:c>
      <x:c r="M557" s="22" t="str">
        <x:v>단가대비표</x:v>
      </x:c>
      <x:c r="N557" s="37" t="n">
        <x:v>259</x:v>
      </x:c>
      <x:c r="O55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7" s="22" t="str">
        <x:v>47d79c95e2c3273f84778935276c94526e369cc1b1bc057f6b03c998f44e253f</x:v>
      </x:c>
      <x:c r="Q557" s="22" t="str">
        <x:v>=O259+P259+V259</x:v>
      </x:c>
    </x:row>
    <x:row r="558">
      <x:c r="A558" s="22" t="str">
        <x:v>직접자원단가</x:v>
      </x:c>
      <x:c r="B558" s="22" t="str">
        <x:v>4531284DDC776A4702EA22A0C0638FB3507D1</x:v>
      </x:c>
      <x:c r="C558" s="25" t="str">
        <x:v>[현지기준단가]Supplying and laying of 100mm (h), 2T Vinyl Sheet skirting.</x:v>
      </x:c>
      <x:c r="D558" s="25" t="str"/>
      <x:c r="E558" s="22" t="str">
        <x:v>M2</x:v>
      </x:c>
      <x:c r="F558" s="34" t="n">
        <x:v>5</x:v>
      </x:c>
      <x:c r="G558" s="34" t="n">
        <x:v>0</x:v>
      </x:c>
      <x:c r="H558" s="34" t="n">
        <x:v>0</x:v>
      </x:c>
      <x:c r="I558" s="34" t="n">
        <x:f>SUM(F558:H558)</x:f>
        <x:v>5</x:v>
      </x:c>
      <x:c r="J558" s="22" t="str">
        <x:v>5</x:v>
      </x:c>
      <x:c r="K558" s="22" t="str"/>
      <x:c r="L558" s="22" t="str">
        <x:v>※$$$$$$$$$</x:v>
      </x:c>
      <x:c r="M558" s="22" t="str">
        <x:v>단가대비표</x:v>
      </x:c>
      <x:c r="N558" s="37" t="n">
        <x:v>260</x:v>
      </x:c>
      <x:c r="O55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8" s="22" t="str">
        <x:v>47d79c95e2c3273f84778935276c94526e369cc1b1bc057f6b03c998f44e253f</x:v>
      </x:c>
      <x:c r="Q558" s="22" t="str">
        <x:v>=O260+P260+V260</x:v>
      </x:c>
    </x:row>
    <x:row r="559">
      <x:c r="A559" s="22" t="str">
        <x:v>직접자원단가</x:v>
      </x:c>
      <x:c r="B559" s="22" t="str">
        <x:v>4531284DDC776A4702EA22A0C0638FB3507DE</x:v>
      </x:c>
      <x:c r="C559" s="25" t="str">
        <x:v>[현지기준단가]Supplying and laying of 100mm (h) PVC skirting.</x:v>
      </x:c>
      <x:c r="D559" s="25" t="str"/>
      <x:c r="E559" s="22" t="str">
        <x:v>M2</x:v>
      </x:c>
      <x:c r="F559" s="34" t="n">
        <x:v>15</x:v>
      </x:c>
      <x:c r="G559" s="34" t="n">
        <x:v>0</x:v>
      </x:c>
      <x:c r="H559" s="34" t="n">
        <x:v>0</x:v>
      </x:c>
      <x:c r="I559" s="34" t="n">
        <x:f>SUM(F559:H559)</x:f>
        <x:v>15</x:v>
      </x:c>
      <x:c r="J559" s="22" t="str">
        <x:v>15</x:v>
      </x:c>
      <x:c r="K559" s="22" t="str"/>
      <x:c r="L559" s="22" t="str">
        <x:v>※$$$$$$$$$</x:v>
      </x:c>
      <x:c r="M559" s="22" t="str">
        <x:v>단가대비표</x:v>
      </x:c>
      <x:c r="N559" s="37" t="n">
        <x:v>261</x:v>
      </x:c>
      <x:c r="O55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59" s="22" t="str">
        <x:v>47d79c95e2c3273f84778935276c94526e369cc1b1bc057f6b03c998f44e253f</x:v>
      </x:c>
      <x:c r="Q559" s="22" t="str">
        <x:v>=O261+P261+V261</x:v>
      </x:c>
    </x:row>
    <x:row r="560">
      <x:c r="A560" s="22" t="str">
        <x:v>직접자원단가</x:v>
      </x:c>
      <x:c r="B560" s="22" t="str">
        <x:v>4531284DDC776A4702EA22A0C0638FB3507DF</x:v>
      </x:c>
      <x:c r="C560" s="25" t="str">
        <x:v>[현지기준단가]Supplying and laying of 100mm (h) 15T Granite skirting.</x:v>
      </x:c>
      <x:c r="D560" s="25" t="str"/>
      <x:c r="E560" s="22" t="str">
        <x:v>M2</x:v>
      </x:c>
      <x:c r="F560" s="34" t="n">
        <x:v>15</x:v>
      </x:c>
      <x:c r="G560" s="34" t="n">
        <x:v>0</x:v>
      </x:c>
      <x:c r="H560" s="34" t="n">
        <x:v>0</x:v>
      </x:c>
      <x:c r="I560" s="34" t="n">
        <x:f>SUM(F560:H560)</x:f>
        <x:v>15</x:v>
      </x:c>
      <x:c r="J560" s="22" t="str">
        <x:v>15</x:v>
      </x:c>
      <x:c r="K560" s="22" t="str"/>
      <x:c r="L560" s="22" t="str">
        <x:v>※$$$$$$$$$</x:v>
      </x:c>
      <x:c r="M560" s="22" t="str">
        <x:v>단가대비표</x:v>
      </x:c>
      <x:c r="N560" s="37" t="n">
        <x:v>262</x:v>
      </x:c>
      <x:c r="O56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0" s="22" t="str">
        <x:v>47d79c95e2c3273f84778935276c94526e369cc1b1bc057f6b03c998f44e253f</x:v>
      </x:c>
      <x:c r="Q560" s="22" t="str">
        <x:v>=O262+P262+V262</x:v>
      </x:c>
    </x:row>
    <x:row r="561">
      <x:c r="A561" s="22" t="str">
        <x:v>직접자원단가</x:v>
      </x:c>
      <x:c r="B561" s="22" t="str">
        <x:v>4531284DDC776A4702EA22A0C0638FB3506CF</x:v>
      </x:c>
      <x:c r="C561" s="25" t="str">
        <x:v>[현지기준단가]Supplying and laying of 100mm (h) porcelain tile skirting, T3 Tile Adhesive</x:v>
      </x:c>
      <x:c r="D561" s="25" t="str"/>
      <x:c r="E561" s="22" t="str">
        <x:v>M2</x:v>
      </x:c>
      <x:c r="F561" s="34" t="n">
        <x:v>5</x:v>
      </x:c>
      <x:c r="G561" s="34" t="n">
        <x:v>0</x:v>
      </x:c>
      <x:c r="H561" s="34" t="n">
        <x:v>0</x:v>
      </x:c>
      <x:c r="I561" s="34" t="n">
        <x:f>SUM(F561:H561)</x:f>
        <x:v>5</x:v>
      </x:c>
      <x:c r="J561" s="22" t="str">
        <x:v>5</x:v>
      </x:c>
      <x:c r="K561" s="22" t="str"/>
      <x:c r="L561" s="22" t="str">
        <x:v>※$$$$$$$$$</x:v>
      </x:c>
      <x:c r="M561" s="22" t="str">
        <x:v>단가대비표</x:v>
      </x:c>
      <x:c r="N561" s="37" t="n">
        <x:v>263</x:v>
      </x:c>
      <x:c r="O56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1" s="22" t="str">
        <x:v>47d79c95e2c3273f84778935276c94526e369cc1b1bc057f6b03c998f44e253f</x:v>
      </x:c>
      <x:c r="Q561" s="22" t="str">
        <x:v>=O263+P263+V263</x:v>
      </x:c>
    </x:row>
    <x:row r="562">
      <x:c r="A562" s="22" t="str">
        <x:v>직접자원단가</x:v>
      </x:c>
      <x:c r="B562" s="22" t="str">
        <x:v>4531284DDC776A4702EA22A0C0638FB3506CE</x:v>
      </x:c>
      <x:c r="C562" s="25" t="str">
        <x:v>[국내기준단가]DRY WALL D1(W125), General Drywall System,(ON 100*45*0.8 C-STUD @450+102*40*0.8 RUNNER)</x:v>
      </x:c>
      <x:c r="D562" s="25" t="str">
        <x:v>(T12.5 General Gypsum Board) 2LAYER+(T12.5 General Gypsum Board) 2LAYER</x:v>
      </x:c>
      <x:c r="E562" s="22" t="str">
        <x:v>M2</x:v>
      </x:c>
      <x:c r="F562" s="34" t="n">
        <x:v>25</x:v>
      </x:c>
      <x:c r="G562" s="34" t="n">
        <x:v>9.88</x:v>
      </x:c>
      <x:c r="H562" s="34" t="n">
        <x:v>0.19</x:v>
      </x:c>
      <x:c r="I562" s="34" t="n">
        <x:f>SUM(F562:H562)</x:f>
        <x:v>35.07</x:v>
      </x:c>
      <x:c r="J562" s="22" t="str">
        <x:v>25</x:v>
      </x:c>
      <x:c r="K562" s="22" t="str"/>
      <x:c r="L562" s="22" t="str">
        <x:v>※$$$$$$$$$</x:v>
      </x:c>
      <x:c r="M562" s="22" t="str">
        <x:v>단가대비표</x:v>
      </x:c>
      <x:c r="N562" s="37" t="n">
        <x:v>264</x:v>
      </x:c>
      <x:c r="O56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2" s="22" t="str">
        <x:v>47d79c95e2c3273f84778935276c94526e369cc1b1bc057f6b03c998f44e253f</x:v>
      </x:c>
      <x:c r="Q562" s="22" t="str">
        <x:v>=O264+P264+V264</x:v>
      </x:c>
    </x:row>
    <x:row r="563">
      <x:c r="A563" s="22" t="str">
        <x:v>직접자원단가</x:v>
      </x:c>
      <x:c r="B563" s="22" t="str">
        <x:v>4531284DDC776A4702EA22A0C0638FB3506CD</x:v>
      </x:c>
      <x:c r="C563" s="25" t="str">
        <x:v>[국내기준단가]DRY WALL D2(W125), General Drywall System,(ON 100*45*0.8 C-STUD @450+102*40*0.8 RUNNER)</x:v>
      </x:c>
      <x:c r="D563" s="25" t="str">
        <x:v>(T12.5 General Gypsum Board) 2LAYER+General Wool Nature 24K 50mm+(T12.5 General Gypsum Board) 2LAYER</x:v>
      </x:c>
      <x:c r="E563" s="22" t="str">
        <x:v>M2</x:v>
      </x:c>
      <x:c r="F563" s="34" t="n">
        <x:v>29</x:v>
      </x:c>
      <x:c r="G563" s="34" t="n">
        <x:v>12.45</x:v>
      </x:c>
      <x:c r="H563" s="34" t="n">
        <x:v>0.19</x:v>
      </x:c>
      <x:c r="I563" s="34" t="n">
        <x:f>SUM(F563:H563)</x:f>
        <x:v>41.64</x:v>
      </x:c>
      <x:c r="J563" s="22" t="str">
        <x:v>29</x:v>
      </x:c>
      <x:c r="K563" s="22" t="str"/>
      <x:c r="L563" s="22" t="str">
        <x:v>※$$$$$$$$$</x:v>
      </x:c>
      <x:c r="M563" s="22" t="str">
        <x:v>단가대비표</x:v>
      </x:c>
      <x:c r="N563" s="37" t="n">
        <x:v>265</x:v>
      </x:c>
      <x:c r="O56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3" s="22" t="str">
        <x:v>47d79c95e2c3273f84778935276c94526e369cc1b1bc057f6b03c998f44e253f</x:v>
      </x:c>
      <x:c r="Q563" s="22" t="str">
        <x:v>=O265+P265+V265</x:v>
      </x:c>
    </x:row>
    <x:row r="564">
      <x:c r="A564" s="22" t="str">
        <x:v>직접자원단가</x:v>
      </x:c>
      <x:c r="B564" s="22" t="str">
        <x:v>4531284DDC776A4702EA22A0C0638FB3506CC</x:v>
      </x:c>
      <x:c r="C564" s="25" t="str">
        <x:v>[국내기준단가]DRY WALL D3(W75), 1-Sided Drywall System,(ON 50*45*0.8 C-STUD @450+52*40*0.8 RUNNER)</x:v>
      </x:c>
      <x:c r="D564" s="25" t="str">
        <x:v>(T12.5 General Gypsum Board) 2LAYER</x:v>
      </x:c>
      <x:c r="E564" s="22" t="str">
        <x:v>M2</x:v>
      </x:c>
      <x:c r="F564" s="34" t="n">
        <x:v>14</x:v>
      </x:c>
      <x:c r="G564" s="34" t="n">
        <x:v>6.51</x:v>
      </x:c>
      <x:c r="H564" s="34" t="n">
        <x:v>0.19</x:v>
      </x:c>
      <x:c r="I564" s="34" t="n">
        <x:f>SUM(F564:H564)</x:f>
        <x:v>20.7</x:v>
      </x:c>
      <x:c r="J564" s="22" t="str">
        <x:v>14</x:v>
      </x:c>
      <x:c r="K564" s="22" t="str"/>
      <x:c r="L564" s="22" t="str">
        <x:v>※$$$$$$$$$</x:v>
      </x:c>
      <x:c r="M564" s="22" t="str">
        <x:v>단가대비표</x:v>
      </x:c>
      <x:c r="N564" s="37" t="n">
        <x:v>266</x:v>
      </x:c>
      <x:c r="O56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4" s="22" t="str">
        <x:v>47d79c95e2c3273f84778935276c94526e369cc1b1bc057f6b03c998f44e253f</x:v>
      </x:c>
      <x:c r="Q564" s="22" t="str">
        <x:v>=O266+P266+V266</x:v>
      </x:c>
    </x:row>
    <x:row r="565">
      <x:c r="A565" s="22" t="str">
        <x:v>직접자원단가</x:v>
      </x:c>
      <x:c r="B565" s="22" t="str">
        <x:v>4531284DDC776A4702EA22A0C0638FB35014C</x:v>
      </x:c>
      <x:c r="C565" s="25" t="str">
        <x:v>[현지기준단가]Caulking</x:v>
      </x:c>
      <x:c r="D565" s="25" t="str">
        <x:v>Caulking</x:v>
      </x:c>
      <x:c r="E565" s="22" t="str">
        <x:v>M</x:v>
      </x:c>
      <x:c r="F565" s="34" t="n">
        <x:v>0.21</x:v>
      </x:c>
      <x:c r="G565" s="34" t="n">
        <x:v>0.3</x:v>
      </x:c>
      <x:c r="H565" s="34" t="n">
        <x:v>0</x:v>
      </x:c>
      <x:c r="I565" s="34" t="n">
        <x:f>SUM(F565:H565)</x:f>
        <x:v>0.51</x:v>
      </x:c>
      <x:c r="J565" s="22" t="str">
        <x:v>0.21</x:v>
      </x:c>
      <x:c r="K565" s="22" t="str"/>
      <x:c r="L565" s="22" t="str">
        <x:v>※$$$$$$$$$</x:v>
      </x:c>
      <x:c r="M565" s="22" t="str">
        <x:v>단가대비표</x:v>
      </x:c>
      <x:c r="N565" s="37" t="n">
        <x:v>267</x:v>
      </x:c>
      <x:c r="O56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5" s="22" t="str">
        <x:v>47d79c95e2c3273f84778935276c94526e369cc1b1bc057f6b03c998f44e253f</x:v>
      </x:c>
      <x:c r="Q565" s="22" t="str">
        <x:v>=O267+P267+V267</x:v>
      </x:c>
    </x:row>
    <x:row r="566">
      <x:c r="A566" s="22" t="str">
        <x:v>직접자원단가</x:v>
      </x:c>
      <x:c r="B566" s="22" t="str">
        <x:v>4531284DDC776A4702EA22A0C0638FB35014A</x:v>
      </x:c>
      <x:c r="C566" s="25" t="str">
        <x:v>[국내기준견적서]PUSH PULL HANDLE</x:v>
      </x:c>
      <x:c r="D566" s="25" t="str">
        <x:v>T5955-01-024</x:v>
      </x:c>
      <x:c r="E566" s="22" t="str">
        <x:v>ea</x:v>
      </x:c>
      <x:c r="F566" s="34" t="n">
        <x:v>50</x:v>
      </x:c>
      <x:c r="G566" s="34" t="n">
        <x:v>0</x:v>
      </x:c>
      <x:c r="H566" s="34" t="n">
        <x:v>0</x:v>
      </x:c>
      <x:c r="I566" s="34" t="n">
        <x:f>SUM(F566:H566)</x:f>
        <x:v>50</x:v>
      </x:c>
      <x:c r="J566" s="22" t="str">
        <x:v>50</x:v>
      </x:c>
      <x:c r="K566" s="22" t="str"/>
      <x:c r="L566" s="22" t="str">
        <x:v>※$$$$$$$$$</x:v>
      </x:c>
      <x:c r="M566" s="22" t="str">
        <x:v>단가대비표</x:v>
      </x:c>
      <x:c r="N566" s="37" t="n">
        <x:v>268</x:v>
      </x:c>
      <x:c r="O56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6" s="22" t="str">
        <x:v>47d79c95e2c3273f84778935276c94526e369cc1b1bc057f6b03c998f44e253f</x:v>
      </x:c>
      <x:c r="Q566" s="22" t="str">
        <x:v>=O268+P268+V268</x:v>
      </x:c>
    </x:row>
    <x:row r="567">
      <x:c r="A567" s="22" t="str">
        <x:v>직접자원단가</x:v>
      </x:c>
      <x:c r="B567" s="22" t="str">
        <x:v>4531284DDC776A4702EA22A0C0638FB35014B</x:v>
      </x:c>
      <x:c r="C567" s="25" t="str">
        <x:v>[국내기준견적서]PUSH PULL HANDLE</x:v>
      </x:c>
      <x:c r="D567" s="25" t="str">
        <x:v>G5955-01-024</x:v>
      </x:c>
      <x:c r="E567" s="22" t="str">
        <x:v>ea</x:v>
      </x:c>
      <x:c r="F567" s="34" t="n">
        <x:v>50</x:v>
      </x:c>
      <x:c r="G567" s="34" t="n">
        <x:v>0</x:v>
      </x:c>
      <x:c r="H567" s="34" t="n">
        <x:v>0</x:v>
      </x:c>
      <x:c r="I567" s="34" t="n">
        <x:f>SUM(F567:H567)</x:f>
        <x:v>50</x:v>
      </x:c>
      <x:c r="J567" s="22" t="str">
        <x:v>50</x:v>
      </x:c>
      <x:c r="K567" s="22" t="str"/>
      <x:c r="L567" s="22" t="str">
        <x:v>※$$$$$$$$$</x:v>
      </x:c>
      <x:c r="M567" s="22" t="str">
        <x:v>단가대비표</x:v>
      </x:c>
      <x:c r="N567" s="37" t="n">
        <x:v>269</x:v>
      </x:c>
      <x:c r="O56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7" s="22" t="str">
        <x:v>47d79c95e2c3273f84778935276c94526e369cc1b1bc057f6b03c998f44e253f</x:v>
      </x:c>
      <x:c r="Q567" s="22" t="str">
        <x:v>=O269+P269+V269</x:v>
      </x:c>
    </x:row>
    <x:row r="568">
      <x:c r="A568" s="22" t="str">
        <x:v>직접자원단가</x:v>
      </x:c>
      <x:c r="B568" s="22" t="str">
        <x:v>4531284DDC776A4702EA22A0C0638FB350148</x:v>
      </x:c>
      <x:c r="C568" s="25" t="str">
        <x:v>[국내기준견적서]FLOOR STOP</x:v>
      </x:c>
      <x:c r="D568" s="25" t="str">
        <x:v>436B</x:v>
      </x:c>
      <x:c r="E568" s="22" t="str">
        <x:v>ea</x:v>
      </x:c>
      <x:c r="F568" s="34" t="n">
        <x:v>1</x:v>
      </x:c>
      <x:c r="G568" s="34" t="n">
        <x:v>0</x:v>
      </x:c>
      <x:c r="H568" s="34" t="n">
        <x:v>0</x:v>
      </x:c>
      <x:c r="I568" s="34" t="n">
        <x:f>SUM(F568:H568)</x:f>
        <x:v>1</x:v>
      </x:c>
      <x:c r="J568" s="22" t="str">
        <x:v>1</x:v>
      </x:c>
      <x:c r="K568" s="22" t="str"/>
      <x:c r="L568" s="22" t="str">
        <x:v>※$$$$$$$$$</x:v>
      </x:c>
      <x:c r="M568" s="22" t="str">
        <x:v>단가대비표</x:v>
      </x:c>
      <x:c r="N568" s="37" t="n">
        <x:v>270</x:v>
      </x:c>
      <x:c r="O56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8" s="22" t="str">
        <x:v>47d79c95e2c3273f84778935276c94526e369cc1b1bc057f6b03c998f44e253f</x:v>
      </x:c>
      <x:c r="Q568" s="22" t="str">
        <x:v>=O270+P270+V270</x:v>
      </x:c>
    </x:row>
    <x:row r="569">
      <x:c r="A569" s="22" t="str">
        <x:v>직접자원단가</x:v>
      </x:c>
      <x:c r="B569" s="22" t="str">
        <x:v>4531284DDC776A4702EA22A0C0638FB350149</x:v>
      </x:c>
      <x:c r="C569" s="25" t="str">
        <x:v>[국내기준견적서]WALL BUMPER</x:v>
      </x:c>
      <x:c r="D569" s="25" t="str">
        <x:v>436B</x:v>
      </x:c>
      <x:c r="E569" s="22" t="str">
        <x:v>ea</x:v>
      </x:c>
      <x:c r="F569" s="34" t="n">
        <x:v>1</x:v>
      </x:c>
      <x:c r="G569" s="34" t="n">
        <x:v>0</x:v>
      </x:c>
      <x:c r="H569" s="34" t="n">
        <x:v>0</x:v>
      </x:c>
      <x:c r="I569" s="34" t="n">
        <x:f>SUM(F569:H569)</x:f>
        <x:v>1</x:v>
      </x:c>
      <x:c r="J569" s="22" t="str">
        <x:v>1</x:v>
      </x:c>
      <x:c r="K569" s="22" t="str"/>
      <x:c r="L569" s="22" t="str">
        <x:v>※$$$$$$$$$</x:v>
      </x:c>
      <x:c r="M569" s="22" t="str">
        <x:v>단가대비표</x:v>
      </x:c>
      <x:c r="N569" s="37" t="n">
        <x:v>271</x:v>
      </x:c>
      <x:c r="O56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69" s="22" t="str">
        <x:v>47d79c95e2c3273f84778935276c94526e369cc1b1bc057f6b03c998f44e253f</x:v>
      </x:c>
      <x:c r="Q569" s="22" t="str">
        <x:v>=O271+P271+V271</x:v>
      </x:c>
    </x:row>
    <x:row r="570">
      <x:c r="A570" s="22" t="str">
        <x:v>직접자원단가</x:v>
      </x:c>
      <x:c r="B570" s="22" t="str">
        <x:v>4531284DDC776A4702EA22A0C0638FB350146</x:v>
      </x:c>
      <x:c r="C570" s="25" t="str">
        <x:v>[국내기준견적서]EXIT DEVICE-RIM TYPE</x:v>
      </x:c>
      <x:c r="D570" s="25" t="str">
        <x:v>F8000</x:v>
      </x:c>
      <x:c r="E570" s="22" t="str">
        <x:v>ea</x:v>
      </x:c>
      <x:c r="F570" s="34" t="n">
        <x:v>150</x:v>
      </x:c>
      <x:c r="G570" s="34" t="n">
        <x:v>0</x:v>
      </x:c>
      <x:c r="H570" s="34" t="n">
        <x:v>0</x:v>
      </x:c>
      <x:c r="I570" s="34" t="n">
        <x:f>SUM(F570:H570)</x:f>
        <x:v>150</x:v>
      </x:c>
      <x:c r="J570" s="22" t="str">
        <x:v>150</x:v>
      </x:c>
      <x:c r="K570" s="22" t="str"/>
      <x:c r="L570" s="22" t="str">
        <x:v>※$$$$$$$$$</x:v>
      </x:c>
      <x:c r="M570" s="22" t="str">
        <x:v>단가대비표</x:v>
      </x:c>
      <x:c r="N570" s="37" t="n">
        <x:v>272</x:v>
      </x:c>
      <x:c r="O57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0" s="22" t="str">
        <x:v>47d79c95e2c3273f84778935276c94526e369cc1b1bc057f6b03c998f44e253f</x:v>
      </x:c>
      <x:c r="Q570" s="22" t="str">
        <x:v>=O272+P272+V272</x:v>
      </x:c>
    </x:row>
    <x:row r="571">
      <x:c r="A571" s="22" t="str">
        <x:v>직접자원단가</x:v>
      </x:c>
      <x:c r="B571" s="22" t="str">
        <x:v>4531284DDC776A4702EA22A0C0638FB350147</x:v>
      </x:c>
      <x:c r="C571" s="25" t="str">
        <x:v>[국내기준견적서]FLOOR HINGE</x:v>
      </x:c>
      <x:c r="D571" s="25" t="str">
        <x:v>HD80</x:v>
      </x:c>
      <x:c r="E571" s="22" t="str">
        <x:v>ea</x:v>
      </x:c>
      <x:c r="F571" s="34" t="n">
        <x:v>150</x:v>
      </x:c>
      <x:c r="G571" s="34" t="n">
        <x:v>0</x:v>
      </x:c>
      <x:c r="H571" s="34" t="n">
        <x:v>0</x:v>
      </x:c>
      <x:c r="I571" s="34" t="n">
        <x:f>SUM(F571:H571)</x:f>
        <x:v>150</x:v>
      </x:c>
      <x:c r="J571" s="22" t="str">
        <x:v>150</x:v>
      </x:c>
      <x:c r="K571" s="22" t="str"/>
      <x:c r="L571" s="22" t="str">
        <x:v>※$$$$$$$$$</x:v>
      </x:c>
      <x:c r="M571" s="22" t="str">
        <x:v>단가대비표</x:v>
      </x:c>
      <x:c r="N571" s="37" t="n">
        <x:v>273</x:v>
      </x:c>
      <x:c r="O57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1" s="22" t="str">
        <x:v>47d79c95e2c3273f84778935276c94526e369cc1b1bc057f6b03c998f44e253f</x:v>
      </x:c>
      <x:c r="Q571" s="22" t="str">
        <x:v>=O273+P273+V273</x:v>
      </x:c>
    </x:row>
    <x:row r="572">
      <x:c r="A572" s="22" t="str">
        <x:v>직접자원단가</x:v>
      </x:c>
      <x:c r="B572" s="22" t="str">
        <x:v>4531284DDC776A4702EA22A0C0638FB3500A7</x:v>
      </x:c>
      <x:c r="C572" s="25" t="str">
        <x:v>[국내기준견적서]LEVER SET</x:v>
      </x:c>
      <x:c r="D572" s="25" t="str">
        <x:v>LH001</x:v>
      </x:c>
      <x:c r="E572" s="22" t="str">
        <x:v>ea</x:v>
      </x:c>
      <x:c r="F572" s="34" t="n">
        <x:v>25</x:v>
      </x:c>
      <x:c r="G572" s="34" t="n">
        <x:v>0</x:v>
      </x:c>
      <x:c r="H572" s="34" t="n">
        <x:v>0</x:v>
      </x:c>
      <x:c r="I572" s="34" t="n">
        <x:f>SUM(F572:H572)</x:f>
        <x:v>25</x:v>
      </x:c>
      <x:c r="J572" s="22" t="str">
        <x:v>25</x:v>
      </x:c>
      <x:c r="K572" s="22" t="str"/>
      <x:c r="L572" s="22" t="str">
        <x:v>※$$$$$$$$$</x:v>
      </x:c>
      <x:c r="M572" s="22" t="str">
        <x:v>단가대비표</x:v>
      </x:c>
      <x:c r="N572" s="37" t="n">
        <x:v>274</x:v>
      </x:c>
      <x:c r="O57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2" s="22" t="str">
        <x:v>47d79c95e2c3273f84778935276c94526e369cc1b1bc057f6b03c998f44e253f</x:v>
      </x:c>
      <x:c r="Q572" s="22" t="str">
        <x:v>=O274+P274+V274</x:v>
      </x:c>
    </x:row>
    <x:row r="573">
      <x:c r="A573" s="22" t="str">
        <x:v>직접자원단가</x:v>
      </x:c>
      <x:c r="B573" s="22" t="str">
        <x:v>4531284DDC776A4702EA22A0C0638FB3500A6</x:v>
      </x:c>
      <x:c r="C573" s="25" t="str">
        <x:v>[국내기준견적서]DUMMY LEVER SET</x:v>
      </x:c>
      <x:c r="D573" s="25" t="str">
        <x:v>LH001DT</x:v>
      </x:c>
      <x:c r="E573" s="22" t="str">
        <x:v>ea</x:v>
      </x:c>
      <x:c r="F573" s="34" t="n">
        <x:v>25</x:v>
      </x:c>
      <x:c r="G573" s="34" t="n">
        <x:v>0</x:v>
      </x:c>
      <x:c r="H573" s="34" t="n">
        <x:v>0</x:v>
      </x:c>
      <x:c r="I573" s="34" t="n">
        <x:f>SUM(F573:H573)</x:f>
        <x:v>25</x:v>
      </x:c>
      <x:c r="J573" s="22" t="str">
        <x:v>25</x:v>
      </x:c>
      <x:c r="K573" s="22" t="str"/>
      <x:c r="L573" s="22" t="str">
        <x:v>※$$$$$$$$$</x:v>
      </x:c>
      <x:c r="M573" s="22" t="str">
        <x:v>단가대비표</x:v>
      </x:c>
      <x:c r="N573" s="37" t="n">
        <x:v>275</x:v>
      </x:c>
      <x:c r="O57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3" s="22" t="str">
        <x:v>47d79c95e2c3273f84778935276c94526e369cc1b1bc057f6b03c998f44e253f</x:v>
      </x:c>
      <x:c r="Q573" s="22" t="str">
        <x:v>=O275+P275+V275</x:v>
      </x:c>
    </x:row>
    <x:row r="574">
      <x:c r="A574" s="22" t="str">
        <x:v>직접자원단가</x:v>
      </x:c>
      <x:c r="B574" s="22" t="str">
        <x:v>4531284DDC776A4702EA22A0C0638FB3500A5</x:v>
      </x:c>
      <x:c r="C574" s="25" t="str">
        <x:v>[국내기준견적서]EUROPEAN MORTISE LOCK - ENTRANCE</x:v>
      </x:c>
      <x:c r="D574" s="25" t="str">
        <x:v>ML01 * GMK</x:v>
      </x:c>
      <x:c r="E574" s="22" t="str">
        <x:v>ea</x:v>
      </x:c>
      <x:c r="F574" s="34" t="n">
        <x:v>30</x:v>
      </x:c>
      <x:c r="G574" s="34" t="n">
        <x:v>0</x:v>
      </x:c>
      <x:c r="H574" s="34" t="n">
        <x:v>0</x:v>
      </x:c>
      <x:c r="I574" s="34" t="n">
        <x:f>SUM(F574:H574)</x:f>
        <x:v>30</x:v>
      </x:c>
      <x:c r="J574" s="22" t="str">
        <x:v>30</x:v>
      </x:c>
      <x:c r="K574" s="22" t="str"/>
      <x:c r="L574" s="22" t="str">
        <x:v>※$$$$$$$$$</x:v>
      </x:c>
      <x:c r="M574" s="22" t="str">
        <x:v>단가대비표</x:v>
      </x:c>
      <x:c r="N574" s="37" t="n">
        <x:v>276</x:v>
      </x:c>
      <x:c r="O57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4" s="22" t="str">
        <x:v>47d79c95e2c3273f84778935276c94526e369cc1b1bc057f6b03c998f44e253f</x:v>
      </x:c>
      <x:c r="Q574" s="22" t="str">
        <x:v>=O276+P276+V276</x:v>
      </x:c>
    </x:row>
    <x:row r="575">
      <x:c r="A575" s="22" t="str">
        <x:v>직접자원단가</x:v>
      </x:c>
      <x:c r="B575" s="22" t="str">
        <x:v>4531284DDC776A4702EA22A0C0638FB3500A4</x:v>
      </x:c>
      <x:c r="C575" s="25" t="str">
        <x:v>[국내기준견적서]EUROPEAN MORTISE LOCK - INDICATOR</x:v>
      </x:c>
      <x:c r="D575" s="25" t="str">
        <x:v>ML07 * DDIK002</x:v>
      </x:c>
      <x:c r="E575" s="22" t="str">
        <x:v>ea</x:v>
      </x:c>
      <x:c r="F575" s="34" t="n">
        <x:v>30</x:v>
      </x:c>
      <x:c r="G575" s="34" t="n">
        <x:v>0</x:v>
      </x:c>
      <x:c r="H575" s="34" t="n">
        <x:v>0</x:v>
      </x:c>
      <x:c r="I575" s="34" t="n">
        <x:f>SUM(F575:H575)</x:f>
        <x:v>30</x:v>
      </x:c>
      <x:c r="J575" s="22" t="str">
        <x:v>30</x:v>
      </x:c>
      <x:c r="K575" s="22" t="str"/>
      <x:c r="L575" s="22" t="str">
        <x:v>※$$$$$$$$$</x:v>
      </x:c>
      <x:c r="M575" s="22" t="str">
        <x:v>단가대비표</x:v>
      </x:c>
      <x:c r="N575" s="37" t="n">
        <x:v>277</x:v>
      </x:c>
      <x:c r="O57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5" s="22" t="str">
        <x:v>47d79c95e2c3273f84778935276c94526e369cc1b1bc057f6b03c998f44e253f</x:v>
      </x:c>
      <x:c r="Q575" s="22" t="str">
        <x:v>=O277+P277+V277</x:v>
      </x:c>
    </x:row>
    <x:row r="576">
      <x:c r="A576" s="22" t="str">
        <x:v>직접자원단가</x:v>
      </x:c>
      <x:c r="B576" s="22" t="str">
        <x:v>4531284DDC776A4702EA22A0C0638FB3500A3</x:v>
      </x:c>
      <x:c r="C576" s="25" t="str">
        <x:v>[국내기준견적서]EUROPEAN MORTISE LOCK - PASSAGE</x:v>
      </x:c>
      <x:c r="D576" s="25" t="str">
        <x:v>ML04</x:v>
      </x:c>
      <x:c r="E576" s="22" t="str">
        <x:v>ea</x:v>
      </x:c>
      <x:c r="F576" s="34" t="n">
        <x:v>30</x:v>
      </x:c>
      <x:c r="G576" s="34" t="n">
        <x:v>0</x:v>
      </x:c>
      <x:c r="H576" s="34" t="n">
        <x:v>0</x:v>
      </x:c>
      <x:c r="I576" s="34" t="n">
        <x:f>SUM(F576:H576)</x:f>
        <x:v>30</x:v>
      </x:c>
      <x:c r="J576" s="22" t="str">
        <x:v>30</x:v>
      </x:c>
      <x:c r="K576" s="22" t="str"/>
      <x:c r="L576" s="22" t="str">
        <x:v>※$$$$$$$$$</x:v>
      </x:c>
      <x:c r="M576" s="22" t="str">
        <x:v>단가대비표</x:v>
      </x:c>
      <x:c r="N576" s="37" t="n">
        <x:v>278</x:v>
      </x:c>
      <x:c r="O57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6" s="22" t="str">
        <x:v>47d79c95e2c3273f84778935276c94526e369cc1b1bc057f6b03c998f44e253f</x:v>
      </x:c>
      <x:c r="Q576" s="22" t="str">
        <x:v>=O278+P278+V278</x:v>
      </x:c>
    </x:row>
    <x:row r="577">
      <x:c r="A577" s="22" t="str">
        <x:v>직접자원단가</x:v>
      </x:c>
      <x:c r="B577" s="22" t="str">
        <x:v>4531284DDC776A4702EA22A0C0638FB3500A1</x:v>
      </x:c>
      <x:c r="C577" s="25" t="str">
        <x:v>[국내기준견적서]2. LEAD SHIELD DOOR(SINGLE)</x:v>
      </x:c>
      <x:c r="D577" s="25" t="str">
        <x:v>1000*2200*2.0T</x:v>
      </x:c>
      <x:c r="E577" s="22" t="str">
        <x:v>SET</x:v>
      </x:c>
      <x:c r="F577" s="34" t="n">
        <x:v>800</x:v>
      </x:c>
      <x:c r="G577" s="34" t="n">
        <x:v>0</x:v>
      </x:c>
      <x:c r="H577" s="34" t="n">
        <x:v>0</x:v>
      </x:c>
      <x:c r="I577" s="34" t="n">
        <x:f>SUM(F577:H577)</x:f>
        <x:v>800</x:v>
      </x:c>
      <x:c r="J577" s="22" t="str">
        <x:v>800</x:v>
      </x:c>
      <x:c r="K577" s="22" t="str"/>
      <x:c r="L577" s="22" t="str">
        <x:v>※$$$$$$$$$</x:v>
      </x:c>
      <x:c r="M577" s="22" t="str">
        <x:v>단가대비표</x:v>
      </x:c>
      <x:c r="N577" s="37" t="n">
        <x:v>279</x:v>
      </x:c>
      <x:c r="O57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7" s="22" t="str">
        <x:v>47d79c95e2c3273f84778935276c94526e369cc1b1bc057f6b03c998f44e253f</x:v>
      </x:c>
      <x:c r="Q577" s="22" t="str">
        <x:v>=O279+P279+V279</x:v>
      </x:c>
    </x:row>
    <x:row r="578">
      <x:c r="A578" s="22" t="str">
        <x:v>직접자원단가</x:v>
      </x:c>
      <x:c r="B578" s="22" t="str">
        <x:v>4531284DDC776A4702EA22A0C0638FB3500A0</x:v>
      </x:c>
      <x:c r="C578" s="25" t="str">
        <x:v>[국내기준견적서]3. LEAD SHIELD DOOR(SINGLE)</x:v>
      </x:c>
      <x:c r="D578" s="25" t="str">
        <x:v>1200*2200*2.0T</x:v>
      </x:c>
      <x:c r="E578" s="22" t="str">
        <x:v>SET</x:v>
      </x:c>
      <x:c r="F578" s="34" t="n">
        <x:v>1000</x:v>
      </x:c>
      <x:c r="G578" s="34" t="n">
        <x:v>0</x:v>
      </x:c>
      <x:c r="H578" s="34" t="n">
        <x:v>0</x:v>
      </x:c>
      <x:c r="I578" s="34" t="n">
        <x:f>SUM(F578:H578)</x:f>
        <x:v>1000</x:v>
      </x:c>
      <x:c r="J578" s="22" t="str">
        <x:v>1000</x:v>
      </x:c>
      <x:c r="K578" s="22" t="str"/>
      <x:c r="L578" s="22" t="str">
        <x:v>※$$$$$$$$$</x:v>
      </x:c>
      <x:c r="M578" s="22" t="str">
        <x:v>단가대비표</x:v>
      </x:c>
      <x:c r="N578" s="37" t="n">
        <x:v>280</x:v>
      </x:c>
      <x:c r="O57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8" s="22" t="str">
        <x:v>47d79c95e2c3273f84778935276c94526e369cc1b1bc057f6b03c998f44e253f</x:v>
      </x:c>
      <x:c r="Q578" s="22" t="str">
        <x:v>=O280+P280+V280</x:v>
      </x:c>
    </x:row>
    <x:row r="579">
      <x:c r="A579" s="22" t="str">
        <x:v>직접자원단가</x:v>
      </x:c>
      <x:c r="B579" s="22" t="str">
        <x:v>4531284DDC776A4702EA22A0C0638FB3500AF</x:v>
      </x:c>
      <x:c r="C579" s="25" t="str">
        <x:v>[국내기준견적서]4. LEAD GLASS</x:v>
      </x:c>
      <x:c r="D579" s="25" t="str">
        <x:v>1800*800</x:v>
      </x:c>
      <x:c r="E579" s="22" t="str">
        <x:v>EA</x:v>
      </x:c>
      <x:c r="F579" s="34" t="n">
        <x:v>1300</x:v>
      </x:c>
      <x:c r="G579" s="34" t="n">
        <x:v>0</x:v>
      </x:c>
      <x:c r="H579" s="34" t="n">
        <x:v>0</x:v>
      </x:c>
      <x:c r="I579" s="34" t="n">
        <x:f>SUM(F579:H579)</x:f>
        <x:v>1300</x:v>
      </x:c>
      <x:c r="J579" s="22" t="str">
        <x:v>1300</x:v>
      </x:c>
      <x:c r="K579" s="22" t="str"/>
      <x:c r="L579" s="22" t="str">
        <x:v>※$$$$$$$$$</x:v>
      </x:c>
      <x:c r="M579" s="22" t="str">
        <x:v>단가대비표</x:v>
      </x:c>
      <x:c r="N579" s="37" t="n">
        <x:v>281</x:v>
      </x:c>
      <x:c r="O57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79" s="22" t="str">
        <x:v>47d79c95e2c3273f84778935276c94526e369cc1b1bc057f6b03c998f44e253f</x:v>
      </x:c>
      <x:c r="Q579" s="22" t="str">
        <x:v>=O281+P281+V281</x:v>
      </x:c>
    </x:row>
    <x:row r="580">
      <x:c r="A580" s="22" t="str">
        <x:v>직접자원단가</x:v>
      </x:c>
      <x:c r="B580" s="22" t="str">
        <x:v>4531284DDC776A4702EA22A0C0638FB3500AE</x:v>
      </x:c>
      <x:c r="C580" s="25" t="str">
        <x:v>[국내기준견적서]5. LEAD GLASS FRAME</x:v>
      </x:c>
      <x:c r="D580" s="25" t="str">
        <x:v>1850*850</x:v>
      </x:c>
      <x:c r="E580" s="22" t="str">
        <x:v>EA</x:v>
      </x:c>
      <x:c r="F580" s="34" t="n">
        <x:v>200</x:v>
      </x:c>
      <x:c r="G580" s="34" t="n">
        <x:v>0</x:v>
      </x:c>
      <x:c r="H580" s="34" t="n">
        <x:v>0</x:v>
      </x:c>
      <x:c r="I580" s="34" t="n">
        <x:f>SUM(F580:H580)</x:f>
        <x:v>200</x:v>
      </x:c>
      <x:c r="J580" s="22" t="str">
        <x:v>200</x:v>
      </x:c>
      <x:c r="K580" s="22" t="str"/>
      <x:c r="L580" s="22" t="str">
        <x:v>※$$$$$$$$$</x:v>
      </x:c>
      <x:c r="M580" s="22" t="str">
        <x:v>단가대비표</x:v>
      </x:c>
      <x:c r="N580" s="37" t="n">
        <x:v>282</x:v>
      </x:c>
      <x:c r="O58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0" s="22" t="str">
        <x:v>47d79c95e2c3273f84778935276c94526e369cc1b1bc057f6b03c998f44e253f</x:v>
      </x:c>
      <x:c r="Q580" s="22" t="str">
        <x:v>=O282+P282+V282</x:v>
      </x:c>
    </x:row>
    <x:row r="581">
      <x:c r="A581" s="22" t="str">
        <x:v>직접자원단가</x:v>
      </x:c>
      <x:c r="B581" s="22" t="str">
        <x:v>4531284DDC776A4702EA22A0C0638FB35037B</x:v>
      </x:c>
      <x:c r="C581" s="25" t="str">
        <x:v>[국내기준단가]Double Glazing</x:v>
      </x:c>
      <x:c r="D581" s="25" t="str">
        <x:v>Double glazing, Transparent, 24 mm</x:v>
      </x:c>
      <x:c r="E581" s="22" t="str">
        <x:v>M2</x:v>
      </x:c>
      <x:c r="F581" s="34" t="n">
        <x:v>60</x:v>
      </x:c>
      <x:c r="G581" s="34" t="n">
        <x:v>0</x:v>
      </x:c>
      <x:c r="H581" s="34" t="n">
        <x:v>0</x:v>
      </x:c>
      <x:c r="I581" s="34" t="n">
        <x:f>SUM(F581:H581)</x:f>
        <x:v>60</x:v>
      </x:c>
      <x:c r="J581" s="22" t="str">
        <x:v>60</x:v>
      </x:c>
      <x:c r="K581" s="22" t="str"/>
      <x:c r="L581" s="22" t="str">
        <x:v>※$$$$$$$$$</x:v>
      </x:c>
      <x:c r="M581" s="22" t="str">
        <x:v>단가대비표</x:v>
      </x:c>
      <x:c r="N581" s="37" t="n">
        <x:v>283</x:v>
      </x:c>
      <x:c r="O58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1" s="22" t="str">
        <x:v>47d79c95e2c3273f84778935276c94526e369cc1b1bc057f6b03c998f44e253f</x:v>
      </x:c>
      <x:c r="Q581" s="22" t="str">
        <x:v>=O283+P283+V283</x:v>
      </x:c>
    </x:row>
    <x:row r="582">
      <x:c r="A582" s="22" t="str">
        <x:v>직접자원단가</x:v>
      </x:c>
      <x:c r="B582" s="22" t="str">
        <x:v>4531284DDC776A4702EA22A0C0638FB35037A</x:v>
      </x:c>
      <x:c r="C582" s="25" t="str">
        <x:v>Rust Resisting Paint</x:v>
      </x:c>
      <x:c r="D582" s="25" t="str">
        <x:v>Steel Frame Face</x:v>
      </x:c>
      <x:c r="E582" s="22" t="str">
        <x:v>M2</x:v>
      </x:c>
      <x:c r="F582" s="34" t="n">
        <x:v>0.06</x:v>
      </x:c>
      <x:c r="G582" s="34" t="n">
        <x:v>0.75</x:v>
      </x:c>
      <x:c r="H582" s="34" t="n">
        <x:v>0</x:v>
      </x:c>
      <x:c r="I582" s="34" t="n">
        <x:f>SUM(F582:H582)</x:f>
        <x:v>0.81</x:v>
      </x:c>
      <x:c r="J582" s="22" t="str">
        <x:v>0.06</x:v>
      </x:c>
      <x:c r="K582" s="22" t="str"/>
      <x:c r="L582" s="22" t="str">
        <x:v>※$$$$$$$$$</x:v>
      </x:c>
      <x:c r="M582" s="22" t="str">
        <x:v>단가대비표</x:v>
      </x:c>
      <x:c r="N582" s="37" t="n">
        <x:v>284</x:v>
      </x:c>
      <x:c r="O58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2" s="22" t="str">
        <x:v>47d79c95e2c3273f84778935276c94526e369cc1b1bc057f6b03c998f44e253f</x:v>
      </x:c>
      <x:c r="Q582" s="22" t="str">
        <x:v>=O284+P284+V284</x:v>
      </x:c>
    </x:row>
    <x:row r="583">
      <x:c r="A583" s="22" t="str">
        <x:v>직접자원단가</x:v>
      </x:c>
      <x:c r="B583" s="22" t="str">
        <x:v>4531284DDC776A4702EA22A0C0638FB350379</x:v>
      </x:c>
      <x:c r="C583" s="25" t="str">
        <x:v>Ready Mixed Paint</x:v>
      </x:c>
      <x:c r="D583" s="25" t="str">
        <x:v>Steel Frame Face</x:v>
      </x:c>
      <x:c r="E583" s="22" t="str">
        <x:v>M2</x:v>
      </x:c>
      <x:c r="F583" s="34" t="n">
        <x:v>0.93</x:v>
      </x:c>
      <x:c r="G583" s="34" t="n">
        <x:v>0.75</x:v>
      </x:c>
      <x:c r="H583" s="34" t="n">
        <x:v>0</x:v>
      </x:c>
      <x:c r="I583" s="34" t="n">
        <x:f>SUM(F583:H583)</x:f>
        <x:v>1.6800000000000002</x:v>
      </x:c>
      <x:c r="J583" s="22" t="str">
        <x:v>0.93</x:v>
      </x:c>
      <x:c r="K583" s="22" t="str"/>
      <x:c r="L583" s="22" t="str">
        <x:v>※$$$$$$$$$</x:v>
      </x:c>
      <x:c r="M583" s="22" t="str">
        <x:v>단가대비표</x:v>
      </x:c>
      <x:c r="N583" s="37" t="n">
        <x:v>285</x:v>
      </x:c>
      <x:c r="O58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3" s="22" t="str">
        <x:v>47d79c95e2c3273f84778935276c94526e369cc1b1bc057f6b03c998f44e253f</x:v>
      </x:c>
      <x:c r="Q583" s="22" t="str">
        <x:v>=O285+P285+V285</x:v>
      </x:c>
    </x:row>
    <x:row r="584">
      <x:c r="A584" s="22" t="str">
        <x:v>직접자원단가</x:v>
      </x:c>
      <x:c r="B584" s="22" t="str">
        <x:v>4531284DDC776A4702EA22A0C0638FB350378</x:v>
      </x:c>
      <x:c r="C584" s="25" t="str">
        <x:v>Painting on plastered surfaces including Emulsion Paint as per drawing and as specified. (Plastering measured seperately</x:v>
      </x:c>
      <x:c r="D584" s="25" t="str"/>
      <x:c r="E584" s="22" t="str">
        <x:v>M2</x:v>
      </x:c>
      <x:c r="F584" s="34" t="n">
        <x:v>1.5</x:v>
      </x:c>
      <x:c r="G584" s="34" t="n">
        <x:v>0</x:v>
      </x:c>
      <x:c r="H584" s="34" t="n">
        <x:v>0</x:v>
      </x:c>
      <x:c r="I584" s="34" t="n">
        <x:f>SUM(F584:H584)</x:f>
        <x:v>1.5</x:v>
      </x:c>
      <x:c r="J584" s="22" t="str">
        <x:v>1.5</x:v>
      </x:c>
      <x:c r="K584" s="22" t="str"/>
      <x:c r="L584" s="22" t="str">
        <x:v>※$$$$$$$$$</x:v>
      </x:c>
      <x:c r="M584" s="22" t="str">
        <x:v>단가대비표</x:v>
      </x:c>
      <x:c r="N584" s="37" t="n">
        <x:v>286</x:v>
      </x:c>
      <x:c r="O58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4" s="22" t="str">
        <x:v>47d79c95e2c3273f84778935276c94526e369cc1b1bc057f6b03c998f44e253f</x:v>
      </x:c>
      <x:c r="Q584" s="22" t="str">
        <x:v>=O286+P286+V286</x:v>
      </x:c>
    </x:row>
    <x:row r="585">
      <x:c r="A585" s="22" t="str">
        <x:v>직접자원단가</x:v>
      </x:c>
      <x:c r="B585" s="22" t="str">
        <x:v>4531284DDC776A4702EA22A0C0638FB35037F</x:v>
      </x:c>
      <x:c r="C585" s="25" t="str">
        <x:v>Painting on gypsum board surfaces including Anti-bacterial Paint as per drawing and as specified.</x:v>
      </x:c>
      <x:c r="D585" s="25" t="str"/>
      <x:c r="E585" s="22" t="str">
        <x:v>M2</x:v>
      </x:c>
      <x:c r="F585" s="34" t="n">
        <x:v>2.5</x:v>
      </x:c>
      <x:c r="G585" s="34" t="n">
        <x:v>0</x:v>
      </x:c>
      <x:c r="H585" s="34" t="n">
        <x:v>0</x:v>
      </x:c>
      <x:c r="I585" s="34" t="n">
        <x:f>SUM(F585:H585)</x:f>
        <x:v>2.5</x:v>
      </x:c>
      <x:c r="J585" s="22" t="str">
        <x:v>2.5</x:v>
      </x:c>
      <x:c r="K585" s="22" t="str"/>
      <x:c r="L585" s="22" t="str">
        <x:v>※$$$$$$$$$</x:v>
      </x:c>
      <x:c r="M585" s="22" t="str">
        <x:v>단가대비표</x:v>
      </x:c>
      <x:c r="N585" s="37" t="n">
        <x:v>287</x:v>
      </x:c>
      <x:c r="O58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5" s="22" t="str">
        <x:v>47d79c95e2c3273f84778935276c94526e369cc1b1bc057f6b03c998f44e253f</x:v>
      </x:c>
      <x:c r="Q585" s="22" t="str">
        <x:v>=O287+P287+V287</x:v>
      </x:c>
    </x:row>
    <x:row r="586">
      <x:c r="A586" s="22" t="str">
        <x:v>직접자원단가</x:v>
      </x:c>
      <x:c r="B586" s="22" t="str">
        <x:v>4531284DDC776A4702EA22A0C0638FB35037E</x:v>
      </x:c>
      <x:c r="C586" s="25" t="str">
        <x:v>Painting on gypsum board surfaces including Emulsion Paint as per drawing and as specified.</x:v>
      </x:c>
      <x:c r="D586" s="25" t="str"/>
      <x:c r="E586" s="22" t="str">
        <x:v>M2</x:v>
      </x:c>
      <x:c r="F586" s="34" t="n">
        <x:v>1.5</x:v>
      </x:c>
      <x:c r="G586" s="34" t="n">
        <x:v>0</x:v>
      </x:c>
      <x:c r="H586" s="34" t="n">
        <x:v>0</x:v>
      </x:c>
      <x:c r="I586" s="34" t="n">
        <x:f>SUM(F586:H586)</x:f>
        <x:v>1.5</x:v>
      </x:c>
      <x:c r="J586" s="22" t="str">
        <x:v>1.5</x:v>
      </x:c>
      <x:c r="K586" s="22" t="str"/>
      <x:c r="L586" s="22" t="str">
        <x:v>※$$$$$$$$$</x:v>
      </x:c>
      <x:c r="M586" s="22" t="str">
        <x:v>단가대비표</x:v>
      </x:c>
      <x:c r="N586" s="37" t="n">
        <x:v>288</x:v>
      </x:c>
      <x:c r="O58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6" s="22" t="str">
        <x:v>47d79c95e2c3273f84778935276c94526e369cc1b1bc057f6b03c998f44e253f</x:v>
      </x:c>
      <x:c r="Q586" s="22" t="str">
        <x:v>=O288+P288+V288</x:v>
      </x:c>
    </x:row>
    <x:row r="587">
      <x:c r="A587" s="22" t="str">
        <x:v>직접자원단가</x:v>
      </x:c>
      <x:c r="B587" s="22" t="str">
        <x:v>4531284DDC776A4702EA22A0C0638FB35037D</x:v>
      </x:c>
      <x:c r="C587" s="25" t="str">
        <x:v>Painting on plastered surfaces including Emulsion Paint as per drawing and as specified. (Plastering measured seperately</x:v>
      </x:c>
      <x:c r="D587" s="25" t="str"/>
      <x:c r="E587" s="22" t="str">
        <x:v>M2</x:v>
      </x:c>
      <x:c r="F587" s="34" t="n">
        <x:v>1.5</x:v>
      </x:c>
      <x:c r="G587" s="34" t="n">
        <x:v>0</x:v>
      </x:c>
      <x:c r="H587" s="34" t="n">
        <x:v>0</x:v>
      </x:c>
      <x:c r="I587" s="34" t="n">
        <x:f>SUM(F587:H587)</x:f>
        <x:v>1.5</x:v>
      </x:c>
      <x:c r="J587" s="22" t="str">
        <x:v>1.5</x:v>
      </x:c>
      <x:c r="K587" s="22" t="str"/>
      <x:c r="L587" s="22" t="str">
        <x:v>※$$$$$$$$$</x:v>
      </x:c>
      <x:c r="M587" s="22" t="str">
        <x:v>단가대비표</x:v>
      </x:c>
      <x:c r="N587" s="37" t="n">
        <x:v>289</x:v>
      </x:c>
      <x:c r="O58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7" s="22" t="str">
        <x:v>47d79c95e2c3273f84778935276c94526e369cc1b1bc057f6b03c998f44e253f</x:v>
      </x:c>
      <x:c r="Q587" s="22" t="str">
        <x:v>=O289+P289+V289</x:v>
      </x:c>
    </x:row>
    <x:row r="588">
      <x:c r="A588" s="22" t="str">
        <x:v>직접자원단가</x:v>
      </x:c>
      <x:c r="B588" s="22" t="str">
        <x:v>4531284DDC776A4702EA22A0C0638FB347F7E</x:v>
      </x:c>
      <x:c r="C588" s="25" t="str">
        <x:v>DRY WALL D4(W125), 1-Sided Drywall System,(ON 50*45*0.8 C-STUD @450+52*40*0.8 RUNNER)</x:v>
      </x:c>
      <x:c r="D588" s="25" t="str">
        <x:v>(T12.5 General Gypsum Board) 2LAYER</x:v>
      </x:c>
      <x:c r="E588" s="22" t="str">
        <x:v>EA</x:v>
      </x:c>
      <x:c r="F588" s="34" t="n">
        <x:v>40</x:v>
      </x:c>
      <x:c r="G588" s="34" t="n">
        <x:v>10</x:v>
      </x:c>
      <x:c r="H588" s="34" t="n">
        <x:v>0.19</x:v>
      </x:c>
      <x:c r="I588" s="34" t="n">
        <x:f>SUM(F588:H588)</x:f>
        <x:v>50.19</x:v>
      </x:c>
      <x:c r="J588" s="22" t="str">
        <x:v>40</x:v>
      </x:c>
      <x:c r="K588" s="22" t="str"/>
      <x:c r="L588" s="22" t="str">
        <x:v>※$$$$$$$$$</x:v>
      </x:c>
      <x:c r="M588" s="22" t="str">
        <x:v>단가대비표</x:v>
      </x:c>
      <x:c r="N588" s="37" t="n">
        <x:v>290</x:v>
      </x:c>
      <x:c r="O58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8" s="22" t="str">
        <x:v>47d79c95e2c3273f84778935276c94526e369cc1b1bc057f6b03c998f44e253f</x:v>
      </x:c>
      <x:c r="Q588" s="22" t="str">
        <x:v>=O290+P290+V290</x:v>
      </x:c>
    </x:row>
    <x:row r="589">
      <x:c r="A589" s="22" t="str">
        <x:v>직접자원단가</x:v>
      </x:c>
      <x:c r="B589" s="22" t="str">
        <x:v>4531284DDC776A4702EA22A0C0638FB347F79</x:v>
      </x:c>
      <x:c r="C589" s="25" t="str">
        <x:v>DRY WALL D4A(W125), 1-Sided Drywall System,(ON 50*45*0.8 C-STUD @450+52*40*0.8 RUNNER)</x:v>
      </x:c>
      <x:c r="D589" s="25" t="str">
        <x:v>(T12.5 General Gypsum Board) 2LAYER+THK2.0 LEAD PLATE</x:v>
      </x:c>
      <x:c r="E589" s="22" t="str">
        <x:v>EA</x:v>
      </x:c>
      <x:c r="F589" s="34" t="n">
        <x:v>40</x:v>
      </x:c>
      <x:c r="G589" s="34" t="n">
        <x:v>10</x:v>
      </x:c>
      <x:c r="H589" s="34" t="n">
        <x:v>0.19</x:v>
      </x:c>
      <x:c r="I589" s="34" t="n">
        <x:f>SUM(F589:H589)</x:f>
        <x:v>50.19</x:v>
      </x:c>
      <x:c r="J589" s="22" t="str">
        <x:v>40</x:v>
      </x:c>
      <x:c r="K589" s="22" t="str"/>
      <x:c r="L589" s="22" t="str">
        <x:v>※$$$$$$$$$</x:v>
      </x:c>
      <x:c r="M589" s="22" t="str">
        <x:v>단가대비표</x:v>
      </x:c>
      <x:c r="N589" s="37" t="n">
        <x:v>291</x:v>
      </x:c>
      <x:c r="O58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89" s="22" t="str">
        <x:v>47d79c95e2c3273f84778935276c94526e369cc1b1bc057f6b03c998f44e253f</x:v>
      </x:c>
      <x:c r="Q589" s="22" t="str">
        <x:v>=O291+P291+V291</x:v>
      </x:c>
    </x:row>
    <x:row r="590">
      <x:c r="A590" s="22" t="str">
        <x:v>직접자원단가</x:v>
      </x:c>
      <x:c r="B590" s="22" t="str">
        <x:v>4531284DDC776A4702EA22A0C0638FB347F78</x:v>
      </x:c>
      <x:c r="C590" s="25" t="str">
        <x:v>DRY WALL D5(W200), General Drywall System,(ON 150*45*0.8 C-STUD @450+152*40*0.8 RUNNER)</x:v>
      </x:c>
      <x:c r="D590" s="25" t="str">
        <x:v>(T12.5 General Gypsum Board) 2LAYER+(T12.5 General Gypsum Board) 2LAYER</x:v>
      </x:c>
      <x:c r="E590" s="22" t="str">
        <x:v>EA</x:v>
      </x:c>
      <x:c r="F590" s="34" t="n">
        <x:v>40</x:v>
      </x:c>
      <x:c r="G590" s="34" t="n">
        <x:v>10</x:v>
      </x:c>
      <x:c r="H590" s="34" t="n">
        <x:v>0.19</x:v>
      </x:c>
      <x:c r="I590" s="34" t="n">
        <x:f>SUM(F590:H590)</x:f>
        <x:v>50.19</x:v>
      </x:c>
      <x:c r="J590" s="22" t="str">
        <x:v>40</x:v>
      </x:c>
      <x:c r="K590" s="22" t="str"/>
      <x:c r="L590" s="22" t="str">
        <x:v>※$$$$$$$$$</x:v>
      </x:c>
      <x:c r="M590" s="22" t="str">
        <x:v>단가대비표</x:v>
      </x:c>
      <x:c r="N590" s="37" t="n">
        <x:v>292</x:v>
      </x:c>
      <x:c r="O59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0" s="22" t="str">
        <x:v>47d79c95e2c3273f84778935276c94526e369cc1b1bc057f6b03c998f44e253f</x:v>
      </x:c>
      <x:c r="Q590" s="22" t="str">
        <x:v>=O292+P292+V292</x:v>
      </x:c>
    </x:row>
    <x:row r="591">
      <x:c r="A591" s="22" t="str">
        <x:v>직접자원단가</x:v>
      </x:c>
      <x:c r="B591" s="22" t="str">
        <x:v>4531284DDC776A4702EA22A0C0638FB347F7B</x:v>
      </x:c>
      <x:c r="C591" s="25" t="str">
        <x:v>DRY WALL DF1(W125), 1-Hour Fireproof Structrue, (ON 75*45*0.8 C-STUD @450+77*44*0.8 RUNNER)</x:v>
      </x:c>
      <x:c r="D591" s="25" t="str">
        <x:v>(T12.5 F.P Gypsum Board) 2LAYER+General Wool Nature 24K 50mm+(T12.5 F.P Gypsum Board) 2LAYER</x:v>
      </x:c>
      <x:c r="E591" s="22" t="str">
        <x:v>EA</x:v>
      </x:c>
      <x:c r="F591" s="34" t="n">
        <x:v>40</x:v>
      </x:c>
      <x:c r="G591" s="34" t="n">
        <x:v>10</x:v>
      </x:c>
      <x:c r="H591" s="34" t="n">
        <x:v>0.19</x:v>
      </x:c>
      <x:c r="I591" s="34" t="n">
        <x:f>SUM(F591:H591)</x:f>
        <x:v>50.19</x:v>
      </x:c>
      <x:c r="J591" s="22" t="str">
        <x:v>40</x:v>
      </x:c>
      <x:c r="K591" s="22" t="str"/>
      <x:c r="L591" s="22" t="str">
        <x:v>※$$$$$$$$$</x:v>
      </x:c>
      <x:c r="M591" s="22" t="str">
        <x:v>단가대비표</x:v>
      </x:c>
      <x:c r="N591" s="37" t="n">
        <x:v>293</x:v>
      </x:c>
      <x:c r="O59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1" s="22" t="str">
        <x:v>47d79c95e2c3273f84778935276c94526e369cc1b1bc057f6b03c998f44e253f</x:v>
      </x:c>
      <x:c r="Q591" s="22" t="str">
        <x:v>=O293+P293+V293</x:v>
      </x:c>
    </x:row>
    <x:row r="592">
      <x:c r="A592" s="22" t="str">
        <x:v>직접자원단가</x:v>
      </x:c>
      <x:c r="B592" s="22" t="str">
        <x:v>4531284DDC776A4702EA22A0C0638FB347F7A</x:v>
      </x:c>
      <x:c r="C592" s="25" t="str">
        <x:v>DRY WALL DF2(W75), 1-Sided Drywall System,(ON 50*45*0.8 C-STUD @450+52*40*0.8 RUNNER)</x:v>
      </x:c>
      <x:c r="D592" s="25" t="str">
        <x:v>(T12.5 F.P Gypsum Board) 2LAYER</x:v>
      </x:c>
      <x:c r="E592" s="22" t="str">
        <x:v>EA</x:v>
      </x:c>
      <x:c r="F592" s="34" t="n">
        <x:v>40</x:v>
      </x:c>
      <x:c r="G592" s="34" t="n">
        <x:v>10</x:v>
      </x:c>
      <x:c r="H592" s="34" t="n">
        <x:v>0.19</x:v>
      </x:c>
      <x:c r="I592" s="34" t="n">
        <x:f>SUM(F592:H592)</x:f>
        <x:v>50.19</x:v>
      </x:c>
      <x:c r="J592" s="22" t="str">
        <x:v>40</x:v>
      </x:c>
      <x:c r="K592" s="22" t="str"/>
      <x:c r="L592" s="22" t="str">
        <x:v>※$$$$$$$$$</x:v>
      </x:c>
      <x:c r="M592" s="22" t="str">
        <x:v>단가대비표</x:v>
      </x:c>
      <x:c r="N592" s="37" t="n">
        <x:v>294</x:v>
      </x:c>
      <x:c r="O59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2" s="22" t="str">
        <x:v>47d79c95e2c3273f84778935276c94526e369cc1b1bc057f6b03c998f44e253f</x:v>
      </x:c>
      <x:c r="Q592" s="22" t="str">
        <x:v>=O294+P294+V294</x:v>
      </x:c>
    </x:row>
    <x:row r="593">
      <x:c r="A593" s="22" t="str">
        <x:v>직접자원단가</x:v>
      </x:c>
      <x:c r="B593" s="22" t="str">
        <x:v>4531284DDC776A4702EA22A0C0638FB347F75</x:v>
      </x:c>
      <x:c r="C593" s="25" t="str">
        <x:v>DRY WALL DS1(W200), General Drywall System(SHIELDING WALL),(ON 65*45*0.8 C-STUD @450+67*40*0.8 RUNNER)</x:v>
      </x:c>
      <x:c r="D593" s="25" t="str">
        <x:v>(T12.5 General Gypsum Board) 2LAYER+THK2.0 LEAD PLATE+(T12.5 General Gypsum Board) 2LAYER</x:v>
      </x:c>
      <x:c r="E593" s="22" t="str">
        <x:v>EA</x:v>
      </x:c>
      <x:c r="F593" s="34" t="n">
        <x:v>40</x:v>
      </x:c>
      <x:c r="G593" s="34" t="n">
        <x:v>10</x:v>
      </x:c>
      <x:c r="H593" s="34" t="n">
        <x:v>0.19</x:v>
      </x:c>
      <x:c r="I593" s="34" t="n">
        <x:f>SUM(F593:H593)</x:f>
        <x:v>50.19</x:v>
      </x:c>
      <x:c r="J593" s="22" t="str">
        <x:v>40</x:v>
      </x:c>
      <x:c r="K593" s="22" t="str"/>
      <x:c r="L593" s="22" t="str">
        <x:v>※$$$$$$$$$</x:v>
      </x:c>
      <x:c r="M593" s="22" t="str">
        <x:v>단가대비표</x:v>
      </x:c>
      <x:c r="N593" s="37" t="n">
        <x:v>295</x:v>
      </x:c>
      <x:c r="O59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3" s="22" t="str">
        <x:v>47d79c95e2c3273f84778935276c94526e369cc1b1bc057f6b03c998f44e253f</x:v>
      </x:c>
      <x:c r="Q593" s="22" t="str">
        <x:v>=O295+P295+V295</x:v>
      </x:c>
    </x:row>
    <x:row r="594">
      <x:c r="A594" s="22" t="str">
        <x:v>직접자원단가</x:v>
      </x:c>
      <x:c r="B594" s="22" t="str">
        <x:v>4531284DDC776A4702EA22A0C0638FB347F74</x:v>
      </x:c>
      <x:c r="C594" s="25" t="str">
        <x:v>DRY WALL DW1(W125), General Drywall System,(ON 75*45*0.8 C-STUD @450+77*44*0.8 RUNNER)</x:v>
      </x:c>
      <x:c r="D594" s="25" t="str">
        <x:v>(T12.5 W.P Gypsum Board) 2LAYER+General Wool Nature 24K 50mm+(T12.5 General Gypsum Board) 2LAYER</x:v>
      </x:c>
      <x:c r="E594" s="22" t="str">
        <x:v>EA</x:v>
      </x:c>
      <x:c r="F594" s="34" t="n">
        <x:v>40</x:v>
      </x:c>
      <x:c r="G594" s="34" t="n">
        <x:v>10</x:v>
      </x:c>
      <x:c r="H594" s="34" t="n">
        <x:v>0.19</x:v>
      </x:c>
      <x:c r="I594" s="34" t="n">
        <x:f>SUM(F594:H594)</x:f>
        <x:v>50.19</x:v>
      </x:c>
      <x:c r="J594" s="22" t="str">
        <x:v>40</x:v>
      </x:c>
      <x:c r="K594" s="22" t="str"/>
      <x:c r="L594" s="22" t="str">
        <x:v>※$$$$$$$$$</x:v>
      </x:c>
      <x:c r="M594" s="22" t="str">
        <x:v>단가대비표</x:v>
      </x:c>
      <x:c r="N594" s="37" t="n">
        <x:v>296</x:v>
      </x:c>
      <x:c r="O59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4" s="22" t="str">
        <x:v>47d79c95e2c3273f84778935276c94526e369cc1b1bc057f6b03c998f44e253f</x:v>
      </x:c>
      <x:c r="Q594" s="22" t="str">
        <x:v>=O296+P296+V296</x:v>
      </x:c>
    </x:row>
    <x:row r="595">
      <x:c r="A595" s="22" t="str">
        <x:v>직접자원단가</x:v>
      </x:c>
      <x:c r="B595" s="22" t="str">
        <x:v>4531284DDC776A4702EA22A0C0638FB347CA8</x:v>
      </x:c>
      <x:c r="C595" s="25" t="str">
        <x:v>DRY WALL D6(W100), General Drywall System,(ON 50*45*0.8 C-STUD @450+52*40*0.8 RUNNER)</x:v>
      </x:c>
      <x:c r="D595" s="25" t="str">
        <x:v>(T12.5 General Gypsum Board) 2LAYER+Glass Wool Nature 24K 50mm</x:v>
      </x:c>
      <x:c r="E595" s="22" t="str">
        <x:v>EA</x:v>
      </x:c>
      <x:c r="F595" s="34" t="n">
        <x:v>40</x:v>
      </x:c>
      <x:c r="G595" s="34" t="n">
        <x:v>10</x:v>
      </x:c>
      <x:c r="H595" s="34" t="n">
        <x:v>0.19</x:v>
      </x:c>
      <x:c r="I595" s="34" t="n">
        <x:f>SUM(F595:H595)</x:f>
        <x:v>50.19</x:v>
      </x:c>
      <x:c r="J595" s="22" t="str">
        <x:v>40</x:v>
      </x:c>
      <x:c r="K595" s="22" t="str"/>
      <x:c r="L595" s="22" t="str">
        <x:v>※$$$$$$$$$</x:v>
      </x:c>
      <x:c r="M595" s="22" t="str">
        <x:v>단가대비표</x:v>
      </x:c>
      <x:c r="N595" s="37" t="n">
        <x:v>297</x:v>
      </x:c>
      <x:c r="O59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5" s="22" t="str">
        <x:v>47d79c95e2c3273f84778935276c94526e369cc1b1bc057f6b03c998f44e253f</x:v>
      </x:c>
      <x:c r="Q595" s="22" t="str">
        <x:v>=O297+P297+V297</x:v>
      </x:c>
    </x:row>
    <x:row r="596">
      <x:c r="A596" s="22" t="str">
        <x:v>직접자원단가</x:v>
      </x:c>
      <x:c r="B596" s="22" t="str">
        <x:v>4531284DDC776A4702EA22A0C0638FB3736F8</x:v>
      </x:c>
      <x:c r="C596" s="25" t="str">
        <x:v>싱크대</x:v>
      </x:c>
      <x:c r="D596" s="25" t="str"/>
      <x:c r="E596" s="22" t="str">
        <x:v>EA</x:v>
      </x:c>
      <x:c r="F596" s="34" t="n">
        <x:v>798.3411093831002</x:v>
      </x:c>
      <x:c r="G596" s="34" t="n">
        <x:v>0</x:v>
      </x:c>
      <x:c r="H596" s="34" t="n">
        <x:v>0</x:v>
      </x:c>
      <x:c r="I596" s="34" t="n">
        <x:f>SUM(F596:H596)</x:f>
        <x:v>798.3411093831002</x:v>
      </x:c>
      <x:c r="J596" s="22" t="str">
        <x:v>798.3411093831002</x:v>
      </x:c>
      <x:c r="K596" s="22" t="str">
        <x:v>907</x:v>
      </x:c>
      <x:c r="L596" s="22" t="str"/>
      <x:c r="M596" s="22" t="str">
        <x:v>단가대비표</x:v>
      </x:c>
      <x:c r="N596" s="37" t="n">
        <x:v>298</x:v>
      </x:c>
      <x:c r="O59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6" s="22" t="str">
        <x:v>47d79c95e2c3273f84778935276c94526e369cc1b1bc057f6b03c998f44e253f</x:v>
      </x:c>
      <x:c r="Q596" s="22" t="str">
        <x:v>=O298+P298+V298</x:v>
      </x:c>
    </x:row>
    <x:row r="597">
      <x:c r="A597" s="22" t="str">
        <x:v>직접자원단가</x:v>
      </x:c>
      <x:c r="B597" s="22" t="str">
        <x:v>4531284DDC776A4702EA22A0C0638FB3736F9</x:v>
      </x:c>
      <x:c r="C597" s="25" t="str">
        <x:v>Non Shrink Mortar</x:v>
      </x:c>
      <x:c r="D597" s="25" t="str">
        <x:v>330*330*30mm</x:v>
      </x:c>
      <x:c r="E597" s="22" t="str">
        <x:v>EA</x:v>
      </x:c>
      <x:c r="F597" s="34" t="n">
        <x:v>2.15</x:v>
      </x:c>
      <x:c r="G597" s="34" t="n">
        <x:v>7.08</x:v>
      </x:c>
      <x:c r="H597" s="34" t="n">
        <x:v>0</x:v>
      </x:c>
      <x:c r="I597" s="34" t="n">
        <x:f>SUM(F597:H597)</x:f>
        <x:v>9.23</x:v>
      </x:c>
      <x:c r="J597" s="22" t="str">
        <x:v>2.15</x:v>
      </x:c>
      <x:c r="K597" s="22" t="str"/>
      <x:c r="L597" s="22" t="str">
        <x:v>※$$$$$$$$$</x:v>
      </x:c>
      <x:c r="M597" s="22" t="str">
        <x:v>단가대비표</x:v>
      </x:c>
      <x:c r="N597" s="37" t="n">
        <x:v>299</x:v>
      </x:c>
      <x:c r="O59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7" s="22" t="str">
        <x:v>47d79c95e2c3273f84778935276c94526e369cc1b1bc057f6b03c998f44e253f</x:v>
      </x:c>
      <x:c r="Q597" s="22" t="str">
        <x:v>=O299+P299+V299</x:v>
      </x:c>
    </x:row>
    <x:row r="598">
      <x:c r="A598" s="22" t="str">
        <x:v>직접자원단가</x:v>
      </x:c>
      <x:c r="B598" s="22" t="str">
        <x:v>4531284DDC776A4702EA22A0C0638FB3736FA</x:v>
      </x:c>
      <x:c r="C598" s="25" t="str">
        <x:v>Non Shrink Mortar</x:v>
      </x:c>
      <x:c r="D598" s="25" t="str">
        <x:v>380*380*30mm</x:v>
      </x:c>
      <x:c r="E598" s="22" t="str">
        <x:v>EA</x:v>
      </x:c>
      <x:c r="F598" s="34" t="n">
        <x:v>2.85</x:v>
      </x:c>
      <x:c r="G598" s="34" t="n">
        <x:v>9.39</x:v>
      </x:c>
      <x:c r="H598" s="34" t="n">
        <x:v>0</x:v>
      </x:c>
      <x:c r="I598" s="34" t="n">
        <x:f>SUM(F598:H598)</x:f>
        <x:v>12.24</x:v>
      </x:c>
      <x:c r="J598" s="22" t="str">
        <x:v>2.85</x:v>
      </x:c>
      <x:c r="K598" s="22" t="str"/>
      <x:c r="L598" s="22" t="str">
        <x:v>※$$$$$$$$$</x:v>
      </x:c>
      <x:c r="M598" s="22" t="str">
        <x:v>단가대비표</x:v>
      </x:c>
      <x:c r="N598" s="37" t="n">
        <x:v>300</x:v>
      </x:c>
      <x:c r="O59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8" s="22" t="str">
        <x:v>47d79c95e2c3273f84778935276c94526e369cc1b1bc057f6b03c998f44e253f</x:v>
      </x:c>
      <x:c r="Q598" s="22" t="str">
        <x:v>=O300+P300+V300</x:v>
      </x:c>
    </x:row>
    <x:row r="599">
      <x:c r="A599" s="22" t="str">
        <x:v>직접자원단가</x:v>
      </x:c>
      <x:c r="B599" s="22" t="str">
        <x:v>4531284DDC776A4702EA22A0C0638FB3736FB</x:v>
      </x:c>
      <x:c r="C599" s="25" t="str">
        <x:v>H Shape Steel</x:v>
      </x:c>
      <x:c r="D599" s="25" t="str">
        <x:v>SS275, 175*175*8*11mm</x:v>
      </x:c>
      <x:c r="E599" s="22" t="str">
        <x:v>TON</x:v>
      </x:c>
      <x:c r="F599" s="34" t="n">
        <x:v>1800</x:v>
      </x:c>
      <x:c r="G599" s="34" t="n">
        <x:v>0</x:v>
      </x:c>
      <x:c r="H599" s="34" t="n">
        <x:v>0</x:v>
      </x:c>
      <x:c r="I599" s="34" t="n">
        <x:f>SUM(F599:H599)</x:f>
        <x:v>1800</x:v>
      </x:c>
      <x:c r="J599" s="22" t="str">
        <x:v>1800</x:v>
      </x:c>
      <x:c r="K599" s="22" t="str"/>
      <x:c r="L599" s="22" t="str">
        <x:v>※$$$$$$$$$</x:v>
      </x:c>
      <x:c r="M599" s="22" t="str">
        <x:v>단가대비표</x:v>
      </x:c>
      <x:c r="N599" s="37" t="n">
        <x:v>301</x:v>
      </x:c>
      <x:c r="O59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599" s="22" t="str">
        <x:v>47d79c95e2c3273f84778935276c94526e369cc1b1bc057f6b03c998f44e253f</x:v>
      </x:c>
      <x:c r="Q599" s="22" t="str">
        <x:v>=O301+P301+V301</x:v>
      </x:c>
    </x:row>
    <x:row r="600">
      <x:c r="A600" s="22" t="str">
        <x:v>직접자원단가</x:v>
      </x:c>
      <x:c r="B600" s="22" t="str">
        <x:v>4530234CF57486DF6239DCDF666</x:v>
      </x:c>
      <x:c r="C600" s="25" t="str">
        <x:v>BOTTOM RAIL DEADLOCK</x:v>
      </x:c>
      <x:c r="D600" s="25" t="str">
        <x:v>EZ-800 * T/T * GMK</x:v>
      </x:c>
      <x:c r="E600" s="22" t="str">
        <x:v>ea</x:v>
      </x:c>
      <x:c r="F600" s="34" t="n">
        <x:v>71.68777308746205</x:v>
      </x:c>
      <x:c r="G600" s="34" t="n">
        <x:v>0</x:v>
      </x:c>
      <x:c r="H600" s="34" t="n">
        <x:v>0</x:v>
      </x:c>
      <x:c r="I600" s="34" t="n">
        <x:f>SUM(F600:H600)</x:f>
        <x:v>71.68777308746205</x:v>
      </x:c>
      <x:c r="J600" s="22" t="str">
        <x:v>71.68777308746205</x:v>
      </x:c>
      <x:c r="K600" s="22" t="str"/>
      <x:c r="L600" s="22" t="str"/>
      <x:c r="M600" s="22" t="str">
        <x:v>단가대비표</x:v>
      </x:c>
      <x:c r="N600" s="37" t="n">
        <x:v>302</x:v>
      </x:c>
      <x:c r="O60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0" s="22" t="str">
        <x:v>47d79c95e2c3273f84778935276c94526e369cc1b1bc057f6b03c998f44e253f</x:v>
      </x:c>
      <x:c r="Q600" s="22" t="str">
        <x:v>=O302+P302+V302</x:v>
      </x:c>
    </x:row>
    <x:row r="601">
      <x:c r="A601" s="22" t="str">
        <x:v>직접자원단가</x:v>
      </x:c>
      <x:c r="B601" s="22" t="str">
        <x:v>4530234CF57486DF6239DCDF665</x:v>
      </x:c>
      <x:c r="C601" s="25" t="str">
        <x:v>SPRING HINGE(SST'L) 4.5"X4"</x:v>
      </x:c>
      <x:c r="D601" s="25" t="str">
        <x:v>SP4540</x:v>
      </x:c>
      <x:c r="E601" s="22" t="str">
        <x:v>ea</x:v>
      </x:c>
      <x:c r="F601" s="34" t="n">
        <x:v>7.739020958305562</x:v>
      </x:c>
      <x:c r="G601" s="34" t="n">
        <x:v>0</x:v>
      </x:c>
      <x:c r="H601" s="34" t="n">
        <x:v>0</x:v>
      </x:c>
      <x:c r="I601" s="34" t="n">
        <x:f>SUM(F601:H601)</x:f>
        <x:v>7.739020958305562</x:v>
      </x:c>
      <x:c r="J601" s="22" t="str">
        <x:v>7.739020958305562</x:v>
      </x:c>
      <x:c r="K601" s="22" t="str"/>
      <x:c r="L601" s="22" t="str"/>
      <x:c r="M601" s="22" t="str">
        <x:v>단가대비표</x:v>
      </x:c>
      <x:c r="N601" s="37" t="n">
        <x:v>303</x:v>
      </x:c>
      <x:c r="O60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1" s="22" t="str">
        <x:v>47d79c95e2c3273f84778935276c94526e369cc1b1bc057f6b03c998f44e253f</x:v>
      </x:c>
      <x:c r="Q601" s="22" t="str">
        <x:v>=O303+P303+V303</x:v>
      </x:c>
    </x:row>
    <x:row r="602">
      <x:c r="A602" s="22" t="str">
        <x:v>직접자원단가</x:v>
      </x:c>
      <x:c r="B602" s="22" t="str">
        <x:v>4530234CF57486DF6239DCDF664</x:v>
      </x:c>
      <x:c r="C602" s="25" t="str">
        <x:v>BUTT HINGE(SST'L) 4.5"X4"</x:v>
      </x:c>
      <x:c r="D602" s="25" t="str">
        <x:v>BB4540</x:v>
      </x:c>
      <x:c r="E602" s="22" t="str">
        <x:v>ea</x:v>
      </x:c>
      <x:c r="F602" s="34" t="n">
        <x:v>6.354143523661409</x:v>
      </x:c>
      <x:c r="G602" s="34" t="n">
        <x:v>0</x:v>
      </x:c>
      <x:c r="H602" s="34" t="n">
        <x:v>0</x:v>
      </x:c>
      <x:c r="I602" s="34" t="n">
        <x:f>SUM(F602:H602)</x:f>
        <x:v>6.354143523661409</x:v>
      </x:c>
      <x:c r="J602" s="22" t="str">
        <x:v>6.354143523661409</x:v>
      </x:c>
      <x:c r="K602" s="22" t="str"/>
      <x:c r="L602" s="22" t="str"/>
      <x:c r="M602" s="22" t="str">
        <x:v>단가대비표</x:v>
      </x:c>
      <x:c r="N602" s="37" t="n">
        <x:v>304</x:v>
      </x:c>
      <x:c r="O60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2" s="22" t="str">
        <x:v>47d79c95e2c3273f84778935276c94526e369cc1b1bc057f6b03c998f44e253f</x:v>
      </x:c>
      <x:c r="Q602" s="22" t="str">
        <x:v>=O304+P304+V304</x:v>
      </x:c>
    </x:row>
    <x:row r="603">
      <x:c r="A603" s="22" t="str">
        <x:v>직접자원단가</x:v>
      </x:c>
      <x:c r="B603" s="22" t="str">
        <x:v>4530234CF57486DF6239DCDF663</x:v>
      </x:c>
      <x:c r="C603" s="25" t="str">
        <x:v>BUTT HINGE(SST'L) 5"X4"</x:v>
      </x:c>
      <x:c r="D603" s="25" t="str">
        <x:v>BB5040</x:v>
      </x:c>
      <x:c r="E603" s="22" t="str">
        <x:v>ea</x:v>
      </x:c>
      <x:c r="F603" s="34" t="n">
        <x:v>6.924387173220766</x:v>
      </x:c>
      <x:c r="G603" s="34" t="n">
        <x:v>0</x:v>
      </x:c>
      <x:c r="H603" s="34" t="n">
        <x:v>0</x:v>
      </x:c>
      <x:c r="I603" s="34" t="n">
        <x:f>SUM(F603:H603)</x:f>
        <x:v>6.924387173220766</x:v>
      </x:c>
      <x:c r="J603" s="22" t="str">
        <x:v>6.924387173220766</x:v>
      </x:c>
      <x:c r="K603" s="22" t="str"/>
      <x:c r="L603" s="22" t="str"/>
      <x:c r="M603" s="22" t="str">
        <x:v>단가대비표</x:v>
      </x:c>
      <x:c r="N603" s="37" t="n">
        <x:v>305</x:v>
      </x:c>
      <x:c r="O60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3" s="22" t="str">
        <x:v>47d79c95e2c3273f84778935276c94526e369cc1b1bc057f6b03c998f44e253f</x:v>
      </x:c>
      <x:c r="Q603" s="22" t="str">
        <x:v>=O305+P305+V305</x:v>
      </x:c>
    </x:row>
    <x:row r="604">
      <x:c r="A604" s="22" t="str">
        <x:v>직접자원단가</x:v>
      </x:c>
      <x:c r="B604" s="22" t="str">
        <x:v>4530234CF57486DF6239DCDF662</x:v>
      </x:c>
      <x:c r="C604" s="25" t="str">
        <x:v>AUTO HINGE</x:v>
      </x:c>
      <x:c r="D604" s="25" t="str">
        <x:v>ZL-1001</x:v>
      </x:c>
      <x:c r="E604" s="22" t="str">
        <x:v>ea</x:v>
      </x:c>
      <x:c r="F604" s="34" t="n">
        <x:v>61.912167666444496</x:v>
      </x:c>
      <x:c r="G604" s="34" t="n">
        <x:v>0</x:v>
      </x:c>
      <x:c r="H604" s="34" t="n">
        <x:v>0</x:v>
      </x:c>
      <x:c r="I604" s="34" t="n">
        <x:f>SUM(F604:H604)</x:f>
        <x:v>61.912167666444496</x:v>
      </x:c>
      <x:c r="J604" s="22" t="str">
        <x:v>61.912167666444496</x:v>
      </x:c>
      <x:c r="K604" s="22" t="str"/>
      <x:c r="L604" s="22" t="str"/>
      <x:c r="M604" s="22" t="str">
        <x:v>단가대비표</x:v>
      </x:c>
      <x:c r="N604" s="37" t="n">
        <x:v>306</x:v>
      </x:c>
      <x:c r="O60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4" s="22" t="str">
        <x:v>47d79c95e2c3273f84778935276c94526e369cc1b1bc057f6b03c998f44e253f</x:v>
      </x:c>
      <x:c r="Q604" s="22" t="str">
        <x:v>=O306+P306+V306</x:v>
      </x:c>
    </x:row>
    <x:row r="605">
      <x:c r="A605" s="22" t="str">
        <x:v>직접자원단가</x:v>
      </x:c>
      <x:c r="B605" s="22" t="str">
        <x:v>4530234CF57486DF6239DCDF661</x:v>
      </x:c>
      <x:c r="C605" s="25" t="str">
        <x:v>BUTT HINGE(SST'L) 4"X4"</x:v>
      </x:c>
      <x:c r="D605" s="25" t="str">
        <x:v>BB4040</x:v>
      </x:c>
      <x:c r="E605" s="22" t="str">
        <x:v>ea</x:v>
      </x:c>
      <x:c r="F605" s="34" t="n">
        <x:v>5.865363252610531</x:v>
      </x:c>
      <x:c r="G605" s="34" t="n">
        <x:v>0</x:v>
      </x:c>
      <x:c r="H605" s="34" t="n">
        <x:v>0</x:v>
      </x:c>
      <x:c r="I605" s="34" t="n">
        <x:f>SUM(F605:H605)</x:f>
        <x:v>5.865363252610531</x:v>
      </x:c>
      <x:c r="J605" s="22" t="str">
        <x:v>5.865363252610531</x:v>
      </x:c>
      <x:c r="K605" s="22" t="str"/>
      <x:c r="L605" s="22" t="str"/>
      <x:c r="M605" s="22" t="str">
        <x:v>단가대비표</x:v>
      </x:c>
      <x:c r="N605" s="37" t="n">
        <x:v>307</x:v>
      </x:c>
      <x:c r="O60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5" s="22" t="str">
        <x:v>47d79c95e2c3273f84778935276c94526e369cc1b1bc057f6b03c998f44e253f</x:v>
      </x:c>
      <x:c r="Q605" s="22" t="str">
        <x:v>=O307+P307+V307</x:v>
      </x:c>
    </x:row>
    <x:row r="606">
      <x:c r="A606" s="22" t="str">
        <x:v>직접자원단가</x:v>
      </x:c>
      <x:c r="B606" s="22" t="str">
        <x:v>4530234CF57486DF6239DCDF660</x:v>
      </x:c>
      <x:c r="C606" s="25" t="str">
        <x:v>DOOR COORDINATOR</x:v>
      </x:c>
      <x:c r="D606" s="25" t="str">
        <x:v>DC002A</x:v>
      </x:c>
      <x:c r="E606" s="22" t="str">
        <x:v>ea</x:v>
      </x:c>
      <x:c r="F606" s="34" t="n">
        <x:v>37.47315411390062</x:v>
      </x:c>
      <x:c r="G606" s="34" t="n">
        <x:v>0</x:v>
      </x:c>
      <x:c r="H606" s="34" t="n">
        <x:v>0</x:v>
      </x:c>
      <x:c r="I606" s="34" t="n">
        <x:f>SUM(F606:H606)</x:f>
        <x:v>37.47315411390062</x:v>
      </x:c>
      <x:c r="J606" s="22" t="str">
        <x:v>37.47315411390062</x:v>
      </x:c>
      <x:c r="K606" s="22" t="str"/>
      <x:c r="L606" s="22" t="str"/>
      <x:c r="M606" s="22" t="str">
        <x:v>단가대비표</x:v>
      </x:c>
      <x:c r="N606" s="37" t="n">
        <x:v>308</x:v>
      </x:c>
      <x:c r="O60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6" s="22" t="str">
        <x:v>47d79c95e2c3273f84778935276c94526e369cc1b1bc057f6b03c998f44e253f</x:v>
      </x:c>
      <x:c r="Q606" s="22" t="str">
        <x:v>=O308+P308+V308</x:v>
      </x:c>
    </x:row>
    <x:row r="607">
      <x:c r="A607" s="22" t="str">
        <x:v>직접자원단가</x:v>
      </x:c>
      <x:c r="B607" s="22" t="str">
        <x:v>4530234CF57486DF6239DCDF66F</x:v>
      </x:c>
      <x:c r="C607" s="25" t="str">
        <x:v>DOOR CLOSER NHO</x:v>
      </x:c>
      <x:c r="D607" s="25" t="str">
        <x:v>9016BC/DA</x:v>
      </x:c>
      <x:c r="E607" s="22" t="str">
        <x:v>ea</x:v>
      </x:c>
      <x:c r="F607" s="34" t="n">
        <x:v>97.75605421017552</x:v>
      </x:c>
      <x:c r="G607" s="34" t="n">
        <x:v>0</x:v>
      </x:c>
      <x:c r="H607" s="34" t="n">
        <x:v>0</x:v>
      </x:c>
      <x:c r="I607" s="34" t="n">
        <x:f>SUM(F607:H607)</x:f>
        <x:v>97.75605421017552</x:v>
      </x:c>
      <x:c r="J607" s="22" t="str">
        <x:v>97.75605421017552</x:v>
      </x:c>
      <x:c r="K607" s="22" t="str"/>
      <x:c r="L607" s="22" t="str"/>
      <x:c r="M607" s="22" t="str">
        <x:v>단가대비표</x:v>
      </x:c>
      <x:c r="N607" s="37" t="n">
        <x:v>309</x:v>
      </x:c>
      <x:c r="O60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7" s="22" t="str">
        <x:v>47d79c95e2c3273f84778935276c94526e369cc1b1bc057f6b03c998f44e253f</x:v>
      </x:c>
      <x:c r="Q607" s="22" t="str">
        <x:v>=O309+P309+V309</x:v>
      </x:c>
    </x:row>
    <x:row r="608">
      <x:c r="A608" s="22" t="str">
        <x:v>직접자원단가</x:v>
      </x:c>
      <x:c r="B608" s="22" t="str">
        <x:v>4530234CF57486DF6239DCDF541</x:v>
      </x:c>
      <x:c r="C608" s="25" t="str">
        <x:v>DUST PROOF STRIKE</x:v>
      </x:c>
      <x:c r="D608" s="25" t="str">
        <x:v>489B</x:v>
      </x:c>
      <x:c r="E608" s="22" t="str">
        <x:v>ea</x:v>
      </x:c>
      <x:c r="F608" s="34" t="n">
        <x:v>5.295119603051174</x:v>
      </x:c>
      <x:c r="G608" s="34" t="n">
        <x:v>0</x:v>
      </x:c>
      <x:c r="H608" s="34" t="n">
        <x:v>0</x:v>
      </x:c>
      <x:c r="I608" s="34" t="n">
        <x:f>SUM(F608:H608)</x:f>
        <x:v>5.295119603051174</x:v>
      </x:c>
      <x:c r="J608" s="22" t="str">
        <x:v>5.295119603051174</x:v>
      </x:c>
      <x:c r="K608" s="22" t="str"/>
      <x:c r="L608" s="22" t="str"/>
      <x:c r="M608" s="22" t="str">
        <x:v>단가대비표</x:v>
      </x:c>
      <x:c r="N608" s="37" t="n">
        <x:v>310</x:v>
      </x:c>
      <x:c r="O60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8" s="22" t="str">
        <x:v>47d79c95e2c3273f84778935276c94526e369cc1b1bc057f6b03c998f44e253f</x:v>
      </x:c>
      <x:c r="Q608" s="22" t="str">
        <x:v>=O310+P310+V310</x:v>
      </x:c>
    </x:row>
    <x:row r="609">
      <x:c r="A609" s="22" t="str">
        <x:v>직접자원단가</x:v>
      </x:c>
      <x:c r="B609" s="22" t="str">
        <x:v>4530234CF57486DF6239DCDF545</x:v>
      </x:c>
      <x:c r="C609" s="25" t="str">
        <x:v>FLUSH BOLT-WOOD DOOR</x:v>
      </x:c>
      <x:c r="D609" s="25" t="str">
        <x:v>358B</x:v>
      </x:c>
      <x:c r="E609" s="22" t="str">
        <x:v>ea</x:v>
      </x:c>
      <x:c r="F609" s="34" t="n">
        <x:v>17.921943271865512</x:v>
      </x:c>
      <x:c r="G609" s="34" t="n">
        <x:v>0</x:v>
      </x:c>
      <x:c r="H609" s="34" t="n">
        <x:v>0</x:v>
      </x:c>
      <x:c r="I609" s="34" t="n">
        <x:f>SUM(F609:H609)</x:f>
        <x:v>17.921943271865512</x:v>
      </x:c>
      <x:c r="J609" s="22" t="str">
        <x:v>17.921943271865512</x:v>
      </x:c>
      <x:c r="K609" s="22" t="str"/>
      <x:c r="L609" s="22" t="str"/>
      <x:c r="M609" s="22" t="str">
        <x:v>단가대비표</x:v>
      </x:c>
      <x:c r="N609" s="37" t="n">
        <x:v>311</x:v>
      </x:c>
      <x:c r="O60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09" s="22" t="str">
        <x:v>47d79c95e2c3273f84778935276c94526e369cc1b1bc057f6b03c998f44e253f</x:v>
      </x:c>
      <x:c r="Q609" s="22" t="str">
        <x:v>=O311+P311+V311</x:v>
      </x:c>
    </x:row>
    <x:row r="610">
      <x:c r="A610" s="22" t="str">
        <x:v>직접자원단가</x:v>
      </x:c>
      <x:c r="B610" s="22" t="str">
        <x:v>4530234CF57486DF6239DCDF546</x:v>
      </x:c>
      <x:c r="C610" s="25" t="str">
        <x:v>FLUSH BOLT-12"</x:v>
      </x:c>
      <x:c r="D610" s="25" t="str">
        <x:v>458B</x:v>
      </x:c>
      <x:c r="E610" s="22" t="str">
        <x:v>ea</x:v>
      </x:c>
      <x:c r="F610" s="34" t="n">
        <x:v>17.107309486780718</x:v>
      </x:c>
      <x:c r="G610" s="34" t="n">
        <x:v>0</x:v>
      </x:c>
      <x:c r="H610" s="34" t="n">
        <x:v>0</x:v>
      </x:c>
      <x:c r="I610" s="34" t="n">
        <x:f>SUM(F610:H610)</x:f>
        <x:v>17.107309486780718</x:v>
      </x:c>
      <x:c r="J610" s="22" t="str">
        <x:v>17.107309486780718</x:v>
      </x:c>
      <x:c r="K610" s="22" t="str"/>
      <x:c r="L610" s="22" t="str"/>
      <x:c r="M610" s="22" t="str">
        <x:v>단가대비표</x:v>
      </x:c>
      <x:c r="N610" s="37" t="n">
        <x:v>312</x:v>
      </x:c>
      <x:c r="O61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0" s="22" t="str">
        <x:v>47d79c95e2c3273f84778935276c94526e369cc1b1bc057f6b03c998f44e253f</x:v>
      </x:c>
      <x:c r="Q610" s="22" t="str">
        <x:v>=O312+P312+V312</x:v>
      </x:c>
    </x:row>
    <x:row r="611">
      <x:c r="A611" s="22" t="str">
        <x:v>직접자원단가</x:v>
      </x:c>
      <x:c r="B611" s="22" t="str">
        <x:v>4530234CF57486DF6239DCDF548</x:v>
      </x:c>
      <x:c r="C611" s="25" t="str">
        <x:v>FLOOR HINGE</x:v>
      </x:c>
      <x:c r="D611" s="25" t="str">
        <x:v>HD850</x:v>
      </x:c>
      <x:c r="E611" s="22" t="str">
        <x:v>ea</x:v>
      </x:c>
      <x:c r="F611" s="34" t="n">
        <x:v>123.00970154780421</x:v>
      </x:c>
      <x:c r="G611" s="34" t="n">
        <x:v>0</x:v>
      </x:c>
      <x:c r="H611" s="34" t="n">
        <x:v>0</x:v>
      </x:c>
      <x:c r="I611" s="34" t="n">
        <x:f>SUM(F611:H611)</x:f>
        <x:v>123.00970154780421</x:v>
      </x:c>
      <x:c r="J611" s="22" t="str">
        <x:v>123.00970154780421</x:v>
      </x:c>
      <x:c r="K611" s="22" t="str"/>
      <x:c r="L611" s="22" t="str"/>
      <x:c r="M611" s="22" t="str">
        <x:v>단가대비표</x:v>
      </x:c>
      <x:c r="N611" s="37" t="n">
        <x:v>313</x:v>
      </x:c>
      <x:c r="O61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1" s="22" t="str">
        <x:v>47d79c95e2c3273f84778935276c94526e369cc1b1bc057f6b03c998f44e253f</x:v>
      </x:c>
      <x:c r="Q611" s="22" t="str">
        <x:v>=O313+P313+V313</x:v>
      </x:c>
    </x:row>
    <x:row r="612">
      <x:c r="A612" s="22" t="str">
        <x:v>직접자원단가</x:v>
      </x:c>
      <x:c r="B612" s="22" t="str">
        <x:v>4530234CF57486DF6239DCDF549</x:v>
      </x:c>
      <x:c r="C612" s="25" t="str">
        <x:v>FLUSH RING W/INTERGRAL LATCH</x:v>
      </x:c>
      <x:c r="D612" s="25" t="str">
        <x:v>5014P</x:v>
      </x:c>
      <x:c r="E612" s="22" t="str">
        <x:v>ea</x:v>
      </x:c>
      <x:c r="F612" s="34" t="n">
        <x:v>41.5463230393246</x:v>
      </x:c>
      <x:c r="G612" s="34" t="n">
        <x:v>0</x:v>
      </x:c>
      <x:c r="H612" s="34" t="n">
        <x:v>0</x:v>
      </x:c>
      <x:c r="I612" s="34" t="n">
        <x:f>SUM(F612:H612)</x:f>
        <x:v>41.5463230393246</x:v>
      </x:c>
      <x:c r="J612" s="22" t="str">
        <x:v>41.5463230393246</x:v>
      </x:c>
      <x:c r="K612" s="22" t="str"/>
      <x:c r="L612" s="22" t="str"/>
      <x:c r="M612" s="22" t="str">
        <x:v>단가대비표</x:v>
      </x:c>
      <x:c r="N612" s="37" t="n">
        <x:v>314</x:v>
      </x:c>
      <x:c r="O61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2" s="22" t="str">
        <x:v>47d79c95e2c3273f84778935276c94526e369cc1b1bc057f6b03c998f44e253f</x:v>
      </x:c>
      <x:c r="Q612" s="22" t="str">
        <x:v>=O314+P314+V314</x:v>
      </x:c>
    </x:row>
    <x:row r="613">
      <x:c r="A613" s="22" t="str">
        <x:v>직접자원단가</x:v>
      </x:c>
      <x:c r="B613" s="22" t="str">
        <x:v>4530234CF57486DF6239DCDF4B9</x:v>
      </x:c>
      <x:c r="C613" s="25" t="str">
        <x:v>MORTISE DEADLOCK</x:v>
      </x:c>
      <x:c r="D613" s="25" t="str">
        <x:v>EZ-300 * T/T * GMK</x:v>
      </x:c>
      <x:c r="E613" s="22" t="str">
        <x:v>ea</x:v>
      </x:c>
      <x:c r="F613" s="34" t="n">
        <x:v>71.68777308746205</x:v>
      </x:c>
      <x:c r="G613" s="34" t="n">
        <x:v>0</x:v>
      </x:c>
      <x:c r="H613" s="34" t="n">
        <x:v>0</x:v>
      </x:c>
      <x:c r="I613" s="34" t="n">
        <x:f>SUM(F613:H613)</x:f>
        <x:v>71.68777308746205</x:v>
      </x:c>
      <x:c r="J613" s="22" t="str">
        <x:v>71.68777308746205</x:v>
      </x:c>
      <x:c r="K613" s="22" t="str"/>
      <x:c r="L613" s="22" t="str"/>
      <x:c r="M613" s="22" t="str">
        <x:v>단가대비표</x:v>
      </x:c>
      <x:c r="N613" s="37" t="n">
        <x:v>315</x:v>
      </x:c>
      <x:c r="O61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3" s="22" t="str">
        <x:v>47d79c95e2c3273f84778935276c94526e369cc1b1bc057f6b03c998f44e253f</x:v>
      </x:c>
      <x:c r="Q613" s="22" t="str">
        <x:v>=O315+P315+V315</x:v>
      </x:c>
    </x:row>
    <x:row r="614">
      <x:c r="A614" s="22" t="str">
        <x:v>직접자원단가</x:v>
      </x:c>
      <x:c r="B614" s="22" t="str">
        <x:v>4530234CF57486DF6239DCDF4BD</x:v>
      </x:c>
      <x:c r="C614" s="25" t="str">
        <x:v>OUTSIDE TRIM-F08</x:v>
      </x:c>
      <x:c r="D614" s="25" t="str">
        <x:v>TO-009-00 * GMK</x:v>
      </x:c>
      <x:c r="E614" s="22" t="str">
        <x:v>ea</x:v>
      </x:c>
      <x:c r="F614" s="34" t="n">
        <x:v>208.5462489817078</x:v>
      </x:c>
      <x:c r="G614" s="34" t="n">
        <x:v>0</x:v>
      </x:c>
      <x:c r="H614" s="34" t="n">
        <x:v>0</x:v>
      </x:c>
      <x:c r="I614" s="34" t="n">
        <x:f>SUM(F614:H614)</x:f>
        <x:v>208.5462489817078</x:v>
      </x:c>
      <x:c r="J614" s="22" t="str">
        <x:v>208.5462489817078</x:v>
      </x:c>
      <x:c r="K614" s="22" t="str"/>
      <x:c r="L614" s="22" t="str"/>
      <x:c r="M614" s="22" t="str">
        <x:v>단가대비표</x:v>
      </x:c>
      <x:c r="N614" s="37" t="n">
        <x:v>316</x:v>
      </x:c>
      <x:c r="O61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4" s="22" t="str">
        <x:v>47d79c95e2c3273f84778935276c94526e369cc1b1bc057f6b03c998f44e253f</x:v>
      </x:c>
      <x:c r="Q614" s="22" t="str">
        <x:v>=O316+P316+V316</x:v>
      </x:c>
    </x:row>
    <x:row r="615">
      <x:c r="A615" s="22" t="str">
        <x:v>직접자원단가</x:v>
      </x:c>
      <x:c r="B615" s="22" t="str">
        <x:v>4530234CF57486DF6239DCDF4B2</x:v>
      </x:c>
      <x:c r="C615" s="25" t="str">
        <x:v>KEY CABINET BOX</x:v>
      </x:c>
      <x:c r="D615" s="25" t="str">
        <x:v>ST-200</x:v>
      </x:c>
      <x:c r="E615" s="22" t="str">
        <x:v>ea</x:v>
      </x:c>
      <x:c r="F615" s="34" t="n">
        <x:v>309.5608383322225</x:v>
      </x:c>
      <x:c r="G615" s="34" t="n">
        <x:v>0</x:v>
      </x:c>
      <x:c r="H615" s="34" t="n">
        <x:v>0</x:v>
      </x:c>
      <x:c r="I615" s="34" t="n">
        <x:f>SUM(F615:H615)</x:f>
        <x:v>309.5608383322225</x:v>
      </x:c>
      <x:c r="J615" s="22" t="str">
        <x:v>309.5608383322225</x:v>
      </x:c>
      <x:c r="K615" s="22" t="str"/>
      <x:c r="L615" s="22" t="str"/>
      <x:c r="M615" s="22" t="str">
        <x:v>단가대비표</x:v>
      </x:c>
      <x:c r="N615" s="37" t="n">
        <x:v>317</x:v>
      </x:c>
      <x:c r="O61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5" s="22" t="str">
        <x:v>47d79c95e2c3273f84778935276c94526e369cc1b1bc057f6b03c998f44e253f</x:v>
      </x:c>
      <x:c r="Q615" s="22" t="str">
        <x:v>=O317+P317+V317</x:v>
      </x:c>
    </x:row>
    <x:row r="616">
      <x:c r="A616" s="22" t="str">
        <x:v>직접자원단가</x:v>
      </x:c>
      <x:c r="B616" s="22" t="str">
        <x:v>4530234CF57486DF6239DCCD212</x:v>
      </x:c>
      <x:c r="C616" s="25" t="str">
        <x:v>화인타스</x:v>
      </x:c>
      <x:c r="D616" s="25" t="str">
        <x:v>침투방수액</x:v>
      </x:c>
      <x:c r="E616" s="22" t="str">
        <x:v>L</x:v>
      </x:c>
      <x:c r="F616" s="34" t="n">
        <x:v>2.5253647337628675</x:v>
      </x:c>
      <x:c r="G616" s="34" t="n">
        <x:v>0</x:v>
      </x:c>
      <x:c r="H616" s="34" t="n">
        <x:v>0</x:v>
      </x:c>
      <x:c r="I616" s="34" t="n">
        <x:f>SUM(F616:H616)</x:f>
        <x:v>2.5253647337628675</x:v>
      </x:c>
      <x:c r="J616" s="22" t="str">
        <x:v>2.5253647337628675</x:v>
      </x:c>
      <x:c r="K616" s="22" t="str"/>
      <x:c r="L616" s="22" t="str">
        <x:v>전문견적서</x:v>
      </x:c>
      <x:c r="M616" s="22" t="str">
        <x:v>단가대비표</x:v>
      </x:c>
      <x:c r="N616" s="37" t="n">
        <x:v>318</x:v>
      </x:c>
      <x:c r="O61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6" s="22" t="str">
        <x:v>47d79c95e2c3273f84778935276c94526e369cc1b1bc057f6b03c998f44e253f</x:v>
      </x:c>
      <x:c r="Q616" s="22" t="str">
        <x:v>=O318+P318+V318</x:v>
      </x:c>
    </x:row>
    <x:row r="617">
      <x:c r="A617" s="22" t="str">
        <x:v>직접자원단가</x:v>
      </x:c>
      <x:c r="B617" s="22" t="str">
        <x:v>4530234CF57486DF6239DCCD213</x:v>
      </x:c>
      <x:c r="C617" s="25" t="str">
        <x:v>접착강화제</x:v>
      </x:c>
      <x:c r="D617" s="25" t="str">
        <x:v>벽체용</x:v>
      </x:c>
      <x:c r="E617" s="22" t="str">
        <x:v>L</x:v>
      </x:c>
      <x:c r="F617" s="34" t="n">
        <x:v>3.054876694067985</x:v>
      </x:c>
      <x:c r="G617" s="34" t="n">
        <x:v>0</x:v>
      </x:c>
      <x:c r="H617" s="34" t="n">
        <x:v>0</x:v>
      </x:c>
      <x:c r="I617" s="34" t="n">
        <x:f>SUM(F617:H617)</x:f>
        <x:v>3.054876694067985</x:v>
      </x:c>
      <x:c r="J617" s="22" t="str">
        <x:v>3.054876694067985</x:v>
      </x:c>
      <x:c r="K617" s="22" t="str"/>
      <x:c r="L617" s="22" t="str">
        <x:v>전문견적서</x:v>
      </x:c>
      <x:c r="M617" s="22" t="str">
        <x:v>단가대비표</x:v>
      </x:c>
      <x:c r="N617" s="37" t="n">
        <x:v>319</x:v>
      </x:c>
      <x:c r="O61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7" s="22" t="str">
        <x:v>47d79c95e2c3273f84778935276c94526e369cc1b1bc057f6b03c998f44e253f</x:v>
      </x:c>
      <x:c r="Q617" s="22" t="str">
        <x:v>=O319+P319+V319</x:v>
      </x:c>
    </x:row>
    <x:row r="618">
      <x:c r="A618" s="22" t="str">
        <x:v>직접자원단가</x:v>
      </x:c>
      <x:c r="B618" s="22" t="str">
        <x:v>4530234CF57486DF6239DCCD338</x:v>
      </x:c>
      <x:c r="C618" s="25" t="str">
        <x:v>HR-1</x:v>
      </x:c>
      <x:c r="D618" s="25" t="str"/>
      <x:c r="E618" s="22" t="str">
        <x:v>M</x:v>
      </x:c>
      <x:c r="F618" s="34" t="n">
        <x:v>50.507294675257356</x:v>
      </x:c>
      <x:c r="G618" s="34" t="n">
        <x:v>6.02829000962749</x:v>
      </x:c>
      <x:c r="H618" s="34" t="n">
        <x:v>3.339998518847664</x:v>
      </x:c>
      <x:c r="I618" s="34" t="n">
        <x:f>SUM(F618:H618)</x:f>
        <x:v>59.87558320373251</x:v>
      </x:c>
      <x:c r="J618" s="22" t="str">
        <x:v>50.507294675257356</x:v>
      </x:c>
      <x:c r="K618" s="22" t="str"/>
      <x:c r="L618" s="22" t="str">
        <x:v>전문견적서</x:v>
      </x:c>
      <x:c r="M618" s="22" t="str">
        <x:v>단가대비표</x:v>
      </x:c>
      <x:c r="N618" s="37" t="n">
        <x:v>320</x:v>
      </x:c>
      <x:c r="O61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8" s="22" t="str">
        <x:v>47d79c95e2c3273f84778935276c94526e369cc1b1bc057f6b03c998f44e253f</x:v>
      </x:c>
      <x:c r="Q618" s="22" t="str">
        <x:v>=O320+P320+V320</x:v>
      </x:c>
    </x:row>
    <x:row r="619">
      <x:c r="A619" s="22" t="str">
        <x:v>직접자원단가</x:v>
      </x:c>
      <x:c r="B619" s="22" t="str">
        <x:v>4530234CF57486DF6239DCCD33B</x:v>
      </x:c>
      <x:c r="C619" s="25" t="str">
        <x:v>HR-1+BG-2</x:v>
      </x:c>
      <x:c r="D619" s="25" t="str"/>
      <x:c r="E619" s="22" t="str">
        <x:v>M</x:v>
      </x:c>
      <x:c r="F619" s="34" t="n">
        <x:v>87.16581500407318</x:v>
      </x:c>
      <x:c r="G619" s="34" t="n">
        <x:v>8.741020513959862</x:v>
      </x:c>
      <x:c r="H619" s="34" t="n">
        <x:v>5.539509738576614</x:v>
      </x:c>
      <x:c r="I619" s="34" t="n">
        <x:f>SUM(F619:H619)</x:f>
        <x:v>101.44634525660966</x:v>
      </x:c>
      <x:c r="J619" s="22" t="str">
        <x:v>87.16581500407318</x:v>
      </x:c>
      <x:c r="K619" s="22" t="str"/>
      <x:c r="L619" s="22" t="str">
        <x:v>전문견적서</x:v>
      </x:c>
      <x:c r="M619" s="22" t="str">
        <x:v>단가대비표</x:v>
      </x:c>
      <x:c r="N619" s="37" t="n">
        <x:v>321</x:v>
      </x:c>
      <x:c r="O61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19" s="22" t="str">
        <x:v>47d79c95e2c3273f84778935276c94526e369cc1b1bc057f6b03c998f44e253f</x:v>
      </x:c>
      <x:c r="Q619" s="22" t="str">
        <x:v>=O321+P321+V321</x:v>
      </x:c>
    </x:row>
    <x:row r="620">
      <x:c r="A620" s="22" t="str">
        <x:v>직접자원단가</x:v>
      </x:c>
      <x:c r="B620" s="22" t="str">
        <x:v>4530234CF57486DF6239DCCD33A</x:v>
      </x:c>
      <x:c r="C620" s="25" t="str">
        <x:v>BG-2+1</x:v>
      </x:c>
      <x:c r="D620" s="25" t="str"/>
      <x:c r="E620" s="22" t="str">
        <x:v>M</x:v>
      </x:c>
      <x:c r="F620" s="34" t="n">
        <x:v>73.31704065763165</x:v>
      </x:c>
      <x:c r="G620" s="34" t="n">
        <x:v>5.425461008664742</x:v>
      </x:c>
      <x:c r="H620" s="34" t="n">
        <x:v>4.399022439457899</x:v>
      </x:c>
      <x:c r="I620" s="34" t="n">
        <x:f>SUM(F620:H620)</x:f>
        <x:v>83.14152410575429</x:v>
      </x:c>
      <x:c r="J620" s="22" t="str">
        <x:v>73.31704065763165</x:v>
      </x:c>
      <x:c r="K620" s="22" t="str"/>
      <x:c r="L620" s="22" t="str">
        <x:v>전문견적서</x:v>
      </x:c>
      <x:c r="M620" s="22" t="str">
        <x:v>단가대비표</x:v>
      </x:c>
      <x:c r="N620" s="37" t="n">
        <x:v>322</x:v>
      </x:c>
      <x:c r="O62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0" s="22" t="str">
        <x:v>47d79c95e2c3273f84778935276c94526e369cc1b1bc057f6b03c998f44e253f</x:v>
      </x:c>
      <x:c r="Q620" s="22" t="str">
        <x:v>=O322+P322+V322</x:v>
      </x:c>
    </x:row>
    <x:row r="621">
      <x:c r="A621" s="22" t="str">
        <x:v>직접자원단가</x:v>
      </x:c>
      <x:c r="B621" s="22" t="str">
        <x:v>4530234CF57486DF6239DCCD33D</x:v>
      </x:c>
      <x:c r="C621" s="25" t="str">
        <x:v>BG-3</x:v>
      </x:c>
      <x:c r="D621" s="25" t="str"/>
      <x:c r="E621" s="22" t="str">
        <x:v>EA</x:v>
      </x:c>
      <x:c r="F621" s="34" t="n">
        <x:v>36.658520328815825</x:v>
      </x:c>
      <x:c r="G621" s="34" t="n">
        <x:v>2.712730504332371</x:v>
      </x:c>
      <x:c r="H621" s="34" t="n">
        <x:v>2.1995112197289495</x:v>
      </x:c>
      <x:c r="I621" s="34" t="n">
        <x:f>SUM(F621:H621)</x:f>
        <x:v>41.57076205287714</x:v>
      </x:c>
      <x:c r="J621" s="22" t="str">
        <x:v>36.658520328815825</x:v>
      </x:c>
      <x:c r="K621" s="22" t="str"/>
      <x:c r="L621" s="22" t="str">
        <x:v>전문견적서</x:v>
      </x:c>
      <x:c r="M621" s="22" t="str">
        <x:v>단가대비표</x:v>
      </x:c>
      <x:c r="N621" s="37" t="n">
        <x:v>323</x:v>
      </x:c>
      <x:c r="O62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1" s="22" t="str">
        <x:v>47d79c95e2c3273f84778935276c94526e369cc1b1bc057f6b03c998f44e253f</x:v>
      </x:c>
      <x:c r="Q621" s="22" t="str">
        <x:v>=O323+P323+V323</x:v>
      </x:c>
    </x:row>
    <x:row r="622">
      <x:c r="A622" s="22" t="str">
        <x:v>직접자원단가</x:v>
      </x:c>
      <x:c r="B622" s="22" t="str">
        <x:v>4530234CF57486DF6239DCCD33C</x:v>
      </x:c>
      <x:c r="C622" s="25" t="str">
        <x:v>CG-1</x:v>
      </x:c>
      <x:c r="D622" s="25" t="str"/>
      <x:c r="E622" s="22" t="str">
        <x:v>EA</x:v>
      </x:c>
      <x:c r="F622" s="34" t="n">
        <x:v>26.394134636747395</x:v>
      </x:c>
      <x:c r="G622" s="34" t="n">
        <x:v>1.5070725024068725</x:v>
      </x:c>
      <x:c r="H622" s="34" t="n">
        <x:v>1.5478041916611125</x:v>
      </x:c>
      <x:c r="I622" s="34" t="n">
        <x:f>SUM(F622:H622)</x:f>
        <x:v>29.449011330815377</x:v>
      </x:c>
      <x:c r="J622" s="22" t="str">
        <x:v>26.394134636747395</x:v>
      </x:c>
      <x:c r="K622" s="22" t="str"/>
      <x:c r="L622" s="22" t="str">
        <x:v>전문견적서</x:v>
      </x:c>
      <x:c r="M622" s="22" t="str">
        <x:v>단가대비표</x:v>
      </x:c>
      <x:c r="N622" s="37" t="n">
        <x:v>324</x:v>
      </x:c>
      <x:c r="O62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2" s="22" t="str">
        <x:v>47d79c95e2c3273f84778935276c94526e369cc1b1bc057f6b03c998f44e253f</x:v>
      </x:c>
      <x:c r="Q622" s="22" t="str">
        <x:v>=O324+P324+V324</x:v>
      </x:c>
    </x:row>
    <x:row r="623">
      <x:c r="A623" s="22" t="str">
        <x:v>직접자원단가</x:v>
      </x:c>
      <x:c r="B623" s="22" t="str">
        <x:v>4530234CF57486DF6239DCCD5E6</x:v>
      </x:c>
      <x:c r="C623" s="25" t="str">
        <x:v>준불연 스타코</x:v>
      </x:c>
      <x:c r="D623" s="25" t="str"/>
      <x:c r="E623" s="22" t="str">
        <x:v>M2</x:v>
      </x:c>
      <x:c r="F623" s="34" t="n">
        <x:v>50.45027031030142</x:v>
      </x:c>
      <x:c r="G623" s="34" t="n">
        <x:v>0</x:v>
      </x:c>
      <x:c r="H623" s="34" t="n">
        <x:v>0</x:v>
      </x:c>
      <x:c r="I623" s="34" t="n">
        <x:f>SUM(F623:H623)</x:f>
        <x:v>50.45027031030142</x:v>
      </x:c>
      <x:c r="J623" s="22" t="str">
        <x:v>50.45027031030142</x:v>
      </x:c>
      <x:c r="K623" s="22" t="str">
        <x:v>542</x:v>
      </x:c>
      <x:c r="L623" s="22" t="str"/>
      <x:c r="M623" s="22" t="str">
        <x:v>단가대비표</x:v>
      </x:c>
      <x:c r="N623" s="37" t="n">
        <x:v>325</x:v>
      </x:c>
      <x:c r="O62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3" s="22" t="str">
        <x:v>47d79c95e2c3273f84778935276c94526e369cc1b1bc057f6b03c998f44e253f</x:v>
      </x:c>
      <x:c r="Q623" s="22" t="str">
        <x:v>=O325+P325+V325</x:v>
      </x:c>
    </x:row>
    <x:row r="624">
      <x:c r="A624" s="22" t="str">
        <x:v>직접자원단가</x:v>
      </x:c>
      <x:c r="B624" s="22" t="str">
        <x:v>4530234CF57486DF6239DCCD794</x:v>
      </x:c>
      <x:c r="C624" s="25" t="str">
        <x:v>[현지기준단가]E/V  1350kg 4 Floof(CLASS E 1 hour)</x:v>
      </x:c>
      <x:c r="D624" s="25" t="str"/>
      <x:c r="E624" s="22" t="str">
        <x:v>EA</x:v>
      </x:c>
      <x:c r="F624" s="34" t="n">
        <x:v>50000</x:v>
      </x:c>
      <x:c r="G624" s="34" t="n">
        <x:v>0</x:v>
      </x:c>
      <x:c r="H624" s="34" t="n">
        <x:v>0</x:v>
      </x:c>
      <x:c r="I624" s="34" t="n">
        <x:f>SUM(F624:H624)</x:f>
        <x:v>50000</x:v>
      </x:c>
      <x:c r="J624" s="22" t="str">
        <x:v>50000</x:v>
      </x:c>
      <x:c r="K624" s="22" t="str"/>
      <x:c r="L624" s="22" t="str">
        <x:v>※$$$$$$$$$</x:v>
      </x:c>
      <x:c r="M624" s="22" t="str">
        <x:v>단가대비표</x:v>
      </x:c>
      <x:c r="N624" s="37" t="n">
        <x:v>326</x:v>
      </x:c>
      <x:c r="O62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4" s="22" t="str">
        <x:v>47d79c95e2c3273f84778935276c94526e369cc1b1bc057f6b03c998f44e253f</x:v>
      </x:c>
      <x:c r="Q624" s="22" t="str">
        <x:v>=O326+P326+V326</x:v>
      </x:c>
    </x:row>
    <x:row r="625">
      <x:c r="A625" s="22" t="str">
        <x:v>직접자원단가</x:v>
      </x:c>
      <x:c r="B625" s="22" t="str">
        <x:v>4530234CF57486DF6239DCCD8BA</x:v>
      </x:c>
      <x:c r="C625" s="25" t="str">
        <x:v>ASD-1</x:v>
      </x:c>
      <x:c r="D625" s="25" t="str">
        <x:v>3,000×2,300</x:v>
      </x:c>
      <x:c r="E625" s="22" t="str">
        <x:v>SET</x:v>
      </x:c>
      <x:c r="F625" s="34" t="n">
        <x:v>3097.6449677849373</x:v>
      </x:c>
      <x:c r="G625" s="34" t="n">
        <x:v>528.9824483448123</x:v>
      </x:c>
      <x:c r="H625" s="34" t="n">
        <x:v>238.28038213730284</x:v>
      </x:c>
      <x:c r="I625" s="34" t="n">
        <x:f>SUM(F625:H625)</x:f>
        <x:v>3864.9077982670524</x:v>
      </x:c>
      <x:c r="J625" s="22" t="str">
        <x:v>3097.6449677849373</x:v>
      </x:c>
      <x:c r="K625" s="22" t="str"/>
      <x:c r="L625" s="22" t="str"/>
      <x:c r="M625" s="22" t="str">
        <x:v>단가대비표</x:v>
      </x:c>
      <x:c r="N625" s="37" t="n">
        <x:v>327</x:v>
      </x:c>
      <x:c r="O62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5" s="22" t="str">
        <x:v>47d79c95e2c3273f84778935276c94526e369cc1b1bc057f6b03c998f44e253f</x:v>
      </x:c>
      <x:c r="Q625" s="22" t="str">
        <x:v>=O327+P327+V327</x:v>
      </x:c>
    </x:row>
    <x:row r="626">
      <x:c r="A626" s="22" t="str">
        <x:v>직접자원단가</x:v>
      </x:c>
      <x:c r="B626" s="22" t="str">
        <x:v>4530234CF57486DF6239DCCD8BB</x:v>
      </x:c>
      <x:c r="C626" s="25" t="str">
        <x:v>ASD-2</x:v>
      </x:c>
      <x:c r="D626" s="25" t="str">
        <x:v>2,600×2,700</x:v>
      </x:c>
      <x:c r="E626" s="22" t="str">
        <x:v>SET</x:v>
      </x:c>
      <x:c r="F626" s="34" t="n">
        <x:v>3044.693771754425</x:v>
      </x:c>
      <x:c r="G626" s="34" t="n">
        <x:v>519.9400133303711</x:v>
      </x:c>
      <x:c r="H626" s="34" t="n">
        <x:v>234.20721321187887</x:v>
      </x:c>
      <x:c r="I626" s="34" t="n">
        <x:f>SUM(F626:H626)</x:f>
        <x:v>3798.840998296675</x:v>
      </x:c>
      <x:c r="J626" s="22" t="str">
        <x:v>3044.693771754425</x:v>
      </x:c>
      <x:c r="K626" s="22" t="str"/>
      <x:c r="L626" s="22" t="str"/>
      <x:c r="M626" s="22" t="str">
        <x:v>단가대비표</x:v>
      </x:c>
      <x:c r="N626" s="37" t="n">
        <x:v>328</x:v>
      </x:c>
      <x:c r="O62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6" s="22" t="str">
        <x:v>47d79c95e2c3273f84778935276c94526e369cc1b1bc057f6b03c998f44e253f</x:v>
      </x:c>
      <x:c r="Q626" s="22" t="str">
        <x:v>=O328+P328+V328</x:v>
      </x:c>
    </x:row>
    <x:row r="627">
      <x:c r="A627" s="22" t="str">
        <x:v>직접자원단가</x:v>
      </x:c>
      <x:c r="B627" s="22" t="str">
        <x:v>4530234CF57486DF6239DCCD8B8</x:v>
      </x:c>
      <x:c r="C627" s="25" t="str">
        <x:v>ASD-3</x:v>
      </x:c>
      <x:c r="D627" s="25" t="str">
        <x:v>3,000×2,700</x:v>
      </x:c>
      <x:c r="E627" s="22" t="str">
        <x:v>SET</x:v>
      </x:c>
      <x:c r="F627" s="34" t="n">
        <x:v>3309.449751906984</x:v>
      </x:c>
      <x:c r="G627" s="34" t="n">
        <x:v>565.1521884025773</x:v>
      </x:c>
      <x:c r="H627" s="34" t="n">
        <x:v>254.57305783899878</x:v>
      </x:c>
      <x:c r="I627" s="34" t="n">
        <x:f>SUM(F627:H627)</x:f>
        <x:v>4129.17499814856</x:v>
      </x:c>
      <x:c r="J627" s="22" t="str">
        <x:v>3309.449751906984</x:v>
      </x:c>
      <x:c r="K627" s="22" t="str"/>
      <x:c r="L627" s="22" t="str"/>
      <x:c r="M627" s="22" t="str">
        <x:v>단가대비표</x:v>
      </x:c>
      <x:c r="N627" s="37" t="n">
        <x:v>329</x:v>
      </x:c>
      <x:c r="O62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7" s="22" t="str">
        <x:v>47d79c95e2c3273f84778935276c94526e369cc1b1bc057f6b03c998f44e253f</x:v>
      </x:c>
      <x:c r="Q627" s="22" t="str">
        <x:v>=O329+P329+V329</x:v>
      </x:c>
    </x:row>
    <x:row r="628">
      <x:c r="A628" s="22" t="str">
        <x:v>직접자원단가</x:v>
      </x:c>
      <x:c r="B628" s="22" t="str">
        <x:v>4530234CF57486DF6239DCCD8B9</x:v>
      </x:c>
      <x:c r="C628" s="25" t="str">
        <x:v>ASD-4</x:v>
      </x:c>
      <x:c r="D628" s="25" t="str">
        <x:v>2,150×2,700</x:v>
      </x:c>
      <x:c r="E628" s="22" t="str">
        <x:v>SET</x:v>
      </x:c>
      <x:c r="F628" s="34" t="n">
        <x:v>2462.2306154187963</x:v>
      </x:c>
      <x:c r="G628" s="34" t="n">
        <x:v>420.47322817151746</x:v>
      </x:c>
      <x:c r="H628" s="34" t="n">
        <x:v>189.40235503221507</x:v>
      </x:c>
      <x:c r="I628" s="34" t="n">
        <x:f>SUM(F628:H628)</x:f>
        <x:v>3072.1061986225286</x:v>
      </x:c>
      <x:c r="J628" s="22" t="str">
        <x:v>2462.2306154187963</x:v>
      </x:c>
      <x:c r="K628" s="22" t="str"/>
      <x:c r="L628" s="22" t="str"/>
      <x:c r="M628" s="22" t="str">
        <x:v>단가대비표</x:v>
      </x:c>
      <x:c r="N628" s="37" t="n">
        <x:v>330</x:v>
      </x:c>
      <x:c r="O62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8" s="22" t="str">
        <x:v>47d79c95e2c3273f84778935276c94526e369cc1b1bc057f6b03c998f44e253f</x:v>
      </x:c>
      <x:c r="Q628" s="22" t="str">
        <x:v>=O330+P330+V330</x:v>
      </x:c>
    </x:row>
    <x:row r="629">
      <x:c r="A629" s="22" t="str">
        <x:v>직접자원단가</x:v>
      </x:c>
      <x:c r="B629" s="22" t="str">
        <x:v>4530234CF57486DF6239DCCD8BE</x:v>
      </x:c>
      <x:c r="C629" s="25" t="str">
        <x:v>ASD-5</x:v>
      </x:c>
      <x:c r="D629" s="25" t="str">
        <x:v>3,000×2,400</x:v>
      </x:c>
      <x:c r="E629" s="22" t="str">
        <x:v>SET</x:v>
      </x:c>
      <x:c r="F629" s="34" t="n">
        <x:v>2118.0478412204698</x:v>
      </x:c>
      <x:c r="G629" s="34" t="n">
        <x:v>361.69740057764943</x:v>
      </x:c>
      <x:c r="H629" s="34" t="n">
        <x:v>162.92675701695921</x:v>
      </x:c>
      <x:c r="I629" s="34" t="n">
        <x:f>SUM(F629:H629)</x:f>
        <x:v>2642.6719988150785</x:v>
      </x:c>
      <x:c r="J629" s="22" t="str">
        <x:v>2118.0478412204698</x:v>
      </x:c>
      <x:c r="K629" s="22" t="str"/>
      <x:c r="L629" s="22" t="str"/>
      <x:c r="M629" s="22" t="str">
        <x:v>단가대비표</x:v>
      </x:c>
      <x:c r="N629" s="37" t="n">
        <x:v>331</x:v>
      </x:c>
      <x:c r="O62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29" s="22" t="str">
        <x:v>47d79c95e2c3273f84778935276c94526e369cc1b1bc057f6b03c998f44e253f</x:v>
      </x:c>
      <x:c r="Q629" s="22" t="str">
        <x:v>=O331+P331+V331</x:v>
      </x:c>
    </x:row>
    <x:row r="630">
      <x:c r="A630" s="22" t="str">
        <x:v>직접자원단가</x:v>
      </x:c>
      <x:c r="B630" s="22" t="str">
        <x:v>4530234CF57486DF6239DCCD8BF</x:v>
      </x:c>
      <x:c r="C630" s="25" t="str">
        <x:v>ASD-6</x:v>
      </x:c>
      <x:c r="D630" s="25" t="str">
        <x:v>3,800×2,700</x:v>
      </x:c>
      <x:c r="E630" s="22" t="str">
        <x:v>SET</x:v>
      </x:c>
      <x:c r="F630" s="34" t="n">
        <x:v>3786.0105161815895</x:v>
      </x:c>
      <x:c r="G630" s="34" t="n">
        <x:v>646.5341035325484</x:v>
      </x:c>
      <x:c r="H630" s="34" t="n">
        <x:v>291.23157816781463</x:v>
      </x:c>
      <x:c r="I630" s="34" t="n">
        <x:f>SUM(F630:H630)</x:f>
        <x:v>4723.776197881953</x:v>
      </x:c>
      <x:c r="J630" s="22" t="str">
        <x:v>3786.0105161815895</x:v>
      </x:c>
      <x:c r="K630" s="22" t="str"/>
      <x:c r="L630" s="22" t="str"/>
      <x:c r="M630" s="22" t="str">
        <x:v>단가대비표</x:v>
      </x:c>
      <x:c r="N630" s="37" t="n">
        <x:v>332</x:v>
      </x:c>
      <x:c r="O63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0" s="22" t="str">
        <x:v>47d79c95e2c3273f84778935276c94526e369cc1b1bc057f6b03c998f44e253f</x:v>
      </x:c>
      <x:c r="Q630" s="22" t="str">
        <x:v>=O332+P332+V332</x:v>
      </x:c>
    </x:row>
    <x:row r="631">
      <x:c r="A631" s="22" t="str">
        <x:v>직접자원단가</x:v>
      </x:c>
      <x:c r="B631" s="22" t="str">
        <x:v>4530234CF57486DF6239DCCD8BC</x:v>
      </x:c>
      <x:c r="C631" s="25" t="str">
        <x:v>ASD-7</x:v>
      </x:c>
      <x:c r="D631" s="25" t="str">
        <x:v>2,600×2,400</x:v>
      </x:c>
      <x:c r="E631" s="22" t="str">
        <x:v>SET</x:v>
      </x:c>
      <x:c r="F631" s="34" t="n">
        <x:v>1720.9138709916317</x:v>
      </x:c>
      <x:c r="G631" s="34" t="n">
        <x:v>293.8791379693402</x:v>
      </x:c>
      <x:c r="H631" s="34" t="n">
        <x:v>132.37799007627936</x:v>
      </x:c>
      <x:c r="I631" s="34" t="n">
        <x:f>SUM(F631:H631)</x:f>
        <x:v>2147.1709990372515</x:v>
      </x:c>
      <x:c r="J631" s="22" t="str">
        <x:v>1720.9138709916317</x:v>
      </x:c>
      <x:c r="K631" s="22" t="str"/>
      <x:c r="L631" s="22" t="str"/>
      <x:c r="M631" s="22" t="str">
        <x:v>단가대비표</x:v>
      </x:c>
      <x:c r="N631" s="37" t="n">
        <x:v>333</x:v>
      </x:c>
      <x:c r="O63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1" s="22" t="str">
        <x:v>47d79c95e2c3273f84778935276c94526e369cc1b1bc057f6b03c998f44e253f</x:v>
      </x:c>
      <x:c r="Q631" s="22" t="str">
        <x:v>=O333+P333+V333</x:v>
      </x:c>
    </x:row>
    <x:row r="632">
      <x:c r="A632" s="22" t="str">
        <x:v>직접자원단가</x:v>
      </x:c>
      <x:c r="B632" s="22" t="str">
        <x:v>4530234CF57486DF6239DCCD8BD</x:v>
      </x:c>
      <x:c r="C632" s="25" t="str">
        <x:v>SSD-7</x:v>
      </x:c>
      <x:c r="D632" s="25" t="str">
        <x:v>2,240×2,500</x:v>
      </x:c>
      <x:c r="E632" s="22" t="str">
        <x:v>SET</x:v>
      </x:c>
      <x:c r="F632" s="34" t="n">
        <x:v>1323.7799007627937</x:v>
      </x:c>
      <x:c r="G632" s="34" t="n">
        <x:v>226.06087536103092</x:v>
      </x:c>
      <x:c r="H632" s="34" t="n">
        <x:v>101.8292231355995</x:v>
      </x:c>
      <x:c r="I632" s="34" t="n">
        <x:f>SUM(F632:H632)</x:f>
        <x:v>1651.669999259424</x:v>
      </x:c>
      <x:c r="J632" s="22" t="str">
        <x:v>1323.7799007627937</x:v>
      </x:c>
      <x:c r="K632" s="22" t="str"/>
      <x:c r="L632" s="22" t="str"/>
      <x:c r="M632" s="22" t="str">
        <x:v>단가대비표</x:v>
      </x:c>
      <x:c r="N632" s="37" t="n">
        <x:v>334</x:v>
      </x:c>
      <x:c r="O63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2" s="22" t="str">
        <x:v>47d79c95e2c3273f84778935276c94526e369cc1b1bc057f6b03c998f44e253f</x:v>
      </x:c>
      <x:c r="Q632" s="22" t="str">
        <x:v>=O334+P334+V334</x:v>
      </x:c>
    </x:row>
    <x:row r="633">
      <x:c r="A633" s="22" t="str">
        <x:v>직접자원단가</x:v>
      </x:c>
      <x:c r="B633" s="22" t="str">
        <x:v>4530234CF57486DF6239DCCD8B2</x:v>
      </x:c>
      <x:c r="C633" s="25" t="str">
        <x:v>LASD-1</x:v>
      </x:c>
      <x:c r="D633" s="25" t="str">
        <x:v>3,000×2,400</x:v>
      </x:c>
      <x:c r="E633" s="22" t="str">
        <x:v>SET</x:v>
      </x:c>
      <x:c r="F633" s="34" t="n">
        <x:v>3971.3397022883805</x:v>
      </x:c>
      <x:c r="G633" s="34" t="n">
        <x:v>678.1826260830927</x:v>
      </x:c>
      <x:c r="H633" s="34" t="n">
        <x:v>305.48766940679855</x:v>
      </x:c>
      <x:c r="I633" s="34" t="n">
        <x:f>SUM(F633:H633)</x:f>
        <x:v>4955.009997778272</x:v>
      </x:c>
      <x:c r="J633" s="22" t="str">
        <x:v>3971.3397022883805</x:v>
      </x:c>
      <x:c r="K633" s="22" t="str"/>
      <x:c r="L633" s="22" t="str"/>
      <x:c r="M633" s="22" t="str">
        <x:v>단가대비표</x:v>
      </x:c>
      <x:c r="N633" s="37" t="n">
        <x:v>335</x:v>
      </x:c>
      <x:c r="O63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3" s="22" t="str">
        <x:v>47d79c95e2c3273f84778935276c94526e369cc1b1bc057f6b03c998f44e253f</x:v>
      </x:c>
      <x:c r="Q633" s="22" t="str">
        <x:v>=O335+P335+V335</x:v>
      </x:c>
    </x:row>
    <x:row r="634">
      <x:c r="A634" s="22" t="str">
        <x:v>직접자원단가</x:v>
      </x:c>
      <x:c r="B634" s="22" t="str">
        <x:v>4530234CF57486DF6239DCFA4C2</x:v>
      </x:c>
      <x:c r="C634" s="25" t="str">
        <x:v>Wall S.G.P Panel Work</x:v>
      </x:c>
      <x:c r="D634" s="25" t="str">
        <x:v>SGP+Accessories</x:v>
      </x:c>
      <x:c r="E634" s="22" t="str">
        <x:v>M2</x:v>
      </x:c>
      <x:c r="F634" s="34" t="n">
        <x:v>40.731689254239804</x:v>
      </x:c>
      <x:c r="G634" s="34" t="n">
        <x:v>6.932533511071615</x:v>
      </x:c>
      <x:c r="H634" s="34" t="n">
        <x:v>2.9734133155595055</x:v>
      </x:c>
      <x:c r="I634" s="34" t="n">
        <x:f>SUM(F634:H634)</x:f>
        <x:v>50.63763608087093</x:v>
      </x:c>
      <x:c r="J634" s="22" t="str">
        <x:v>40.731689254239804</x:v>
      </x:c>
      <x:c r="K634" s="22" t="str"/>
      <x:c r="L634" s="22" t="str"/>
      <x:c r="M634" s="22" t="str">
        <x:v>단가대비표</x:v>
      </x:c>
      <x:c r="N634" s="37" t="n">
        <x:v>336</x:v>
      </x:c>
      <x:c r="O63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4" s="22" t="str">
        <x:v>47d79c95e2c3273f84778935276c94526e369cc1b1bc057f6b03c998f44e253f</x:v>
      </x:c>
      <x:c r="Q634" s="22" t="str">
        <x:v>=O336+P336+V336</x:v>
      </x:c>
    </x:row>
    <x:row r="635">
      <x:c r="A635" s="22" t="str">
        <x:v>직접자원단가</x:v>
      </x:c>
      <x:c r="B635" s="22" t="str">
        <x:v>4530234CF57486DF6239DCFA4C1</x:v>
      </x:c>
      <x:c r="C635" s="25" t="str">
        <x:v>Wall S.G.P &amp; Frame Work</x:v>
      </x:c>
      <x:c r="D635" s="25" t="str">
        <x:v>SQ-PIPE+Accessories</x:v>
      </x:c>
      <x:c r="E635" s="22" t="str">
        <x:v>M2</x:v>
      </x:c>
      <x:c r="F635" s="34" t="n">
        <x:v>20.365844627119902</x:v>
      </x:c>
      <x:c r="G635" s="34" t="n">
        <x:v>5.425461008664742</x:v>
      </x:c>
      <x:c r="H635" s="34" t="n">
        <x:v>1.7514626379323115</x:v>
      </x:c>
      <x:c r="I635" s="34" t="n">
        <x:f>SUM(F635:H635)</x:f>
        <x:v>27.54276827371696</x:v>
      </x:c>
      <x:c r="J635" s="22" t="str">
        <x:v>20.365844627119902</x:v>
      </x:c>
      <x:c r="K635" s="22" t="str"/>
      <x:c r="L635" s="22" t="str"/>
      <x:c r="M635" s="22" t="str">
        <x:v>단가대비표</x:v>
      </x:c>
      <x:c r="N635" s="37" t="n">
        <x:v>337</x:v>
      </x:c>
      <x:c r="O63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5" s="22" t="str">
        <x:v>47d79c95e2c3273f84778935276c94526e369cc1b1bc057f6b03c998f44e253f</x:v>
      </x:c>
      <x:c r="Q635" s="22" t="str">
        <x:v>=O337+P337+V337</x:v>
      </x:c>
    </x:row>
    <x:row r="636">
      <x:c r="A636" s="22" t="str">
        <x:v>직접자원단가</x:v>
      </x:c>
      <x:c r="B636" s="22" t="str">
        <x:v>4530234CF57486DF6239DCFA4C0</x:v>
      </x:c>
      <x:c r="C636" s="25" t="str">
        <x:v>Ceiling S.G.P Panel Work</x:v>
      </x:c>
      <x:c r="D636" s="25" t="str">
        <x:v>SGP+Accessory</x:v>
      </x:c>
      <x:c r="E636" s="22" t="str">
        <x:v>M2</x:v>
      </x:c>
      <x:c r="F636" s="34" t="n">
        <x:v>40.731689254239804</x:v>
      </x:c>
      <x:c r="G636" s="34" t="n">
        <x:v>8.439606013478487</x:v>
      </x:c>
      <x:c r="H636" s="34" t="n">
        <x:v>3.1770717618307045</x:v>
      </x:c>
      <x:c r="I636" s="34" t="n">
        <x:f>SUM(F636:H636)</x:f>
        <x:v>52.348367029548996</x:v>
      </x:c>
      <x:c r="J636" s="22" t="str">
        <x:v>40.731689254239804</x:v>
      </x:c>
      <x:c r="K636" s="22" t="str"/>
      <x:c r="L636" s="22" t="str"/>
      <x:c r="M636" s="22" t="str">
        <x:v>단가대비표</x:v>
      </x:c>
      <x:c r="N636" s="37" t="n">
        <x:v>338</x:v>
      </x:c>
      <x:c r="O63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6" s="22" t="str">
        <x:v>47d79c95e2c3273f84778935276c94526e369cc1b1bc057f6b03c998f44e253f</x:v>
      </x:c>
      <x:c r="Q636" s="22" t="str">
        <x:v>=O338+P338+V338</x:v>
      </x:c>
    </x:row>
    <x:row r="637">
      <x:c r="A637" s="22" t="str">
        <x:v>직접자원단가</x:v>
      </x:c>
      <x:c r="B637" s="22" t="str">
        <x:v>4530234CF57486DF6239DCFA4C7</x:v>
      </x:c>
      <x:c r="C637" s="25" t="str">
        <x:v>Ceiling S.G.P &amp; Frame Work</x:v>
      </x:c>
      <x:c r="D637" s="25" t="str">
        <x:v>SQ-PIPE+Accessory</x:v>
      </x:c>
      <x:c r="E637" s="22" t="str">
        <x:v>M2</x:v>
      </x:c>
      <x:c r="F637" s="34" t="n">
        <x:v>24.43901355254388</x:v>
      </x:c>
      <x:c r="G637" s="34" t="n">
        <x:v>5.726875509146116</x:v>
      </x:c>
      <x:c r="H637" s="34" t="n">
        <x:v>1.9958527734577503</x:v>
      </x:c>
      <x:c r="I637" s="34" t="n">
        <x:f>SUM(F637:H637)</x:f>
        <x:v>32.161741835147744</x:v>
      </x:c>
      <x:c r="J637" s="22" t="str">
        <x:v>24.43901355254388</x:v>
      </x:c>
      <x:c r="K637" s="22" t="str"/>
      <x:c r="L637" s="22" t="str"/>
      <x:c r="M637" s="22" t="str">
        <x:v>단가대비표</x:v>
      </x:c>
      <x:c r="N637" s="37" t="n">
        <x:v>339</x:v>
      </x:c>
      <x:c r="O63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7" s="22" t="str">
        <x:v>47d79c95e2c3273f84778935276c94526e369cc1b1bc057f6b03c998f44e253f</x:v>
      </x:c>
      <x:c r="Q637" s="22" t="str">
        <x:v>=O339+P339+V339</x:v>
      </x:c>
    </x:row>
    <x:row r="638">
      <x:c r="A638" s="22" t="str">
        <x:v>직접자원단가</x:v>
      </x:c>
      <x:c r="B638" s="22" t="str">
        <x:v>4530234CF57486DF6239DCFA4C6</x:v>
      </x:c>
      <x:c r="C638" s="25" t="str">
        <x:v>Checking Door(SGP~C/E)</x:v>
      </x:c>
      <x:c r="D638" s="25" t="str"/>
      <x:c r="E638" s="22" t="str">
        <x:v>EA</x:v>
      </x:c>
      <x:c r="F638" s="34" t="n">
        <x:v>122.1950677627194</x:v>
      </x:c>
      <x:c r="G638" s="34" t="n">
        <x:v>15.070725024068727</x:v>
      </x:c>
      <x:c r="H638" s="34" t="n">
        <x:v>8.14633785084796</x:v>
      </x:c>
      <x:c r="I638" s="34" t="n">
        <x:f>SUM(F638:H638)</x:f>
        <x:v>145.4121306376361</x:v>
      </x:c>
      <x:c r="J638" s="22" t="str">
        <x:v>122.1950677627194</x:v>
      </x:c>
      <x:c r="K638" s="22" t="str"/>
      <x:c r="L638" s="22" t="str"/>
      <x:c r="M638" s="22" t="str">
        <x:v>단가대비표</x:v>
      </x:c>
      <x:c r="N638" s="37" t="n">
        <x:v>340</x:v>
      </x:c>
      <x:c r="O638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8" s="22" t="str">
        <x:v>47d79c95e2c3273f84778935276c94526e369cc1b1bc057f6b03c998f44e253f</x:v>
      </x:c>
      <x:c r="Q638" s="22" t="str">
        <x:v>=O340+P340+V340</x:v>
      </x:c>
    </x:row>
    <x:row r="639">
      <x:c r="A639" s="22" t="str">
        <x:v>직접자원단가</x:v>
      </x:c>
      <x:c r="B639" s="22" t="str">
        <x:v>4530234CF57486DF6239DCFA4C5</x:v>
      </x:c>
      <x:c r="C639" s="25" t="str">
        <x:v>Panel Caulking</x:v>
      </x:c>
      <x:c r="D639" s="25" t="str"/>
      <x:c r="E639" s="22" t="str">
        <x:v>R/M</x:v>
      </x:c>
      <x:c r="F639" s="34" t="n">
        <x:v>407.316892542398</x:v>
      </x:c>
      <x:c r="G639" s="34" t="n">
        <x:v>301.41450048137455</x:v>
      </x:c>
      <x:c r="H639" s="34" t="n">
        <x:v>61.0975338813597</x:v>
      </x:c>
      <x:c r="I639" s="34" t="n">
        <x:f>SUM(F639:H639)</x:f>
        <x:v>769.8289269051323</x:v>
      </x:c>
      <x:c r="J639" s="22" t="str">
        <x:v>407.316892542398</x:v>
      </x:c>
      <x:c r="K639" s="22" t="str"/>
      <x:c r="L639" s="22" t="str"/>
      <x:c r="M639" s="22" t="str">
        <x:v>단가대비표</x:v>
      </x:c>
      <x:c r="N639" s="37" t="n">
        <x:v>341</x:v>
      </x:c>
      <x:c r="O639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39" s="22" t="str">
        <x:v>47d79c95e2c3273f84778935276c94526e369cc1b1bc057f6b03c998f44e253f</x:v>
      </x:c>
      <x:c r="Q639" s="22" t="str">
        <x:v>=O341+P341+V341</x:v>
      </x:c>
    </x:row>
    <x:row r="640">
      <x:c r="A640" s="22" t="str">
        <x:v>직접자원단가</x:v>
      </x:c>
      <x:c r="B640" s="22" t="str">
        <x:v>4530234CF57486DF6239DCFA4C4</x:v>
      </x:c>
      <x:c r="C640" s="25" t="str">
        <x:v>Semi-Automatic Pocket Sliding Door</x:v>
      </x:c>
      <x:c r="D640" s="25" t="str"/>
      <x:c r="E640" s="22" t="str">
        <x:v>SET</x:v>
      </x:c>
      <x:c r="F640" s="34" t="n">
        <x:v>4887.802710508777</x:v>
      </x:c>
      <x:c r="G640" s="34" t="n">
        <x:v>602.8290009627491</x:v>
      </x:c>
      <x:c r="H640" s="34" t="n">
        <x:v>325.85351403391843</x:v>
      </x:c>
      <x:c r="I640" s="34" t="n">
        <x:f>SUM(F640:H640)</x:f>
        <x:v>5816.485225505444</x:v>
      </x:c>
      <x:c r="J640" s="22" t="str">
        <x:v>4887.802710508777</x:v>
      </x:c>
      <x:c r="K640" s="22" t="str"/>
      <x:c r="L640" s="22" t="str"/>
      <x:c r="M640" s="22" t="str">
        <x:v>단가대비표</x:v>
      </x:c>
      <x:c r="N640" s="37" t="n">
        <x:v>342</x:v>
      </x:c>
      <x:c r="O640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0" s="22" t="str">
        <x:v>47d79c95e2c3273f84778935276c94526e369cc1b1bc057f6b03c998f44e253f</x:v>
      </x:c>
      <x:c r="Q640" s="22" t="str">
        <x:v>=O342+P342+V342</x:v>
      </x:c>
    </x:row>
    <x:row r="641">
      <x:c r="A641" s="22" t="str">
        <x:v>직접자원단가</x:v>
      </x:c>
      <x:c r="B641" s="22" t="str">
        <x:v>4530234CF57486DF6239DCFA4CB</x:v>
      </x:c>
      <x:c r="C641" s="25" t="str">
        <x:v>SGP Door System</x:v>
      </x:c>
      <x:c r="D641" s="25" t="str"/>
      <x:c r="E641" s="22" t="str">
        <x:v>SET</x:v>
      </x:c>
      <x:c r="F641" s="34" t="n">
        <x:v>651.7070280678369</x:v>
      </x:c>
      <x:c r="G641" s="34" t="n">
        <x:v>90.42435014441236</x:v>
      </x:c>
      <x:c r="H641" s="34" t="n">
        <x:v>44.80485817966378</x:v>
      </x:c>
      <x:c r="I641" s="34" t="n">
        <x:f>SUM(F641:H641)</x:f>
        <x:v>786.9362363919131</x:v>
      </x:c>
      <x:c r="J641" s="22" t="str">
        <x:v>651.7070280678369</x:v>
      </x:c>
      <x:c r="K641" s="22" t="str"/>
      <x:c r="L641" s="22" t="str"/>
      <x:c r="M641" s="22" t="str">
        <x:v>단가대비표</x:v>
      </x:c>
      <x:c r="N641" s="37" t="n">
        <x:v>343</x:v>
      </x:c>
      <x:c r="O641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1" s="22" t="str">
        <x:v>47d79c95e2c3273f84778935276c94526e369cc1b1bc057f6b03c998f44e253f</x:v>
      </x:c>
      <x:c r="Q641" s="22" t="str">
        <x:v>=O343+P343+V343</x:v>
      </x:c>
    </x:row>
    <x:row r="642">
      <x:c r="A642" s="22" t="str">
        <x:v>직접자원단가</x:v>
      </x:c>
      <x:c r="B642" s="22" t="str">
        <x:v>4530234CF57486DF6239DCFA4CA</x:v>
      </x:c>
      <x:c r="C642" s="25" t="str">
        <x:v>Ceiling Light Box</x:v>
      </x:c>
      <x:c r="D642" s="25" t="str">
        <x:v>Operating[OR-1,2~H]</x:v>
      </x:c>
      <x:c r="E642" s="22" t="str">
        <x:v>M</x:v>
      </x:c>
      <x:c r="F642" s="34" t="n">
        <x:v>162.92675701695921</x:v>
      </x:c>
      <x:c r="G642" s="34" t="n">
        <x:v>15.070725024068727</x:v>
      </x:c>
      <x:c r="H642" s="34" t="n">
        <x:v>10.182922313559951</x:v>
      </x:c>
      <x:c r="I642" s="34" t="n">
        <x:f>SUM(F642:H642)</x:f>
        <x:v>188.1804043545879</x:v>
      </x:c>
      <x:c r="J642" s="22" t="str">
        <x:v>162.92675701695921</x:v>
      </x:c>
      <x:c r="K642" s="22" t="str"/>
      <x:c r="L642" s="22" t="str"/>
      <x:c r="M642" s="22" t="str">
        <x:v>단가대비표</x:v>
      </x:c>
      <x:c r="N642" s="37" t="n">
        <x:v>344</x:v>
      </x:c>
      <x:c r="O642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2" s="22" t="str">
        <x:v>47d79c95e2c3273f84778935276c94526e369cc1b1bc057f6b03c998f44e253f</x:v>
      </x:c>
      <x:c r="Q642" s="22" t="str">
        <x:v>=O344+P344+V344</x:v>
      </x:c>
    </x:row>
    <x:row r="643">
      <x:c r="A643" s="22" t="str">
        <x:v>직접자원단가</x:v>
      </x:c>
      <x:c r="B643" s="22" t="str">
        <x:v>4530234CF57486DF6239DCFA5EA</x:v>
      </x:c>
      <x:c r="C643" s="25" t="str">
        <x:v>OR Builtin Furniture</x:v>
      </x:c>
      <x:c r="D643" s="25" t="str">
        <x:v> STS  1,2W x 0.5D x 1,8H</x:v>
      </x:c>
      <x:c r="E643" s="22" t="str">
        <x:v>SET</x:v>
      </x:c>
      <x:c r="F643" s="34" t="n">
        <x:v>3665.852032881582</x:v>
      </x:c>
      <x:c r="G643" s="34" t="n">
        <x:v>452.12175072206185</x:v>
      </x:c>
      <x:c r="H643" s="34" t="n">
        <x:v>244.3901355254388</x:v>
      </x:c>
      <x:c r="I643" s="34" t="n">
        <x:f>SUM(F643:H643)</x:f>
        <x:v>4362.363919129082</x:v>
      </x:c>
      <x:c r="J643" s="22" t="str">
        <x:v>3665.852032881582</x:v>
      </x:c>
      <x:c r="K643" s="22" t="str"/>
      <x:c r="L643" s="22" t="str"/>
      <x:c r="M643" s="22" t="str">
        <x:v>단가대비표</x:v>
      </x:c>
      <x:c r="N643" s="37" t="n">
        <x:v>345</x:v>
      </x:c>
      <x:c r="O643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3" s="22" t="str">
        <x:v>47d79c95e2c3273f84778935276c94526e369cc1b1bc057f6b03c998f44e253f</x:v>
      </x:c>
      <x:c r="Q643" s="22" t="str">
        <x:v>=O345+P345+V345</x:v>
      </x:c>
    </x:row>
    <x:row r="644">
      <x:c r="A644" s="22" t="str">
        <x:v>직접자원단가</x:v>
      </x:c>
      <x:c r="B644" s="22" t="str">
        <x:v>4530234CF57486DF6239DCFA5EB</x:v>
      </x:c>
      <x:c r="C644" s="25" t="str">
        <x:v>Floor Conductive Sheet</x:v>
      </x:c>
      <x:c r="D644" s="25" t="str">
        <x:v>600*600*3T</x:v>
      </x:c>
      <x:c r="E644" s="22" t="str">
        <x:v>M2</x:v>
      </x:c>
      <x:c r="F644" s="34" t="n">
        <x:v>57.02436495593573</x:v>
      </x:c>
      <x:c r="G644" s="34" t="n">
        <x:v>9.042435014441235</x:v>
      </x:c>
      <x:c r="H644" s="34" t="n">
        <x:v>4.07316892542398</x:v>
      </x:c>
      <x:c r="I644" s="34" t="n">
        <x:f>SUM(F644:H644)</x:f>
        <x:v>70.13996889580095</x:v>
      </x:c>
      <x:c r="J644" s="22" t="str">
        <x:v>57.02436495593573</x:v>
      </x:c>
      <x:c r="K644" s="22" t="str"/>
      <x:c r="L644" s="22" t="str"/>
      <x:c r="M644" s="22" t="str">
        <x:v>단가대비표</x:v>
      </x:c>
      <x:c r="N644" s="37" t="n">
        <x:v>346</x:v>
      </x:c>
      <x:c r="O644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4" s="22" t="str">
        <x:v>47d79c95e2c3273f84778935276c94526e369cc1b1bc057f6b03c998f44e253f</x:v>
      </x:c>
      <x:c r="Q644" s="22" t="str">
        <x:v>=O346+P346+V346</x:v>
      </x:c>
    </x:row>
    <x:row r="645">
      <x:c r="A645" s="22" t="str">
        <x:v>직접자원단가</x:v>
      </x:c>
      <x:c r="B645" s="22" t="str">
        <x:v>4530234CF57486DF6239DCFA5E8</x:v>
      </x:c>
      <x:c r="C645" s="25" t="str">
        <x:v>PANEL OPEN,G</x:v>
      </x:c>
      <x:c r="D645" s="25" t="str">
        <x:v>Outlet[E/L,GAS,ETC]</x:v>
      </x:c>
      <x:c r="E645" s="22" t="str">
        <x:v>EA</x:v>
      </x:c>
      <x:c r="F645" s="34" t="n">
        <x:v>16.29267570169592</x:v>
      </x:c>
      <x:c r="G645" s="34" t="n">
        <x:v>6.02829000962749</x:v>
      </x:c>
      <x:c r="H645" s="34" t="n">
        <x:v>1.6292675701695922</x:v>
      </x:c>
      <x:c r="I645" s="34" t="n">
        <x:f>SUM(F645:H645)</x:f>
        <x:v>23.950233281493002</x:v>
      </x:c>
      <x:c r="J645" s="22" t="str">
        <x:v>16.29267570169592</x:v>
      </x:c>
      <x:c r="K645" s="22" t="str"/>
      <x:c r="L645" s="22" t="str"/>
      <x:c r="M645" s="22" t="str">
        <x:v>단가대비표</x:v>
      </x:c>
      <x:c r="N645" s="37" t="n">
        <x:v>347</x:v>
      </x:c>
      <x:c r="O645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5" s="22" t="str">
        <x:v>47d79c95e2c3273f84778935276c94526e369cc1b1bc057f6b03c998f44e253f</x:v>
      </x:c>
      <x:c r="Q645" s="22" t="str">
        <x:v>=O347+P347+V347</x:v>
      </x:c>
    </x:row>
    <x:row r="646">
      <x:c r="A646" s="22" t="str">
        <x:v>직접자원단가</x:v>
      </x:c>
      <x:c r="B646" s="22" t="str">
        <x:v>4530234CF57486DF6239DCFA5E9</x:v>
      </x:c>
      <x:c r="C646" s="25" t="str">
        <x:v>Packing Fee</x:v>
      </x:c>
      <x:c r="D646" s="25" t="str"/>
      <x:c r="E646" s="22" t="str">
        <x:v>L/S</x:v>
      </x:c>
      <x:c r="F646" s="34" t="n">
        <x:v>0</x:v>
      </x:c>
      <x:c r="G646" s="34" t="n">
        <x:v>0</x:v>
      </x:c>
      <x:c r="H646" s="34" t="n">
        <x:v>4073.1689254239805</x:v>
      </x:c>
      <x:c r="I646" s="34" t="n">
        <x:f>SUM(F646:H646)</x:f>
        <x:v>4073.1689254239805</x:v>
      </x:c>
      <x:c r="J646" s="22" t="str"/>
      <x:c r="K646" s="22" t="str"/>
      <x:c r="L646" s="22" t="str"/>
      <x:c r="M646" s="22" t="str">
        <x:v>단가대비표</x:v>
      </x:c>
      <x:c r="N646" s="37" t="n">
        <x:v>348</x:v>
      </x:c>
      <x:c r="O646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6" s="22" t="str">
        <x:v>47d79c95e2c3273f84778935276c94526e369cc1b1bc057f6b03c998f44e253f</x:v>
      </x:c>
      <x:c r="Q646" s="22" t="str">
        <x:v>=O348+P348+V348</x:v>
      </x:c>
    </x:row>
    <x:row r="647">
      <x:c r="A647" s="22" t="str">
        <x:v>직접자원단가</x:v>
      </x:c>
      <x:c r="B647" s="22" t="str">
        <x:v>4530234CF57486DF6239DCFA792</x:v>
      </x:c>
      <x:c r="C647" s="25" t="str">
        <x:v>OR Builtin Furniture</x:v>
      </x:c>
      <x:c r="D647" s="25" t="str">
        <x:v> STS  1,2W x 0.5D x 1,8H</x:v>
      </x:c>
      <x:c r="E647" s="22" t="str">
        <x:v>SET</x:v>
      </x:c>
      <x:c r="F647" s="34" t="n">
        <x:v>3258.535140339184</x:v>
      </x:c>
      <x:c r="G647" s="34" t="n">
        <x:v>452.12175072206185</x:v>
      </x:c>
      <x:c r="H647" s="34" t="n">
        <x:v>224.02429089831892</x:v>
      </x:c>
      <x:c r="I647" s="34" t="n">
        <x:f>SUM(F647:H647)</x:f>
        <x:v>3934.681181959565</x:v>
      </x:c>
      <x:c r="J647" s="22" t="str">
        <x:v>3258.535140339184</x:v>
      </x:c>
      <x:c r="K647" s="22" t="str"/>
      <x:c r="L647" s="22" t="str"/>
      <x:c r="M647" s="22" t="str">
        <x:v>단가대비표</x:v>
      </x:c>
      <x:c r="N647" s="37" t="n">
        <x:v>349</x:v>
      </x:c>
      <x:c r="O647" s="22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7" s="22" t="str">
        <x:v>47d79c95e2c3273f84778935276c94526e369cc1b1bc057f6b03c998f44e253f</x:v>
      </x:c>
      <x:c r="Q647" s="22" t="str">
        <x:v>=O349+P349+V349</x:v>
      </x:c>
    </x:row>
    <x:row r="648">
      <x:c r="A648" s="23" t="str">
        <x:v>직접자원단가</x:v>
      </x:c>
      <x:c r="B648" s="23" t="str">
        <x:v>4530234CF57486DF6239DCFA791</x:v>
      </x:c>
      <x:c r="C648" s="26" t="str">
        <x:v>SGP Door System</x:v>
      </x:c>
      <x:c r="D648" s="26" t="str"/>
      <x:c r="E648" s="23" t="str">
        <x:v>SET</x:v>
      </x:c>
      <x:c r="F648" s="35" t="n">
        <x:v>651.7070280678369</x:v>
      </x:c>
      <x:c r="G648" s="35" t="n">
        <x:v>150.70725024068727</x:v>
      </x:c>
      <x:c r="H648" s="35" t="n">
        <x:v>52.951196030511746</x:v>
      </x:c>
      <x:c r="I648" s="35" t="n">
        <x:f>SUM(F648:H648)</x:f>
        <x:v>855.3654743390358</x:v>
      </x:c>
      <x:c r="J648" s="23" t="str">
        <x:v>651.7070280678369</x:v>
      </x:c>
      <x:c r="K648" s="23" t="str"/>
      <x:c r="L648" s="23" t="str"/>
      <x:c r="M648" s="23" t="str">
        <x:v>단가대비표</x:v>
      </x:c>
      <x:c r="N648" s="38" t="n">
        <x:v>350</x:v>
      </x:c>
      <x:c r="O648" s="23" t="str">
        <x:v>data/unpacked/L2025-00085-1/붙임2. 현지입찰(신규입찰) 서류 및 계약서류(안)/IKHCC Section 4 - IKHCC BLANK BOQ 250903_최종/1 Architectural &amp; summery/BILL No1 -Architectural Works-01. HOSPITAL(BLANK BILL).xlsx</x:v>
      </x:c>
      <x:c r="P648" s="23" t="str">
        <x:v>47d79c95e2c3273f84778935276c94526e369cc1b1bc057f6b03c998f44e253f</x:v>
      </x:c>
      <x:c r="Q648" s="23" t="str">
        <x:v>=O350+P350+V350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9dda1e2777b42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KOICA 자료 회수감사·해석 경계</x:v>
      </x:c>
    </x:row>
    <x:row r="2" ht="38" customHeight="1">
      <x:c r="A2" s="7" t="str">
        <x:v>‘파일 색인 완료’와 ‘건축비 산정에 의미 있게 활용’을 구분합니다. 오류 0건이어도 스캔·DWG·미가격·계약실적 부재는 남습니다.</x:v>
      </x:c>
    </x:row>
    <x:row r="4" ht="30" customHeight="1">
      <x:c r="A4" s="13" t="str">
        <x:v>감사항목</x:v>
      </x:c>
      <x:c r="B4" s="13" t="str">
        <x:v>이전</x:v>
      </x:c>
      <x:c r="C4" s="13" t="str">
        <x:v>현재</x:v>
      </x:c>
      <x:c r="D4" s="13" t="str">
        <x:v>판정</x:v>
      </x:c>
    </x:row>
    <x:row r="5">
      <x:c r="A5" s="52" t="str">
        <x:v>색인 파일</x:v>
      </x:c>
      <x:c r="B5" s="58" t="n">
        <x:v>2029</x:v>
      </x:c>
      <x:c r="C5" s="58" t="n">
        <x:v>3034</x:v>
      </x:c>
      <x:c r="D5" s="52" t="str">
        <x:v>증가</x:v>
      </x:c>
    </x:row>
    <x:row r="6">
      <x:c r="A6" s="53" t="str">
        <x:v>중첩 ZIP</x:v>
      </x:c>
      <x:c r="B6" s="59" t="n">
        <x:v>0</x:v>
      </x:c>
      <x:c r="C6" s="59" t="n">
        <x:v>80</x:v>
      </x:c>
      <x:c r="D6" s="53" t="str">
        <x:v>80개 전부 회수</x:v>
      </x:c>
    </x:row>
    <x:row r="7">
      <x:c r="A7" s="53" t="str">
        <x:v>중첩 파일</x:v>
      </x:c>
      <x:c r="B7" s="59" t="n">
        <x:v>0</x:v>
      </x:c>
      <x:c r="C7" s="59" t="n">
        <x:v>1005</x:v>
      </x:c>
      <x:c r="D7" s="53" t="str">
        <x:v>1,005개 전부 색인</x:v>
      </x:c>
    </x:row>
    <x:row r="8">
      <x:c r="A8" s="53" t="str">
        <x:v>추출 오류</x:v>
      </x:c>
      <x:c r="B8" s="59" t="n">
        <x:v>5</x:v>
      </x:c>
      <x:c r="C8" s="59" t="n">
        <x:v>0</x:v>
      </x:c>
      <x:c r="D8" s="53" t="str">
        <x:v>0건</x:v>
      </x:c>
    </x:row>
    <x:row r="9">
      <x:c r="A9" s="53" t="str">
        <x:v>중첩 증거</x:v>
      </x:c>
      <x:c r="B9" s="59" t="n">
        <x:v>0</x:v>
      </x:c>
      <x:c r="C9" s="59" t="n">
        <x:v>1046</x:v>
      </x:c>
      <x:c r="D9" s="53" t="str">
        <x:v>오탐 제거 후</x:v>
      </x:c>
    </x:row>
    <x:row r="10">
      <x:c r="A10" s="54" t="str">
        <x:v>IKHCC 단가 결합</x:v>
      </x:c>
      <x:c r="B10" s="60" t="n">
        <x:v>0</x:v>
      </x:c>
      <x:c r="C10" s="60" t="n">
        <x:v>561</x:v>
      </x:c>
      <x:c r="D10" s="54" t="str">
        <x:v>561/561</x:v>
      </x:c>
    </x:row>
    <x:row r="12" ht="25" customHeight="1">
      <x:c r="A12" s="71" t="str">
        <x:v>이번에 실제로 해결한 누락</x:v>
      </x:c>
      <x:c r="B12" s="71"/>
      <x:c r="C12" s="71"/>
      <x:c r="D12" s="71"/>
      <x:c r="E12" s="71"/>
      <x:c r="F12" s="71"/>
      <x:c r="G12" s="71"/>
      <x:c r="H12" s="71"/>
    </x:row>
    <x:row r="13">
      <x:c r="A13" s="55" t="str">
        <x:v>• 최상위 압축 안의 중첩 ZIP 80개를 재귀 해제하고 중첩 위치 파일 1,005개를 확인·색인</x:v>
      </x:c>
      <x:c r="B13" s="55"/>
      <x:c r="C13" s="55"/>
      <x:c r="D13" s="55"/>
      <x:c r="E13" s="55"/>
      <x:c r="F13" s="55"/>
      <x:c r="G13" s="55"/>
      <x:c r="H13" s="55"/>
    </x:row>
    <x:row r="14">
      <x:c r="A14" s="56" t="str">
        <x:v>• 점(.)으로 시작하는 실제 CM 검토폴더를 메타데이터로 오인하던 제외 규칙 수정</x:v>
      </x:c>
      <x:c r="B14" s="56"/>
      <x:c r="C14" s="56"/>
      <x:c r="D14" s="56"/>
      <x:c r="E14" s="56"/>
      <x:c r="F14" s="56"/>
      <x:c r="G14" s="56"/>
      <x:c r="H14" s="56"/>
    </x:row>
    <x:row r="15">
      <x:c r="A15" s="56" t="str">
        <x:v>• 엑셀 절대참조 $F$30을 USD 30으로 읽던 통화 오탐 제거</x:v>
      </x:c>
      <x:c r="B15" s="56"/>
      <x:c r="C15" s="56"/>
      <x:c r="D15" s="56"/>
      <x:c r="E15" s="56"/>
      <x:c r="F15" s="56"/>
      <x:c r="G15" s="56"/>
      <x:c r="H15" s="56"/>
    </x:row>
    <x:row r="16">
      <x:c r="A16" s="56" t="str">
        <x:v>• IKHCC ‘빈 BOQ’의 숨김 캐시단가 644개를 발견·구조화</x:v>
      </x:c>
      <x:c r="B16" s="56"/>
      <x:c r="C16" s="56"/>
      <x:c r="D16" s="56"/>
      <x:c r="E16" s="56"/>
      <x:c r="F16" s="56"/>
      <x:c r="G16" s="56"/>
      <x:c r="H16" s="56"/>
    </x:row>
    <x:row r="17">
      <x:c r="A17" s="57" t="str">
        <x:v>• 최신·재공고 3건의 동일 SHA-256을 확인해 중복 표본화 방지</x:v>
      </x:c>
      <x:c r="B17" s="57"/>
      <x:c r="C17" s="57"/>
      <x:c r="D17" s="57"/>
      <x:c r="E17" s="57"/>
      <x:c r="F17" s="57"/>
      <x:c r="G17" s="57"/>
      <x:c r="H17" s="57"/>
    </x:row>
    <x:row r="19" ht="25" customHeight="1">
      <x:c r="A19" s="272" t="str">
        <x:v>해석 한계</x:v>
      </x:c>
      <x:c r="B19" s="272"/>
      <x:c r="C19" s="272"/>
      <x:c r="D19" s="272"/>
      <x:c r="E19" s="272"/>
      <x:c r="F19" s="272"/>
      <x:c r="G19" s="272"/>
      <x:c r="H19" s="272"/>
    </x:row>
    <x:row r="20" ht="30" customHeight="1">
      <x:c r="A20" s="55" t="str">
        <x:v>• 복원 단가는 입찰자 제시가·계약가·변경계약가·준공가가 아니라 설계견적 기초단가다.</x:v>
      </x:c>
      <x:c r="B20" s="55"/>
      <x:c r="C20" s="55"/>
      <x:c r="D20" s="55"/>
      <x:c r="E20" s="55"/>
      <x:c r="F20" s="55"/>
      <x:c r="G20" s="55"/>
      <x:c r="H20" s="55"/>
    </x:row>
    <x:row r="21" ht="30" customHeight="1">
      <x:c r="A21" s="56" t="str">
        <x:v>• 보이는 BOQ 단가 3개 열은 561개 항목 모두 공란이고, 숨김 시트의 캐시값을 품목코드로 결합했다.</x:v>
      </x:c>
      <x:c r="B21" s="56"/>
      <x:c r="C21" s="56"/>
      <x:c r="D21" s="56"/>
      <x:c r="E21" s="56"/>
      <x:c r="F21" s="56"/>
      <x:c r="G21" s="56"/>
      <x:c r="H21" s="56"/>
    </x:row>
    <x:row r="22" ht="30" customHeight="1">
      <x:c r="A22" s="56" t="str">
        <x:v>• 이번 합계는 Bill No.01 건축공사(병원·MEP동·교량)만 포함하며 토목·기계·전기·통신·소방·동원·사인 공사는 제외한다.</x:v>
      </x:c>
      <x:c r="B22" s="56"/>
      <x:c r="C22" s="56"/>
      <x:c r="D22" s="56"/>
      <x:c r="E22" s="56"/>
      <x:c r="F22" s="56"/>
      <x:c r="G22" s="56"/>
      <x:c r="H22" s="56"/>
    </x:row>
    <x:row r="23" ht="30" customHeight="1">
      <x:c r="A23" s="56" t="str">
        <x:v>• 단가대비표 환율 1,350.3과 공사설정 환율 1,289가 불일치하므로 적용 시점과 최종 환율을 재확인해야 한다.</x:v>
      </x:c>
      <x:c r="B23" s="56"/>
      <x:c r="C23" s="56"/>
      <x:c r="D23" s="56"/>
      <x:c r="E23" s="56"/>
      <x:c r="F23" s="56"/>
      <x:c r="G23" s="56"/>
      <x:c r="H23" s="56"/>
    </x:row>
    <x:row r="24" ht="30" customHeight="1">
      <x:c r="A24" s="56" t="str">
        <x:v>• 공고 3건의 대표 워크북 SHA-256은 동일하므로 독립 비용표본 3건으로 세지 않는다.</x:v>
      </x:c>
      <x:c r="B24" s="56"/>
      <x:c r="C24" s="56"/>
      <x:c r="D24" s="56"/>
      <x:c r="E24" s="56"/>
      <x:c r="F24" s="56"/>
      <x:c r="G24" s="56"/>
      <x:c r="H24" s="56"/>
    </x:row>
    <x:row r="25" ht="30" customHeight="1">
      <x:c r="A25" s="56" t="str">
        <x:v>• 연면적 5,486㎡와 계획 입찰한도액은 KOICA 연간발주계획의 계획값이며 변경 가능하다.</x:v>
      </x:c>
      <x:c r="B25" s="56"/>
      <x:c r="C25" s="56"/>
      <x:c r="D25" s="56"/>
      <x:c r="E25" s="56"/>
      <x:c r="F25" s="56"/>
      <x:c r="G25" s="56"/>
      <x:c r="H25" s="56"/>
    </x:row>
    <x:row r="26" ht="30" customHeight="1">
      <x:c r="A26" s="57" t="str">
        <x:v>• 재귀 압축 및 텍스트 색인 오류는 0건으로 정리했지만, 스캔·DWG·미가격 BOQ와 실제 계약·준공가 부재 때문에 KOICA 자료 100% 의미활용이라고 주장할 수 없다.</x:v>
      </x:c>
      <x:c r="B26" s="57"/>
      <x:c r="C26" s="57"/>
      <x:c r="D26" s="57"/>
      <x:c r="E26" s="57"/>
      <x:c r="F26" s="57"/>
      <x:c r="G26" s="57"/>
      <x:c r="H26" s="57"/>
    </x:row>
    <x:row r="28" ht="25" customHeight="1">
      <x:c r="A28" s="274" t="str">
        <x:v>근거·계보</x:v>
      </x:c>
      <x:c r="B28" s="274"/>
      <x:c r="C28" s="274"/>
      <x:c r="D28" s="274"/>
      <x:c r="E28" s="274"/>
      <x:c r="F28" s="274"/>
      <x:c r="G28" s="274"/>
      <x:c r="H28" s="274"/>
    </x:row>
    <x:row r="29">
      <x:c r="A29" s="55" t="str">
        <x:v>KOICA 현지입찰</x:v>
      </x:c>
      <x:c r="B29" s="275" t="str">
        <x:v>https://nebid.koica.go.kr/oep/lobi/localBidManageDetail.do?P_LOAZ_BID_PBLANC_NO=L2025-00085&amp;P_PBLANC_ODR=1</x:v>
      </x:c>
    </x:row>
    <x:row r="30">
      <x:c r="A30" s="56" t="str">
        <x:v>KOICA 연간발주계획</x:v>
      </x:c>
      <x:c r="B30" s="276" t="str">
        <x:v>https://www.data.go.kr/data/15085055/fileData.do</x:v>
      </x:c>
    </x:row>
    <x:row r="31">
      <x:c r="A31" s="56" t="str">
        <x:v>대표 공고</x:v>
      </x:c>
      <x:c r="B31" s="276" t="str">
        <x:v>L2025-00085-1 / 2025-10-06</x:v>
      </x:c>
    </x:row>
    <x:row r="32">
      <x:c r="A32" s="56" t="str">
        <x:v>통화 근거</x:v>
      </x:c>
      <x:c r="B32" s="276" t="str">
        <x:v>data/unpacked/L2025-00085-1/붙임2. 현지입찰(신규입찰) 서류 및 계약서류(안)/IKHCC Section 4 - IKHCC BLANK BOQ 250903_최종/1 Architectural &amp; summery/Bill _Total Cost Summary-Blank 250306.xlsx / AMOUNT (USD)</x:v>
      </x:c>
    </x:row>
    <x:row r="33">
      <x:c r="A33" s="57" t="str">
        <x:v>환율 충돌</x:v>
      </x:c>
      <x:c r="B33" s="277" t="str">
        <x:v>1350.3 vs 1289</x:v>
      </x:c>
    </x:row>
  </x:sheetData>
  <x:mergeCells>
    <x:mergeCell ref="A1:H1"/>
    <x:mergeCell ref="A2:H2"/>
    <x:mergeCell ref="A12:H12"/>
    <x:mergeCell ref="A13:H13"/>
    <x:mergeCell ref="A14:H14"/>
    <x:mergeCell ref="A15:H15"/>
    <x:mergeCell ref="A16:H16"/>
    <x:mergeCell ref="A17:H17"/>
    <x:mergeCell ref="A19:H19"/>
    <x:mergeCell ref="A20:H20"/>
    <x:mergeCell ref="A21:H21"/>
    <x:mergeCell ref="A22:H22"/>
    <x:mergeCell ref="A23:H23"/>
    <x:mergeCell ref="A24:H24"/>
    <x:mergeCell ref="A25:H25"/>
    <x:mergeCell ref="A26:H26"/>
    <x:mergeCell ref="A28:H28"/>
  </x:mergeCells>
  <x:pageMargins left="0.7" right="0.7" top="0.75" bottom="0.75" header="0.3" footer="0.3"/>
</x:worksheet>
</file>