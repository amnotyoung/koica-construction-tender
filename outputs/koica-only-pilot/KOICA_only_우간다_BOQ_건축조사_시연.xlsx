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1879c194cc84cfc" /></Relationships>
</file>

<file path=xl/workbook.xml><?xml version="1.0" encoding="utf-8"?>
<x:workbook xmlns:x="http://schemas.openxmlformats.org/spreadsheetml/2006/main">
  <x:sheets>
    <x:sheet xmlns:r="http://schemas.openxmlformats.org/officeDocument/2006/relationships" name="판정" sheetId="1" r:id="R8918582d5ab849cc"/>
    <x:sheet xmlns:r="http://schemas.openxmlformats.org/officeDocument/2006/relationships" name="입력·근거" sheetId="2" r:id="R84b3fe87fb7147a2"/>
    <x:sheet xmlns:r="http://schemas.openxmlformats.org/officeDocument/2006/relationships" name="시설·공종 요약" sheetId="3" r:id="Rb3a93ec7a7024b06"/>
    <x:sheet xmlns:r="http://schemas.openxmlformats.org/officeDocument/2006/relationships" name="수량 벤치마크" sheetId="4" r:id="R61c466817ca7490e"/>
    <x:sheet xmlns:r="http://schemas.openxmlformats.org/officeDocument/2006/relationships" name="BOQ 항목" sheetId="5" r:id="R85fed335235e45c1"/>
    <x:sheet xmlns:r="http://schemas.openxmlformats.org/officeDocument/2006/relationships" name="공식 KOICA 후보" sheetId="6" r:id="R529fcef2a113474c"/>
    <x:sheet xmlns:r="http://schemas.openxmlformats.org/officeDocument/2006/relationships" name="조사 체크리스트" sheetId="7" r:id="R120660e562f44ff0"/>
  </x:sheets>
</x:workbook>
</file>

<file path=xl/comments1.xml><?xml version="1.0" encoding="utf-8"?>
<x:comments xmlns:x="http://schemas.openxmlformats.org/spreadsheetml/2006/main">
  <x:authors>
    <x:author>tc={266860CF-44C8-CBC4-DCAD-B4B27785C406}</x:author>
    <x:author>tc={52064EC9-570D-0E03-F44B-F69A9DCB1747}</x:author>
    <x:author>tc={AC254B1F-C4C1-4EE5-4B6E-9EFE3259A807}</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Source: L2023-00009-1 Section 2 - Bid Data Sheet, table 5 row 8.</x:t>
        </x:r>
      </x:text>
    </x:comment>
    <x:comment ref="B6" authorId="1">
      <x:text>
        <x:r>
          <x:t>[Threaded comment]
Your version of Excel allows you to read this threaded comment; however, any edits to it will get removed if the file is opened in a newer version of Excel. Learn more: https://go.microsoft.com/fwlink/?linkid=870924
Comment:
    Source: L2023-00009-1 국문 입찰계획안, 연면적 835.67㎡. 영문 BDS의 827.40㎡와 불일치.</x:t>
        </x:r>
      </x:text>
    </x:comment>
    <x:comment ref="B9" authorId="2">
      <x:text>
        <x:r>
          <x:t>[Threaded comment]
Your version of Excel allows you to read this threaded comment; however, any edits to it will get removed if the file is opened in a newer version of Excel. Learn more: https://go.microsoft.com/fwlink/?linkid=870924
Comment:
    Source: KOICA 현지입찰 재공고 상세페이지. Cost stage is bid execution ceiling, not contract or final cost.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0"/>
    <x:numFmt numFmtId="201" formatCode="0.00%"/>
    <x:numFmt numFmtId="202" formatCode="&quot;$&quot;#,##0"/>
    <x:numFmt numFmtId="203" formatCode="#,##0.0"/>
    <x:numFmt numFmtId="204" formatCode="&quot;$&quot;#,##0.00"/>
    <x:numFmt numFmtId="205" formatCode="#,##0"/>
    <x:numFmt numFmtId="206" formatCode="#,##0.000"/>
    <x:numFmt numFmtId="207" formatCode="0.000"/>
  </x:numFmts>
  <x:fonts count="17">
    <x:font>
      <x:sz val="11"/>
      <x:name val="Carlito"/>
    </x:font>
    <x:font>
      <x:b/>
      <x:sz val="16"/>
      <x:color rgb="FFFFFFFF"/>
      <x:name val="Carlito"/>
    </x:font>
    <x:font>
      <x:i/>
      <x:sz val="10"/>
      <x:color rgb="FF24313D"/>
      <x:name val="Carlito"/>
    </x:font>
    <x:font>
      <x:b/>
      <x:sz val="9"/>
      <x:color rgb="FFFFFFFF"/>
      <x:name val="Carlito"/>
    </x:font>
    <x:font>
      <x:sz val="9"/>
      <x:color rgb="FF24313D"/>
      <x:name val="Carlito"/>
    </x:font>
    <x:font>
      <x:b/>
      <x:sz val="9"/>
      <x:color rgb="FF16324F"/>
      <x:name val="Carlito"/>
    </x:font>
    <x:font>
      <x:sz val="8"/>
      <x:color rgb="FF24313D"/>
      <x:name val="Carlito"/>
    </x:font>
    <x:font>
      <x:sz val="8"/>
      <x:color rgb="FF0563C1"/>
      <x:name val="Carlito"/>
    </x:font>
    <x:font>
      <x:b/>
      <x:sz val="10"/>
      <x:color rgb="FFFFFFFF"/>
      <x:name val="Carlito"/>
    </x:font>
    <x:font>
      <x:b/>
      <x:sz val="17"/>
      <x:color rgb="FF16324F"/>
      <x:name val="Carlito"/>
    </x:font>
    <x:font>
      <x:b/>
      <x:sz val="9"/>
      <x:color rgb="FF3E7C59"/>
      <x:name val="Carlito"/>
    </x:font>
    <x:font>
      <x:b/>
      <x:sz val="9"/>
      <x:color rgb="FFB7791F"/>
      <x:name val="Carlito"/>
    </x:font>
    <x:font>
      <x:b/>
      <x:sz val="9"/>
      <x:color rgb="FF24557A"/>
      <x:name val="Carlito"/>
    </x:font>
    <x:font>
      <x:b/>
      <x:sz val="14"/>
      <x:color rgb="FF16324F"/>
      <x:name val="Carlito"/>
    </x:font>
    <x:font>
      <x:sz val="10"/>
      <x:color rgb="FF24313D"/>
      <x:name val="Carlito"/>
    </x:font>
    <x:font>
      <x:sz val="8"/>
      <x:color rgb="FF16324F"/>
      <x:name val="Carlito"/>
    </x:font>
    <x:font>
      <x:sz val="9"/>
      <x:color rgb="FF16324F"/>
      <x:name val="Carlito"/>
    </x:font>
  </x:fonts>
  <x:fills count="15">
    <x:fill>
      <x:patternFill patternType="none"/>
    </x:fill>
    <x:fill>
      <x:patternFill patternType="gray125"/>
    </x:fill>
    <x:fill>
      <x:patternFill patternType="solid">
        <x:fgColor rgb="FF16324F"/>
      </x:patternFill>
    </x:fill>
    <x:fill>
      <x:patternFill patternType="solid">
        <x:fgColor rgb="FFE8F1F8"/>
      </x:patternFill>
    </x:fill>
    <x:fill>
      <x:patternFill patternType="solid">
        <x:fgColor rgb="FF24557A"/>
      </x:patternFill>
    </x:fill>
    <x:fill>
      <x:patternFill patternType="solid">
        <x:fgColor rgb="FFFFF2CC"/>
      </x:patternFill>
    </x:fill>
    <x:fill>
      <x:patternFill patternType="solid">
        <x:fgColor rgb="FF3E7C59"/>
      </x:patternFill>
    </x:fill>
    <x:fill>
      <x:patternFill patternType="solid">
        <x:fgColor rgb="FFB7791F"/>
      </x:patternFill>
    </x:fill>
    <x:fill>
      <x:patternFill patternType="solid">
        <x:fgColor rgb="FFFFF4D6"/>
      </x:patternFill>
    </x:fill>
    <x:fill>
      <x:patternFill patternType="solid">
        <x:fgColor rgb="FF0F6B78"/>
      </x:patternFill>
    </x:fill>
    <x:fill>
      <x:patternFill patternType="solid">
        <x:fgColor rgb="FFFFFFFF"/>
      </x:patternFill>
    </x:fill>
    <x:fill>
      <x:patternFill patternType="solid">
        <x:fgColor rgb="FFB42318"/>
      </x:patternFill>
    </x:fill>
    <x:fill>
      <x:patternFill patternType="solid">
        <x:fgColor rgb="FF6B5B95"/>
      </x:patternFill>
    </x:fill>
    <x:fill>
      <x:patternFill patternType="solid">
        <x:fgColor rgb="FFEAF4EC"/>
      </x:patternFill>
    </x:fill>
    <x:fill>
      <x:patternFill patternType="solid">
        <x:fgColor rgb="FFF0ECF7"/>
      </x:patternFill>
    </x:fill>
  </x:fills>
  <x:borders count="13">
    <x:border/>
    <x:border>
      <x:bottom style="medium">
        <x:color rgb="FF24557A"/>
      </x:bottom>
    </x:border>
    <x:border>
      <x:bottom style="thin">
        <x:color rgb="FFE9EEF2"/>
      </x:bottom>
    </x:border>
    <x:border>
      <x:top style="thin">
        <x:color rgb="FFE9EEF2"/>
      </x:top>
      <x:bottom style="thin">
        <x:color rgb="FFE9EEF2"/>
      </x:bottom>
    </x:border>
    <x:border>
      <x:top style="thin">
        <x:color rgb="FFE9EEF2"/>
      </x:top>
    </x:border>
    <x:border>
      <x:bottom style="medium">
        <x:color rgb="FF3E7C59"/>
      </x:bottom>
    </x:border>
    <x:border>
      <x:left style="thin">
        <x:color rgb="FFD6DEE5"/>
      </x:left>
      <x:top style="thin">
        <x:color rgb="FFD6DEE5"/>
      </x:top>
    </x:border>
    <x:border>
      <x:right style="thin">
        <x:color rgb="FFD6DEE5"/>
      </x:right>
      <x:top style="thin">
        <x:color rgb="FFD6DEE5"/>
      </x:top>
    </x:border>
    <x:border>
      <x:left style="thin">
        <x:color rgb="FFD6DEE5"/>
      </x:left>
    </x:border>
    <x:border>
      <x:right style="thin">
        <x:color rgb="FFD6DEE5"/>
      </x:right>
    </x:border>
    <x:border>
      <x:left style="thin">
        <x:color rgb="FFD6DEE5"/>
      </x:left>
      <x:bottom style="thin">
        <x:color rgb="FFD6DEE5"/>
      </x:bottom>
    </x:border>
    <x:border>
      <x:right style="thin">
        <x:color rgb="FFD6DEE5"/>
      </x:right>
      <x:bottom style="thin">
        <x:color rgb="FFD6DEE5"/>
      </x:bottom>
    </x:border>
    <x:border>
      <x:bottom style="medium">
        <x:color rgb="FF0F6B78"/>
      </x:bottom>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2" fontId="4" fillId="0" borderId="3" xfId="0" applyNumberFormat="1" applyFont="1" applyFill="1" applyBorder="1" applyAlignment="1">
      <x:alignment vertical="top" wrapText="1"/>
    </x:xf>
    <x:xf numFmtId="203"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3" xfId="0" applyNumberFormat="1" applyFont="1" applyFill="1" applyBorder="1" applyAlignment="1">
      <x:alignment horizontal="center" vertical="top" wrapText="1"/>
    </x:xf>
    <x:xf numFmtId="204" fontId="4" fillId="0" borderId="3" xfId="0" applyNumberFormat="1" applyFont="1" applyFill="1" applyBorder="1" applyAlignment="1">
      <x:alignment vertical="top" wrapText="1"/>
    </x:xf>
    <x:xf numFmtId="205" fontId="4" fillId="0" borderId="3" xfId="0" applyNumberFormat="1" applyFont="1" applyFill="1" applyBorder="1" applyAlignment="1">
      <x:alignment vertical="top" wrapText="1"/>
    </x:xf>
    <x:xf numFmtId="205" fontId="4" fillId="0" borderId="4"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5" xfId="0" applyNumberFormat="1" applyFont="1" applyFill="1" applyBorder="1"/>
    <x:xf numFmtId="0" fontId="3" fillId="6" borderId="5" xfId="0" applyNumberFormat="1" applyFont="1" applyFill="1" applyBorder="1" applyAlignment="1">
      <x:alignment wrapText="1"/>
    </x:xf>
    <x:xf numFmtId="0" fontId="3" fillId="6" borderId="5" xfId="0" applyNumberFormat="1" applyFont="1" applyFill="1" applyBorder="1" applyAlignment="1">
      <x:alignment horizontal="center" wrapText="1"/>
    </x:xf>
    <x:xf numFmtId="0" fontId="3" fillId="6" borderId="5" xfId="0" applyNumberFormat="1" applyFont="1" applyFill="1" applyBorder="1" applyAlignment="1">
      <x:alignment horizontal="center" vertical="center" wrapText="1"/>
    </x:xf>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10" borderId="0" xfId="0" applyNumberFormat="1" applyFont="1" applyFill="1" applyBorder="1"/>
    <x:xf numFmtId="0" fontId="9" fillId="10" borderId="0"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8" xfId="0" applyNumberFormat="1" applyFont="1" applyFill="1" applyBorder="1"/>
    <x:xf numFmtId="0" fontId="9" fillId="10" borderId="9" xfId="0" applyNumberFormat="1" applyFont="1" applyFill="1" applyBorder="1"/>
    <x:xf numFmtId="0" fontId="9" fillId="10" borderId="10" xfId="0" applyNumberFormat="1" applyFont="1" applyFill="1" applyBorder="1"/>
    <x:xf numFmtId="0" fontId="9" fillId="10" borderId="11" xfId="0" applyNumberFormat="1" applyFont="1" applyFill="1" applyBorder="1"/>
    <x:xf numFmtId="0" fontId="9" fillId="10" borderId="6" xfId="0" applyNumberFormat="1" applyFont="1" applyFill="1" applyBorder="1" applyAlignment="1">
      <x:alignment horizontal="center"/>
    </x:xf>
    <x:xf numFmtId="0" fontId="9" fillId="10" borderId="7" xfId="0" applyNumberFormat="1" applyFont="1" applyFill="1" applyBorder="1" applyAlignment="1">
      <x:alignment horizontal="center"/>
    </x:xf>
    <x:xf numFmtId="0" fontId="9" fillId="10" borderId="8" xfId="0" applyNumberFormat="1" applyFont="1" applyFill="1" applyBorder="1" applyAlignment="1">
      <x:alignment horizontal="center"/>
    </x:xf>
    <x:xf numFmtId="0" fontId="9" fillId="10" borderId="9" xfId="0" applyNumberFormat="1" applyFont="1" applyFill="1" applyBorder="1" applyAlignment="1">
      <x:alignment horizontal="center"/>
    </x:xf>
    <x:xf numFmtId="0" fontId="9" fillId="10" borderId="10" xfId="0" applyNumberFormat="1" applyFont="1" applyFill="1" applyBorder="1" applyAlignment="1">
      <x:alignment horizontal="center"/>
    </x:xf>
    <x:xf numFmtId="0" fontId="9" fillId="10" borderId="11" xfId="0" applyNumberFormat="1" applyFont="1" applyFill="1" applyBorder="1" applyAlignment="1">
      <x:alignment horizontal="center"/>
    </x:xf>
    <x:xf numFmtId="0" fontId="9" fillId="10" borderId="6" xfId="0" applyNumberFormat="1" applyFont="1" applyFill="1" applyBorder="1" applyAlignment="1">
      <x:alignment horizontal="center" vertical="center"/>
    </x:xf>
    <x:xf numFmtId="0" fontId="9" fillId="10" borderId="7" xfId="0" applyNumberFormat="1" applyFont="1" applyFill="1" applyBorder="1" applyAlignment="1">
      <x:alignment horizontal="center" vertical="center"/>
    </x:xf>
    <x:xf numFmtId="0" fontId="9" fillId="10" borderId="8" xfId="0" applyNumberFormat="1" applyFont="1" applyFill="1" applyBorder="1" applyAlignment="1">
      <x:alignment horizontal="center" vertical="center"/>
    </x:xf>
    <x:xf numFmtId="0" fontId="9" fillId="10" borderId="9" xfId="0" applyNumberFormat="1" applyFont="1" applyFill="1" applyBorder="1" applyAlignment="1">
      <x:alignment horizontal="center" vertical="center"/>
    </x:xf>
    <x:xf numFmtId="0" fontId="9" fillId="10" borderId="10" xfId="0" applyNumberFormat="1" applyFont="1" applyFill="1" applyBorder="1" applyAlignment="1">
      <x:alignment horizontal="center" vertical="center"/>
    </x:xf>
    <x:xf numFmtId="0" fontId="9" fillId="10" borderId="11" xfId="0" applyNumberFormat="1" applyFont="1" applyFill="1" applyBorder="1" applyAlignment="1">
      <x:alignment horizontal="center" vertical="center"/>
    </x:xf>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1" borderId="0" xfId="0" applyNumberFormat="1" applyFont="1" applyFill="1" applyBorder="1" applyAlignment="1">
      <x:alignment horizontal="center"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13" borderId="2" xfId="0" applyNumberFormat="1" applyFont="1" applyFill="1" applyBorder="1" applyAlignment="1">
      <x:alignment horizontal="center" vertical="top" wrapText="1"/>
    </x:xf>
    <x:xf numFmtId="0" fontId="10" fillId="13" borderId="2" xfId="0" applyNumberFormat="1" applyFont="1" applyFill="1" applyBorder="1" applyAlignment="1">
      <x:alignment horizontal="center" vertical="top" wrapText="1"/>
    </x:xf>
    <x:xf numFmtId="0" fontId="4" fillId="8" borderId="3" xfId="0" applyNumberFormat="1" applyFont="1" applyFill="1" applyBorder="1" applyAlignment="1">
      <x:alignment horizontal="center" vertical="top" wrapText="1"/>
    </x:xf>
    <x:xf numFmtId="0" fontId="11" fillId="8" borderId="3" xfId="0" applyNumberFormat="1" applyFont="1" applyFill="1" applyBorder="1" applyAlignment="1">
      <x:alignment horizontal="center" vertical="top" wrapText="1"/>
    </x:xf>
    <x:xf numFmtId="0" fontId="4" fillId="3" borderId="3" xfId="0" applyNumberFormat="1" applyFont="1" applyFill="1" applyBorder="1" applyAlignment="1">
      <x:alignment horizontal="center" vertical="top" wrapText="1"/>
    </x:xf>
    <x:xf numFmtId="0" fontId="4" fillId="3" borderId="4" xfId="0" applyNumberFormat="1" applyFont="1" applyFill="1" applyBorder="1" applyAlignment="1">
      <x:alignment horizontal="center" vertical="top" wrapText="1"/>
    </x:xf>
    <x:xf numFmtId="0" fontId="12" fillId="3" borderId="3" xfId="0" applyNumberFormat="1" applyFont="1" applyFill="1" applyBorder="1" applyAlignment="1">
      <x:alignment horizontal="center" vertical="top" wrapText="1"/>
    </x:xf>
    <x:xf numFmtId="0" fontId="12" fillId="3" borderId="4" xfId="0" applyNumberFormat="1" applyFont="1" applyFill="1" applyBorder="1" applyAlignment="1">
      <x:alignment horizontal="center" vertical="top" wrapText="1"/>
    </x:xf>
    <x:xf numFmtId="0" fontId="8" fillId="4" borderId="0" xfId="0" applyNumberFormat="1" applyFont="1" applyFill="1" applyBorder="1"/>
    <x:xf numFmtId="0" fontId="8" fillId="4" borderId="0" xfId="0" applyNumberFormat="1" applyFont="1" applyFill="1" applyBorder="1" applyAlignment="1">
      <x:alignment vertical="center"/>
    </x:xf>
    <x:xf numFmtId="0" fontId="3" fillId="9" borderId="12" xfId="0" applyNumberFormat="1" applyFont="1" applyFill="1" applyBorder="1"/>
    <x:xf numFmtId="0" fontId="3" fillId="9" borderId="12" xfId="0" applyNumberFormat="1" applyFont="1" applyFill="1" applyBorder="1" applyAlignment="1">
      <x:alignment wrapText="1"/>
    </x:xf>
    <x:xf numFmtId="0" fontId="3" fillId="9" borderId="12" xfId="0" applyNumberFormat="1" applyFont="1" applyFill="1" applyBorder="1" applyAlignment="1">
      <x:alignment horizontal="center" wrapText="1"/>
    </x:xf>
    <x:xf numFmtId="0" fontId="3" fillId="9" borderId="12" xfId="0" applyNumberFormat="1" applyFont="1" applyFill="1" applyBorder="1" applyAlignment="1">
      <x:alignment horizontal="center" vertical="center" wrapText="1"/>
    </x:xf>
    <x:xf numFmtId="200" fontId="0" fillId="0" borderId="0" xfId="0" applyNumberFormat="1" applyFont="1" applyFill="1" applyBorder="1"/>
    <x:xf numFmtId="204" fontId="0" fillId="0"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horizontal="center"/>
    </x:xf>
    <x:xf numFmtId="0" fontId="13" fillId="8" borderId="0" xfId="0" applyNumberFormat="1" applyFont="1" applyFill="1" applyBorder="1" applyAlignment="1">
      <x:alignment horizontal="center" vertical="center"/>
    </x:xf>
    <x:xf numFmtId="0" fontId="8" fillId="12" borderId="0" xfId="0" applyNumberFormat="1" applyFont="1" applyFill="1" applyBorder="1"/>
    <x:xf numFmtId="0" fontId="8" fillId="12" borderId="0" xfId="0" applyNumberFormat="1" applyFont="1" applyFill="1" applyBorder="1" applyAlignment="1">
      <x:alignment vertical="center"/>
    </x:xf>
    <x:xf numFmtId="0" fontId="0" fillId="14" borderId="0" xfId="0" applyNumberFormat="1" applyFont="1" applyFill="1" applyBorder="1"/>
    <x:xf numFmtId="0" fontId="14" fillId="14" borderId="0" xfId="0" applyNumberFormat="1" applyFont="1" applyFill="1" applyBorder="1"/>
    <x:xf numFmtId="0" fontId="14" fillId="14" borderId="0" xfId="0" applyNumberFormat="1" applyFont="1" applyFill="1" applyBorder="1" applyAlignment="1">
      <x:alignment wrapText="1"/>
    </x:xf>
    <x:xf numFmtId="0" fontId="14" fillId="14" borderId="0" xfId="0" applyNumberFormat="1" applyFont="1" applyFill="1" applyBorder="1" applyAlignment="1">
      <x:alignment vertical="top" wrapText="1"/>
    </x:xf>
    <x:xf numFmtId="205" fontId="4" fillId="0" borderId="2" xfId="0" applyNumberFormat="1" applyFont="1" applyFill="1" applyBorder="1" applyAlignment="1">
      <x:alignment vertical="top" wrapText="1"/>
    </x:xf>
    <x:xf numFmtId="0" fontId="4" fillId="0" borderId="2" xfId="0" applyNumberFormat="1" applyFont="1" applyFill="1" applyBorder="1" applyAlignment="1">
      <x:alignment wrapText="0"/>
    </x:xf>
    <x:xf numFmtId="0" fontId="4" fillId="0" borderId="3" xfId="0" applyNumberFormat="1" applyFont="1" applyFill="1" applyBorder="1" applyAlignment="1">
      <x:alignment wrapText="0"/>
    </x:xf>
    <x:xf numFmtId="0" fontId="4" fillId="0" borderId="4" xfId="0" applyNumberFormat="1" applyFont="1" applyFill="1" applyBorder="1" applyAlignment="1">
      <x:alignment wrapText="0"/>
    </x:xf>
    <x:xf numFmtId="0" fontId="4" fillId="0" borderId="2" xfId="0" applyNumberFormat="1" applyFont="1" applyFill="1" applyBorder="1" applyAlignment="1">
      <x:alignment vertical="top" wrapText="0"/>
    </x:xf>
    <x:xf numFmtId="0" fontId="4" fillId="0" borderId="3" xfId="0" applyNumberFormat="1" applyFont="1" applyFill="1" applyBorder="1" applyAlignment="1">
      <x:alignment vertical="top" wrapText="0"/>
    </x:xf>
    <x:xf numFmtId="0" fontId="4" fillId="0" borderId="4" xfId="0" applyNumberFormat="1" applyFont="1" applyFill="1" applyBorder="1" applyAlignment="1">
      <x:alignment vertical="top" wrapText="0"/>
    </x:xf>
    <x:xf numFmtId="205" fontId="4" fillId="0" borderId="2" xfId="0" applyNumberFormat="1" applyFont="1" applyFill="1" applyBorder="1" applyAlignment="1">
      <x:alignment vertical="top" wrapText="0"/>
    </x:xf>
    <x:xf numFmtId="205" fontId="4" fillId="0" borderId="3" xfId="0" applyNumberFormat="1" applyFont="1" applyFill="1" applyBorder="1" applyAlignment="1">
      <x:alignment vertical="top" wrapText="0"/>
    </x:xf>
    <x:xf numFmtId="205" fontId="4" fillId="0" borderId="4" xfId="0" applyNumberFormat="1" applyFont="1" applyFill="1" applyBorder="1" applyAlignment="1">
      <x:alignment vertical="top" wrapText="0"/>
    </x:xf>
    <x:xf numFmtId="206" fontId="4" fillId="0" borderId="2" xfId="0" applyNumberFormat="1" applyFont="1" applyFill="1" applyBorder="1" applyAlignment="1">
      <x:alignment vertical="top" wrapText="0"/>
    </x:xf>
    <x:xf numFmtId="206" fontId="4" fillId="0" borderId="3" xfId="0" applyNumberFormat="1" applyFont="1" applyFill="1" applyBorder="1" applyAlignment="1">
      <x:alignment vertical="top" wrapText="0"/>
    </x:xf>
    <x:xf numFmtId="206" fontId="4" fillId="0" borderId="4" xfId="0" applyNumberFormat="1" applyFont="1" applyFill="1" applyBorder="1" applyAlignment="1">
      <x:alignment vertical="top" wrapText="0"/>
    </x:xf>
    <x:xf numFmtId="207" fontId="4" fillId="0" borderId="2" xfId="0" applyNumberFormat="1" applyFont="1" applyFill="1" applyBorder="1" applyAlignment="1">
      <x:alignment vertical="top" wrapText="0"/>
    </x:xf>
    <x:xf numFmtId="207" fontId="4" fillId="0" borderId="3" xfId="0" applyNumberFormat="1" applyFont="1" applyFill="1" applyBorder="1" applyAlignment="1">
      <x:alignment vertical="top" wrapText="0"/>
    </x:xf>
    <x:xf numFmtId="207" fontId="4" fillId="0" borderId="4" xfId="0" applyNumberFormat="1" applyFont="1" applyFill="1" applyBorder="1" applyAlignment="1">
      <x:alignment vertical="top" wrapText="0"/>
    </x:xf>
    <x:xf numFmtId="0" fontId="6" fillId="0" borderId="2" xfId="0" applyNumberFormat="1" applyFont="1" applyFill="1" applyBorder="1" applyAlignment="1">
      <x:alignment wrapText="0"/>
    </x:xf>
    <x:xf numFmtId="0" fontId="6" fillId="0" borderId="3" xfId="0" applyNumberFormat="1" applyFont="1" applyFill="1" applyBorder="1" applyAlignment="1">
      <x:alignment wrapText="0"/>
    </x:xf>
    <x:xf numFmtId="0" fontId="6" fillId="0" borderId="4" xfId="0" applyNumberFormat="1" applyFont="1" applyFill="1" applyBorder="1" applyAlignment="1">
      <x:alignment wrapText="0"/>
    </x:xf>
    <x:xf numFmtId="0" fontId="6" fillId="0" borderId="2" xfId="0" applyNumberFormat="1" applyFont="1" applyFill="1" applyBorder="1" applyAlignment="1">
      <x:alignment vertical="top" wrapText="0"/>
    </x:xf>
    <x:xf numFmtId="0" fontId="6" fillId="0" borderId="3" xfId="0" applyNumberFormat="1" applyFont="1" applyFill="1" applyBorder="1" applyAlignment="1">
      <x:alignment vertical="top" wrapText="0"/>
    </x:xf>
    <x:xf numFmtId="0" fontId="6" fillId="0" borderId="4" xfId="0" applyNumberFormat="1" applyFont="1" applyFill="1" applyBorder="1" applyAlignment="1">
      <x:alignment vertical="top" wrapText="0"/>
    </x:xf>
    <x:xf numFmtId="206" fontId="6" fillId="0" borderId="2" xfId="0" applyNumberFormat="1" applyFont="1" applyFill="1" applyBorder="1" applyAlignment="1">
      <x:alignment vertical="top" wrapText="0"/>
    </x:xf>
    <x:xf numFmtId="206" fontId="6" fillId="0" borderId="3" xfId="0" applyNumberFormat="1" applyFont="1" applyFill="1" applyBorder="1" applyAlignment="1">
      <x:alignment vertical="top" wrapText="0"/>
    </x:xf>
    <x:xf numFmtId="206" fontId="6" fillId="0" borderId="4" xfId="0" applyNumberFormat="1" applyFont="1" applyFill="1" applyBorder="1" applyAlignment="1">
      <x:alignment vertical="top" wrapText="0"/>
    </x:xf>
    <x:xf numFmtId="0" fontId="6" fillId="5" borderId="2" xfId="0" applyNumberFormat="1" applyFont="1" applyFill="1" applyBorder="1" applyAlignment="1">
      <x:alignment vertical="top" wrapText="0"/>
    </x:xf>
    <x:xf numFmtId="0" fontId="6" fillId="5" borderId="3" xfId="0" applyNumberFormat="1" applyFont="1" applyFill="1" applyBorder="1" applyAlignment="1">
      <x:alignment vertical="top" wrapText="0"/>
    </x:xf>
    <x:xf numFmtId="0" fontId="6" fillId="5" borderId="4" xfId="0" applyNumberFormat="1" applyFont="1" applyFill="1" applyBorder="1" applyAlignment="1">
      <x:alignment vertical="top" wrapText="0"/>
    </x:xf>
    <x:xf numFmtId="0" fontId="15" fillId="5" borderId="2" xfId="0" applyNumberFormat="1" applyFont="1" applyFill="1" applyBorder="1" applyAlignment="1">
      <x:alignment vertical="top" wrapText="0"/>
    </x:xf>
    <x:xf numFmtId="0" fontId="15" fillId="5" borderId="3" xfId="0" applyNumberFormat="1" applyFont="1" applyFill="1" applyBorder="1" applyAlignment="1">
      <x:alignment vertical="top" wrapText="0"/>
    </x:xf>
    <x:xf numFmtId="0" fontId="15" fillId="5" borderId="4" xfId="0" applyNumberFormat="1" applyFont="1" applyFill="1" applyBorder="1" applyAlignment="1">
      <x:alignment vertical="top" wrapText="0"/>
    </x:xf>
    <x:xf numFmtId="200" fontId="15" fillId="5" borderId="2" xfId="0" applyNumberFormat="1" applyFont="1" applyFill="1" applyBorder="1" applyAlignment="1">
      <x:alignment vertical="top" wrapText="0"/>
    </x:xf>
    <x:xf numFmtId="200" fontId="15" fillId="5" borderId="3" xfId="0" applyNumberFormat="1" applyFont="1" applyFill="1" applyBorder="1" applyAlignment="1">
      <x:alignment vertical="top" wrapText="0"/>
    </x:xf>
    <x:xf numFmtId="200" fontId="15" fillId="5" borderId="4" xfId="0" applyNumberFormat="1" applyFont="1" applyFill="1" applyBorder="1" applyAlignment="1">
      <x:alignment vertical="top" wrapText="0"/>
    </x:xf>
    <x:xf numFmtId="205" fontId="6" fillId="0" borderId="2" xfId="0" applyNumberFormat="1" applyFont="1" applyFill="1" applyBorder="1" applyAlignment="1">
      <x:alignment vertical="top" wrapText="0"/>
    </x:xf>
    <x:xf numFmtId="205" fontId="6" fillId="0" borderId="3" xfId="0" applyNumberFormat="1" applyFont="1" applyFill="1" applyBorder="1" applyAlignment="1">
      <x:alignment vertical="top" wrapText="0"/>
    </x:xf>
    <x:xf numFmtId="205" fontId="6" fillId="0" borderId="4" xfId="0" applyNumberFormat="1" applyFont="1" applyFill="1" applyBorder="1" applyAlignment="1">
      <x:alignment vertical="top" wrapText="0"/>
    </x:xf>
    <x:xf numFmtId="205" fontId="6" fillId="0" borderId="2" xfId="0" applyNumberFormat="1" applyFont="1" applyFill="1" applyBorder="1" applyAlignment="1">
      <x:alignment vertical="top" wrapText="1"/>
    </x:xf>
    <x:xf numFmtId="205" fontId="6" fillId="0" borderId="3" xfId="0" applyNumberFormat="1" applyFont="1" applyFill="1" applyBorder="1" applyAlignment="1">
      <x:alignment vertical="top" wrapText="1"/>
    </x:xf>
    <x:xf numFmtId="205" fontId="6" fillId="0" borderId="4" xfId="0" applyNumberFormat="1" applyFont="1" applyFill="1" applyBorder="1" applyAlignment="1">
      <x:alignment vertical="top" wrapText="1"/>
    </x:xf>
    <x:xf numFmtId="203" fontId="6" fillId="0" borderId="2" xfId="0" applyNumberFormat="1" applyFont="1" applyFill="1" applyBorder="1" applyAlignment="1">
      <x:alignment vertical="top" wrapText="1"/>
    </x:xf>
    <x:xf numFmtId="203" fontId="6" fillId="0" borderId="3" xfId="0" applyNumberFormat="1" applyFont="1" applyFill="1" applyBorder="1" applyAlignment="1">
      <x:alignment vertical="top" wrapText="1"/>
    </x:xf>
    <x:xf numFmtId="203" fontId="6" fillId="0" borderId="4" xfId="0" applyNumberFormat="1" applyFont="1" applyFill="1" applyBorder="1" applyAlignment="1">
      <x:alignment vertical="top" wrapText="1"/>
    </x:xf>
    <x:xf numFmtId="0" fontId="8" fillId="9" borderId="0" xfId="0" applyNumberFormat="1" applyFont="1" applyFill="1" applyBorder="1"/>
    <x:xf numFmtId="0" fontId="8" fillId="9" borderId="0" xfId="0" applyNumberFormat="1" applyFont="1" applyFill="1" applyBorder="1" applyAlignment="1">
      <x:alignment vertical="center"/>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5" fillId="0" borderId="4" xfId="0" applyNumberFormat="1" applyFont="1" applyFill="1" applyBorder="1" applyAlignment="1">
      <x:alignment horizontal="center" vertical="top" wrapText="1"/>
    </x:xf>
    <x:xf numFmtId="0" fontId="4" fillId="5" borderId="2"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16" fillId="5" borderId="2" xfId="0" applyNumberFormat="1" applyFont="1" applyFill="1" applyBorder="1" applyAlignment="1">
      <x:alignment vertical="top" wrapText="1"/>
    </x:xf>
    <x:xf numFmtId="0" fontId="16" fillId="5" borderId="3" xfId="0" applyNumberFormat="1" applyFont="1" applyFill="1" applyBorder="1" applyAlignment="1">
      <x:alignment vertical="top" wrapText="1"/>
    </x:xf>
    <x:xf numFmtId="0" fontId="16" fillId="5" borderId="4" xfId="0" applyNumberFormat="1" applyFont="1" applyFill="1" applyBorder="1" applyAlignment="1">
      <x:alignment vertical="top" wrapText="1"/>
    </x:xf>
    <x:xf numFmtId="0" fontId="16" fillId="5" borderId="2" xfId="0" applyNumberFormat="1" applyFont="1" applyFill="1" applyBorder="1" applyAlignment="1">
      <x:alignment horizontal="center" vertical="top" wrapText="1"/>
    </x:xf>
    <x:xf numFmtId="0" fontId="16" fillId="5" borderId="3" xfId="0" applyNumberFormat="1" applyFont="1" applyFill="1" applyBorder="1" applyAlignment="1">
      <x:alignment horizontal="center" vertical="top" wrapText="1"/>
    </x:xf>
    <x:xf numFmtId="0" fontId="16" fillId="5" borderId="4" xfId="0" applyNumberFormat="1" applyFont="1" applyFill="1" applyBorder="1" applyAlignment="1">
      <x:alignment horizontal="center" vertical="top" wrapText="1"/>
    </x:xf>
  </x:cellXfs>
  <x:cellStyles count="1">
    <x:cellStyle name="Normal" xfId="0"/>
  </x:cellStyles>
  <x:dxfs count="5">
    <x:dxf>
      <x:font>
        <x:b/>
        <x:color rgb="FFB42318"/>
      </x:font>
      <x:fill>
        <x:patternFill patternType="solid">
          <x:bgColor rgb="FFFDECEB"/>
        </x:patternFill>
      </x:fill>
    </x:dxf>
    <x:dxf>
      <x:font>
        <x:color rgb="FFB42318"/>
      </x:font>
      <x:fill>
        <x:patternFill patternType="solid">
          <x:bgColor rgb="FFFDECEB"/>
        </x:patternFill>
      </x:fill>
    </x:dxf>
    <x:dxf>
      <x:font>
        <x:b/>
        <x:color rgb="FFB7791F"/>
      </x:font>
      <x:fill>
        <x:patternFill patternType="solid">
          <x:bgColor rgb="FFFFF4D6"/>
        </x:patternFill>
      </x:fill>
    </x:dxf>
    <x:dxf>
      <x:font>
        <x:b/>
        <x:color rgb="FFB7791F"/>
      </x:font>
      <x:fill>
        <x:patternFill patternType="solid">
          <x:bgColor rgb="FFFFF4D6"/>
        </x:patternFill>
      </x:fill>
    </x:dxf>
    <x:dxf>
      <x:font>
        <x:b/>
        <x:color rgb="FFB42318"/>
      </x:font>
      <x:fill>
        <x:patternFill patternType="solid">
          <x:bgColor rgb="FFFDEC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a3b058cc444ed6" /><Relationship Type="http://schemas.openxmlformats.org/officeDocument/2006/relationships/theme" Target="/xl/theme/theme1.xml" Id="Rb894e65c02e549d9" /><Relationship Type="http://schemas.openxmlformats.org/officeDocument/2006/relationships/sharedStrings" Target="/xl/sharedStrings.xml" Id="Rd5bcc1a2863b4462" /><Relationship Type="http://schemas.openxmlformats.org/officeDocument/2006/relationships/worksheet" Target="/xl/worksheets/sheet1.xml" Id="R8918582d5ab849cc" /><Relationship Type="http://schemas.openxmlformats.org/officeDocument/2006/relationships/worksheet" Target="/xl/worksheets/sheet2.xml" Id="R84b3fe87fb7147a2" /><Relationship Type="http://schemas.openxmlformats.org/officeDocument/2006/relationships/worksheet" Target="/xl/worksheets/sheet3.xml" Id="Rb3a93ec7a7024b06" /><Relationship Type="http://schemas.openxmlformats.org/officeDocument/2006/relationships/worksheet" Target="/xl/worksheets/sheet4.xml" Id="R61c466817ca7490e" /><Relationship Type="http://schemas.openxmlformats.org/officeDocument/2006/relationships/worksheet" Target="/xl/worksheets/sheet5.xml" Id="R85fed335235e45c1" /><Relationship Type="http://schemas.openxmlformats.org/officeDocument/2006/relationships/worksheet" Target="/xl/worksheets/sheet6.xml" Id="R529fcef2a113474c" /><Relationship Type="http://schemas.openxmlformats.org/officeDocument/2006/relationships/worksheet" Target="/xl/worksheets/sheet7.xml" Id="R120660e562f44ff0" /><Relationship Type="http://schemas.microsoft.com/office/2017/10/relationships/person" Target="/xl/persons/person.xml" Id="Re6744812a38243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d712fc306f6f495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BOQ 항목 수 기준 주요 공종</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항목 수</c:v>
          </c:tx>
          <c:cat>
            <c:strRef>
              <c:f>'시설·공종 요약'!$J$5:$J$18</c:f>
              <c:strCache>
                <c:ptCount val="0"/>
              </c:strCache>
            </c:strRef>
          </c:cat>
          <c:val>
            <c:numRef>
              <c:f>'시설·공종 요약'!$K$5:$K$18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3</xdr:row>
      <xdr:rowOff>0</xdr:rowOff>
    </xdr:from>
    <xdr:to>
      <xdr:col>18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12fc306f6f4959"/>
        </a:graphicData>
      </a:graphic>
    </xdr:graphicFrame>
    <xdr:clientData/>
  </xdr:twoCellAnchor>
</xdr:wsDr>
</file>

<file path=xl/persons/person.xml><?xml version="1.0" encoding="utf-8"?>
<xltc:personList xmlns:xltc="http://schemas.microsoft.com/office/spreadsheetml/2018/threadedcomments">
  <xltc:person displayName="KOICA 건축조사" id="{4D688677-7B92-46FA-AB1A-816C0852CAD6}"/>
</xltc:personList>
</file>

<file path=xl/tables/table1.xml><?xml version="1.0" encoding="utf-8"?>
<x:table xmlns:x="http://schemas.openxmlformats.org/spreadsheetml/2006/main" id="1" name="FacilityScopeSummary" displayName="FacilityScopeSummary" ref="A4:H15" headerRowCount="1" totalsRowCount="0" totalsRowShown="0">
  <x:tableColumns count="8">
    <x:tableColumn id="1" name="시설구성"/>
    <x:tableColumn id="2" name="원본 시트"/>
    <x:tableColumn id="3" name="저배수"/>
    <x:tableColumn id="4" name="고배수"/>
    <x:tableColumn id="5" name="항목"/>
    <x:tableColumn id="6" name="수량 보유"/>
    <x:tableColumn id="7" name="0 수량"/>
    <x:tableColumn id="8" name="가격 보유"/>
  </x:tableColumns>
  <x:tableStyleInfo name="TableStyleMedium2" showFirstColumn="0" showLastColumn="0" showRowStripes="1" showColumnStripes="0"/>
</x:table>
</file>

<file path=xl/tables/table2.xml><?xml version="1.0" encoding="utf-8"?>
<x:table xmlns:x="http://schemas.openxmlformats.org/spreadsheetml/2006/main" id="2" name="QuantityBenchmark" displayName="QuantityBenchmark" ref="A4:H57" headerRowCount="1" totalsRowCount="0" totalsRowShown="0">
  <x:tableColumns count="8">
    <x:tableColumn id="1" name="공종"/>
    <x:tableColumn id="2" name="단위"/>
    <x:tableColumn id="3" name="항목 수"/>
    <x:tableColumn id="4" name="기본 수량"/>
    <x:tableColumn id="5" name="저시나리오"/>
    <x:tableColumn id="6" name="고시나리오"/>
    <x:tableColumn id="7" name="저수량/선택㎡"/>
    <x:tableColumn id="8" name="고수량/선택㎡"/>
  </x:tableColumns>
  <x:tableStyleInfo name="TableStyleMedium2" showFirstColumn="0" showLastColumn="0" showRowStripes="1" showColumnStripes="0"/>
</x:table>
</file>

<file path=xl/tables/table3.xml><?xml version="1.0" encoding="utf-8"?>
<x:table xmlns:x="http://schemas.openxmlformats.org/spreadsheetml/2006/main" id="3" name="KOICAUgandaBOQItems" displayName="KOICAUgandaBOQItems" ref="A4:S544" headerRowCount="1" totalsRowCount="0" totalsRowShown="0">
  <x:tableColumns count="19">
    <x:tableColumn id="1" name="원본시트"/>
    <x:tableColumn id="2" name="행"/>
    <x:tableColumn id="3" name="시설"/>
    <x:tableColumn id="4" name="자동공종"/>
    <x:tableColumn id="5" name="요소"/>
    <x:tableColumn id="6" name="세부제목"/>
    <x:tableColumn id="7" name="항목"/>
    <x:tableColumn id="8" name="설명"/>
    <x:tableColumn id="9" name="단위"/>
    <x:tableColumn id="10" name="기본수량"/>
    <x:tableColumn id="11" name="원본수식"/>
    <x:tableColumn id="12" name="저배수"/>
    <x:tableColumn id="13" name="고배수"/>
    <x:tableColumn id="14" name="저수량"/>
    <x:tableColumn id="15" name="고수량"/>
    <x:tableColumn id="16" name="선택수량"/>
    <x:tableColumn id="17" name="현지단가 UGX"/>
    <x:tableColumn id="18" name="예상금액 UGX"/>
    <x:tableColumn id="19" name="검토표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7-30T14:15:57.506" personId="{4D688677-7B92-46FA-AB1A-816C0852CAD6}" id="{266860CF-44C8-CBC4-DCAD-B4B27785C406}">
    <xltc:text>Source: L2023-00009-1 Section 2 - Bid Data Sheet, table 5 row 8.</xltc:text>
  </xltc:threadedComment>
  <xltc:threadedComment ref="B6" dT="2026-07-30T14:15:57.508" personId="{4D688677-7B92-46FA-AB1A-816C0852CAD6}" id="{52064EC9-570D-0E03-F44B-F69A9DCB1747}">
    <xltc:text>Source: L2023-00009-1 국문 입찰계획안, 연면적 835.67㎡. 영문 BDS의 827.40㎡와 불일치.</xltc:text>
  </xltc:threadedComment>
  <xltc:threadedComment ref="B9" dT="2026-07-30T14:15:57.508" personId="{4D688677-7B92-46FA-AB1A-816C0852CAD6}" id="{AC254B1F-C4C1-4EE5-4B6E-9EFE3259A807}">
    <xltc:text>Source: KOICA 현지입찰 재공고 상세페이지. Cost stage is bid execution ceiling, not contract or final cost.</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a87e184ab53e46a8" /><Relationship Type="http://schemas.openxmlformats.org/officeDocument/2006/relationships/vmlDrawing" Target="/xl/drawings/vmldrawing.vml" Id="R27307d9784ce4525" /><Relationship Type="http://schemas.microsoft.com/office/2017/10/relationships/threadedComment" Target="/xl/threadedcomments/threadedcomment.xml" Id="Rb7b233f8af874faa" /></Relationships>
</file>

<file path=xl/worksheets/_rels/sheet3.xml.rels>&#65279;<?xml version="1.0" encoding="utf-8"?><Relationships xmlns="http://schemas.openxmlformats.org/package/2006/relationships"><Relationship Type="http://schemas.openxmlformats.org/officeDocument/2006/relationships/drawing" Target="/xl/drawings/drawing1.xml" Id="Rdcdbdd8ee31a4914" /><Relationship Type="http://schemas.openxmlformats.org/officeDocument/2006/relationships/table" Target="/xl/tables/table1.xml" Id="R77b1d0f5fa20455e" /></Relationships>
</file>

<file path=xl/worksheets/_rels/sheet4.xml.rels>&#65279;<?xml version="1.0" encoding="utf-8"?><Relationships xmlns="http://schemas.openxmlformats.org/package/2006/relationships"><Relationship Type="http://schemas.openxmlformats.org/officeDocument/2006/relationships/table" Target="/xl/tables/table2.xml" Id="R787795208cda4372" /></Relationships>
</file>

<file path=xl/worksheets/_rels/sheet5.xml.rels>&#65279;<?xml version="1.0" encoding="utf-8"?><Relationships xmlns="http://schemas.openxmlformats.org/package/2006/relationships"><Relationship Type="http://schemas.openxmlformats.org/officeDocument/2006/relationships/table" Target="/xl/tables/table3.xml" Id="Red42453364b0483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35" hidden="0" customWidth="1"/>
    <x:col min="4" max="4" width="31" hidden="0" customWidth="1"/>
    <x:col min="5" max="5" width="4" hidden="0" customWidth="1"/>
    <x:col min="6" max="6" width="21" hidden="0" customWidth="1"/>
    <x:col min="7" max="7" width="21" hidden="0" customWidth="1"/>
    <x:col min="8" max="8" width="21" hidden="0" customWidth="1"/>
  </x:cols>
  <x:sheetData>
    <x:row r="1" ht="34" customHeight="1">
      <x:c r="A1" s="3" t="str">
        <x:v>KOICA 데이터만으로 한 건축조사 시연</x:v>
      </x:c>
    </x:row>
    <x:row r="2" ht="36" customHeight="1">
      <x:c r="A2" s="7" t="str">
        <x:v>우간다 KOICA 공고의 BOQ·도면·입찰한도와 KOICA 공식 공개데이터만 사용했습니다. 세계은행·타 공여기관 값은 포함하지 않았습니다.</x:v>
      </x:c>
    </x:row>
    <x:row r="4">
      <x:c r="A4" s="64" t="str">
        <x:v>BOQ 세부항목</x:v>
      </x:c>
      <x:c r="B4" s="64"/>
      <x:c r="C4" s="87" t="str">
        <x:v>수량 보유 항목</x:v>
      </x:c>
      <x:c r="D4" s="87"/>
      <x:c r="E4" s="92" t="str">
        <x:v>가격 보유 항목</x:v>
      </x:c>
      <x:c r="F4" s="92"/>
      <x:c r="G4" s="97" t="str">
        <x:v>도면 페이지</x:v>
      </x:c>
      <x:c r="H4" s="97"/>
    </x:row>
    <x:row r="5">
      <x:c r="A5" s="79" t="n">
        <x:v>540</x:v>
      </x:c>
      <x:c r="B5" s="80"/>
      <x:c r="C5" s="79" t="n">
        <x:v>501</x:v>
      </x:c>
      <x:c r="D5" s="80"/>
      <x:c r="E5" s="79" t="n">
        <x:v>0</x:v>
      </x:c>
      <x:c r="F5" s="80"/>
      <x:c r="G5" s="79" t="n">
        <x:v>42</x:v>
      </x:c>
      <x:c r="H5" s="80"/>
    </x:row>
    <x:row r="6">
      <x:c r="A6" s="81"/>
      <x:c r="B6" s="82"/>
      <x:c r="C6" s="81"/>
      <x:c r="D6" s="82"/>
      <x:c r="E6" s="81"/>
      <x:c r="F6" s="82"/>
      <x:c r="G6" s="81"/>
      <x:c r="H6" s="82"/>
    </x:row>
    <x:row r="7">
      <x:c r="A7" s="83"/>
      <x:c r="B7" s="84"/>
      <x:c r="C7" s="83"/>
      <x:c r="D7" s="84"/>
      <x:c r="E7" s="83"/>
      <x:c r="F7" s="84"/>
      <x:c r="G7" s="83"/>
      <x:c r="H7" s="84"/>
    </x:row>
    <x:row r="9" ht="25" customHeight="1">
      <x:c r="A9" s="13" t="str">
        <x:v>질문</x:v>
      </x:c>
      <x:c r="B9" s="13" t="str">
        <x:v>판정</x:v>
      </x:c>
      <x:c r="C9" s="13" t="str">
        <x:v>근거</x:v>
      </x:c>
      <x:c r="D9" s="13" t="str">
        <x:v>미래사업 활용</x:v>
      </x:c>
      <x:c r="F9" s="110" t="str">
        <x:v>현재 계산 가능한 값</x:v>
      </x:c>
      <x:c r="G9" s="110"/>
      <x:c r="H9" s="110"/>
    </x:row>
    <x:row r="10" ht="30" customHeight="1">
      <x:c r="A10" s="21" t="str">
        <x:v>KOICA만으로 공사범위를 구조화할 수 있나?</x:v>
      </x:c>
      <x:c r="B10" s="102" t="str">
        <x:v>YES</x:v>
      </x:c>
      <x:c r="C10" s="21" t="str">
        <x:v>11개 시설구성, 540개 BOQ 항목, 42쪽 도면</x:v>
      </x:c>
      <x:c r="D10" s="21" t="str">
        <x:v>PoD·기획조사 단계의 누락 공종 점검</x:v>
      </x:c>
      <x:c r="F10" s="114" t="str">
        <x:v>선택 연면적</x:v>
      </x:c>
      <x:c r="G10" s="114" t="str">
        <x:v>집행한도 USD/㎡</x:v>
      </x:c>
    </x:row>
    <x:row r="11">
      <x:c r="A11" s="22" t="str">
        <x:v>수량 벤치마크를 만들 수 있나?</x:v>
      </x:c>
      <x:c r="B11" s="104" t="str">
        <x:v>YES, 조건부</x:v>
      </x:c>
      <x:c r="C11" s="22" t="str">
        <x:v>501개 수량, 129개 수식 수량</x:v>
      </x:c>
      <x:c r="D11" s="22" t="str">
        <x:v>동일 시설·동일 단위끼리만 비교</x:v>
      </x:c>
      <x:c r="F11" s="115" t="n">
        <x:f>'입력·근거'!B14</x:f>
        <x:v>827.4</x:v>
      </x:c>
      <x:c r="G11" s="116" t="n">
        <x:f>'입력·근거'!B15</x:f>
        <x:v>329.46942228668115</x:v>
      </x:c>
    </x:row>
    <x:row r="12">
      <x:c r="A12" s="22" t="str">
        <x:v>현재 자료만으로 실제 공사비가 나오나?</x:v>
      </x:c>
      <x:c r="B12" s="104" t="str">
        <x:v>NO</x:v>
      </x:c>
      <x:c r="C12" s="22" t="str">
        <x:v>가격이 입력된 BOQ 항목 0개</x:v>
      </x:c>
      <x:c r="D12" s="22" t="str">
        <x:v>현지 단가 또는 낙찰·계약·준공금액 필요</x:v>
      </x:c>
    </x:row>
    <x:row r="13" ht="25" customHeight="1">
      <x:c r="A13" s="22" t="str">
        <x:v>㎡당 원시 지표는 가능한가?</x:v>
      </x:c>
      <x:c r="B13" s="107" t="str">
        <x:v>PARTIAL</x:v>
      </x:c>
      <x:c r="C13" s="22" t="str">
        <x:v>입찰 집행한도와 연면적이 있으나 GFA 827.40/835.67㎡ 불일치</x:v>
      </x:c>
      <x:c r="D13" s="22" t="str">
        <x:v>범위·세금·물가 미보정 스크리닝에만 사용</x:v>
      </x:c>
      <x:c r="F13" s="55" t="str">
        <x:v>BOQ 단가 입력 후 예상총액 (UGX)</x:v>
      </x:c>
      <x:c r="G13" s="55"/>
      <x:c r="H13" s="55"/>
    </x:row>
    <x:row r="14">
      <x:c r="A14" s="23" t="str">
        <x:v>KOICA 공식자료로 표본을 더 찾을 수 있나?</x:v>
      </x:c>
      <x:c r="B14" s="108" t="str">
        <x:v>YES</x:v>
      </x:c>
      <x:c r="C14" s="23" t="str">
        <x:v>건축 문서추적 127건, 엄격 비용 후보 6건</x:v>
      </x:c>
      <x:c r="D14" s="23" t="str">
        <x:v>누락 BOQ·보고서·계약문서 우선순위화</x:v>
      </x:c>
      <x:c r="F14" s="119" t="str">
        <x:f>IF(SUM('BOQ 항목'!R5:R544)=0,"가격 입력 전",SUM('BOQ 항목'!R5:R544))</x:f>
        <x:v>가격 입력 전</x:v>
      </x:c>
      <x:c r="G14" s="119"/>
      <x:c r="H14" s="119"/>
    </x:row>
    <x:row r="15">
      <x:c r="F15" s="119"/>
      <x:c r="G15" s="119"/>
      <x:c r="H15" s="119"/>
    </x:row>
    <x:row r="17" ht="25" customHeight="1">
      <x:c r="A17" s="121" t="str">
        <x:v>핵심 발견</x:v>
      </x:c>
      <x:c r="B17" s="121"/>
      <x:c r="C17" s="121"/>
      <x:c r="D17" s="121"/>
      <x:c r="E17" s="121"/>
      <x:c r="F17" s="121"/>
      <x:c r="G17" s="121"/>
      <x:c r="H17" s="121"/>
    </x:row>
    <x:row r="18">
      <x:c r="A18" s="125" t="str">
        <x:v>• KOICA 우간다 공고 하나에서 540개 세부항목과 501개 수량을 복원했다.
• BOQ 두 버전은 5개 설명행이 바뀌었지만 항목 수량 변경은 0개다.
• 시장쉼터 수량은 General Summary 5동, 재공고 전기공종 제목 6동으로 충돌한다. 도면 배치도는 반복 모듈을 보여 주므로 계약 전 RFI가 필요한 설계범위 리스크다.
• KOICA 공식 데이터에서 기존 검토사례 밖의 면적+발주한도 후보 3개 사업도 추가 포착했다.
• 결론: KOICA만으로도 범위·수량·조사질문은 크게 개선되지만 실제 단가 확정에는 가격자료가 한 단계 더 필요하다.</x:v>
      </x:c>
      <x:c r="B18" s="125"/>
      <x:c r="C18" s="125"/>
      <x:c r="D18" s="125"/>
      <x:c r="E18" s="125"/>
      <x:c r="F18" s="125"/>
      <x:c r="G18" s="125"/>
      <x:c r="H18" s="125"/>
    </x:row>
    <x:row r="19">
      <x:c r="A19" s="125"/>
      <x:c r="B19" s="125"/>
      <x:c r="C19" s="125"/>
      <x:c r="D19" s="125"/>
      <x:c r="E19" s="125"/>
      <x:c r="F19" s="125"/>
      <x:c r="G19" s="125"/>
      <x:c r="H19" s="125"/>
    </x:row>
    <x:row r="20">
      <x:c r="A20" s="125"/>
      <x:c r="B20" s="125"/>
      <x:c r="C20" s="125"/>
      <x:c r="D20" s="125"/>
      <x:c r="E20" s="125"/>
      <x:c r="F20" s="125"/>
      <x:c r="G20" s="125"/>
      <x:c r="H20" s="125"/>
    </x:row>
    <x:row r="21">
      <x:c r="A21" s="125"/>
      <x:c r="B21" s="125"/>
      <x:c r="C21" s="125"/>
      <x:c r="D21" s="125"/>
      <x:c r="E21" s="125"/>
      <x:c r="F21" s="125"/>
      <x:c r="G21" s="125"/>
      <x:c r="H21" s="125"/>
    </x:row>
    <x:row r="22">
      <x:c r="A22" s="125"/>
      <x:c r="B22" s="125"/>
      <x:c r="C22" s="125"/>
      <x:c r="D22" s="125"/>
      <x:c r="E22" s="125"/>
      <x:c r="F22" s="125"/>
      <x:c r="G22" s="125"/>
      <x:c r="H22" s="125"/>
    </x:row>
  </x:sheetData>
  <x:mergeCells>
    <x:mergeCell ref="A1:H1"/>
    <x:mergeCell ref="A2:H2"/>
    <x:mergeCell ref="A4:B4"/>
    <x:mergeCell ref="A5:B7"/>
    <x:mergeCell ref="C4:D4"/>
    <x:mergeCell ref="C5:D7"/>
    <x:mergeCell ref="E4:F4"/>
    <x:mergeCell ref="E5:F7"/>
    <x:mergeCell ref="G4:H4"/>
    <x:mergeCell ref="G5:H7"/>
    <x:mergeCell ref="F9:H9"/>
    <x:mergeCell ref="F13:H13"/>
    <x:mergeCell ref="F14:H15"/>
    <x:mergeCell ref="A17:H17"/>
    <x:mergeCell ref="A18: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17" hidden="0" customWidth="1"/>
    <x:col min="3" max="3" width="15" hidden="0" customWidth="1"/>
    <x:col min="4" max="4" width="18" hidden="0" customWidth="1"/>
    <x:col min="5" max="5" width="31" hidden="0" customWidth="1"/>
    <x:col min="7" max="7" width="23" hidden="0" customWidth="1"/>
    <x:col min="8" max="8" width="62" hidden="0" customWidth="1"/>
  </x:cols>
  <x:sheetData>
    <x:row r="1" ht="34" customHeight="1">
      <x:c r="A1" s="3" t="str">
        <x:v>KOICA 우간다 건축조사 입력·근거</x:v>
      </x:c>
    </x:row>
    <x:row r="2" ht="36" customHeight="1">
      <x:c r="A2" s="7" t="str">
        <x:v>노란 셀은 사용자가 선택·입력할 수 있는 가정이며, 파생값은 수식으로 계산합니다. 모든 금액 단계는 입찰 집행한도 또는 발주계획 한도입니다.</x:v>
      </x:c>
    </x:row>
    <x:row r="4" ht="30" customHeight="1">
      <x:c r="A4" s="13" t="str">
        <x:v>항목</x:v>
      </x:c>
      <x:c r="B4" s="13" t="str">
        <x:v>값</x:v>
      </x:c>
      <x:c r="C4" s="13" t="str">
        <x:v>단위</x:v>
      </x:c>
      <x:c r="D4" s="13" t="str">
        <x:v>금액·근거 단계</x:v>
      </x:c>
      <x:c r="E4" s="13" t="str">
        <x:v>주의사항</x:v>
      </x:c>
      <x:c r="G4" s="40" t="str">
        <x:v>원자료</x:v>
      </x:c>
      <x:c r="H4" s="40" t="str">
        <x:v>경로·URL</x:v>
      </x:c>
    </x:row>
    <x:row r="5">
      <x:c r="A5" s="21" t="str">
        <x:v>연면적 - 영문 BDS</x:v>
      </x:c>
      <x:c r="B5" s="24" t="n">
        <x:v>827.4</x:v>
      </x:c>
      <x:c r="C5" s="21" t="str">
        <x:v>㎡</x:v>
      </x:c>
      <x:c r="D5" s="21" t="str">
        <x:v>입찰서류</x:v>
      </x:c>
      <x:c r="E5" s="21" t="str">
        <x:v>현재 사례DB 분모</x:v>
      </x:c>
      <x:c r="G5" s="48" t="str">
        <x:v>최신 재공고 BOQ</x:v>
      </x:c>
      <x:c r="H5" s="48" t="str">
        <x:v>data/unpacked/L2023-00009-1/2. 입찰서류(영문)/Part 2(░·╛≈┴÷╜├╝¡)/Section 4. Bill of Quantities_unpriced.xlsx</x:v>
      </x:c>
    </x:row>
    <x:row r="6">
      <x:c r="A6" s="22" t="str">
        <x:v>연면적 - 국문 입찰계획</x:v>
      </x:c>
      <x:c r="B6" s="25" t="n">
        <x:v>835.67</x:v>
      </x:c>
      <x:c r="C6" s="22" t="str">
        <x:v>㎡</x:v>
      </x:c>
      <x:c r="D6" s="22" t="str">
        <x:v>입찰계획</x:v>
      </x:c>
      <x:c r="E6" s="22" t="str">
        <x:v>영문값과 불일치</x:v>
      </x:c>
      <x:c r="G6" s="49" t="str">
        <x:v>초기공고 BOQ</x:v>
      </x:c>
      <x:c r="H6" s="49" t="str">
        <x:v>data/unpacked/L2023-00003-1/Bid Document(ESMV II)_separately attached/Bid Document(ESMV II)_separately attached/Part 2 Requirements/Section 4. Bill of Quantities_unpriced.xlsx</x:v>
      </x:c>
    </x:row>
    <x:row r="7">
      <x:c r="A7" s="22" t="str">
        <x:v>연면적 차이율</x:v>
      </x:c>
      <x:c r="B7" s="26" t="n">
        <x:f>(B6-B5)/B5</x:f>
        <x:v>0.009995165578921902</x:v>
      </x:c>
      <x:c r="C7" s="22" t="str">
        <x:v>%</x:v>
      </x:c>
      <x:c r="D7" s="22" t="str">
        <x:v>파생</x:v>
      </x:c>
      <x:c r="E7" s="22" t="str">
        <x:v>두 문서 간 약 1% 차이</x:v>
      </x:c>
      <x:c r="G7" s="49" t="str">
        <x:v>도면 PDF (42쪽)</x:v>
      </x:c>
      <x:c r="H7" s="49" t="str">
        <x:v>data/unpacked/L2023-00009-1/2. 입찰서류(영문)/Part 2(░·╛≈┴÷╜├╝¡)/Section 5. Drawings.pdf</x:v>
      </x:c>
    </x:row>
    <x:row r="8">
      <x:c r="A8" s="22" t="str">
        <x:v>대지면적</x:v>
      </x:c>
      <x:c r="B8" s="25" t="n">
        <x:v>6070.35</x:v>
      </x:c>
      <x:c r="C8" s="22" t="str">
        <x:v>㎡</x:v>
      </x:c>
      <x:c r="D8" s="22" t="str">
        <x:v>입찰계획</x:v>
      </x:c>
      <x:c r="E8" s="22" t="str">
        <x:v>연면적으로 사용 금지</x:v>
      </x:c>
      <x:c r="G8" s="49" t="str">
        <x:v>시방서</x:v>
      </x:c>
      <x:c r="H8" s="49" t="str">
        <x:v>data/unpacked/L2023-00009-1/2. 입찰서류(영문)/Part 2(░·╛≈┴÷╜├╝¡)/Section 6. Specification.pdf</x:v>
      </x:c>
    </x:row>
    <x:row r="9">
      <x:c r="A9" s="22" t="str">
        <x:v>공사 입찰 집행한도</x:v>
      </x:c>
      <x:c r="B9" s="27" t="n">
        <x:v>272603</x:v>
      </x:c>
      <x:c r="C9" s="22" t="str">
        <x:v>USD</x:v>
      </x:c>
      <x:c r="D9" s="22" t="str">
        <x:v>입찰한도</x:v>
      </x:c>
      <x:c r="E9" s="22" t="str">
        <x:v>계약가·준공가 아님</x:v>
      </x:c>
      <x:c r="G9" s="49" t="str">
        <x:v>KOICA 재공고</x:v>
      </x:c>
      <x:c r="H9" s="51" t="str">
        <x:v>https://nebid.koica.go.kr/oep/lobi/localBidManageDetail.do?P_LOAZ_BID_PBLANC_NO=L2023-00009&amp;P_PBLANC_ODR=1</x:v>
      </x:c>
    </x:row>
    <x:row r="10">
      <x:c r="A10" s="22" t="str">
        <x:v>공사 입찰 집행한도</x:v>
      </x:c>
      <x:c r="B10" s="28" t="n">
        <x:v>354383562</x:v>
      </x:c>
      <x:c r="C10" s="22" t="str">
        <x:v>KRW</x:v>
      </x:c>
      <x:c r="D10" s="22" t="str">
        <x:v>입찰한도</x:v>
      </x:c>
      <x:c r="E10" s="22" t="str">
        <x:v>계약가·준공가 아님</x:v>
      </x:c>
      <x:c r="G10" s="49" t="str">
        <x:v>KOICA 연간발주계획</x:v>
      </x:c>
      <x:c r="H10" s="51" t="str">
        <x:v>https://www.data.go.kr/data/15085055/fileData.do</x:v>
      </x:c>
    </x:row>
    <x:row r="11">
      <x:c r="A11" s="22" t="str">
        <x:v>공고 명시 환율</x:v>
      </x:c>
      <x:c r="B11" s="28" t="n">
        <x:v>1299.1</x:v>
      </x:c>
      <x:c r="C11" s="22" t="str">
        <x:v>KRW/USD</x:v>
      </x:c>
      <x:c r="D11" s="22" t="str">
        <x:v>공고환율</x:v>
      </x:c>
      <x:c r="E11" s="22" t="str">
        <x:v>재공고 기준</x:v>
      </x:c>
      <x:c r="G11" s="49" t="str">
        <x:v>KOICA 원조조달계약</x:v>
      </x:c>
      <x:c r="H11" s="51" t="str">
        <x:v>https://www.data.go.kr/data/15073135/fileData.do</x:v>
      </x:c>
    </x:row>
    <x:row r="12">
      <x:c r="A12" s="22" t="str">
        <x:v>수량 배수 시나리오</x:v>
      </x:c>
      <x:c r="B12" s="31" t="str">
        <x:v>LOW</x:v>
      </x:c>
      <x:c r="C12" s="22" t="str">
        <x:v>LOW/HIGH</x:v>
      </x:c>
      <x:c r="D12" s="22" t="str">
        <x:v>사용자 선택</x:v>
      </x:c>
      <x:c r="E12" s="22" t="str">
        <x:v>시장쉼터 5동/6동 충돌</x:v>
      </x:c>
      <x:c r="G12" s="50" t="str">
        <x:v>KOICA 국별사업보고서</x:v>
      </x:c>
      <x:c r="H12" s="52" t="str">
        <x:v>https://www.data.go.kr/data/15052832/fileData.do</x:v>
      </x:c>
    </x:row>
    <x:row r="13">
      <x:c r="A13" s="22" t="str">
        <x:v>연면적 선택</x:v>
      </x:c>
      <x:c r="B13" s="31" t="str">
        <x:v>EN_BDS</x:v>
      </x:c>
      <x:c r="C13" s="22" t="str">
        <x:v>EN_BDS/KO_PLAN</x:v>
      </x:c>
      <x:c r="D13" s="22" t="str">
        <x:v>사용자 선택</x:v>
      </x:c>
      <x:c r="E13" s="22" t="str">
        <x:v>분모 민감도 확인</x:v>
      </x:c>
    </x:row>
    <x:row r="14" ht="25" customHeight="1">
      <x:c r="A14" s="22" t="str">
        <x:v>선택 연면적</x:v>
      </x:c>
      <x:c r="B14" s="25" t="n">
        <x:f>IF(B13="KO_PLAN",B6,B5)</x:f>
        <x:v>827.4</x:v>
      </x:c>
      <x:c r="C14" s="22" t="str">
        <x:v>㎡</x:v>
      </x:c>
      <x:c r="D14" s="22" t="str">
        <x:v>파생</x:v>
      </x:c>
      <x:c r="E14" s="22" t="str">
        <x:v>선택값에 따라 변경</x:v>
      </x:c>
      <x:c r="G14" s="55" t="str">
        <x:v>증거 경계</x:v>
      </x:c>
      <x:c r="H14" s="55"/>
    </x:row>
    <x:row r="15">
      <x:c r="A15" s="22" t="str">
        <x:v>집행한도 원단가</x:v>
      </x:c>
      <x:c r="B15" s="32" t="n">
        <x:f>B9/B14</x:f>
        <x:v>329.46942228668115</x:v>
      </x:c>
      <x:c r="C15" s="22" t="str">
        <x:v>USD/㎡</x:v>
      </x:c>
      <x:c r="D15" s="22" t="str">
        <x:v>파생</x:v>
      </x:c>
      <x:c r="E15" s="22" t="str">
        <x:v>범위·물가 미보정</x:v>
      </x:c>
      <x:c r="G15" s="59" t="str">
        <x:v>BOQ는 공종·단위·수량을 제공하지만 단가와 금액은 비어 있습니다. 따라서 이 파일의 ㎡당 값은 BOQ 합계가 아니라 공고 집행한도를 연면적으로 나눈 원시 지표입니다. 실제 건축비로 쓰려면 현지 단가, 세금, 외부공사 범위, 계약변경과 준공정산을 추가해야 합니다.</x:v>
      </x:c>
      <x:c r="H15" s="59"/>
    </x:row>
    <x:row r="16">
      <x:c r="A16" s="22" t="str">
        <x:v>집행한도 원단가</x:v>
      </x:c>
      <x:c r="B16" s="33" t="n">
        <x:f>B10/B14</x:f>
        <x:v>428309.84046410443</x:v>
      </x:c>
      <x:c r="C16" s="22" t="str">
        <x:v>KRW/㎡</x:v>
      </x:c>
      <x:c r="D16" s="22" t="str">
        <x:v>파생</x:v>
      </x:c>
      <x:c r="E16" s="22" t="str">
        <x:v>범위·물가 미보정</x:v>
      </x:c>
      <x:c r="G16" s="59"/>
      <x:c r="H16" s="59"/>
    </x:row>
    <x:row r="17">
      <x:c r="A17" s="22" t="str">
        <x:v>환율 재계산 금액</x:v>
      </x:c>
      <x:c r="B17" s="33" t="n">
        <x:f>B9*B11</x:f>
        <x:v>354138557.29999995</x:v>
      </x:c>
      <x:c r="C17" s="22" t="str">
        <x:v>KRW</x:v>
      </x:c>
      <x:c r="D17" s="22" t="str">
        <x:v>파생</x:v>
      </x:c>
      <x:c r="E17" s="22" t="str">
        <x:v>USD×공고환율</x:v>
      </x:c>
      <x:c r="G17" s="59"/>
      <x:c r="H17" s="59"/>
    </x:row>
    <x:row r="18">
      <x:c r="A18" s="23" t="str">
        <x:v>KRW 차이</x:v>
      </x:c>
      <x:c r="B18" s="34" t="n">
        <x:f>B10-B17</x:f>
        <x:v>245004.70000004768</x:v>
      </x:c>
      <x:c r="C18" s="23" t="str">
        <x:v>KRW</x:v>
      </x:c>
      <x:c r="D18" s="23" t="str">
        <x:v>파생</x:v>
      </x:c>
      <x:c r="E18" s="23" t="str">
        <x:v>공고 반올림 검산</x:v>
      </x:c>
      <x:c r="G18" s="59"/>
      <x:c r="H18" s="59"/>
    </x:row>
  </x:sheetData>
  <x:mergeCells>
    <x:mergeCell ref="A1:H1"/>
    <x:mergeCell ref="A2:H2"/>
    <x:mergeCell ref="G14:H14"/>
    <x:mergeCell ref="G15:H18"/>
  </x:mergeCells>
  <x:dataValidations count="2">
    <x:dataValidation type="list" sqref="B12">
      <x:formula1>"LOW,HIGH"</x:formula1>
    </x:dataValidation>
    <x:dataValidation type="list" sqref="B13">
      <x:formula1>"EN_BDS,KO_PLAN"</x:formula1>
    </x:dataValidation>
  </x:dataValidations>
  <x:pageMargins left="0.7" right="0.7" top="0.75" bottom="0.75" header="0.3" footer="0.3"/>
  <x:legacyDrawing xmlns:r="http://schemas.openxmlformats.org/officeDocument/2006/relationships" r:id="R27307d9784ce4525"/>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31" hidden="0" customWidth="1"/>
    <x:col min="3" max="3" width="10" hidden="0" customWidth="1"/>
    <x:col min="4" max="4" width="10" hidden="0" customWidth="1"/>
    <x:col min="5" max="5" width="11" hidden="0" customWidth="1"/>
    <x:col min="6" max="6" width="12" hidden="0" customWidth="1"/>
    <x:col min="7" max="7" width="11" hidden="0" customWidth="1"/>
    <x:col min="8" max="8" width="11" hidden="0" customWidth="1"/>
    <x:col min="10" max="10" width="24" hidden="0" customWidth="1"/>
    <x:col min="11" max="11" width="11" hidden="0" customWidth="1"/>
  </x:cols>
  <x:sheetData>
    <x:row r="1" ht="34" customHeight="1">
      <x:c r="A1" s="3" t="str">
        <x:v>시설·공종 범위 요약</x:v>
      </x:c>
    </x:row>
    <x:row r="2" ht="36" customHeight="1">
      <x:c r="A2" s="7" t="str">
        <x:v>수량은 미가격 BOQ에서 추출했습니다. 시장쉼터는 5동/6동 충돌 때문에 저·고 배수를 모두 보존합니다.</x:v>
      </x:c>
    </x:row>
    <x:row r="4" ht="30" customHeight="1">
      <x:c r="A4" s="13" t="str">
        <x:v>시설구성</x:v>
      </x:c>
      <x:c r="B4" s="13" t="str">
        <x:v>원본 시트</x:v>
      </x:c>
      <x:c r="C4" s="13" t="str">
        <x:v>저배수</x:v>
      </x:c>
      <x:c r="D4" s="13" t="str">
        <x:v>고배수</x:v>
      </x:c>
      <x:c r="E4" s="13" t="str">
        <x:v>항목</x:v>
      </x:c>
      <x:c r="F4" s="13" t="str">
        <x:v>수량 보유</x:v>
      </x:c>
      <x:c r="G4" s="13" t="str">
        <x:v>0 수량</x:v>
      </x:c>
      <x:c r="H4" s="13" t="str">
        <x:v>가격 보유</x:v>
      </x:c>
      <x:c r="J4" s="40" t="str">
        <x:v>자동 공종분류</x:v>
      </x:c>
      <x:c r="K4" s="40" t="str">
        <x:v>항목 수</x:v>
      </x:c>
    </x:row>
    <x:row r="5">
      <x:c r="A5" s="21" t="str">
        <x:v>공통가설·일반조건</x:v>
      </x:c>
      <x:c r="B5" s="21" t="str">
        <x:v>PRELIMINARIES</x:v>
      </x:c>
      <x:c r="C5" s="126" t="n">
        <x:v>1</x:v>
      </x:c>
      <x:c r="D5" s="126" t="n">
        <x:v>1</x:v>
      </x:c>
      <x:c r="E5" s="126" t="n">
        <x:v>39</x:v>
      </x:c>
      <x:c r="F5" s="126" t="n">
        <x:v>0</x:v>
      </x:c>
      <x:c r="G5" s="126" t="n">
        <x:v>0</x:v>
      </x:c>
      <x:c r="H5" s="126" t="n">
        <x:v>0</x:v>
      </x:c>
      <x:c r="J5" s="21" t="str">
        <x:v>전기·전력인입</x:v>
      </x:c>
      <x:c r="K5" s="126" t="n">
        <x:v>108</x:v>
      </x:c>
    </x:row>
    <x:row r="6">
      <x:c r="A6" s="22" t="str">
        <x:v>부지 토공</x:v>
      </x:c>
      <x:c r="B6" s="22" t="str">
        <x:v>EARTHWORKS</x:v>
      </x:c>
      <x:c r="C6" s="33" t="n">
        <x:v>1</x:v>
      </x:c>
      <x:c r="D6" s="33" t="n">
        <x:v>1</x:v>
      </x:c>
      <x:c r="E6" s="33" t="n">
        <x:v>2</x:v>
      </x:c>
      <x:c r="F6" s="33" t="n">
        <x:v>2</x:v>
      </x:c>
      <x:c r="G6" s="33" t="n">
        <x:v>0</x:v>
      </x:c>
      <x:c r="H6" s="33" t="n">
        <x:v>0</x:v>
      </x:c>
      <x:c r="J6" s="22" t="str">
        <x:v>급배수·위생</x:v>
      </x:c>
      <x:c r="K6" s="33" t="n">
        <x:v>89</x:v>
      </x:c>
    </x:row>
    <x:row r="7">
      <x:c r="A7" s="22" t="str">
        <x:v>2칸 재래식 화장실</x:v>
      </x:c>
      <x:c r="B7" s="22" t="str">
        <x:v>2-Stance Pit Latrine</x:v>
      </x:c>
      <x:c r="C7" s="33" t="n">
        <x:v>1</x:v>
      </x:c>
      <x:c r="D7" s="33" t="n">
        <x:v>1</x:v>
      </x:c>
      <x:c r="E7" s="33" t="n">
        <x:v>42</x:v>
      </x:c>
      <x:c r="F7" s="33" t="n">
        <x:v>42</x:v>
      </x:c>
      <x:c r="G7" s="33" t="n">
        <x:v>3</x:v>
      </x:c>
      <x:c r="H7" s="33" t="n">
        <x:v>0</x:v>
      </x:c>
      <x:c r="J7" s="22" t="str">
        <x:v>창호·철물</x:v>
      </x:c>
      <x:c r="K7" s="33" t="n">
        <x:v>76</x:v>
      </x:c>
    </x:row>
    <x:row r="8">
      <x:c r="A8" s="22" t="str">
        <x:v>6칸 수세식 화장실</x:v>
      </x:c>
      <x:c r="B8" s="22" t="str">
        <x:v>6-Stance water borne Toilet</x:v>
      </x:c>
      <x:c r="C8" s="33" t="n">
        <x:v>1</x:v>
      </x:c>
      <x:c r="D8" s="33" t="n">
        <x:v>1</x:v>
      </x:c>
      <x:c r="E8" s="33" t="n">
        <x:v>69</x:v>
      </x:c>
      <x:c r="F8" s="33" t="n">
        <x:v>69</x:v>
      </x:c>
      <x:c r="G8" s="33" t="n">
        <x:v>2</x:v>
      </x:c>
      <x:c r="H8" s="33" t="n">
        <x:v>0</x:v>
      </x:c>
      <x:c r="J8" s="22" t="str">
        <x:v>지붕</x:v>
      </x:c>
      <x:c r="K8" s="33" t="n">
        <x:v>59</x:v>
      </x:c>
    </x:row>
    <x:row r="9">
      <x:c r="A9" s="22" t="str">
        <x:v>옥수수 가공시설</x:v>
      </x:c>
      <x:c r="B9" s="22" t="str">
        <x:v>Milling Facility.</x:v>
      </x:c>
      <x:c r="C9" s="33" t="n">
        <x:v>1</x:v>
      </x:c>
      <x:c r="D9" s="33" t="n">
        <x:v>1</x:v>
      </x:c>
      <x:c r="E9" s="33" t="n">
        <x:v>109</x:v>
      </x:c>
      <x:c r="F9" s="33" t="n">
        <x:v>109</x:v>
      </x:c>
      <x:c r="G9" s="33" t="n">
        <x:v>8</x:v>
      </x:c>
      <x:c r="H9" s="33" t="n">
        <x:v>0</x:v>
      </x:c>
      <x:c r="J9" s="22" t="str">
        <x:v>가설·일반조건</x:v>
      </x:c>
      <x:c r="K9" s="33" t="n">
        <x:v>39</x:v>
      </x:c>
    </x:row>
    <x:row r="10">
      <x:c r="A10" s="22" t="str">
        <x:v>관리동</x:v>
      </x:c>
      <x:c r="B10" s="22" t="str">
        <x:v>ADMIN BLOCK</x:v>
      </x:c>
      <x:c r="C10" s="33" t="n">
        <x:v>1</x:v>
      </x:c>
      <x:c r="D10" s="33" t="n">
        <x:v>1</x:v>
      </x:c>
      <x:c r="E10" s="33" t="n">
        <x:v>130</x:v>
      </x:c>
      <x:c r="F10" s="33" t="n">
        <x:v>130</x:v>
      </x:c>
      <x:c r="G10" s="33" t="n">
        <x:v>17</x:v>
      </x:c>
      <x:c r="H10" s="33" t="n">
        <x:v>0</x:v>
      </x:c>
      <x:c r="J10" s="22" t="str">
        <x:v>콘크리트·철근·거푸집</x:v>
      </x:c>
      <x:c r="K10" s="33" t="n">
        <x:v>34</x:v>
      </x:c>
    </x:row>
    <x:row r="11">
      <x:c r="A11" s="22" t="str">
        <x:v>여성친화형 시장 쉼터</x:v>
      </x:c>
      <x:c r="B11" s="22" t="str">
        <x:v>MARKET SHED.</x:v>
      </x:c>
      <x:c r="C11" s="33" t="n">
        <x:v>5</x:v>
      </x:c>
      <x:c r="D11" s="33" t="n">
        <x:v>6</x:v>
      </x:c>
      <x:c r="E11" s="33" t="n">
        <x:v>53</x:v>
      </x:c>
      <x:c r="F11" s="33" t="n">
        <x:v>53</x:v>
      </x:c>
      <x:c r="G11" s="33" t="n">
        <x:v>6</x:v>
      </x:c>
      <x:c r="H11" s="33" t="n">
        <x:v>0</x:v>
      </x:c>
      <x:c r="J11" s="22" t="str">
        <x:v>외부공사</x:v>
      </x:c>
      <x:c r="K11" s="33" t="n">
        <x:v>32</x:v>
      </x:c>
    </x:row>
    <x:row r="12">
      <x:c r="A12" s="22" t="str">
        <x:v>빗물저장시설 10,000L</x:v>
      </x:c>
      <x:c r="B12" s="22" t="str">
        <x:v>RAINWATER HARVESTING</x:v>
      </x:c>
      <x:c r="C12" s="33" t="n">
        <x:v>2</x:v>
      </x:c>
      <x:c r="D12" s="33" t="n">
        <x:v>2</x:v>
      </x:c>
      <x:c r="E12" s="33" t="n">
        <x:v>22</x:v>
      </x:c>
      <x:c r="F12" s="33" t="n">
        <x:v>22</x:v>
      </x:c>
      <x:c r="G12" s="33" t="n">
        <x:v>0</x:v>
      </x:c>
      <x:c r="H12" s="33" t="n">
        <x:v>0</x:v>
      </x:c>
      <x:c r="J12" s="22" t="str">
        <x:v>토공·기초</x:v>
      </x:c>
      <x:c r="K12" s="33" t="n">
        <x:v>30</x:v>
      </x:c>
    </x:row>
    <x:row r="13">
      <x:c r="A13" s="22" t="str">
        <x:v>소화설비</x:v>
      </x:c>
      <x:c r="B13" s="22" t="str">
        <x:v>FIRE SUPRESSION SYSTEM</x:v>
      </x:c>
      <x:c r="C13" s="33" t="n">
        <x:v>1</x:v>
      </x:c>
      <x:c r="D13" s="33" t="n">
        <x:v>1</x:v>
      </x:c>
      <x:c r="E13" s="33" t="n">
        <x:v>1</x:v>
      </x:c>
      <x:c r="F13" s="33" t="n">
        <x:v>1</x:v>
      </x:c>
      <x:c r="G13" s="33" t="n">
        <x:v>0</x:v>
      </x:c>
      <x:c r="H13" s="33" t="n">
        <x:v>0</x:v>
      </x:c>
      <x:c r="J13" s="22" t="str">
        <x:v>급배수·빗물이용</x:v>
      </x:c>
      <x:c r="K13" s="33" t="n">
        <x:v>22</x:v>
      </x:c>
    </x:row>
    <x:row r="14">
      <x:c r="A14" s="22" t="str">
        <x:v>외부공사</x:v>
      </x:c>
      <x:c r="B14" s="22" t="str">
        <x:v>EXTERNAL WORKS</x:v>
      </x:c>
      <x:c r="C14" s="33" t="n">
        <x:v>1</x:v>
      </x:c>
      <x:c r="D14" s="33" t="n">
        <x:v>1</x:v>
      </x:c>
      <x:c r="E14" s="33" t="n">
        <x:v>32</x:v>
      </x:c>
      <x:c r="F14" s="33" t="n">
        <x:v>32</x:v>
      </x:c>
      <x:c r="G14" s="33" t="n">
        <x:v>3</x:v>
      </x:c>
      <x:c r="H14" s="33" t="n">
        <x:v>0</x:v>
      </x:c>
      <x:c r="J14" s="22" t="str">
        <x:v>마감</x:v>
      </x:c>
      <x:c r="K14" s="33" t="n">
        <x:v>16</x:v>
      </x:c>
    </x:row>
    <x:row r="15">
      <x:c r="A15" s="23" t="str">
        <x:v>33kV 전력인입</x:v>
      </x:c>
      <x:c r="B15" s="23" t="str">
        <x:v>SUPPLY OF 33KV LINE</x:v>
      </x:c>
      <x:c r="C15" s="34" t="n">
        <x:v>1</x:v>
      </x:c>
      <x:c r="D15" s="34" t="n">
        <x:v>1</x:v>
      </x:c>
      <x:c r="E15" s="34" t="n">
        <x:v>41</x:v>
      </x:c>
      <x:c r="F15" s="34" t="n">
        <x:v>41</x:v>
      </x:c>
      <x:c r="G15" s="34" t="n">
        <x:v>0</x:v>
      </x:c>
      <x:c r="H15" s="34" t="n">
        <x:v>0</x:v>
      </x:c>
      <x:c r="J15" s="22" t="str">
        <x:v>설비·장비</x:v>
      </x:c>
      <x:c r="K15" s="33" t="n">
        <x:v>16</x:v>
      </x:c>
    </x:row>
    <x:row r="16">
      <x:c r="J16" s="22" t="str">
        <x:v>조적</x:v>
      </x:c>
      <x:c r="K16" s="33" t="n">
        <x:v>12</x:v>
      </x:c>
    </x:row>
    <x:row r="17">
      <x:c r="J17" s="22" t="str">
        <x:v>기타</x:v>
      </x:c>
      <x:c r="K17" s="33" t="n">
        <x:v>6</x:v>
      </x:c>
    </x:row>
    <x:row r="18">
      <x:c r="J18" s="23" t="str">
        <x:v>소방</x:v>
      </x:c>
      <x:c r="K18" s="34" t="n">
        <x:v>1</x:v>
      </x:c>
    </x:row>
  </x:sheetData>
  <x:mergeCells>
    <x:mergeCell ref="A1:R1"/>
    <x:mergeCell ref="A2:R2"/>
  </x:mergeCells>
  <x:conditionalFormatting sqref="G5:G15">
    <x:cfRule type="cellIs" dxfId="0" priority="1" operator="greaterThan">
      <x:formula>0</x:formula>
    </x:cfRule>
  </x:conditionalFormatting>
  <x:pageMargins left="0.7" right="0.7" top="0.75" bottom="0.75" header="0.3" footer="0.3"/>
  <x:drawing xmlns:r="http://schemas.openxmlformats.org/officeDocument/2006/relationships" r:id="Rdcdbdd8ee31a4914"/>
  <x:tableParts count="1">
    <x:tablePart xmlns:r="http://schemas.openxmlformats.org/officeDocument/2006/relationships" r:id="R77b1d0f5fa2045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1" hidden="0" customWidth="1"/>
    <x:col min="4" max="4" width="15" hidden="0" customWidth="1"/>
    <x:col min="5" max="5" width="15" hidden="0" customWidth="1"/>
    <x:col min="6" max="6" width="15" hidden="0" customWidth="1"/>
    <x:col min="7" max="7" width="17" hidden="0" customWidth="1"/>
    <x:col min="8" max="8" width="17" hidden="0" customWidth="1"/>
  </x:cols>
  <x:sheetData>
    <x:row r="1" ht="34" customHeight="1">
      <x:c r="A1" s="3" t="str">
        <x:v>공종·단위별 수량 벤치마크</x:v>
      </x:c>
    </x:row>
    <x:row r="2" ht="36" customHeight="1">
      <x:c r="A2" s="7" t="str">
        <x:v>서로 다른 단위는 합치지 않습니다. 저·고 수량은 시장쉼터 5동/6동 및 빗물저장시설 2기를 반영한 조사 시나리오입니다.</x:v>
      </x:c>
    </x:row>
    <x:row r="4" ht="30" customHeight="1">
      <x:c r="A4" s="13" t="str">
        <x:v>공종</x:v>
      </x:c>
      <x:c r="B4" s="13" t="str">
        <x:v>단위</x:v>
      </x:c>
      <x:c r="C4" s="13" t="str">
        <x:v>항목 수</x:v>
      </x:c>
      <x:c r="D4" s="13" t="str">
        <x:v>기본 수량</x:v>
      </x:c>
      <x:c r="E4" s="13" t="str">
        <x:v>저시나리오</x:v>
      </x:c>
      <x:c r="F4" s="13" t="str">
        <x:v>고시나리오</x:v>
      </x:c>
      <x:c r="G4" s="13" t="str">
        <x:v>저수량/선택㎡</x:v>
      </x:c>
      <x:c r="H4" s="13" t="str">
        <x:v>고수량/선택㎡</x:v>
      </x:c>
    </x:row>
    <x:row r="5">
      <x:c r="A5" s="130" t="str">
        <x:v>급배수·빗물이용</x:v>
      </x:c>
      <x:c r="B5" s="130" t="str">
        <x:v>item</x:v>
      </x:c>
      <x:c r="C5" s="133" t="n">
        <x:v>2</x:v>
      </x:c>
      <x:c r="D5" s="136" t="n">
        <x:v>2</x:v>
      </x:c>
      <x:c r="E5" s="136" t="n">
        <x:v>4</x:v>
      </x:c>
      <x:c r="F5" s="136" t="n">
        <x:v>4</x:v>
      </x:c>
      <x:c r="G5" s="139" t="n">
        <x:f>IFERROR(E5/'입력·근거'!$B$14,"")</x:f>
        <x:v>0.0048344210780759</x:v>
      </x:c>
      <x:c r="H5" s="139" t="n">
        <x:f>IFERROR(F5/'입력·근거'!$B$14,"")</x:f>
        <x:v>0.0048344210780759</x:v>
      </x:c>
    </x:row>
    <x:row r="6">
      <x:c r="A6" s="131" t="str">
        <x:v>급배수·빗물이용</x:v>
      </x:c>
      <x:c r="B6" s="131" t="str">
        <x:v>m</x:v>
      </x:c>
      <x:c r="C6" s="134" t="n">
        <x:v>3</x:v>
      </x:c>
      <x:c r="D6" s="137" t="n">
        <x:v>51</x:v>
      </x:c>
      <x:c r="E6" s="137" t="n">
        <x:v>102</x:v>
      </x:c>
      <x:c r="F6" s="137" t="n">
        <x:v>102</x:v>
      </x:c>
      <x:c r="G6" s="140" t="n">
        <x:f>IFERROR(E6/'입력·근거'!$B$14,"")</x:f>
        <x:v>0.12327773749093546</x:v>
      </x:c>
      <x:c r="H6" s="140" t="n">
        <x:f>IFERROR(F6/'입력·근거'!$B$14,"")</x:f>
        <x:v>0.12327773749093546</x:v>
      </x:c>
    </x:row>
    <x:row r="7">
      <x:c r="A7" s="131" t="str">
        <x:v>급배수·빗물이용</x:v>
      </x:c>
      <x:c r="B7" s="131" t="str">
        <x:v>m²</x:v>
      </x:c>
      <x:c r="C7" s="134" t="n">
        <x:v>10</x:v>
      </x:c>
      <x:c r="D7" s="137" t="n">
        <x:v>74</x:v>
      </x:c>
      <x:c r="E7" s="137" t="n">
        <x:v>148</x:v>
      </x:c>
      <x:c r="F7" s="137" t="n">
        <x:v>148</x:v>
      </x:c>
      <x:c r="G7" s="140" t="n">
        <x:f>IFERROR(E7/'입력·근거'!$B$14,"")</x:f>
        <x:v>0.1788735798888083</x:v>
      </x:c>
      <x:c r="H7" s="140" t="n">
        <x:f>IFERROR(F7/'입력·근거'!$B$14,"")</x:f>
        <x:v>0.1788735798888083</x:v>
      </x:c>
    </x:row>
    <x:row r="8">
      <x:c r="A8" s="131" t="str">
        <x:v>급배수·빗물이용</x:v>
      </x:c>
      <x:c r="B8" s="131" t="str">
        <x:v>m³</x:v>
      </x:c>
      <x:c r="C8" s="134" t="n">
        <x:v>4</x:v>
      </x:c>
      <x:c r="D8" s="137" t="n">
        <x:v>7</x:v>
      </x:c>
      <x:c r="E8" s="137" t="n">
        <x:v>14</x:v>
      </x:c>
      <x:c r="F8" s="137" t="n">
        <x:v>14</x:v>
      </x:c>
      <x:c r="G8" s="140" t="n">
        <x:f>IFERROR(E8/'입력·근거'!$B$14,"")</x:f>
        <x:v>0.01692047377326565</x:v>
      </x:c>
      <x:c r="H8" s="140" t="n">
        <x:f>IFERROR(F8/'입력·근거'!$B$14,"")</x:f>
        <x:v>0.01692047377326565</x:v>
      </x:c>
    </x:row>
    <x:row r="9">
      <x:c r="A9" s="131" t="str">
        <x:v>급배수·빗물이용</x:v>
      </x:c>
      <x:c r="B9" s="131" t="str">
        <x:v>no.</x:v>
      </x:c>
      <x:c r="C9" s="134" t="n">
        <x:v>3</x:v>
      </x:c>
      <x:c r="D9" s="137" t="n">
        <x:v>3</x:v>
      </x:c>
      <x:c r="E9" s="137" t="n">
        <x:v>6</x:v>
      </x:c>
      <x:c r="F9" s="137" t="n">
        <x:v>6</x:v>
      </x:c>
      <x:c r="G9" s="140" t="n">
        <x:f>IFERROR(E9/'입력·근거'!$B$14,"")</x:f>
        <x:v>0.007251631617113851</x:v>
      </x:c>
      <x:c r="H9" s="140" t="n">
        <x:f>IFERROR(F9/'입력·근거'!$B$14,"")</x:f>
        <x:v>0.007251631617113851</x:v>
      </x:c>
    </x:row>
    <x:row r="10">
      <x:c r="A10" s="131" t="str">
        <x:v>급배수·위생</x:v>
      </x:c>
      <x:c r="B10" s="131" t="str">
        <x:v>item</x:v>
      </x:c>
      <x:c r="C10" s="134" t="n">
        <x:v>1</x:v>
      </x:c>
      <x:c r="D10" s="137" t="n">
        <x:v>1</x:v>
      </x:c>
      <x:c r="E10" s="137" t="n">
        <x:v>1</x:v>
      </x:c>
      <x:c r="F10" s="137" t="n">
        <x:v>1</x:v>
      </x:c>
      <x:c r="G10" s="140" t="n">
        <x:f>IFERROR(E10/'입력·근거'!$B$14,"")</x:f>
        <x:v>0.001208605269518975</x:v>
      </x:c>
      <x:c r="H10" s="140" t="n">
        <x:f>IFERROR(F10/'입력·근거'!$B$14,"")</x:f>
        <x:v>0.001208605269518975</x:v>
      </x:c>
    </x:row>
    <x:row r="11">
      <x:c r="A11" s="131" t="str">
        <x:v>급배수·위생</x:v>
      </x:c>
      <x:c r="B11" s="131" t="str">
        <x:v>kg</x:v>
      </x:c>
      <x:c r="C11" s="134" t="n">
        <x:v>3</x:v>
      </x:c>
      <x:c r="D11" s="137" t="n">
        <x:v>244</x:v>
      </x:c>
      <x:c r="E11" s="137" t="n">
        <x:v>244</x:v>
      </x:c>
      <x:c r="F11" s="137" t="n">
        <x:v>244</x:v>
      </x:c>
      <x:c r="G11" s="140" t="n">
        <x:f>IFERROR(E11/'입력·근거'!$B$14,"")</x:f>
        <x:v>0.2948996857626299</x:v>
      </x:c>
      <x:c r="H11" s="140" t="n">
        <x:f>IFERROR(F11/'입력·근거'!$B$14,"")</x:f>
        <x:v>0.2948996857626299</x:v>
      </x:c>
    </x:row>
    <x:row r="12">
      <x:c r="A12" s="131" t="str">
        <x:v>급배수·위생</x:v>
      </x:c>
      <x:c r="B12" s="131" t="str">
        <x:v>m</x:v>
      </x:c>
      <x:c r="C12" s="134" t="n">
        <x:v>28</x:v>
      </x:c>
      <x:c r="D12" s="137" t="n">
        <x:v>599.5</x:v>
      </x:c>
      <x:c r="E12" s="137" t="n">
        <x:v>599.5</x:v>
      </x:c>
      <x:c r="F12" s="137" t="n">
        <x:v>599.5</x:v>
      </x:c>
      <x:c r="G12" s="140" t="n">
        <x:f>IFERROR(E12/'입력·근거'!$B$14,"")</x:f>
        <x:v>0.7245588590766255</x:v>
      </x:c>
      <x:c r="H12" s="140" t="n">
        <x:f>IFERROR(F12/'입력·근거'!$B$14,"")</x:f>
        <x:v>0.7245588590766255</x:v>
      </x:c>
    </x:row>
    <x:row r="13">
      <x:c r="A13" s="131" t="str">
        <x:v>급배수·위생</x:v>
      </x:c>
      <x:c r="B13" s="131" t="str">
        <x:v>m²</x:v>
      </x:c>
      <x:c r="C13" s="134" t="n">
        <x:v>22</x:v>
      </x:c>
      <x:c r="D13" s="137" t="n">
        <x:v>1704.36</x:v>
      </x:c>
      <x:c r="E13" s="137" t="n">
        <x:v>1704.36</x:v>
      </x:c>
      <x:c r="F13" s="137" t="n">
        <x:v>1704.36</x:v>
      </x:c>
      <x:c r="G13" s="140" t="n">
        <x:f>IFERROR(E13/'입력·근거'!$B$14,"")</x:f>
        <x:v>2.0598984771573603</x:v>
      </x:c>
      <x:c r="H13" s="140" t="n">
        <x:f>IFERROR(F13/'입력·근거'!$B$14,"")</x:f>
        <x:v>2.0598984771573603</x:v>
      </x:c>
    </x:row>
    <x:row r="14">
      <x:c r="A14" s="131" t="str">
        <x:v>급배수·위생</x:v>
      </x:c>
      <x:c r="B14" s="131" t="str">
        <x:v>m³</x:v>
      </x:c>
      <x:c r="C14" s="134" t="n">
        <x:v>4</x:v>
      </x:c>
      <x:c r="D14" s="137" t="n">
        <x:v>32.968</x:v>
      </x:c>
      <x:c r="E14" s="137" t="n">
        <x:v>32.968</x:v>
      </x:c>
      <x:c r="F14" s="137" t="n">
        <x:v>32.968</x:v>
      </x:c>
      <x:c r="G14" s="140" t="n">
        <x:f>IFERROR(E14/'입력·근거'!$B$14,"")</x:f>
        <x:v>0.039845298525501574</x:v>
      </x:c>
      <x:c r="H14" s="140" t="n">
        <x:f>IFERROR(F14/'입력·근거'!$B$14,"")</x:f>
        <x:v>0.039845298525501574</x:v>
      </x:c>
    </x:row>
    <x:row r="15">
      <x:c r="A15" s="131" t="str">
        <x:v>급배수·위생</x:v>
      </x:c>
      <x:c r="B15" s="131" t="str">
        <x:v>no.</x:v>
      </x:c>
      <x:c r="C15" s="134" t="n">
        <x:v>31</x:v>
      </x:c>
      <x:c r="D15" s="137" t="n">
        <x:v>124</x:v>
      </x:c>
      <x:c r="E15" s="137" t="n">
        <x:v>180</x:v>
      </x:c>
      <x:c r="F15" s="137" t="n">
        <x:v>194</x:v>
      </x:c>
      <x:c r="G15" s="140" t="n">
        <x:f>IFERROR(E15/'입력·근거'!$B$14,"")</x:f>
        <x:v>0.21754894851341552</x:v>
      </x:c>
      <x:c r="H15" s="140" t="n">
        <x:f>IFERROR(F15/'입력·근거'!$B$14,"")</x:f>
        <x:v>0.2344694222866812</x:v>
      </x:c>
    </x:row>
    <x:row r="16">
      <x:c r="A16" s="131" t="str">
        <x:v>기타</x:v>
      </x:c>
      <x:c r="B16" s="131" t="str">
        <x:v>item</x:v>
      </x:c>
      <x:c r="C16" s="134" t="n">
        <x:v>2</x:v>
      </x:c>
      <x:c r="D16" s="137" t="n">
        <x:v>2</x:v>
      </x:c>
      <x:c r="E16" s="137" t="n">
        <x:v>10</x:v>
      </x:c>
      <x:c r="F16" s="137" t="n">
        <x:v>12</x:v>
      </x:c>
      <x:c r="G16" s="140" t="n">
        <x:f>IFERROR(E16/'입력·근거'!$B$14,"")</x:f>
        <x:v>0.012086052695189751</x:v>
      </x:c>
      <x:c r="H16" s="140" t="n">
        <x:f>IFERROR(F16/'입력·근거'!$B$14,"")</x:f>
        <x:v>0.014503263234227702</x:v>
      </x:c>
    </x:row>
    <x:row r="17">
      <x:c r="A17" s="131" t="str">
        <x:v>기타</x:v>
      </x:c>
      <x:c r="B17" s="131" t="str">
        <x:v>m</x:v>
      </x:c>
      <x:c r="C17" s="134" t="n">
        <x:v>3</x:v>
      </x:c>
      <x:c r="D17" s="137" t="n">
        <x:v>92.45</x:v>
      </x:c>
      <x:c r="E17" s="137" t="n">
        <x:v>462.25</x:v>
      </x:c>
      <x:c r="F17" s="137" t="n">
        <x:v>554.7</x:v>
      </x:c>
      <x:c r="G17" s="140" t="n">
        <x:f>IFERROR(E17/'입력·근거'!$B$14,"")</x:f>
        <x:v>0.5586777858351463</x:v>
      </x:c>
      <x:c r="H17" s="140" t="n">
        <x:f>IFERROR(F17/'입력·근거'!$B$14,"")</x:f>
        <x:v>0.6704133430021756</x:v>
      </x:c>
    </x:row>
    <x:row r="18">
      <x:c r="A18" s="131" t="str">
        <x:v>기타</x:v>
      </x:c>
      <x:c r="B18" s="131" t="str">
        <x:v>no.</x:v>
      </x:c>
      <x:c r="C18" s="134" t="n">
        <x:v>1</x:v>
      </x:c>
      <x:c r="D18" s="137" t="n">
        <x:v>1</x:v>
      </x:c>
      <x:c r="E18" s="137" t="n">
        <x:v>5</x:v>
      </x:c>
      <x:c r="F18" s="137" t="n">
        <x:v>6</x:v>
      </x:c>
      <x:c r="G18" s="140" t="n">
        <x:f>IFERROR(E18/'입력·근거'!$B$14,"")</x:f>
        <x:v>0.006043026347594876</x:v>
      </x:c>
      <x:c r="H18" s="140" t="n">
        <x:f>IFERROR(F18/'입력·근거'!$B$14,"")</x:f>
        <x:v>0.007251631617113851</x:v>
      </x:c>
    </x:row>
    <x:row r="19">
      <x:c r="A19" s="131" t="str">
        <x:v>마감</x:v>
      </x:c>
      <x:c r="B19" s="131" t="str">
        <x:v>kg</x:v>
      </x:c>
      <x:c r="C19" s="134" t="n">
        <x:v>1</x:v>
      </x:c>
      <x:c r="D19" s="137" t="n">
        <x:v>3037</x:v>
      </x:c>
      <x:c r="E19" s="137" t="n">
        <x:v>3037</x:v>
      </x:c>
      <x:c r="F19" s="137" t="n">
        <x:v>3037</x:v>
      </x:c>
      <x:c r="G19" s="140" t="n">
        <x:f>IFERROR(E19/'입력·근거'!$B$14,"")</x:f>
        <x:v>3.6705342035291273</x:v>
      </x:c>
      <x:c r="H19" s="140" t="n">
        <x:f>IFERROR(F19/'입력·근거'!$B$14,"")</x:f>
        <x:v>3.6705342035291273</x:v>
      </x:c>
    </x:row>
    <x:row r="20">
      <x:c r="A20" s="131" t="str">
        <x:v>마감</x:v>
      </x:c>
      <x:c r="B20" s="131" t="str">
        <x:v>m</x:v>
      </x:c>
      <x:c r="C20" s="134" t="n">
        <x:v>2</x:v>
      </x:c>
      <x:c r="D20" s="137" t="n">
        <x:v>29</x:v>
      </x:c>
      <x:c r="E20" s="137" t="n">
        <x:v>29</x:v>
      </x:c>
      <x:c r="F20" s="137" t="n">
        <x:v>29</x:v>
      </x:c>
      <x:c r="G20" s="140" t="n">
        <x:f>IFERROR(E20/'입력·근거'!$B$14,"")</x:f>
        <x:v>0.03504955281605028</x:v>
      </x:c>
      <x:c r="H20" s="140" t="n">
        <x:f>IFERROR(F20/'입력·근거'!$B$14,"")</x:f>
        <x:v>0.03504955281605028</x:v>
      </x:c>
    </x:row>
    <x:row r="21">
      <x:c r="A21" s="131" t="str">
        <x:v>마감</x:v>
      </x:c>
      <x:c r="B21" s="131" t="str">
        <x:v>m²</x:v>
      </x:c>
      <x:c r="C21" s="134" t="n">
        <x:v>13</x:v>
      </x:c>
      <x:c r="D21" s="137" t="n">
        <x:v>2539.26</x:v>
      </x:c>
      <x:c r="E21" s="137" t="n">
        <x:v>3145.26</x:v>
      </x:c>
      <x:c r="F21" s="137" t="n">
        <x:v>3296.76</x:v>
      </x:c>
      <x:c r="G21" s="140" t="n">
        <x:f>IFERROR(E21/'입력·근거'!$B$14,"")</x:f>
        <x:v>3.801377810007252</x:v>
      </x:c>
      <x:c r="H21" s="140" t="n">
        <x:f>IFERROR(F21/'입력·근거'!$B$14,"")</x:f>
        <x:v>3.9844815083393765</x:v>
      </x:c>
    </x:row>
    <x:row r="22">
      <x:c r="A22" s="131" t="str">
        <x:v>설비·장비</x:v>
      </x:c>
      <x:c r="B22" s="131" t="str">
        <x:v>item</x:v>
      </x:c>
      <x:c r="C22" s="134" t="n">
        <x:v>2</x:v>
      </x:c>
      <x:c r="D22" s="137" t="n">
        <x:v>2</x:v>
      </x:c>
      <x:c r="E22" s="137" t="n">
        <x:v>2</x:v>
      </x:c>
      <x:c r="F22" s="137" t="n">
        <x:v>2</x:v>
      </x:c>
      <x:c r="G22" s="140" t="n">
        <x:f>IFERROR(E22/'입력·근거'!$B$14,"")</x:f>
        <x:v>0.00241721053903795</x:v>
      </x:c>
      <x:c r="H22" s="140" t="n">
        <x:f>IFERROR(F22/'입력·근거'!$B$14,"")</x:f>
        <x:v>0.00241721053903795</x:v>
      </x:c>
    </x:row>
    <x:row r="23">
      <x:c r="A23" s="131" t="str">
        <x:v>설비·장비</x:v>
      </x:c>
      <x:c r="B23" s="131" t="str">
        <x:v>kg</x:v>
      </x:c>
      <x:c r="C23" s="134" t="n">
        <x:v>7</x:v>
      </x:c>
      <x:c r="D23" s="137" t="n">
        <x:v>4286.09975</x:v>
      </x:c>
      <x:c r="E23" s="137" t="n">
        <x:v>4286.09975</x:v>
      </x:c>
      <x:c r="F23" s="137" t="n">
        <x:v>4286.09975</x:v>
      </x:c>
      <x:c r="G23" s="140" t="n">
        <x:f>IFERROR(E23/'입력·근거'!$B$14,"")</x:f>
        <x:v>5.180202743533962</x:v>
      </x:c>
      <x:c r="H23" s="140" t="n">
        <x:f>IFERROR(F23/'입력·근거'!$B$14,"")</x:f>
        <x:v>5.180202743533962</x:v>
      </x:c>
    </x:row>
    <x:row r="24">
      <x:c r="A24" s="131" t="str">
        <x:v>설비·장비</x:v>
      </x:c>
      <x:c r="B24" s="131" t="str">
        <x:v>m</x:v>
      </x:c>
      <x:c r="C24" s="134" t="n">
        <x:v>1</x:v>
      </x:c>
      <x:c r="D24" s="137" t="n">
        <x:v>75</x:v>
      </x:c>
      <x:c r="E24" s="137" t="n">
        <x:v>75</x:v>
      </x:c>
      <x:c r="F24" s="137" t="n">
        <x:v>75</x:v>
      </x:c>
      <x:c r="G24" s="140" t="n">
        <x:f>IFERROR(E24/'입력·근거'!$B$14,"")</x:f>
        <x:v>0.09064539521392313</x:v>
      </x:c>
      <x:c r="H24" s="140" t="n">
        <x:f>IFERROR(F24/'입력·근거'!$B$14,"")</x:f>
        <x:v>0.09064539521392313</x:v>
      </x:c>
    </x:row>
    <x:row r="25">
      <x:c r="A25" s="131" t="str">
        <x:v>설비·장비</x:v>
      </x:c>
      <x:c r="B25" s="131" t="str">
        <x:v>no.</x:v>
      </x:c>
      <x:c r="C25" s="134" t="n">
        <x:v>6</x:v>
      </x:c>
      <x:c r="D25" s="137" t="n">
        <x:v>273</x:v>
      </x:c>
      <x:c r="E25" s="137" t="n">
        <x:v>273</x:v>
      </x:c>
      <x:c r="F25" s="137" t="n">
        <x:v>273</x:v>
      </x:c>
      <x:c r="G25" s="140" t="n">
        <x:f>IFERROR(E25/'입력·근거'!$B$14,"")</x:f>
        <x:v>0.3299492385786802</x:v>
      </x:c>
      <x:c r="H25" s="140" t="n">
        <x:f>IFERROR(F25/'입력·근거'!$B$14,"")</x:f>
        <x:v>0.3299492385786802</x:v>
      </x:c>
    </x:row>
    <x:row r="26">
      <x:c r="A26" s="131" t="str">
        <x:v>소방</x:v>
      </x:c>
      <x:c r="B26" s="131" t="str">
        <x:v>no.</x:v>
      </x:c>
      <x:c r="C26" s="134" t="n">
        <x:v>1</x:v>
      </x:c>
      <x:c r="D26" s="137" t="n">
        <x:v>8</x:v>
      </x:c>
      <x:c r="E26" s="137" t="n">
        <x:v>8</x:v>
      </x:c>
      <x:c r="F26" s="137" t="n">
        <x:v>8</x:v>
      </x:c>
      <x:c r="G26" s="140" t="n">
        <x:f>IFERROR(E26/'입력·근거'!$B$14,"")</x:f>
        <x:v>0.0096688421561518</x:v>
      </x:c>
      <x:c r="H26" s="140" t="n">
        <x:f>IFERROR(F26/'입력·근거'!$B$14,"")</x:f>
        <x:v>0.0096688421561518</x:v>
      </x:c>
    </x:row>
    <x:row r="27">
      <x:c r="A27" s="131" t="str">
        <x:v>외부공사</x:v>
      </x:c>
      <x:c r="B27" s="131" t="str">
        <x:v>item</x:v>
      </x:c>
      <x:c r="C27" s="134" t="n">
        <x:v>1</x:v>
      </x:c>
      <x:c r="D27" s="137" t="n">
        <x:v>1</x:v>
      </x:c>
      <x:c r="E27" s="137" t="n">
        <x:v>1</x:v>
      </x:c>
      <x:c r="F27" s="137" t="n">
        <x:v>1</x:v>
      </x:c>
      <x:c r="G27" s="140" t="n">
        <x:f>IFERROR(E27/'입력·근거'!$B$14,"")</x:f>
        <x:v>0.001208605269518975</x:v>
      </x:c>
      <x:c r="H27" s="140" t="n">
        <x:f>IFERROR(F27/'입력·근거'!$B$14,"")</x:f>
        <x:v>0.001208605269518975</x:v>
      </x:c>
    </x:row>
    <x:row r="28">
      <x:c r="A28" s="131" t="str">
        <x:v>외부공사</x:v>
      </x:c>
      <x:c r="B28" s="131" t="str">
        <x:v>m</x:v>
      </x:c>
      <x:c r="C28" s="134" t="n">
        <x:v>7</x:v>
      </x:c>
      <x:c r="D28" s="137" t="n">
        <x:v>1315.4</x:v>
      </x:c>
      <x:c r="E28" s="137" t="n">
        <x:v>1315.4</x:v>
      </x:c>
      <x:c r="F28" s="137" t="n">
        <x:v>1315.4</x:v>
      </x:c>
      <x:c r="G28" s="140" t="n">
        <x:f>IFERROR(E28/'입력·근거'!$B$14,"")</x:f>
        <x:v>1.58979937152526</x:v>
      </x:c>
      <x:c r="H28" s="140" t="n">
        <x:f>IFERROR(F28/'입력·근거'!$B$14,"")</x:f>
        <x:v>1.58979937152526</x:v>
      </x:c>
    </x:row>
    <x:row r="29">
      <x:c r="A29" s="131" t="str">
        <x:v>외부공사</x:v>
      </x:c>
      <x:c r="B29" s="131" t="str">
        <x:v>m²</x:v>
      </x:c>
      <x:c r="C29" s="134" t="n">
        <x:v>14</x:v>
      </x:c>
      <x:c r="D29" s="137" t="n">
        <x:v>4782.7</x:v>
      </x:c>
      <x:c r="E29" s="137" t="n">
        <x:v>4782.7</x:v>
      </x:c>
      <x:c r="F29" s="137" t="n">
        <x:v>4782.7</x:v>
      </x:c>
      <x:c r="G29" s="140" t="n">
        <x:f>IFERROR(E29/'입력·근거'!$B$14,"")</x:f>
        <x:v>5.780396422528402</x:v>
      </x:c>
      <x:c r="H29" s="140" t="n">
        <x:f>IFERROR(F29/'입력·근거'!$B$14,"")</x:f>
        <x:v>5.780396422528402</x:v>
      </x:c>
    </x:row>
    <x:row r="30">
      <x:c r="A30" s="131" t="str">
        <x:v>외부공사</x:v>
      </x:c>
      <x:c r="B30" s="131" t="str">
        <x:v>m³</x:v>
      </x:c>
      <x:c r="C30" s="134" t="n">
        <x:v>5</x:v>
      </x:c>
      <x:c r="D30" s="137" t="n">
        <x:v>18.34</x:v>
      </x:c>
      <x:c r="E30" s="137" t="n">
        <x:v>18.34</x:v>
      </x:c>
      <x:c r="F30" s="137" t="n">
        <x:v>18.34</x:v>
      </x:c>
      <x:c r="G30" s="140" t="n">
        <x:f>IFERROR(E30/'입력·근거'!$B$14,"")</x:f>
        <x:v>0.022165820642978003</x:v>
      </x:c>
      <x:c r="H30" s="140" t="n">
        <x:f>IFERROR(F30/'입력·근거'!$B$14,"")</x:f>
        <x:v>0.022165820642978003</x:v>
      </x:c>
    </x:row>
    <x:row r="31">
      <x:c r="A31" s="131" t="str">
        <x:v>외부공사</x:v>
      </x:c>
      <x:c r="B31" s="131" t="str">
        <x:v>no.</x:v>
      </x:c>
      <x:c r="C31" s="134" t="n">
        <x:v>5</x:v>
      </x:c>
      <x:c r="D31" s="137" t="n">
        <x:v>49</x:v>
      </x:c>
      <x:c r="E31" s="137" t="n">
        <x:v>49</x:v>
      </x:c>
      <x:c r="F31" s="137" t="n">
        <x:v>49</x:v>
      </x:c>
      <x:c r="G31" s="140" t="n">
        <x:f>IFERROR(E31/'입력·근거'!$B$14,"")</x:f>
        <x:v>0.05922165820642978</x:v>
      </x:c>
      <x:c r="H31" s="140" t="n">
        <x:f>IFERROR(F31/'입력·근거'!$B$14,"")</x:f>
        <x:v>0.05922165820642978</x:v>
      </x:c>
    </x:row>
    <x:row r="32">
      <x:c r="A32" s="131" t="str">
        <x:v>전기·전력인입</x:v>
      </x:c>
      <x:c r="B32" s="131" t="str">
        <x:v>item</x:v>
      </x:c>
      <x:c r="C32" s="134" t="n">
        <x:v>7</x:v>
      </x:c>
      <x:c r="D32" s="137" t="n">
        <x:v>8</x:v>
      </x:c>
      <x:c r="E32" s="137" t="n">
        <x:v>12</x:v>
      </x:c>
      <x:c r="F32" s="137" t="n">
        <x:v>13</x:v>
      </x:c>
      <x:c r="G32" s="140" t="n">
        <x:f>IFERROR(E32/'입력·근거'!$B$14,"")</x:f>
        <x:v>0.014503263234227702</x:v>
      </x:c>
      <x:c r="H32" s="140" t="n">
        <x:f>IFERROR(F32/'입력·근거'!$B$14,"")</x:f>
        <x:v>0.015711868503746677</x:v>
      </x:c>
    </x:row>
    <x:row r="33">
      <x:c r="A33" s="131" t="str">
        <x:v>전기·전력인입</x:v>
      </x:c>
      <x:c r="B33" s="131" t="str">
        <x:v>m</x:v>
      </x:c>
      <x:c r="C33" s="134" t="n">
        <x:v>12</x:v>
      </x:c>
      <x:c r="D33" s="137" t="n">
        <x:v>1936.95</x:v>
      </x:c>
      <x:c r="E33" s="137" t="n">
        <x:v>2136.95</x:v>
      </x:c>
      <x:c r="F33" s="137" t="n">
        <x:v>2186.95</x:v>
      </x:c>
      <x:c r="G33" s="140" t="n">
        <x:f>IFERROR(E33/'입력·근거'!$B$14,"")</x:f>
        <x:v>2.5827290306985735</x:v>
      </x:c>
      <x:c r="H33" s="140" t="n">
        <x:f>IFERROR(F33/'입력·근거'!$B$14,"")</x:f>
        <x:v>2.6431592941745223</x:v>
      </x:c>
    </x:row>
    <x:row r="34">
      <x:c r="A34" s="131" t="str">
        <x:v>전기·전력인입</x:v>
      </x:c>
      <x:c r="B34" s="131" t="str">
        <x:v>no.</x:v>
      </x:c>
      <x:c r="C34" s="134" t="n">
        <x:v>80</x:v>
      </x:c>
      <x:c r="D34" s="137" t="n">
        <x:v>418</x:v>
      </x:c>
      <x:c r="E34" s="137" t="n">
        <x:v>738</x:v>
      </x:c>
      <x:c r="F34" s="137" t="n">
        <x:v>818</x:v>
      </x:c>
      <x:c r="G34" s="140" t="n">
        <x:f>IFERROR(E34/'입력·근거'!$B$14,"")</x:f>
        <x:v>0.8919506889050036</x:v>
      </x:c>
      <x:c r="H34" s="140" t="n">
        <x:f>IFERROR(F34/'입력·근거'!$B$14,"")</x:f>
        <x:v>0.9886391104665216</x:v>
      </x:c>
    </x:row>
    <x:row r="35">
      <x:c r="A35" s="131" t="str">
        <x:v>전기·전력인입</x:v>
      </x:c>
      <x:c r="B35" s="131" t="str">
        <x:v>pkt</x:v>
      </x:c>
      <x:c r="C35" s="134" t="n">
        <x:v>3</x:v>
      </x:c>
      <x:c r="D35" s="137" t="n">
        <x:v>26</x:v>
      </x:c>
      <x:c r="E35" s="137" t="n">
        <x:v>58</x:v>
      </x:c>
      <x:c r="F35" s="137" t="n">
        <x:v>66</x:v>
      </x:c>
      <x:c r="G35" s="140" t="n">
        <x:f>IFERROR(E35/'입력·근거'!$B$14,"")</x:f>
        <x:v>0.07009910563210056</x:v>
      </x:c>
      <x:c r="H35" s="140" t="n">
        <x:f>IFERROR(F35/'입력·근거'!$B$14,"")</x:f>
        <x:v>0.07976794778825236</x:v>
      </x:c>
    </x:row>
    <x:row r="36">
      <x:c r="A36" s="131" t="str">
        <x:v>전기·전력인입</x:v>
      </x:c>
      <x:c r="B36" s="131" t="str">
        <x:v>set</x:v>
      </x:c>
      <x:c r="C36" s="134" t="n">
        <x:v>6</x:v>
      </x:c>
      <x:c r="D36" s="137" t="n">
        <x:v>16</x:v>
      </x:c>
      <x:c r="E36" s="137" t="n">
        <x:v>16</x:v>
      </x:c>
      <x:c r="F36" s="137" t="n">
        <x:v>16</x:v>
      </x:c>
      <x:c r="G36" s="140" t="n">
        <x:f>IFERROR(E36/'입력·근거'!$B$14,"")</x:f>
        <x:v>0.0193376843123036</x:v>
      </x:c>
      <x:c r="H36" s="140" t="n">
        <x:f>IFERROR(F36/'입력·근거'!$B$14,"")</x:f>
        <x:v>0.0193376843123036</x:v>
      </x:c>
    </x:row>
    <x:row r="37">
      <x:c r="A37" s="131" t="str">
        <x:v>조적</x:v>
      </x:c>
      <x:c r="B37" s="131" t="str">
        <x:v>m</x:v>
      </x:c>
      <x:c r="C37" s="134" t="n">
        <x:v>1</x:v>
      </x:c>
      <x:c r="D37" s="137" t="n">
        <x:v>93</x:v>
      </x:c>
      <x:c r="E37" s="137" t="n">
        <x:v>93</x:v>
      </x:c>
      <x:c r="F37" s="137" t="n">
        <x:v>93</x:v>
      </x:c>
      <x:c r="G37" s="140" t="n">
        <x:f>IFERROR(E37/'입력·근거'!$B$14,"")</x:f>
        <x:v>0.11240029006526468</x:v>
      </x:c>
      <x:c r="H37" s="140" t="n">
        <x:f>IFERROR(F37/'입력·근거'!$B$14,"")</x:f>
        <x:v>0.11240029006526468</x:v>
      </x:c>
    </x:row>
    <x:row r="38">
      <x:c r="A38" s="131" t="str">
        <x:v>조적</x:v>
      </x:c>
      <x:c r="B38" s="131" t="str">
        <x:v>m²</x:v>
      </x:c>
      <x:c r="C38" s="134" t="n">
        <x:v>10</x:v>
      </x:c>
      <x:c r="D38" s="137" t="n">
        <x:v>1437</x:v>
      </x:c>
      <x:c r="E38" s="137" t="n">
        <x:v>1967.24</x:v>
      </x:c>
      <x:c r="F38" s="137" t="n">
        <x:v>2099.8</x:v>
      </x:c>
      <x:c r="G38" s="140" t="n">
        <x:f>IFERROR(E38/'입력·근거'!$B$14,"")</x:f>
        <x:v>2.3776166304085087</x:v>
      </x:c>
      <x:c r="H38" s="140" t="n">
        <x:f>IFERROR(F38/'입력·근거'!$B$14,"")</x:f>
        <x:v>2.537829344935944</x:v>
      </x:c>
    </x:row>
    <x:row r="39">
      <x:c r="A39" s="131" t="str">
        <x:v>조적</x:v>
      </x:c>
      <x:c r="B39" s="131" t="str">
        <x:v>m³</x:v>
      </x:c>
      <x:c r="C39" s="134" t="n">
        <x:v>1</x:v>
      </x:c>
      <x:c r="D39" s="137" t="n">
        <x:v>1</x:v>
      </x:c>
      <x:c r="E39" s="137" t="n">
        <x:v>1</x:v>
      </x:c>
      <x:c r="F39" s="137" t="n">
        <x:v>1</x:v>
      </x:c>
      <x:c r="G39" s="140" t="n">
        <x:f>IFERROR(E39/'입력·근거'!$B$14,"")</x:f>
        <x:v>0.001208605269518975</x:v>
      </x:c>
      <x:c r="H39" s="140" t="n">
        <x:f>IFERROR(F39/'입력·근거'!$B$14,"")</x:f>
        <x:v>0.001208605269518975</x:v>
      </x:c>
    </x:row>
    <x:row r="40">
      <x:c r="A40" s="131" t="str">
        <x:v>지붕</x:v>
      </x:c>
      <x:c r="B40" s="131" t="str">
        <x:v>kg</x:v>
      </x:c>
      <x:c r="C40" s="134" t="n">
        <x:v>7</x:v>
      </x:c>
      <x:c r="D40" s="137" t="n">
        <x:v>5767</x:v>
      </x:c>
      <x:c r="E40" s="137" t="n">
        <x:v>5767</x:v>
      </x:c>
      <x:c r="F40" s="137" t="n">
        <x:v>5767</x:v>
      </x:c>
      <x:c r="G40" s="140" t="n">
        <x:f>IFERROR(E40/'입력·근거'!$B$14,"")</x:f>
        <x:v>6.970026589315929</x:v>
      </x:c>
      <x:c r="H40" s="140" t="n">
        <x:f>IFERROR(F40/'입력·근거'!$B$14,"")</x:f>
        <x:v>6.970026589315929</x:v>
      </x:c>
    </x:row>
    <x:row r="41">
      <x:c r="A41" s="131" t="str">
        <x:v>지붕</x:v>
      </x:c>
      <x:c r="B41" s="131" t="str">
        <x:v>m</x:v>
      </x:c>
      <x:c r="C41" s="134" t="n">
        <x:v>18</x:v>
      </x:c>
      <x:c r="D41" s="137" t="n">
        <x:v>1374.8</x:v>
      </x:c>
      <x:c r="E41" s="137" t="n">
        <x:v>2194.4</x:v>
      </x:c>
      <x:c r="F41" s="137" t="n">
        <x:v>2399.3</x:v>
      </x:c>
      <x:c r="G41" s="140" t="n">
        <x:f>IFERROR(E41/'입력·근거'!$B$14,"")</x:f>
        <x:v>2.6521634034324393</x:v>
      </x:c>
      <x:c r="H41" s="140" t="n">
        <x:f>IFERROR(F41/'입력·근거'!$B$14,"")</x:f>
        <x:v>2.899806623156877</x:v>
      </x:c>
    </x:row>
    <x:row r="42">
      <x:c r="A42" s="131" t="str">
        <x:v>지붕</x:v>
      </x:c>
      <x:c r="B42" s="131" t="str">
        <x:v>m²</x:v>
      </x:c>
      <x:c r="C42" s="134" t="n">
        <x:v>21</x:v>
      </x:c>
      <x:c r="D42" s="137" t="n">
        <x:v>1716.725</x:v>
      </x:c>
      <x:c r="E42" s="137" t="n">
        <x:v>2160.765</x:v>
      </x:c>
      <x:c r="F42" s="137" t="n">
        <x:v>2271.775</x:v>
      </x:c>
      <x:c r="G42" s="140" t="n">
        <x:f>IFERROR(E42/'입력·근거'!$B$14,"")</x:f>
        <x:v>2.611511965192168</x:v>
      </x:c>
      <x:c r="H42" s="140" t="n">
        <x:f>IFERROR(F42/'입력·근거'!$B$14,"")</x:f>
        <x:v>2.74567923616147</x:v>
      </x:c>
    </x:row>
    <x:row r="43">
      <x:c r="A43" s="131" t="str">
        <x:v>지붕</x:v>
      </x:c>
      <x:c r="B43" s="131" t="str">
        <x:v>no.</x:v>
      </x:c>
      <x:c r="C43" s="134" t="n">
        <x:v>13</x:v>
      </x:c>
      <x:c r="D43" s="137" t="n">
        <x:v>293</x:v>
      </x:c>
      <x:c r="E43" s="137" t="n">
        <x:v>317</x:v>
      </x:c>
      <x:c r="F43" s="137" t="n">
        <x:v>323</x:v>
      </x:c>
      <x:c r="G43" s="140" t="n">
        <x:f>IFERROR(E43/'입력·근거'!$B$14,"")</x:f>
        <x:v>0.3831278704375151</x:v>
      </x:c>
      <x:c r="H43" s="140" t="n">
        <x:f>IFERROR(F43/'입력·근거'!$B$14,"")</x:f>
        <x:v>0.39037950205462896</x:v>
      </x:c>
    </x:row>
    <x:row r="44">
      <x:c r="A44" s="131" t="str">
        <x:v>창호·철물</x:v>
      </x:c>
      <x:c r="B44" s="131" t="str">
        <x:v>item</x:v>
      </x:c>
      <x:c r="C44" s="134" t="n">
        <x:v>3</x:v>
      </x:c>
      <x:c r="D44" s="137" t="n">
        <x:v>3</x:v>
      </x:c>
      <x:c r="E44" s="137" t="n">
        <x:v>3</x:v>
      </x:c>
      <x:c r="F44" s="137" t="n">
        <x:v>3</x:v>
      </x:c>
      <x:c r="G44" s="140" t="n">
        <x:f>IFERROR(E44/'입력·근거'!$B$14,"")</x:f>
        <x:v>0.0036258158085569255</x:v>
      </x:c>
      <x:c r="H44" s="140" t="n">
        <x:f>IFERROR(F44/'입력·근거'!$B$14,"")</x:f>
        <x:v>0.0036258158085569255</x:v>
      </x:c>
    </x:row>
    <x:row r="45">
      <x:c r="A45" s="131" t="str">
        <x:v>창호·철물</x:v>
      </x:c>
      <x:c r="B45" s="131" t="str">
        <x:v>kg</x:v>
      </x:c>
      <x:c r="C45" s="134" t="n">
        <x:v>6</x:v>
      </x:c>
      <x:c r="D45" s="137" t="n">
        <x:v>482</x:v>
      </x:c>
      <x:c r="E45" s="137" t="n">
        <x:v>482</x:v>
      </x:c>
      <x:c r="F45" s="137" t="n">
        <x:v>482</x:v>
      </x:c>
      <x:c r="G45" s="140" t="n">
        <x:f>IFERROR(E45/'입력·근거'!$B$14,"")</x:f>
        <x:v>0.582547739908146</x:v>
      </x:c>
      <x:c r="H45" s="140" t="n">
        <x:f>IFERROR(F45/'입력·근거'!$B$14,"")</x:f>
        <x:v>0.582547739908146</x:v>
      </x:c>
    </x:row>
    <x:row r="46">
      <x:c r="A46" s="131" t="str">
        <x:v>창호·철물</x:v>
      </x:c>
      <x:c r="B46" s="131" t="str">
        <x:v>m</x:v>
      </x:c>
      <x:c r="C46" s="134" t="n">
        <x:v>13</x:v>
      </x:c>
      <x:c r="D46" s="137" t="n">
        <x:v>667.5</x:v>
      </x:c>
      <x:c r="E46" s="137" t="n">
        <x:v>809.5</x:v>
      </x:c>
      <x:c r="F46" s="137" t="n">
        <x:v>845</x:v>
      </x:c>
      <x:c r="G46" s="140" t="n">
        <x:f>IFERROR(E46/'입력·근거'!$B$14,"")</x:f>
        <x:v>0.9783659656756104</x:v>
      </x:c>
      <x:c r="H46" s="140" t="n">
        <x:f>IFERROR(F46/'입력·근거'!$B$14,"")</x:f>
        <x:v>1.021271452743534</x:v>
      </x:c>
    </x:row>
    <x:row r="47">
      <x:c r="A47" s="131" t="str">
        <x:v>창호·철물</x:v>
      </x:c>
      <x:c r="B47" s="131" t="str">
        <x:v>m²</x:v>
      </x:c>
      <x:c r="C47" s="134" t="n">
        <x:v>26</x:v>
      </x:c>
      <x:c r="D47" s="137" t="n">
        <x:v>2401.915</x:v>
      </x:c>
      <x:c r="E47" s="137" t="n">
        <x:v>2449.495</x:v>
      </x:c>
      <x:c r="F47" s="137" t="n">
        <x:v>2461.39</x:v>
      </x:c>
      <x:c r="G47" s="140" t="n">
        <x:f>IFERROR(E47/'입력·근거'!$B$14,"")</x:f>
        <x:v>2.9604725646603818</x:v>
      </x:c>
      <x:c r="H47" s="140" t="n">
        <x:f>IFERROR(F47/'입력·근거'!$B$14,"")</x:f>
        <x:v>2.97484892434131</x:v>
      </x:c>
    </x:row>
    <x:row r="48">
      <x:c r="A48" s="131" t="str">
        <x:v>창호·철물</x:v>
      </x:c>
      <x:c r="B48" s="131" t="str">
        <x:v>m³</x:v>
      </x:c>
      <x:c r="C48" s="134" t="n">
        <x:v>13</x:v>
      </x:c>
      <x:c r="D48" s="137" t="n">
        <x:v>144.62</x:v>
      </x:c>
      <x:c r="E48" s="137" t="n">
        <x:v>144.62</x:v>
      </x:c>
      <x:c r="F48" s="137" t="n">
        <x:v>144.62</x:v>
      </x:c>
      <x:c r="G48" s="140" t="n">
        <x:f>IFERROR(E48/'입력·근거'!$B$14,"")</x:f>
        <x:v>0.1747884940778342</x:v>
      </x:c>
      <x:c r="H48" s="140" t="n">
        <x:f>IFERROR(F48/'입력·근거'!$B$14,"")</x:f>
        <x:v>0.1747884940778342</x:v>
      </x:c>
    </x:row>
    <x:row r="49">
      <x:c r="A49" s="131" t="str">
        <x:v>창호·철물</x:v>
      </x:c>
      <x:c r="B49" s="131" t="str">
        <x:v>no.</x:v>
      </x:c>
      <x:c r="C49" s="134" t="n">
        <x:v>15</x:v>
      </x:c>
      <x:c r="D49" s="137" t="n">
        <x:v>44</x:v>
      </x:c>
      <x:c r="E49" s="137" t="n">
        <x:v>68</x:v>
      </x:c>
      <x:c r="F49" s="137" t="n">
        <x:v>74</x:v>
      </x:c>
      <x:c r="G49" s="140" t="n">
        <x:f>IFERROR(E49/'입력·근거'!$B$14,"")</x:f>
        <x:v>0.08218515832729031</x:v>
      </x:c>
      <x:c r="H49" s="140" t="n">
        <x:f>IFERROR(F49/'입력·근거'!$B$14,"")</x:f>
        <x:v>0.08943678994440415</x:v>
      </x:c>
    </x:row>
    <x:row r="50">
      <x:c r="A50" s="131" t="str">
        <x:v>콘크리트·철근·거푸집</x:v>
      </x:c>
      <x:c r="B50" s="131" t="str">
        <x:v>kg</x:v>
      </x:c>
      <x:c r="C50" s="134" t="n">
        <x:v>2</x:v>
      </x:c>
      <x:c r="D50" s="137" t="n">
        <x:v>575.4864</x:v>
      </x:c>
      <x:c r="E50" s="137" t="n">
        <x:v>575.4864</x:v>
      </x:c>
      <x:c r="F50" s="137" t="n">
        <x:v>575.4864</x:v>
      </x:c>
      <x:c r="G50" s="140" t="n">
        <x:f>IFERROR(E50/'입력·근거'!$B$14,"")</x:f>
        <x:v>0.6955358955765047</x:v>
      </x:c>
      <x:c r="H50" s="140" t="n">
        <x:f>IFERROR(F50/'입력·근거'!$B$14,"")</x:f>
        <x:v>0.6955358955765047</x:v>
      </x:c>
    </x:row>
    <x:row r="51">
      <x:c r="A51" s="131" t="str">
        <x:v>콘크리트·철근·거푸집</x:v>
      </x:c>
      <x:c r="B51" s="131" t="str">
        <x:v>m</x:v>
      </x:c>
      <x:c r="C51" s="134" t="n">
        <x:v>6</x:v>
      </x:c>
      <x:c r="D51" s="137" t="n">
        <x:v>331.2</x:v>
      </x:c>
      <x:c r="E51" s="137" t="n">
        <x:v>586</x:v>
      </x:c>
      <x:c r="F51" s="137" t="n">
        <x:v>649.7</x:v>
      </x:c>
      <x:c r="G51" s="140" t="n">
        <x:f>IFERROR(E51/'입력·근거'!$B$14,"")</x:f>
        <x:v>0.7082426879381194</x:v>
      </x:c>
      <x:c r="H51" s="140" t="n">
        <x:f>IFERROR(F51/'입력·근거'!$B$14,"")</x:f>
        <x:v>0.7852308436064782</x:v>
      </x:c>
    </x:row>
    <x:row r="52">
      <x:c r="A52" s="131" t="str">
        <x:v>콘크리트·철근·거푸집</x:v>
      </x:c>
      <x:c r="B52" s="131" t="str">
        <x:v>m²</x:v>
      </x:c>
      <x:c r="C52" s="134" t="n">
        <x:v>17</x:v>
      </x:c>
      <x:c r="D52" s="137" t="n">
        <x:v>1334.34</x:v>
      </x:c>
      <x:c r="E52" s="137" t="n">
        <x:v>1660.74</x:v>
      </x:c>
      <x:c r="F52" s="137" t="n">
        <x:v>1742.34</x:v>
      </x:c>
      <x:c r="G52" s="140" t="n">
        <x:f>IFERROR(E52/'입력·근거'!$B$14,"")</x:f>
        <x:v>2.007179115300943</x:v>
      </x:c>
      <x:c r="H52" s="140" t="n">
        <x:f>IFERROR(F52/'입력·근거'!$B$14,"")</x:f>
        <x:v>2.1058013052936913</x:v>
      </x:c>
    </x:row>
    <x:row r="53">
      <x:c r="A53" s="131" t="str">
        <x:v>콘크리트·철근·거푸집</x:v>
      </x:c>
      <x:c r="B53" s="131" t="str">
        <x:v>m³</x:v>
      </x:c>
      <x:c r="C53" s="134" t="n">
        <x:v>8</x:v>
      </x:c>
      <x:c r="D53" s="137" t="n">
        <x:v>94.23</x:v>
      </x:c>
      <x:c r="E53" s="137" t="n">
        <x:v>98.23</x:v>
      </x:c>
      <x:c r="F53" s="137" t="n">
        <x:v>99.23</x:v>
      </x:c>
      <x:c r="G53" s="140" t="n">
        <x:f>IFERROR(E53/'입력·근거'!$B$14,"")</x:f>
        <x:v>0.11872129562484893</x:v>
      </x:c>
      <x:c r="H53" s="140" t="n">
        <x:f>IFERROR(F53/'입력·근거'!$B$14,"")</x:f>
        <x:v>0.1199299008943679</x:v>
      </x:c>
    </x:row>
    <x:row r="54">
      <x:c r="A54" s="131" t="str">
        <x:v>콘크리트·철근·거푸집</x:v>
      </x:c>
      <x:c r="B54" s="131" t="str">
        <x:v>no.</x:v>
      </x:c>
      <x:c r="C54" s="134" t="n">
        <x:v>1</x:v>
      </x:c>
      <x:c r="D54" s="137" t="n">
        <x:v>96</x:v>
      </x:c>
      <x:c r="E54" s="137" t="n">
        <x:v>96</x:v>
      </x:c>
      <x:c r="F54" s="137" t="n">
        <x:v>96</x:v>
      </x:c>
      <x:c r="G54" s="140" t="n">
        <x:f>IFERROR(E54/'입력·근거'!$B$14,"")</x:f>
        <x:v>0.11602610587382162</x:v>
      </x:c>
      <x:c r="H54" s="140" t="n">
        <x:f>IFERROR(F54/'입력·근거'!$B$14,"")</x:f>
        <x:v>0.11602610587382162</x:v>
      </x:c>
    </x:row>
    <x:row r="55">
      <x:c r="A55" s="131" t="str">
        <x:v>토공·기초</x:v>
      </x:c>
      <x:c r="B55" s="131" t="str">
        <x:v>item</x:v>
      </x:c>
      <x:c r="C55" s="134" t="n">
        <x:v>2</x:v>
      </x:c>
      <x:c r="D55" s="137" t="n">
        <x:v>2</x:v>
      </x:c>
      <x:c r="E55" s="137" t="n">
        <x:v>2</x:v>
      </x:c>
      <x:c r="F55" s="137" t="n">
        <x:v>2</x:v>
      </x:c>
      <x:c r="G55" s="140" t="n">
        <x:f>IFERROR(E55/'입력·근거'!$B$14,"")</x:f>
        <x:v>0.00241721053903795</x:v>
      </x:c>
      <x:c r="H55" s="140" t="n">
        <x:f>IFERROR(F55/'입력·근거'!$B$14,"")</x:f>
        <x:v>0.00241721053903795</x:v>
      </x:c>
    </x:row>
    <x:row r="56">
      <x:c r="A56" s="131" t="str">
        <x:v>토공·기초</x:v>
      </x:c>
      <x:c r="B56" s="131" t="str">
        <x:v>m²</x:v>
      </x:c>
      <x:c r="C56" s="134" t="n">
        <x:v>10</x:v>
      </x:c>
      <x:c r="D56" s="137" t="n">
        <x:v>6854.016667</x:v>
      </x:c>
      <x:c r="E56" s="137" t="n">
        <x:v>7180.416667</x:v>
      </x:c>
      <x:c r="F56" s="137" t="n">
        <x:v>7262.016667</x:v>
      </x:c>
      <x:c r="G56" s="140" t="n">
        <x:f>IFERROR(E56/'입력·근거'!$B$14,"")</x:f>
        <x:v>8.678289421078077</x:v>
      </x:c>
      <x:c r="H56" s="140" t="n">
        <x:f>IFERROR(F56/'입력·근거'!$B$14,"")</x:f>
        <x:v>8.776911611070824</x:v>
      </x:c>
    </x:row>
    <x:row r="57">
      <x:c r="A57" s="132" t="str">
        <x:v>토공·기초</x:v>
      </x:c>
      <x:c r="B57" s="132" t="str">
        <x:v>m³</x:v>
      </x:c>
      <x:c r="C57" s="135" t="n">
        <x:v>18</x:v>
      </x:c>
      <x:c r="D57" s="138" t="n">
        <x:v>1575.832</x:v>
      </x:c>
      <x:c r="E57" s="138" t="n">
        <x:v>1717.352</x:v>
      </x:c>
      <x:c r="F57" s="138" t="n">
        <x:v>1752.732</x:v>
      </x:c>
      <x:c r="G57" s="141" t="n">
        <x:f>IFERROR(E57/'입력·근거'!$B$14,"")</x:f>
        <x:v>2.075600676818951</x:v>
      </x:c>
      <x:c r="H57" s="141" t="n">
        <x:f>IFERROR(F57/'입력·근거'!$B$14,"")</x:f>
        <x:v>2.1183611312545323</x:v>
      </x:c>
    </x:row>
  </x:sheetData>
  <x:mergeCells>
    <x:mergeCell ref="A1:H1"/>
    <x:mergeCell ref="A2:H2"/>
  </x:mergeCells>
  <x:pageMargins left="0.7" right="0.7" top="0.75" bottom="0.75" header="0.3" footer="0.3"/>
  <x:tableParts count="1">
    <x:tablePart xmlns:r="http://schemas.openxmlformats.org/officeDocument/2006/relationships" r:id="R787795208cda437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8" hidden="0" customWidth="1"/>
    <x:col min="3" max="3" width="24" hidden="0" customWidth="1"/>
    <x:col min="4" max="4" width="22" hidden="0" customWidth="1"/>
    <x:col min="5" max="5" width="25" hidden="0" customWidth="1"/>
    <x:col min="6" max="6" width="31" hidden="0" customWidth="1"/>
    <x:col min="7" max="7" width="9" hidden="0" customWidth="1"/>
    <x:col min="8" max="8" width="70" hidden="0" customWidth="1"/>
    <x:col min="9" max="9" width="10" hidden="0" customWidth="1"/>
    <x:col min="10" max="10" width="13" hidden="0" customWidth="1"/>
    <x:col min="11" max="11" width="23" hidden="0" customWidth="1"/>
    <x:col min="12" max="12" width="9" hidden="0" customWidth="1"/>
    <x:col min="13" max="13" width="9" hidden="0" customWidth="1"/>
    <x:col min="14" max="14" width="13" hidden="0" customWidth="1"/>
    <x:col min="15" max="15" width="13" hidden="0" customWidth="1"/>
    <x:col min="16" max="16" width="13" hidden="0" customWidth="1"/>
    <x:col min="17" max="17" width="15" hidden="0" customWidth="1"/>
    <x:col min="18" max="18" width="17" hidden="0" customWidth="1"/>
    <x:col min="19" max="19" width="36" hidden="0" customWidth="1"/>
  </x:cols>
  <x:sheetData>
    <x:row r="1" ht="34" customHeight="1">
      <x:c r="A1" s="3" t="str">
        <x:v>KOICA 우간다 BOQ 세부항목</x:v>
      </x:c>
    </x:row>
    <x:row r="2" ht="36" customHeight="1">
      <x:c r="A2" s="7" t="str">
        <x:v>노란색 단가 입력열에 현지견적을 넣으면 선택 시나리오 수량×단가로 예상금액이 계산됩니다. 원본 수량·수식·추적 위치는 보존됩니다.</x:v>
      </x:c>
    </x:row>
    <x:row r="4" ht="30" customHeight="1">
      <x:c r="A4" s="13" t="str">
        <x:v>원본시트</x:v>
      </x:c>
      <x:c r="B4" s="13" t="str">
        <x:v>행</x:v>
      </x:c>
      <x:c r="C4" s="13" t="str">
        <x:v>시설</x:v>
      </x:c>
      <x:c r="D4" s="13" t="str">
        <x:v>자동공종</x:v>
      </x:c>
      <x:c r="E4" s="13" t="str">
        <x:v>요소</x:v>
      </x:c>
      <x:c r="F4" s="13" t="str">
        <x:v>세부제목</x:v>
      </x:c>
      <x:c r="G4" s="13" t="str">
        <x:v>항목</x:v>
      </x:c>
      <x:c r="H4" s="13" t="str">
        <x:v>설명</x:v>
      </x:c>
      <x:c r="I4" s="13" t="str">
        <x:v>단위</x:v>
      </x:c>
      <x:c r="J4" s="13" t="str">
        <x:v>기본수량</x:v>
      </x:c>
      <x:c r="K4" s="13" t="str">
        <x:v>원본수식</x:v>
      </x:c>
      <x:c r="L4" s="13" t="str">
        <x:v>저배수</x:v>
      </x:c>
      <x:c r="M4" s="13" t="str">
        <x:v>고배수</x:v>
      </x:c>
      <x:c r="N4" s="13" t="str">
        <x:v>저수량</x:v>
      </x:c>
      <x:c r="O4" s="13" t="str">
        <x:v>고수량</x:v>
      </x:c>
      <x:c r="P4" s="13" t="str">
        <x:v>선택수량</x:v>
      </x:c>
      <x:c r="Q4" s="13" t="str">
        <x:v>현지단가 UGX</x:v>
      </x:c>
      <x:c r="R4" s="13" t="str">
        <x:v>예상금액 UGX</x:v>
      </x:c>
      <x:c r="S4" s="13" t="str">
        <x:v>검토표시</x:v>
      </x:c>
    </x:row>
    <x:row r="5">
      <x:c r="A5" s="145" t="str">
        <x:v>PRELIMINARIES</x:v>
      </x:c>
      <x:c r="B5" s="145" t="n">
        <x:v>7</x:v>
      </x:c>
      <x:c r="C5" s="145" t="str">
        <x:v>공통가설·일반조건</x:v>
      </x:c>
      <x:c r="D5" s="145" t="str">
        <x:v>가설·일반조건</x:v>
      </x:c>
      <x:c r="E5" s="145" t="str"/>
      <x:c r="F5" s="145" t="str"/>
      <x:c r="G5" s="145" t="str">
        <x:v>A</x:v>
      </x:c>
      <x:c r="H5" s="48" t="str">
        <x:v>Bidder to visit Site</x:v>
      </x:c>
      <x:c r="I5" s="145" t="str"/>
      <x:c r="J5" s="148" t="str"/>
      <x:c r="K5" s="145" t="str"/>
      <x:c r="L5" s="148" t="n">
        <x:v>1</x:v>
      </x:c>
      <x:c r="M5" s="148" t="n">
        <x:v>1</x:v>
      </x:c>
      <x:c r="N5" s="148" t="str"/>
      <x:c r="O5" s="148" t="str"/>
      <x:c r="P5" s="148" t="str">
        <x:f>IF('입력·근거'!$B$12="HIGH",O5,N5)</x:f>
      </x:c>
      <x:c r="Q5" s="157" t="str"/>
      <x:c r="R5" s="160" t="str">
        <x:f>IF(Q5="","",P5*Q5)</x:f>
      </x:c>
      <x:c r="S5" s="145" t="str">
        <x:v>unquantified_allowance;unpriced_source</x:v>
      </x:c>
    </x:row>
    <x:row r="6">
      <x:c r="A6" s="146" t="str">
        <x:v>PRELIMINARIES</x:v>
      </x:c>
      <x:c r="B6" s="146" t="n">
        <x:v>8</x:v>
      </x:c>
      <x:c r="C6" s="146" t="str">
        <x:v>공통가설·일반조건</x:v>
      </x:c>
      <x:c r="D6" s="146" t="str">
        <x:v>가설·일반조건</x:v>
      </x:c>
      <x:c r="E6" s="146" t="str"/>
      <x:c r="F6" s="146" t="str"/>
      <x:c r="G6" s="146" t="str">
        <x:v>B</x:v>
      </x:c>
      <x:c r="H6" s="49" t="str">
        <x:v>Measurements</x:v>
      </x:c>
      <x:c r="I6" s="146" t="str"/>
      <x:c r="J6" s="149" t="str"/>
      <x:c r="K6" s="146" t="str"/>
      <x:c r="L6" s="149" t="n">
        <x:v>1</x:v>
      </x:c>
      <x:c r="M6" s="149" t="n">
        <x:v>1</x:v>
      </x:c>
      <x:c r="N6" s="149" t="str"/>
      <x:c r="O6" s="149" t="str"/>
      <x:c r="P6" s="149" t="str">
        <x:f>IF('입력·근거'!$B$12="HIGH",O6,N6)</x:f>
      </x:c>
      <x:c r="Q6" s="158" t="str"/>
      <x:c r="R6" s="161" t="str">
        <x:f>IF(Q6="","",P6*Q6)</x:f>
      </x:c>
      <x:c r="S6" s="146" t="str">
        <x:v>unquantified_allowance;unpriced_source</x:v>
      </x:c>
    </x:row>
    <x:row r="7">
      <x:c r="A7" s="146" t="str">
        <x:v>PRELIMINARIES</x:v>
      </x:c>
      <x:c r="B7" s="146" t="n">
        <x:v>9</x:v>
      </x:c>
      <x:c r="C7" s="146" t="str">
        <x:v>공통가설·일반조건</x:v>
      </x:c>
      <x:c r="D7" s="146" t="str">
        <x:v>가설·일반조건</x:v>
      </x:c>
      <x:c r="E7" s="146" t="str"/>
      <x:c r="F7" s="146" t="str"/>
      <x:c r="G7" s="146" t="str">
        <x:v>C</x:v>
      </x:c>
      <x:c r="H7" s="49" t="str">
        <x:v>Samples (Materials)</x:v>
      </x:c>
      <x:c r="I7" s="146" t="str"/>
      <x:c r="J7" s="149" t="str"/>
      <x:c r="K7" s="146" t="str"/>
      <x:c r="L7" s="149" t="n">
        <x:v>1</x:v>
      </x:c>
      <x:c r="M7" s="149" t="n">
        <x:v>1</x:v>
      </x:c>
      <x:c r="N7" s="149" t="str"/>
      <x:c r="O7" s="149" t="str"/>
      <x:c r="P7" s="149" t="str">
        <x:f>IF('입력·근거'!$B$12="HIGH",O7,N7)</x:f>
      </x:c>
      <x:c r="Q7" s="158" t="str"/>
      <x:c r="R7" s="161" t="str">
        <x:f>IF(Q7="","",P7*Q7)</x:f>
      </x:c>
      <x:c r="S7" s="146" t="str">
        <x:v>unquantified_allowance;unpriced_source</x:v>
      </x:c>
    </x:row>
    <x:row r="8">
      <x:c r="A8" s="146" t="str">
        <x:v>PRELIMINARIES</x:v>
      </x:c>
      <x:c r="B8" s="146" t="n">
        <x:v>10</x:v>
      </x:c>
      <x:c r="C8" s="146" t="str">
        <x:v>공통가설·일반조건</x:v>
      </x:c>
      <x:c r="D8" s="146" t="str">
        <x:v>가설·일반조건</x:v>
      </x:c>
      <x:c r="E8" s="146" t="str"/>
      <x:c r="F8" s="146" t="str"/>
      <x:c r="G8" s="146" t="str">
        <x:v>D</x:v>
      </x:c>
      <x:c r="H8" s="49" t="str">
        <x:v>Rejected Workmanship or Materials</x:v>
      </x:c>
      <x:c r="I8" s="146" t="str"/>
      <x:c r="J8" s="149" t="str"/>
      <x:c r="K8" s="146" t="str"/>
      <x:c r="L8" s="149" t="n">
        <x:v>1</x:v>
      </x:c>
      <x:c r="M8" s="149" t="n">
        <x:v>1</x:v>
      </x:c>
      <x:c r="N8" s="149" t="str"/>
      <x:c r="O8" s="149" t="str"/>
      <x:c r="P8" s="149" t="str">
        <x:f>IF('입력·근거'!$B$12="HIGH",O8,N8)</x:f>
      </x:c>
      <x:c r="Q8" s="158" t="str"/>
      <x:c r="R8" s="161" t="str">
        <x:f>IF(Q8="","",P8*Q8)</x:f>
      </x:c>
      <x:c r="S8" s="146" t="str">
        <x:v>unquantified_allowance;unpriced_source</x:v>
      </x:c>
    </x:row>
    <x:row r="9">
      <x:c r="A9" s="146" t="str">
        <x:v>PRELIMINARIES</x:v>
      </x:c>
      <x:c r="B9" s="146" t="n">
        <x:v>11</x:v>
      </x:c>
      <x:c r="C9" s="146" t="str">
        <x:v>공통가설·일반조건</x:v>
      </x:c>
      <x:c r="D9" s="146" t="str">
        <x:v>가설·일반조건</x:v>
      </x:c>
      <x:c r="E9" s="146" t="str"/>
      <x:c r="F9" s="146" t="str"/>
      <x:c r="G9" s="146" t="str">
        <x:v>E</x:v>
      </x:c>
      <x:c r="H9" s="49" t="str">
        <x:v>Program and Progress</x:v>
      </x:c>
      <x:c r="I9" s="146" t="str"/>
      <x:c r="J9" s="149" t="str"/>
      <x:c r="K9" s="146" t="str"/>
      <x:c r="L9" s="149" t="n">
        <x:v>1</x:v>
      </x:c>
      <x:c r="M9" s="149" t="n">
        <x:v>1</x:v>
      </x:c>
      <x:c r="N9" s="149" t="str"/>
      <x:c r="O9" s="149" t="str"/>
      <x:c r="P9" s="149" t="str">
        <x:f>IF('입력·근거'!$B$12="HIGH",O9,N9)</x:f>
      </x:c>
      <x:c r="Q9" s="158" t="str"/>
      <x:c r="R9" s="161" t="str">
        <x:f>IF(Q9="","",P9*Q9)</x:f>
      </x:c>
      <x:c r="S9" s="146" t="str">
        <x:v>unquantified_allowance;unpriced_source</x:v>
      </x:c>
    </x:row>
    <x:row r="10">
      <x:c r="A10" s="146" t="str">
        <x:v>PRELIMINARIES</x:v>
      </x:c>
      <x:c r="B10" s="146" t="n">
        <x:v>12</x:v>
      </x:c>
      <x:c r="C10" s="146" t="str">
        <x:v>공통가설·일반조건</x:v>
      </x:c>
      <x:c r="D10" s="146" t="str">
        <x:v>가설·일반조건</x:v>
      </x:c>
      <x:c r="E10" s="146" t="str"/>
      <x:c r="F10" s="146" t="str"/>
      <x:c r="G10" s="146" t="str">
        <x:v>F</x:v>
      </x:c>
      <x:c r="H10" s="49" t="str">
        <x:v>Progress Photographs</x:v>
      </x:c>
      <x:c r="I10" s="146" t="str"/>
      <x:c r="J10" s="149" t="str"/>
      <x:c r="K10" s="146" t="str"/>
      <x:c r="L10" s="149" t="n">
        <x:v>1</x:v>
      </x:c>
      <x:c r="M10" s="149" t="n">
        <x:v>1</x:v>
      </x:c>
      <x:c r="N10" s="149" t="str"/>
      <x:c r="O10" s="149" t="str"/>
      <x:c r="P10" s="149" t="str">
        <x:f>IF('입력·근거'!$B$12="HIGH",O10,N10)</x:f>
      </x:c>
      <x:c r="Q10" s="158" t="str"/>
      <x:c r="R10" s="161" t="str">
        <x:f>IF(Q10="","",P10*Q10)</x:f>
      </x:c>
      <x:c r="S10" s="146" t="str">
        <x:v>unquantified_allowance;unpriced_source</x:v>
      </x:c>
    </x:row>
    <x:row r="11">
      <x:c r="A11" s="146" t="str">
        <x:v>PRELIMINARIES</x:v>
      </x:c>
      <x:c r="B11" s="146" t="n">
        <x:v>14</x:v>
      </x:c>
      <x:c r="C11" s="146" t="str">
        <x:v>공통가설·일반조건</x:v>
      </x:c>
      <x:c r="D11" s="146" t="str">
        <x:v>가설·일반조건</x:v>
      </x:c>
      <x:c r="E11" s="146" t="str"/>
      <x:c r="F11" s="146" t="str"/>
      <x:c r="G11" s="146" t="str">
        <x:v>2</x:v>
      </x:c>
      <x:c r="H11" s="49" t="str">
        <x:v>TESTING</x:v>
      </x:c>
      <x:c r="I11" s="146" t="str"/>
      <x:c r="J11" s="149" t="str"/>
      <x:c r="K11" s="146" t="str"/>
      <x:c r="L11" s="149" t="n">
        <x:v>1</x:v>
      </x:c>
      <x:c r="M11" s="149" t="n">
        <x:v>1</x:v>
      </x:c>
      <x:c r="N11" s="149" t="str"/>
      <x:c r="O11" s="149" t="str"/>
      <x:c r="P11" s="149" t="str">
        <x:f>IF('입력·근거'!$B$12="HIGH",O11,N11)</x:f>
      </x:c>
      <x:c r="Q11" s="158" t="str"/>
      <x:c r="R11" s="161" t="str">
        <x:f>IF(Q11="","",P11*Q11)</x:f>
      </x:c>
      <x:c r="S11" s="146" t="str">
        <x:v>unquantified_allowance;unpriced_source</x:v>
      </x:c>
    </x:row>
    <x:row r="12">
      <x:c r="A12" s="146" t="str">
        <x:v>PRELIMINARIES</x:v>
      </x:c>
      <x:c r="B12" s="146" t="n">
        <x:v>15</x:v>
      </x:c>
      <x:c r="C12" s="146" t="str">
        <x:v>공통가설·일반조건</x:v>
      </x:c>
      <x:c r="D12" s="146" t="str">
        <x:v>가설·일반조건</x:v>
      </x:c>
      <x:c r="E12" s="146" t="str"/>
      <x:c r="F12" s="146" t="str"/>
      <x:c r="G12" s="146" t="str">
        <x:v>A</x:v>
      </x:c>
      <x:c r="H12" s="49" t="str">
        <x:v>Concrete Tests</x:v>
      </x:c>
      <x:c r="I12" s="146" t="str"/>
      <x:c r="J12" s="149" t="str"/>
      <x:c r="K12" s="146" t="str"/>
      <x:c r="L12" s="149" t="n">
        <x:v>1</x:v>
      </x:c>
      <x:c r="M12" s="149" t="n">
        <x:v>1</x:v>
      </x:c>
      <x:c r="N12" s="149" t="str"/>
      <x:c r="O12" s="149" t="str"/>
      <x:c r="P12" s="149" t="str">
        <x:f>IF('입력·근거'!$B$12="HIGH",O12,N12)</x:f>
      </x:c>
      <x:c r="Q12" s="158" t="str"/>
      <x:c r="R12" s="161" t="str">
        <x:f>IF(Q12="","",P12*Q12)</x:f>
      </x:c>
      <x:c r="S12" s="146" t="str">
        <x:v>unquantified_allowance;unpriced_source</x:v>
      </x:c>
    </x:row>
    <x:row r="13">
      <x:c r="A13" s="146" t="str">
        <x:v>PRELIMINARIES</x:v>
      </x:c>
      <x:c r="B13" s="146" t="n">
        <x:v>16</x:v>
      </x:c>
      <x:c r="C13" s="146" t="str">
        <x:v>공통가설·일반조건</x:v>
      </x:c>
      <x:c r="D13" s="146" t="str">
        <x:v>가설·일반조건</x:v>
      </x:c>
      <x:c r="E13" s="146" t="str"/>
      <x:c r="F13" s="146" t="str"/>
      <x:c r="G13" s="146" t="str">
        <x:v>B</x:v>
      </x:c>
      <x:c r="H13" s="49" t="str">
        <x:v>Payment for materials on Site</x:v>
      </x:c>
      <x:c r="I13" s="146" t="str"/>
      <x:c r="J13" s="149" t="str"/>
      <x:c r="K13" s="146" t="str"/>
      <x:c r="L13" s="149" t="n">
        <x:v>1</x:v>
      </x:c>
      <x:c r="M13" s="149" t="n">
        <x:v>1</x:v>
      </x:c>
      <x:c r="N13" s="149" t="str"/>
      <x:c r="O13" s="149" t="str"/>
      <x:c r="P13" s="149" t="str">
        <x:f>IF('입력·근거'!$B$12="HIGH",O13,N13)</x:f>
      </x:c>
      <x:c r="Q13" s="158" t="str"/>
      <x:c r="R13" s="161" t="str">
        <x:f>IF(Q13="","",P13*Q13)</x:f>
      </x:c>
      <x:c r="S13" s="146" t="str">
        <x:v>unquantified_allowance;unpriced_source</x:v>
      </x:c>
    </x:row>
    <x:row r="14">
      <x:c r="A14" s="146" t="str">
        <x:v>PRELIMINARIES</x:v>
      </x:c>
      <x:c r="B14" s="146" t="n">
        <x:v>17</x:v>
      </x:c>
      <x:c r="C14" s="146" t="str">
        <x:v>공통가설·일반조건</x:v>
      </x:c>
      <x:c r="D14" s="146" t="str">
        <x:v>가설·일반조건</x:v>
      </x:c>
      <x:c r="E14" s="146" t="str"/>
      <x:c r="F14" s="146" t="str"/>
      <x:c r="G14" s="146" t="str">
        <x:v>C</x:v>
      </x:c>
      <x:c r="H14" s="49" t="str">
        <x:v>Priced Bills of Quantities</x:v>
      </x:c>
      <x:c r="I14" s="146" t="str"/>
      <x:c r="J14" s="149" t="str"/>
      <x:c r="K14" s="146" t="str"/>
      <x:c r="L14" s="149" t="n">
        <x:v>1</x:v>
      </x:c>
      <x:c r="M14" s="149" t="n">
        <x:v>1</x:v>
      </x:c>
      <x:c r="N14" s="149" t="str"/>
      <x:c r="O14" s="149" t="str"/>
      <x:c r="P14" s="149" t="str">
        <x:f>IF('입력·근거'!$B$12="HIGH",O14,N14)</x:f>
      </x:c>
      <x:c r="Q14" s="158" t="str"/>
      <x:c r="R14" s="161" t="str">
        <x:f>IF(Q14="","",P14*Q14)</x:f>
      </x:c>
      <x:c r="S14" s="146" t="str">
        <x:v>unquantified_allowance;unpriced_source</x:v>
      </x:c>
    </x:row>
    <x:row r="15">
      <x:c r="A15" s="146" t="str">
        <x:v>PRELIMINARIES</x:v>
      </x:c>
      <x:c r="B15" s="146" t="n">
        <x:v>18</x:v>
      </x:c>
      <x:c r="C15" s="146" t="str">
        <x:v>공통가설·일반조건</x:v>
      </x:c>
      <x:c r="D15" s="146" t="str">
        <x:v>가설·일반조건</x:v>
      </x:c>
      <x:c r="E15" s="146" t="str"/>
      <x:c r="F15" s="146" t="str"/>
      <x:c r="G15" s="146" t="str">
        <x:v>D</x:v>
      </x:c>
      <x:c r="H15" s="49" t="str">
        <x:v>Working and Storage Space</x:v>
      </x:c>
      <x:c r="I15" s="146" t="str"/>
      <x:c r="J15" s="149" t="str"/>
      <x:c r="K15" s="146" t="str"/>
      <x:c r="L15" s="149" t="n">
        <x:v>1</x:v>
      </x:c>
      <x:c r="M15" s="149" t="n">
        <x:v>1</x:v>
      </x:c>
      <x:c r="N15" s="149" t="str"/>
      <x:c r="O15" s="149" t="str"/>
      <x:c r="P15" s="149" t="str">
        <x:f>IF('입력·근거'!$B$12="HIGH",O15,N15)</x:f>
      </x:c>
      <x:c r="Q15" s="158" t="str"/>
      <x:c r="R15" s="161" t="str">
        <x:f>IF(Q15="","",P15*Q15)</x:f>
      </x:c>
      <x:c r="S15" s="146" t="str">
        <x:v>unquantified_allowance;unpriced_source</x:v>
      </x:c>
    </x:row>
    <x:row r="16">
      <x:c r="A16" s="146" t="str">
        <x:v>PRELIMINARIES</x:v>
      </x:c>
      <x:c r="B16" s="146" t="n">
        <x:v>19</x:v>
      </x:c>
      <x:c r="C16" s="146" t="str">
        <x:v>공통가설·일반조건</x:v>
      </x:c>
      <x:c r="D16" s="146" t="str">
        <x:v>가설·일반조건</x:v>
      </x:c>
      <x:c r="E16" s="146" t="str"/>
      <x:c r="F16" s="146" t="str"/>
      <x:c r="G16" s="146" t="str">
        <x:v>E</x:v>
      </x:c>
      <x:c r="H16" s="49" t="str">
        <x:v>Site Instructions Book</x:v>
      </x:c>
      <x:c r="I16" s="146" t="str"/>
      <x:c r="J16" s="149" t="str"/>
      <x:c r="K16" s="146" t="str"/>
      <x:c r="L16" s="149" t="n">
        <x:v>1</x:v>
      </x:c>
      <x:c r="M16" s="149" t="n">
        <x:v>1</x:v>
      </x:c>
      <x:c r="N16" s="149" t="str"/>
      <x:c r="O16" s="149" t="str"/>
      <x:c r="P16" s="149" t="str">
        <x:f>IF('입력·근거'!$B$12="HIGH",O16,N16)</x:f>
      </x:c>
      <x:c r="Q16" s="158" t="str"/>
      <x:c r="R16" s="161" t="str">
        <x:f>IF(Q16="","",P16*Q16)</x:f>
      </x:c>
      <x:c r="S16" s="146" t="str">
        <x:v>unquantified_allowance;unpriced_source</x:v>
      </x:c>
    </x:row>
    <x:row r="17">
      <x:c r="A17" s="146" t="str">
        <x:v>PRELIMINARIES</x:v>
      </x:c>
      <x:c r="B17" s="146" t="n">
        <x:v>21</x:v>
      </x:c>
      <x:c r="C17" s="146" t="str">
        <x:v>공통가설·일반조건</x:v>
      </x:c>
      <x:c r="D17" s="146" t="str">
        <x:v>가설·일반조건</x:v>
      </x:c>
      <x:c r="E17" s="146" t="str"/>
      <x:c r="F17" s="146" t="str"/>
      <x:c r="G17" s="146" t="str">
        <x:v>3</x:v>
      </x:c>
      <x:c r="H17" s="49" t="str">
        <x:v>GENERAL MATTERS</x:v>
      </x:c>
      <x:c r="I17" s="146" t="str"/>
      <x:c r="J17" s="149" t="str"/>
      <x:c r="K17" s="146" t="str"/>
      <x:c r="L17" s="149" t="n">
        <x:v>1</x:v>
      </x:c>
      <x:c r="M17" s="149" t="n">
        <x:v>1</x:v>
      </x:c>
      <x:c r="N17" s="149" t="str"/>
      <x:c r="O17" s="149" t="str"/>
      <x:c r="P17" s="149" t="str">
        <x:f>IF('입력·근거'!$B$12="HIGH",O17,N17)</x:f>
      </x:c>
      <x:c r="Q17" s="158" t="str"/>
      <x:c r="R17" s="161" t="str">
        <x:f>IF(Q17="","",P17*Q17)</x:f>
      </x:c>
      <x:c r="S17" s="146" t="str">
        <x:v>unquantified_allowance;unpriced_source</x:v>
      </x:c>
    </x:row>
    <x:row r="18">
      <x:c r="A18" s="146" t="str">
        <x:v>PRELIMINARIES</x:v>
      </x:c>
      <x:c r="B18" s="146" t="n">
        <x:v>22</x:v>
      </x:c>
      <x:c r="C18" s="146" t="str">
        <x:v>공통가설·일반조건</x:v>
      </x:c>
      <x:c r="D18" s="146" t="str">
        <x:v>가설·일반조건</x:v>
      </x:c>
      <x:c r="E18" s="146" t="str"/>
      <x:c r="F18" s="146" t="str"/>
      <x:c r="G18" s="146" t="str">
        <x:v>A</x:v>
      </x:c>
      <x:c r="H18" s="49" t="str">
        <x:v>Tools and Plant</x:v>
      </x:c>
      <x:c r="I18" s="146" t="str"/>
      <x:c r="J18" s="149" t="str"/>
      <x:c r="K18" s="146" t="str"/>
      <x:c r="L18" s="149" t="n">
        <x:v>1</x:v>
      </x:c>
      <x:c r="M18" s="149" t="n">
        <x:v>1</x:v>
      </x:c>
      <x:c r="N18" s="149" t="str"/>
      <x:c r="O18" s="149" t="str"/>
      <x:c r="P18" s="149" t="str">
        <x:f>IF('입력·근거'!$B$12="HIGH",O18,N18)</x:f>
      </x:c>
      <x:c r="Q18" s="158" t="str"/>
      <x:c r="R18" s="161" t="str">
        <x:f>IF(Q18="","",P18*Q18)</x:f>
      </x:c>
      <x:c r="S18" s="146" t="str">
        <x:v>unquantified_allowance;unpriced_source</x:v>
      </x:c>
    </x:row>
    <x:row r="19">
      <x:c r="A19" s="146" t="str">
        <x:v>PRELIMINARIES</x:v>
      </x:c>
      <x:c r="B19" s="146" t="n">
        <x:v>23</x:v>
      </x:c>
      <x:c r="C19" s="146" t="str">
        <x:v>공통가설·일반조건</x:v>
      </x:c>
      <x:c r="D19" s="146" t="str">
        <x:v>가설·일반조건</x:v>
      </x:c>
      <x:c r="E19" s="146" t="str"/>
      <x:c r="F19" s="146" t="str"/>
      <x:c r="G19" s="146" t="str">
        <x:v>B</x:v>
      </x:c>
      <x:c r="H19" s="49" t="str">
        <x:v>Safety, Health and Welfare of Work people</x:v>
      </x:c>
      <x:c r="I19" s="146" t="str"/>
      <x:c r="J19" s="149" t="str"/>
      <x:c r="K19" s="146" t="str"/>
      <x:c r="L19" s="149" t="n">
        <x:v>1</x:v>
      </x:c>
      <x:c r="M19" s="149" t="n">
        <x:v>1</x:v>
      </x:c>
      <x:c r="N19" s="149" t="str"/>
      <x:c r="O19" s="149" t="str"/>
      <x:c r="P19" s="149" t="str">
        <x:f>IF('입력·근거'!$B$12="HIGH",O19,N19)</x:f>
      </x:c>
      <x:c r="Q19" s="158" t="str"/>
      <x:c r="R19" s="161" t="str">
        <x:f>IF(Q19="","",P19*Q19)</x:f>
      </x:c>
      <x:c r="S19" s="146" t="str">
        <x:v>unquantified_allowance;unpriced_source</x:v>
      </x:c>
    </x:row>
    <x:row r="20">
      <x:c r="A20" s="146" t="str">
        <x:v>PRELIMINARIES</x:v>
      </x:c>
      <x:c r="B20" s="146" t="n">
        <x:v>26</x:v>
      </x:c>
      <x:c r="C20" s="146" t="str">
        <x:v>공통가설·일반조건</x:v>
      </x:c>
      <x:c r="D20" s="146" t="str">
        <x:v>가설·일반조건</x:v>
      </x:c>
      <x:c r="E20" s="146" t="str"/>
      <x:c r="F20" s="146" t="str">
        <x:v>(ii) Environmental Social Safeguards compliance</x:v>
      </x:c>
      <x:c r="G20" s="146" t="str">
        <x:v>C</x:v>
      </x:c>
      <x:c r="H20" s="49" t="str">
        <x:v>Holidays and Transport for Work people</x:v>
      </x:c>
      <x:c r="I20" s="146" t="str"/>
      <x:c r="J20" s="149" t="str"/>
      <x:c r="K20" s="146" t="str"/>
      <x:c r="L20" s="149" t="n">
        <x:v>1</x:v>
      </x:c>
      <x:c r="M20" s="149" t="n">
        <x:v>1</x:v>
      </x:c>
      <x:c r="N20" s="149" t="str"/>
      <x:c r="O20" s="149" t="str"/>
      <x:c r="P20" s="149" t="str">
        <x:f>IF('입력·근거'!$B$12="HIGH",O20,N20)</x:f>
      </x:c>
      <x:c r="Q20" s="158" t="str"/>
      <x:c r="R20" s="161" t="str">
        <x:f>IF(Q20="","",P20*Q20)</x:f>
      </x:c>
      <x:c r="S20" s="146" t="str">
        <x:v>unquantified_allowance;unpriced_source</x:v>
      </x:c>
    </x:row>
    <x:row r="21">
      <x:c r="A21" s="146" t="str">
        <x:v>PRELIMINARIES</x:v>
      </x:c>
      <x:c r="B21" s="146" t="n">
        <x:v>27</x:v>
      </x:c>
      <x:c r="C21" s="146" t="str">
        <x:v>공통가설·일반조건</x:v>
      </x:c>
      <x:c r="D21" s="146" t="str">
        <x:v>가설·일반조건</x:v>
      </x:c>
      <x:c r="E21" s="146" t="str"/>
      <x:c r="F21" s="146" t="str">
        <x:v>(ii) Environmental Social Safeguards compliance</x:v>
      </x:c>
      <x:c r="G21" s="146" t="str">
        <x:v>D</x:v>
      </x:c>
      <x:c r="H21" s="49" t="str">
        <x:v>Provide Personal Protective Equipment (PPE)</x:v>
      </x:c>
      <x:c r="I21" s="146" t="str"/>
      <x:c r="J21" s="149" t="str"/>
      <x:c r="K21" s="146" t="str"/>
      <x:c r="L21" s="149" t="n">
        <x:v>1</x:v>
      </x:c>
      <x:c r="M21" s="149" t="n">
        <x:v>1</x:v>
      </x:c>
      <x:c r="N21" s="149" t="str"/>
      <x:c r="O21" s="149" t="str"/>
      <x:c r="P21" s="149" t="str">
        <x:f>IF('입력·근거'!$B$12="HIGH",O21,N21)</x:f>
      </x:c>
      <x:c r="Q21" s="158" t="str"/>
      <x:c r="R21" s="161" t="str">
        <x:f>IF(Q21="","",P21*Q21)</x:f>
      </x:c>
      <x:c r="S21" s="146" t="str">
        <x:v>unquantified_allowance;unpriced_source</x:v>
      </x:c>
    </x:row>
    <x:row r="22">
      <x:c r="A22" s="146" t="str">
        <x:v>PRELIMINARIES</x:v>
      </x:c>
      <x:c r="B22" s="146" t="n">
        <x:v>28</x:v>
      </x:c>
      <x:c r="C22" s="146" t="str">
        <x:v>공통가설·일반조건</x:v>
      </x:c>
      <x:c r="D22" s="146" t="str">
        <x:v>가설·일반조건</x:v>
      </x:c>
      <x:c r="E22" s="146" t="str"/>
      <x:c r="F22" s="146" t="str">
        <x:v>(ii) Environmental Social Safeguards compliance</x:v>
      </x:c>
      <x:c r="G22" s="146" t="str">
        <x:v>E</x:v>
      </x:c>
      <x:c r="H22" s="49" t="str">
        <x:v>Police Regulation</x:v>
      </x:c>
      <x:c r="I22" s="146" t="str"/>
      <x:c r="J22" s="149" t="str"/>
      <x:c r="K22" s="146" t="str"/>
      <x:c r="L22" s="149" t="n">
        <x:v>1</x:v>
      </x:c>
      <x:c r="M22" s="149" t="n">
        <x:v>1</x:v>
      </x:c>
      <x:c r="N22" s="149" t="str"/>
      <x:c r="O22" s="149" t="str"/>
      <x:c r="P22" s="149" t="str">
        <x:f>IF('입력·근거'!$B$12="HIGH",O22,N22)</x:f>
      </x:c>
      <x:c r="Q22" s="158" t="str"/>
      <x:c r="R22" s="161" t="str">
        <x:f>IF(Q22="","",P22*Q22)</x:f>
      </x:c>
      <x:c r="S22" s="146" t="str">
        <x:v>unquantified_allowance;unpriced_source</x:v>
      </x:c>
    </x:row>
    <x:row r="23">
      <x:c r="A23" s="146" t="str">
        <x:v>PRELIMINARIES</x:v>
      </x:c>
      <x:c r="B23" s="146" t="n">
        <x:v>29</x:v>
      </x:c>
      <x:c r="C23" s="146" t="str">
        <x:v>공통가설·일반조건</x:v>
      </x:c>
      <x:c r="D23" s="146" t="str">
        <x:v>가설·일반조건</x:v>
      </x:c>
      <x:c r="E23" s="146" t="str"/>
      <x:c r="F23" s="146" t="str">
        <x:v>(ii) Environmental Social Safeguards compliance</x:v>
      </x:c>
      <x:c r="G23" s="146" t="str">
        <x:v>F</x:v>
      </x:c>
      <x:c r="H23" s="49" t="str">
        <x:v>Water for the Works</x:v>
      </x:c>
      <x:c r="I23" s="146" t="str"/>
      <x:c r="J23" s="149" t="str"/>
      <x:c r="K23" s="146" t="str"/>
      <x:c r="L23" s="149" t="n">
        <x:v>1</x:v>
      </x:c>
      <x:c r="M23" s="149" t="n">
        <x:v>1</x:v>
      </x:c>
      <x:c r="N23" s="149" t="str"/>
      <x:c r="O23" s="149" t="str"/>
      <x:c r="P23" s="149" t="str">
        <x:f>IF('입력·근거'!$B$12="HIGH",O23,N23)</x:f>
      </x:c>
      <x:c r="Q23" s="158" t="str"/>
      <x:c r="R23" s="161" t="str">
        <x:f>IF(Q23="","",P23*Q23)</x:f>
      </x:c>
      <x:c r="S23" s="146" t="str">
        <x:v>unquantified_allowance;unpriced_source</x:v>
      </x:c>
    </x:row>
    <x:row r="24">
      <x:c r="A24" s="146" t="str">
        <x:v>PRELIMINARIES</x:v>
      </x:c>
      <x:c r="B24" s="146" t="n">
        <x:v>30</x:v>
      </x:c>
      <x:c r="C24" s="146" t="str">
        <x:v>공통가설·일반조건</x:v>
      </x:c>
      <x:c r="D24" s="146" t="str">
        <x:v>가설·일반조건</x:v>
      </x:c>
      <x:c r="E24" s="146" t="str"/>
      <x:c r="F24" s="146" t="str">
        <x:v>(ii) Environmental Social Safeguards compliance</x:v>
      </x:c>
      <x:c r="G24" s="146" t="str">
        <x:v>G</x:v>
      </x:c>
      <x:c r="H24" s="49" t="str">
        <x:v>Lighting and Power for the Works</x:v>
      </x:c>
      <x:c r="I24" s="146" t="str"/>
      <x:c r="J24" s="149" t="str"/>
      <x:c r="K24" s="146" t="str"/>
      <x:c r="L24" s="149" t="n">
        <x:v>1</x:v>
      </x:c>
      <x:c r="M24" s="149" t="n">
        <x:v>1</x:v>
      </x:c>
      <x:c r="N24" s="149" t="str"/>
      <x:c r="O24" s="149" t="str"/>
      <x:c r="P24" s="149" t="str">
        <x:f>IF('입력·근거'!$B$12="HIGH",O24,N24)</x:f>
      </x:c>
      <x:c r="Q24" s="158" t="str"/>
      <x:c r="R24" s="161" t="str">
        <x:f>IF(Q24="","",P24*Q24)</x:f>
      </x:c>
      <x:c r="S24" s="146" t="str">
        <x:v>unquantified_allowance;unpriced_source</x:v>
      </x:c>
    </x:row>
    <x:row r="25">
      <x:c r="A25" s="146" t="str">
        <x:v>PRELIMINARIES</x:v>
      </x:c>
      <x:c r="B25" s="146" t="n">
        <x:v>31</x:v>
      </x:c>
      <x:c r="C25" s="146" t="str">
        <x:v>공통가설·일반조건</x:v>
      </x:c>
      <x:c r="D25" s="146" t="str">
        <x:v>가설·일반조건</x:v>
      </x:c>
      <x:c r="E25" s="146" t="str"/>
      <x:c r="F25" s="146" t="str">
        <x:v>(ii) Environmental Social Safeguards compliance</x:v>
      </x:c>
      <x:c r="G25" s="146" t="str">
        <x:v>H</x:v>
      </x:c>
      <x:c r="H25" s="49" t="str">
        <x:v>Crossing and Temporary Roads</x:v>
      </x:c>
      <x:c r="I25" s="146" t="str"/>
      <x:c r="J25" s="149" t="str"/>
      <x:c r="K25" s="146" t="str"/>
      <x:c r="L25" s="149" t="n">
        <x:v>1</x:v>
      </x:c>
      <x:c r="M25" s="149" t="n">
        <x:v>1</x:v>
      </x:c>
      <x:c r="N25" s="149" t="str"/>
      <x:c r="O25" s="149" t="str"/>
      <x:c r="P25" s="149" t="str">
        <x:f>IF('입력·근거'!$B$12="HIGH",O25,N25)</x:f>
      </x:c>
      <x:c r="Q25" s="158" t="str"/>
      <x:c r="R25" s="161" t="str">
        <x:f>IF(Q25="","",P25*Q25)</x:f>
      </x:c>
      <x:c r="S25" s="146" t="str">
        <x:v>unquantified_allowance;unpriced_source</x:v>
      </x:c>
    </x:row>
    <x:row r="26">
      <x:c r="A26" s="146" t="str">
        <x:v>PRELIMINARIES</x:v>
      </x:c>
      <x:c r="B26" s="146" t="n">
        <x:v>32</x:v>
      </x:c>
      <x:c r="C26" s="146" t="str">
        <x:v>공통가설·일반조건</x:v>
      </x:c>
      <x:c r="D26" s="146" t="str">
        <x:v>가설·일반조건</x:v>
      </x:c>
      <x:c r="E26" s="146" t="str"/>
      <x:c r="F26" s="146" t="str">
        <x:v>(ii) Environmental Social Safeguards compliance</x:v>
      </x:c>
      <x:c r="G26" s="146" t="str">
        <x:v>I</x:v>
      </x:c>
      <x:c r="H26" s="49" t="str">
        <x:v>Contractor's Site Offices</x:v>
      </x:c>
      <x:c r="I26" s="146" t="str"/>
      <x:c r="J26" s="149" t="str"/>
      <x:c r="K26" s="146" t="str"/>
      <x:c r="L26" s="149" t="n">
        <x:v>1</x:v>
      </x:c>
      <x:c r="M26" s="149" t="n">
        <x:v>1</x:v>
      </x:c>
      <x:c r="N26" s="149" t="str"/>
      <x:c r="O26" s="149" t="str"/>
      <x:c r="P26" s="149" t="str">
        <x:f>IF('입력·근거'!$B$12="HIGH",O26,N26)</x:f>
      </x:c>
      <x:c r="Q26" s="158" t="str"/>
      <x:c r="R26" s="161" t="str">
        <x:f>IF(Q26="","",P26*Q26)</x:f>
      </x:c>
      <x:c r="S26" s="146" t="str">
        <x:v>unquantified_allowance;unpriced_source</x:v>
      </x:c>
    </x:row>
    <x:row r="27">
      <x:c r="A27" s="146" t="str">
        <x:v>PRELIMINARIES</x:v>
      </x:c>
      <x:c r="B27" s="146" t="n">
        <x:v>33</x:v>
      </x:c>
      <x:c r="C27" s="146" t="str">
        <x:v>공통가설·일반조건</x:v>
      </x:c>
      <x:c r="D27" s="146" t="str">
        <x:v>가설·일반조건</x:v>
      </x:c>
      <x:c r="E27" s="146" t="str"/>
      <x:c r="F27" s="146" t="str">
        <x:v>(ii) Environmental Social Safeguards compliance</x:v>
      </x:c>
      <x:c r="G27" s="146" t="str">
        <x:v>J</x:v>
      </x:c>
      <x:c r="H27" s="49" t="str">
        <x:v>Site Meetings</x:v>
      </x:c>
      <x:c r="I27" s="146" t="str"/>
      <x:c r="J27" s="149" t="str"/>
      <x:c r="K27" s="146" t="str"/>
      <x:c r="L27" s="149" t="n">
        <x:v>1</x:v>
      </x:c>
      <x:c r="M27" s="149" t="n">
        <x:v>1</x:v>
      </x:c>
      <x:c r="N27" s="149" t="str"/>
      <x:c r="O27" s="149" t="str"/>
      <x:c r="P27" s="149" t="str">
        <x:f>IF('입력·근거'!$B$12="HIGH",O27,N27)</x:f>
      </x:c>
      <x:c r="Q27" s="158" t="str"/>
      <x:c r="R27" s="161" t="str">
        <x:f>IF(Q27="","",P27*Q27)</x:f>
      </x:c>
      <x:c r="S27" s="146" t="str">
        <x:v>unquantified_allowance;unpriced_source</x:v>
      </x:c>
    </x:row>
    <x:row r="28">
      <x:c r="A28" s="146" t="str">
        <x:v>PRELIMINARIES</x:v>
      </x:c>
      <x:c r="B28" s="146" t="n">
        <x:v>34</x:v>
      </x:c>
      <x:c r="C28" s="146" t="str">
        <x:v>공통가설·일반조건</x:v>
      </x:c>
      <x:c r="D28" s="146" t="str">
        <x:v>가설·일반조건</x:v>
      </x:c>
      <x:c r="E28" s="146" t="str"/>
      <x:c r="F28" s="146" t="str">
        <x:v>(ii) Environmental Social Safeguards compliance</x:v>
      </x:c>
      <x:c r="G28" s="146" t="str">
        <x:v>K</x:v>
      </x:c>
      <x:c r="H28" s="49" t="str">
        <x:v>Sanitation of the Works</x:v>
      </x:c>
      <x:c r="I28" s="146" t="str"/>
      <x:c r="J28" s="149" t="str"/>
      <x:c r="K28" s="146" t="str"/>
      <x:c r="L28" s="149" t="n">
        <x:v>1</x:v>
      </x:c>
      <x:c r="M28" s="149" t="n">
        <x:v>1</x:v>
      </x:c>
      <x:c r="N28" s="149" t="str"/>
      <x:c r="O28" s="149" t="str"/>
      <x:c r="P28" s="149" t="str">
        <x:f>IF('입력·근거'!$B$12="HIGH",O28,N28)</x:f>
      </x:c>
      <x:c r="Q28" s="158" t="str"/>
      <x:c r="R28" s="161" t="str">
        <x:f>IF(Q28="","",P28*Q28)</x:f>
      </x:c>
      <x:c r="S28" s="146" t="str">
        <x:v>unquantified_allowance;unpriced_source</x:v>
      </x:c>
    </x:row>
    <x:row r="29">
      <x:c r="A29" s="146" t="str">
        <x:v>PRELIMINARIES</x:v>
      </x:c>
      <x:c r="B29" s="146" t="n">
        <x:v>35</x:v>
      </x:c>
      <x:c r="C29" s="146" t="str">
        <x:v>공통가설·일반조건</x:v>
      </x:c>
      <x:c r="D29" s="146" t="str">
        <x:v>가설·일반조건</x:v>
      </x:c>
      <x:c r="E29" s="146" t="str"/>
      <x:c r="F29" s="146" t="str">
        <x:v>(ii) Environmental Social Safeguards compliance</x:v>
      </x:c>
      <x:c r="G29" s="146" t="str">
        <x:v>L</x:v>
      </x:c>
      <x:c r="H29" s="49" t="str">
        <x:v>Workmen's accomodation</x:v>
      </x:c>
      <x:c r="I29" s="146" t="str"/>
      <x:c r="J29" s="149" t="str"/>
      <x:c r="K29" s="146" t="str"/>
      <x:c r="L29" s="149" t="n">
        <x:v>1</x:v>
      </x:c>
      <x:c r="M29" s="149" t="n">
        <x:v>1</x:v>
      </x:c>
      <x:c r="N29" s="149" t="str"/>
      <x:c r="O29" s="149" t="str"/>
      <x:c r="P29" s="149" t="str">
        <x:f>IF('입력·근거'!$B$12="HIGH",O29,N29)</x:f>
      </x:c>
      <x:c r="Q29" s="158" t="str"/>
      <x:c r="R29" s="161" t="str">
        <x:f>IF(Q29="","",P29*Q29)</x:f>
      </x:c>
      <x:c r="S29" s="146" t="str">
        <x:v>unquantified_allowance;unpriced_source</x:v>
      </x:c>
    </x:row>
    <x:row r="30">
      <x:c r="A30" s="146" t="str">
        <x:v>PRELIMINARIES</x:v>
      </x:c>
      <x:c r="B30" s="146" t="n">
        <x:v>36</x:v>
      </x:c>
      <x:c r="C30" s="146" t="str">
        <x:v>공통가설·일반조건</x:v>
      </x:c>
      <x:c r="D30" s="146" t="str">
        <x:v>가설·일반조건</x:v>
      </x:c>
      <x:c r="E30" s="146" t="str"/>
      <x:c r="F30" s="146" t="str">
        <x:v>(ii) Environmental Social Safeguards compliance</x:v>
      </x:c>
      <x:c r="G30" s="146" t="str">
        <x:v>M</x:v>
      </x:c>
      <x:c r="H30" s="49" t="str">
        <x:v>Hoarding and Screening</x:v>
      </x:c>
      <x:c r="I30" s="146" t="str"/>
      <x:c r="J30" s="149" t="str"/>
      <x:c r="K30" s="146" t="str"/>
      <x:c r="L30" s="149" t="n">
        <x:v>1</x:v>
      </x:c>
      <x:c r="M30" s="149" t="n">
        <x:v>1</x:v>
      </x:c>
      <x:c r="N30" s="149" t="str"/>
      <x:c r="O30" s="149" t="str"/>
      <x:c r="P30" s="149" t="str">
        <x:f>IF('입력·근거'!$B$12="HIGH",O30,N30)</x:f>
      </x:c>
      <x:c r="Q30" s="158" t="str"/>
      <x:c r="R30" s="161" t="str">
        <x:f>IF(Q30="","",P30*Q30)</x:f>
      </x:c>
      <x:c r="S30" s="146" t="str">
        <x:v>unquantified_allowance;unpriced_source</x:v>
      </x:c>
    </x:row>
    <x:row r="31">
      <x:c r="A31" s="146" t="str">
        <x:v>PRELIMINARIES</x:v>
      </x:c>
      <x:c r="B31" s="146" t="n">
        <x:v>37</x:v>
      </x:c>
      <x:c r="C31" s="146" t="str">
        <x:v>공통가설·일반조건</x:v>
      </x:c>
      <x:c r="D31" s="146" t="str">
        <x:v>가설·일반조건</x:v>
      </x:c>
      <x:c r="E31" s="146" t="str"/>
      <x:c r="F31" s="146" t="str">
        <x:v>(ii) Environmental Social Safeguards compliance</x:v>
      </x:c>
      <x:c r="G31" s="146" t="str">
        <x:v>N</x:v>
      </x:c>
      <x:c r="H31" s="49" t="str">
        <x:v>Scaffolding</x:v>
      </x:c>
      <x:c r="I31" s="146" t="str"/>
      <x:c r="J31" s="149" t="str"/>
      <x:c r="K31" s="146" t="str"/>
      <x:c r="L31" s="149" t="n">
        <x:v>1</x:v>
      </x:c>
      <x:c r="M31" s="149" t="n">
        <x:v>1</x:v>
      </x:c>
      <x:c r="N31" s="149" t="str"/>
      <x:c r="O31" s="149" t="str"/>
      <x:c r="P31" s="149" t="str">
        <x:f>IF('입력·근거'!$B$12="HIGH",O31,N31)</x:f>
      </x:c>
      <x:c r="Q31" s="158" t="str"/>
      <x:c r="R31" s="161" t="str">
        <x:f>IF(Q31="","",P31*Q31)</x:f>
      </x:c>
      <x:c r="S31" s="146" t="str">
        <x:v>unquantified_allowance;unpriced_source</x:v>
      </x:c>
    </x:row>
    <x:row r="32">
      <x:c r="A32" s="146" t="str">
        <x:v>PRELIMINARIES</x:v>
      </x:c>
      <x:c r="B32" s="146" t="n">
        <x:v>38</x:v>
      </x:c>
      <x:c r="C32" s="146" t="str">
        <x:v>공통가설·일반조건</x:v>
      </x:c>
      <x:c r="D32" s="146" t="str">
        <x:v>가설·일반조건</x:v>
      </x:c>
      <x:c r="E32" s="146" t="str"/>
      <x:c r="F32" s="146" t="str">
        <x:v>(ii) Environmental Social Safeguards compliance</x:v>
      </x:c>
      <x:c r="G32" s="146" t="str">
        <x:v>O</x:v>
      </x:c>
      <x:c r="H32" s="49" t="str">
        <x:v>Setting-out</x:v>
      </x:c>
      <x:c r="I32" s="146" t="str"/>
      <x:c r="J32" s="149" t="str"/>
      <x:c r="K32" s="146" t="str"/>
      <x:c r="L32" s="149" t="n">
        <x:v>1</x:v>
      </x:c>
      <x:c r="M32" s="149" t="n">
        <x:v>1</x:v>
      </x:c>
      <x:c r="N32" s="149" t="str"/>
      <x:c r="O32" s="149" t="str"/>
      <x:c r="P32" s="149" t="str">
        <x:f>IF('입력·근거'!$B$12="HIGH",O32,N32)</x:f>
      </x:c>
      <x:c r="Q32" s="158" t="str"/>
      <x:c r="R32" s="161" t="str">
        <x:f>IF(Q32="","",P32*Q32)</x:f>
      </x:c>
      <x:c r="S32" s="146" t="str">
        <x:v>unquantified_allowance;unpriced_source</x:v>
      </x:c>
    </x:row>
    <x:row r="33">
      <x:c r="A33" s="146" t="str">
        <x:v>PRELIMINARIES</x:v>
      </x:c>
      <x:c r="B33" s="146" t="n">
        <x:v>39</x:v>
      </x:c>
      <x:c r="C33" s="146" t="str">
        <x:v>공통가설·일반조건</x:v>
      </x:c>
      <x:c r="D33" s="146" t="str">
        <x:v>가설·일반조건</x:v>
      </x:c>
      <x:c r="E33" s="146" t="str"/>
      <x:c r="F33" s="146" t="str">
        <x:v>(ii) Environmental Social Safeguards compliance</x:v>
      </x:c>
      <x:c r="G33" s="146" t="str">
        <x:v>P</x:v>
      </x:c>
      <x:c r="H33" s="49" t="str">
        <x:v>Site Administration and Security</x:v>
      </x:c>
      <x:c r="I33" s="146" t="str"/>
      <x:c r="J33" s="149" t="str"/>
      <x:c r="K33" s="146" t="str"/>
      <x:c r="L33" s="149" t="n">
        <x:v>1</x:v>
      </x:c>
      <x:c r="M33" s="149" t="n">
        <x:v>1</x:v>
      </x:c>
      <x:c r="N33" s="149" t="str"/>
      <x:c r="O33" s="149" t="str"/>
      <x:c r="P33" s="149" t="str">
        <x:f>IF('입력·근거'!$B$12="HIGH",O33,N33)</x:f>
      </x:c>
      <x:c r="Q33" s="158" t="str"/>
      <x:c r="R33" s="161" t="str">
        <x:f>IF(Q33="","",P33*Q33)</x:f>
      </x:c>
      <x:c r="S33" s="146" t="str">
        <x:v>unquantified_allowance;unpriced_source</x:v>
      </x:c>
    </x:row>
    <x:row r="34">
      <x:c r="A34" s="146" t="str">
        <x:v>PRELIMINARIES</x:v>
      </x:c>
      <x:c r="B34" s="146" t="n">
        <x:v>40</x:v>
      </x:c>
      <x:c r="C34" s="146" t="str">
        <x:v>공통가설·일반조건</x:v>
      </x:c>
      <x:c r="D34" s="146" t="str">
        <x:v>가설·일반조건</x:v>
      </x:c>
      <x:c r="E34" s="146" t="str"/>
      <x:c r="F34" s="146" t="str">
        <x:v>(ii) Environmental Social Safeguards compliance</x:v>
      </x:c>
      <x:c r="G34" s="146" t="str">
        <x:v>Q</x:v>
      </x:c>
      <x:c r="H34" s="49" t="str">
        <x:v>Engraving/Labelling of the new buildings</x:v>
      </x:c>
      <x:c r="I34" s="146" t="str"/>
      <x:c r="J34" s="149" t="str"/>
      <x:c r="K34" s="146" t="str"/>
      <x:c r="L34" s="149" t="n">
        <x:v>1</x:v>
      </x:c>
      <x:c r="M34" s="149" t="n">
        <x:v>1</x:v>
      </x:c>
      <x:c r="N34" s="149" t="str"/>
      <x:c r="O34" s="149" t="str"/>
      <x:c r="P34" s="149" t="str">
        <x:f>IF('입력·근거'!$B$12="HIGH",O34,N34)</x:f>
      </x:c>
      <x:c r="Q34" s="158" t="str"/>
      <x:c r="R34" s="161" t="str">
        <x:f>IF(Q34="","",P34*Q34)</x:f>
      </x:c>
      <x:c r="S34" s="146" t="str">
        <x:v>unquantified_allowance;unpriced_source</x:v>
      </x:c>
    </x:row>
    <x:row r="35">
      <x:c r="A35" s="146" t="str">
        <x:v>PRELIMINARIES</x:v>
      </x:c>
      <x:c r="B35" s="146" t="n">
        <x:v>42</x:v>
      </x:c>
      <x:c r="C35" s="146" t="str">
        <x:v>공통가설·일반조건</x:v>
      </x:c>
      <x:c r="D35" s="146" t="str">
        <x:v>가설·일반조건</x:v>
      </x:c>
      <x:c r="E35" s="146" t="str"/>
      <x:c r="F35" s="146" t="str">
        <x:v>(ii) Environmental Social Safeguards compliance</x:v>
      </x:c>
      <x:c r="G35" s="146" t="str">
        <x:v>4</x:v>
      </x:c>
      <x:c r="H35" s="49" t="str">
        <x:v>SERVICES</x:v>
      </x:c>
      <x:c r="I35" s="146" t="str"/>
      <x:c r="J35" s="149" t="str"/>
      <x:c r="K35" s="146" t="str"/>
      <x:c r="L35" s="149" t="n">
        <x:v>1</x:v>
      </x:c>
      <x:c r="M35" s="149" t="n">
        <x:v>1</x:v>
      </x:c>
      <x:c r="N35" s="149" t="str"/>
      <x:c r="O35" s="149" t="str"/>
      <x:c r="P35" s="149" t="str">
        <x:f>IF('입력·근거'!$B$12="HIGH",O35,N35)</x:f>
      </x:c>
      <x:c r="Q35" s="158" t="str"/>
      <x:c r="R35" s="161" t="str">
        <x:f>IF(Q35="","",P35*Q35)</x:f>
      </x:c>
      <x:c r="S35" s="146" t="str">
        <x:v>unquantified_allowance;unpriced_source</x:v>
      </x:c>
    </x:row>
    <x:row r="36">
      <x:c r="A36" s="146" t="str">
        <x:v>PRELIMINARIES</x:v>
      </x:c>
      <x:c r="B36" s="146" t="n">
        <x:v>43</x:v>
      </x:c>
      <x:c r="C36" s="146" t="str">
        <x:v>공통가설·일반조건</x:v>
      </x:c>
      <x:c r="D36" s="146" t="str">
        <x:v>가설·일반조건</x:v>
      </x:c>
      <x:c r="E36" s="146" t="str"/>
      <x:c r="F36" s="146" t="str">
        <x:v>(ii) Environmental Social Safeguards compliance</x:v>
      </x:c>
      <x:c r="G36" s="146" t="str">
        <x:v>A</x:v>
      </x:c>
      <x:c r="H36" s="49" t="str">
        <x:v>Existing Services</x:v>
      </x:c>
      <x:c r="I36" s="146" t="str"/>
      <x:c r="J36" s="149" t="str"/>
      <x:c r="K36" s="146" t="str"/>
      <x:c r="L36" s="149" t="n">
        <x:v>1</x:v>
      </x:c>
      <x:c r="M36" s="149" t="n">
        <x:v>1</x:v>
      </x:c>
      <x:c r="N36" s="149" t="str"/>
      <x:c r="O36" s="149" t="str"/>
      <x:c r="P36" s="149" t="str">
        <x:f>IF('입력·근거'!$B$12="HIGH",O36,N36)</x:f>
      </x:c>
      <x:c r="Q36" s="158" t="str"/>
      <x:c r="R36" s="161" t="str">
        <x:f>IF(Q36="","",P36*Q36)</x:f>
      </x:c>
      <x:c r="S36" s="146" t="str">
        <x:v>unquantified_allowance;unpriced_source</x:v>
      </x:c>
    </x:row>
    <x:row r="37">
      <x:c r="A37" s="146" t="str">
        <x:v>PRELIMINARIES</x:v>
      </x:c>
      <x:c r="B37" s="146" t="n">
        <x:v>44</x:v>
      </x:c>
      <x:c r="C37" s="146" t="str">
        <x:v>공통가설·일반조건</x:v>
      </x:c>
      <x:c r="D37" s="146" t="str">
        <x:v>가설·일반조건</x:v>
      </x:c>
      <x:c r="E37" s="146" t="str"/>
      <x:c r="F37" s="146" t="str">
        <x:v>(ii) Environmental Social Safeguards compliance</x:v>
      </x:c>
      <x:c r="G37" s="146" t="str">
        <x:v>B</x:v>
      </x:c>
      <x:c r="H37" s="49" t="str">
        <x:v>Removing Rubbish and Clearing</x:v>
      </x:c>
      <x:c r="I37" s="146" t="str"/>
      <x:c r="J37" s="149" t="str"/>
      <x:c r="K37" s="146" t="str"/>
      <x:c r="L37" s="149" t="n">
        <x:v>1</x:v>
      </x:c>
      <x:c r="M37" s="149" t="n">
        <x:v>1</x:v>
      </x:c>
      <x:c r="N37" s="149" t="str"/>
      <x:c r="O37" s="149" t="str"/>
      <x:c r="P37" s="149" t="str">
        <x:f>IF('입력·근거'!$B$12="HIGH",O37,N37)</x:f>
      </x:c>
      <x:c r="Q37" s="158" t="str"/>
      <x:c r="R37" s="161" t="str">
        <x:f>IF(Q37="","",P37*Q37)</x:f>
      </x:c>
      <x:c r="S37" s="146" t="str">
        <x:v>unquantified_allowance;unpriced_source</x:v>
      </x:c>
    </x:row>
    <x:row r="38">
      <x:c r="A38" s="146" t="str">
        <x:v>PRELIMINARIES</x:v>
      </x:c>
      <x:c r="B38" s="146" t="n">
        <x:v>45</x:v>
      </x:c>
      <x:c r="C38" s="146" t="str">
        <x:v>공통가설·일반조건</x:v>
      </x:c>
      <x:c r="D38" s="146" t="str">
        <x:v>가설·일반조건</x:v>
      </x:c>
      <x:c r="E38" s="146" t="str"/>
      <x:c r="F38" s="146" t="str">
        <x:v>(ii) Environmental Social Safeguards compliance</x:v>
      </x:c>
      <x:c r="G38" s="146" t="str">
        <x:v>C</x:v>
      </x:c>
      <x:c r="H38" s="49" t="str">
        <x:v>Signboard</x:v>
      </x:c>
      <x:c r="I38" s="146" t="str"/>
      <x:c r="J38" s="149" t="str"/>
      <x:c r="K38" s="146" t="str"/>
      <x:c r="L38" s="149" t="n">
        <x:v>1</x:v>
      </x:c>
      <x:c r="M38" s="149" t="n">
        <x:v>1</x:v>
      </x:c>
      <x:c r="N38" s="149" t="str"/>
      <x:c r="O38" s="149" t="str"/>
      <x:c r="P38" s="149" t="str">
        <x:f>IF('입력·근거'!$B$12="HIGH",O38,N38)</x:f>
      </x:c>
      <x:c r="Q38" s="158" t="str"/>
      <x:c r="R38" s="161" t="str">
        <x:f>IF(Q38="","",P38*Q38)</x:f>
      </x:c>
      <x:c r="S38" s="146" t="str">
        <x:v>unquantified_allowance;unpriced_source</x:v>
      </x:c>
    </x:row>
    <x:row r="39">
      <x:c r="A39" s="146" t="str">
        <x:v>PRELIMINARIES</x:v>
      </x:c>
      <x:c r="B39" s="146" t="n">
        <x:v>47</x:v>
      </x:c>
      <x:c r="C39" s="146" t="str">
        <x:v>공통가설·일반조건</x:v>
      </x:c>
      <x:c r="D39" s="146" t="str">
        <x:v>가설·일반조건</x:v>
      </x:c>
      <x:c r="E39" s="146" t="str"/>
      <x:c r="F39" s="146" t="str">
        <x:v>(ii) Environmental Social Safeguards compliance</x:v>
      </x:c>
      <x:c r="G39" s="146" t="str">
        <x:v>5</x:v>
      </x:c>
      <x:c r="H39" s="49" t="str">
        <x:v>SECURITIES</x:v>
      </x:c>
      <x:c r="I39" s="146" t="str"/>
      <x:c r="J39" s="149" t="str"/>
      <x:c r="K39" s="146" t="str"/>
      <x:c r="L39" s="149" t="n">
        <x:v>1</x:v>
      </x:c>
      <x:c r="M39" s="149" t="n">
        <x:v>1</x:v>
      </x:c>
      <x:c r="N39" s="149" t="str"/>
      <x:c r="O39" s="149" t="str"/>
      <x:c r="P39" s="149" t="str">
        <x:f>IF('입력·근거'!$B$12="HIGH",O39,N39)</x:f>
      </x:c>
      <x:c r="Q39" s="158" t="str"/>
      <x:c r="R39" s="161" t="str">
        <x:f>IF(Q39="","",P39*Q39)</x:f>
      </x:c>
      <x:c r="S39" s="146" t="str">
        <x:v>unquantified_allowance;unpriced_source</x:v>
      </x:c>
    </x:row>
    <x:row r="40">
      <x:c r="A40" s="146" t="str">
        <x:v>PRELIMINARIES</x:v>
      </x:c>
      <x:c r="B40" s="146" t="n">
        <x:v>48</x:v>
      </x:c>
      <x:c r="C40" s="146" t="str">
        <x:v>공통가설·일반조건</x:v>
      </x:c>
      <x:c r="D40" s="146" t="str">
        <x:v>가설·일반조건</x:v>
      </x:c>
      <x:c r="E40" s="146" t="str"/>
      <x:c r="F40" s="146" t="str">
        <x:v>(ii) Environmental Social Safeguards compliance</x:v>
      </x:c>
      <x:c r="G40" s="146" t="str">
        <x:v>A</x:v>
      </x:c>
      <x:c r="H40" s="49" t="str">
        <x:v>Liability for Defects</x:v>
      </x:c>
      <x:c r="I40" s="146" t="str"/>
      <x:c r="J40" s="149" t="str"/>
      <x:c r="K40" s="146" t="str"/>
      <x:c r="L40" s="149" t="n">
        <x:v>1</x:v>
      </x:c>
      <x:c r="M40" s="149" t="n">
        <x:v>1</x:v>
      </x:c>
      <x:c r="N40" s="149" t="str"/>
      <x:c r="O40" s="149" t="str"/>
      <x:c r="P40" s="149" t="str">
        <x:f>IF('입력·근거'!$B$12="HIGH",O40,N40)</x:f>
      </x:c>
      <x:c r="Q40" s="158" t="str"/>
      <x:c r="R40" s="161" t="str">
        <x:f>IF(Q40="","",P40*Q40)</x:f>
      </x:c>
      <x:c r="S40" s="146" t="str">
        <x:v>unquantified_allowance;unpriced_source</x:v>
      </x:c>
    </x:row>
    <x:row r="41">
      <x:c r="A41" s="146" t="str">
        <x:v>PRELIMINARIES</x:v>
      </x:c>
      <x:c r="B41" s="146" t="n">
        <x:v>49</x:v>
      </x:c>
      <x:c r="C41" s="146" t="str">
        <x:v>공통가설·일반조건</x:v>
      </x:c>
      <x:c r="D41" s="146" t="str">
        <x:v>가설·일반조건</x:v>
      </x:c>
      <x:c r="E41" s="146" t="str"/>
      <x:c r="F41" s="146" t="str">
        <x:v>(ii) Environmental Social Safeguards compliance</x:v>
      </x:c>
      <x:c r="G41" s="146" t="str">
        <x:v>B</x:v>
      </x:c>
      <x:c r="H41" s="49" t="str">
        <x:v>Occupation Certificate</x:v>
      </x:c>
      <x:c r="I41" s="146" t="str"/>
      <x:c r="J41" s="149" t="str"/>
      <x:c r="K41" s="146" t="str"/>
      <x:c r="L41" s="149" t="n">
        <x:v>1</x:v>
      </x:c>
      <x:c r="M41" s="149" t="n">
        <x:v>1</x:v>
      </x:c>
      <x:c r="N41" s="149" t="str"/>
      <x:c r="O41" s="149" t="str"/>
      <x:c r="P41" s="149" t="str">
        <x:f>IF('입력·근거'!$B$12="HIGH",O41,N41)</x:f>
      </x:c>
      <x:c r="Q41" s="158" t="str"/>
      <x:c r="R41" s="161" t="str">
        <x:f>IF(Q41="","",P41*Q41)</x:f>
      </x:c>
      <x:c r="S41" s="146" t="str">
        <x:v>unquantified_allowance;unpriced_source</x:v>
      </x:c>
    </x:row>
    <x:row r="42">
      <x:c r="A42" s="146" t="str">
        <x:v>PRELIMINARIES</x:v>
      </x:c>
      <x:c r="B42" s="146" t="n">
        <x:v>50</x:v>
      </x:c>
      <x:c r="C42" s="146" t="str">
        <x:v>공통가설·일반조건</x:v>
      </x:c>
      <x:c r="D42" s="146" t="str">
        <x:v>가설·일반조건</x:v>
      </x:c>
      <x:c r="E42" s="146" t="str"/>
      <x:c r="F42" s="146" t="str">
        <x:v>(ii) Environmental Social Safeguards compliance</x:v>
      </x:c>
      <x:c r="G42" s="146" t="str">
        <x:v>C</x:v>
      </x:c>
      <x:c r="H42" s="49" t="str">
        <x:v>Contract Conditions</x:v>
      </x:c>
      <x:c r="I42" s="146" t="str"/>
      <x:c r="J42" s="149" t="str"/>
      <x:c r="K42" s="146" t="str"/>
      <x:c r="L42" s="149" t="n">
        <x:v>1</x:v>
      </x:c>
      <x:c r="M42" s="149" t="n">
        <x:v>1</x:v>
      </x:c>
      <x:c r="N42" s="149" t="str"/>
      <x:c r="O42" s="149" t="str"/>
      <x:c r="P42" s="149" t="str">
        <x:f>IF('입력·근거'!$B$12="HIGH",O42,N42)</x:f>
      </x:c>
      <x:c r="Q42" s="158" t="str"/>
      <x:c r="R42" s="161" t="str">
        <x:f>IF(Q42="","",P42*Q42)</x:f>
      </x:c>
      <x:c r="S42" s="146" t="str">
        <x:v>unquantified_allowance;unpriced_source</x:v>
      </x:c>
    </x:row>
    <x:row r="43">
      <x:c r="A43" s="146" t="str">
        <x:v>PRELIMINARIES</x:v>
      </x:c>
      <x:c r="B43" s="146" t="n">
        <x:v>52</x:v>
      </x:c>
      <x:c r="C43" s="146" t="str">
        <x:v>공통가설·일반조건</x:v>
      </x:c>
      <x:c r="D43" s="146" t="str">
        <x:v>가설·일반조건</x:v>
      </x:c>
      <x:c r="E43" s="146" t="str"/>
      <x:c r="F43" s="146" t="str">
        <x:v>(i) Insurance of the Works-Contractor's all risks policy</x:v>
      </x:c>
      <x:c r="G43" s="146" t="str">
        <x:v>D</x:v>
      </x:c>
      <x:c r="H43" s="49" t="str">
        <x:v>Allow for production of 3 Sets of Hard and Soft Copies for the As built Electrical Installation drawings to be handled over to the Project Manager (and Client) for maintenance and records</x:v>
      </x:c>
      <x:c r="I43" s="146" t="str"/>
      <x:c r="J43" s="149" t="str"/>
      <x:c r="K43" s="146" t="str"/>
      <x:c r="L43" s="149" t="n">
        <x:v>1</x:v>
      </x:c>
      <x:c r="M43" s="149" t="n">
        <x:v>1</x:v>
      </x:c>
      <x:c r="N43" s="149" t="str"/>
      <x:c r="O43" s="149" t="str"/>
      <x:c r="P43" s="149" t="str">
        <x:f>IF('입력·근거'!$B$12="HIGH",O43,N43)</x:f>
      </x:c>
      <x:c r="Q43" s="158" t="str"/>
      <x:c r="R43" s="161" t="str">
        <x:f>IF(Q43="","",P43*Q43)</x:f>
      </x:c>
      <x:c r="S43" s="146" t="str">
        <x:v>unquantified_allowance;unpriced_source</x:v>
      </x:c>
    </x:row>
    <x:row r="44">
      <x:c r="A44" s="146" t="str">
        <x:v>EARTHWORKS</x:v>
      </x:c>
      <x:c r="B44" s="146" t="n">
        <x:v>3</x:v>
      </x:c>
      <x:c r="C44" s="146" t="str">
        <x:v>부지 토공</x:v>
      </x:c>
      <x:c r="D44" s="146" t="str">
        <x:v>토공·기초</x:v>
      </x:c>
      <x:c r="E44" s="146" t="str"/>
      <x:c r="F44" s="146" t="str"/>
      <x:c r="G44" s="146" t="str">
        <x:v>A</x:v>
      </x:c>
      <x:c r="H44" s="49" t="str">
        <x:v>Excavate oversite average 200mm deep to remove vegetable top soil; spread and level on site as directed</x:v>
      </x:c>
      <x:c r="I44" s="146" t="str">
        <x:v>m²</x:v>
      </x:c>
      <x:c r="J44" s="149" t="n">
        <x:v>5981</x:v>
      </x:c>
      <x:c r="K44" s="146" t="str"/>
      <x:c r="L44" s="149" t="n">
        <x:v>1</x:v>
      </x:c>
      <x:c r="M44" s="149" t="n">
        <x:v>1</x:v>
      </x:c>
      <x:c r="N44" s="149" t="n">
        <x:v>5981</x:v>
      </x:c>
      <x:c r="O44" s="149" t="n">
        <x:v>5981</x:v>
      </x:c>
      <x:c r="P44" s="149" t="n">
        <x:f>IF('입력·근거'!$B$12="HIGH",O44,N44)</x:f>
        <x:v>5981</x:v>
      </x:c>
      <x:c r="Q44" s="158" t="str"/>
      <x:c r="R44" s="161" t="str">
        <x:f>IF(Q44="","",P44*Q44)</x:f>
      </x:c>
      <x:c r="S44" s="146" t="str">
        <x:v>unpriced_source</x:v>
      </x:c>
    </x:row>
    <x:row r="45">
      <x:c r="A45" s="146" t="str">
        <x:v>EARTHWORKS</x:v>
      </x:c>
      <x:c r="B45" s="146" t="n">
        <x:v>4</x:v>
      </x:c>
      <x:c r="C45" s="146" t="str">
        <x:v>부지 토공</x:v>
      </x:c>
      <x:c r="D45" s="146" t="str">
        <x:v>토공·기초</x:v>
      </x:c>
      <x:c r="E45" s="146" t="str"/>
      <x:c r="F45" s="146" t="str"/>
      <x:c r="G45" s="146" t="str">
        <x:v>B</x:v>
      </x:c>
      <x:c r="H45" s="49" t="str">
        <x:v>Mass excavation to reduce levels commencing from stripped level</x:v>
      </x:c>
      <x:c r="I45" s="146" t="str">
        <x:v>m³</x:v>
      </x:c>
      <x:c r="J45" s="149" t="n">
        <x:v>1196</x:v>
      </x:c>
      <x:c r="K45" s="146" t="str"/>
      <x:c r="L45" s="149" t="n">
        <x:v>1</x:v>
      </x:c>
      <x:c r="M45" s="149" t="n">
        <x:v>1</x:v>
      </x:c>
      <x:c r="N45" s="149" t="n">
        <x:v>1196</x:v>
      </x:c>
      <x:c r="O45" s="149" t="n">
        <x:v>1196</x:v>
      </x:c>
      <x:c r="P45" s="149" t="n">
        <x:f>IF('입력·근거'!$B$12="HIGH",O45,N45)</x:f>
        <x:v>1196</x:v>
      </x:c>
      <x:c r="Q45" s="158" t="str"/>
      <x:c r="R45" s="161" t="str">
        <x:f>IF(Q45="","",P45*Q45)</x:f>
      </x:c>
      <x:c r="S45" s="146" t="str">
        <x:v>unpriced_source</x:v>
      </x:c>
    </x:row>
    <x:row r="46">
      <x:c r="A46" s="146" t="str">
        <x:v>2-Stance Pit Latrine</x:v>
      </x:c>
      <x:c r="B46" s="146" t="n">
        <x:v>5</x:v>
      </x:c>
      <x:c r="C46" s="146" t="str">
        <x:v>2칸 재래식 화장실</x:v>
      </x:c>
      <x:c r="D46" s="146" t="str">
        <x:v>토공·기초</x:v>
      </x:c>
      <x:c r="E46" s="146" t="str">
        <x:v>ELEMENT NO.1</x:v>
      </x:c>
      <x:c r="F46" s="146" t="str">
        <x:v>SUBSTRUCTURE</x:v>
      </x:c>
      <x:c r="G46" s="146" t="str">
        <x:v>A</x:v>
      </x:c>
      <x:c r="H46" s="49" t="str">
        <x:v>Clear site area for new construction of all under growth small bushes, grub up all tress and any exisiting structures and obstructions and excavate over site to remove top soil average 250mm thick and remove from site</x:v>
      </x:c>
      <x:c r="I46" s="146" t="str">
        <x:v>m²</x:v>
      </x:c>
      <x:c r="J46" s="149" t="n">
        <x:v>0</x:v>
      </x:c>
      <x:c r="K46" s="146" t="str"/>
      <x:c r="L46" s="149" t="n">
        <x:v>1</x:v>
      </x:c>
      <x:c r="M46" s="149" t="n">
        <x:v>1</x:v>
      </x:c>
      <x:c r="N46" s="149" t="n">
        <x:v>0</x:v>
      </x:c>
      <x:c r="O46" s="149" t="n">
        <x:v>0</x:v>
      </x:c>
      <x:c r="P46" s="149" t="n">
        <x:f>IF('입력·근거'!$B$12="HIGH",O46,N46)</x:f>
        <x:v>0</x:v>
      </x:c>
      <x:c r="Q46" s="158" t="str"/>
      <x:c r="R46" s="161" t="str">
        <x:f>IF(Q46="","",P46*Q46)</x:f>
      </x:c>
      <x:c r="S46" s="146" t="str">
        <x:v>zero_quantity_check_formula_or_design;unpriced_source</x:v>
      </x:c>
    </x:row>
    <x:row r="47">
      <x:c r="A47" s="146" t="str">
        <x:v>2-Stance Pit Latrine</x:v>
      </x:c>
      <x:c r="B47" s="146" t="n">
        <x:v>6</x:v>
      </x:c>
      <x:c r="C47" s="146" t="str">
        <x:v>2칸 재래식 화장실</x:v>
      </x:c>
      <x:c r="D47" s="146" t="str">
        <x:v>토공·기초</x:v>
      </x:c>
      <x:c r="E47" s="146" t="str">
        <x:v>ELEMENT NO.1</x:v>
      </x:c>
      <x:c r="F47" s="146" t="str">
        <x:v>SUBSTRUCTURE</x:v>
      </x:c>
      <x:c r="G47" s="146" t="str">
        <x:v>B</x:v>
      </x:c>
      <x:c r="H47" s="49" t="str">
        <x:v>Treat surface of subsoil or fillings and surroundings with approved chemical anti-termite solution: provide ten year guarantee.</x:v>
      </x:c>
      <x:c r="I47" s="146" t="str">
        <x:v>m²</x:v>
      </x:c>
      <x:c r="J47" s="149" t="n">
        <x:v>44.75</x:v>
      </x:c>
      <x:c r="K47" s="146" t="str"/>
      <x:c r="L47" s="149" t="n">
        <x:v>1</x:v>
      </x:c>
      <x:c r="M47" s="149" t="n">
        <x:v>1</x:v>
      </x:c>
      <x:c r="N47" s="149" t="n">
        <x:v>44.75</x:v>
      </x:c>
      <x:c r="O47" s="149" t="n">
        <x:v>44.75</x:v>
      </x:c>
      <x:c r="P47" s="149" t="n">
        <x:f>IF('입력·근거'!$B$12="HIGH",O47,N47)</x:f>
        <x:v>44.75</x:v>
      </x:c>
      <x:c r="Q47" s="158" t="str"/>
      <x:c r="R47" s="161" t="str">
        <x:f>IF(Q47="","",P47*Q47)</x:f>
      </x:c>
      <x:c r="S47" s="146" t="str">
        <x:v>unpriced_source</x:v>
      </x:c>
    </x:row>
    <x:row r="48">
      <x:c r="A48" s="146" t="str">
        <x:v>2-Stance Pit Latrine</x:v>
      </x:c>
      <x:c r="B48" s="146" t="n">
        <x:v>8</x:v>
      </x:c>
      <x:c r="C48" s="146" t="str">
        <x:v>2칸 재래식 화장실</x:v>
      </x:c>
      <x:c r="D48" s="146" t="str">
        <x:v>토공·기초</x:v>
      </x:c>
      <x:c r="E48" s="146" t="str">
        <x:v>ELEMENT NO.1</x:v>
      </x:c>
      <x:c r="F48" s="146" t="str">
        <x:v>Excavation and Earthworks. Note: Rates for excavation to include for keeping excavations free from water and planking and strutting to sides of excavations</x:v>
      </x:c>
      <x:c r="G48" s="146" t="str">
        <x:v>C</x:v>
      </x:c>
      <x:c r="H48" s="49" t="str">
        <x:v>Excavate to reduce levels and remove from site.</x:v>
      </x:c>
      <x:c r="I48" s="146" t="str">
        <x:v>m³</x:v>
      </x:c>
      <x:c r="J48" s="149" t="n">
        <x:v>0</x:v>
      </x:c>
      <x:c r="K48" s="146" t="str">
        <x:v>=D5*0.25</x:v>
      </x:c>
      <x:c r="L48" s="149" t="n">
        <x:v>1</x:v>
      </x:c>
      <x:c r="M48" s="149" t="n">
        <x:v>1</x:v>
      </x:c>
      <x:c r="N48" s="149" t="n">
        <x:v>0</x:v>
      </x:c>
      <x:c r="O48" s="149" t="n">
        <x:v>0</x:v>
      </x:c>
      <x:c r="P48" s="149" t="n">
        <x:f>IF('입력·근거'!$B$12="HIGH",O48,N48)</x:f>
        <x:v>0</x:v>
      </x:c>
      <x:c r="Q48" s="158" t="str"/>
      <x:c r="R48" s="161" t="str">
        <x:f>IF(Q48="","",P48*Q48)</x:f>
      </x:c>
      <x:c r="S48" s="146" t="str">
        <x:v>zero_quantity_check_formula_or_design;formula_quantity;unpriced_source</x:v>
      </x:c>
    </x:row>
    <x:row r="49">
      <x:c r="A49" s="146" t="str">
        <x:v>2-Stance Pit Latrine</x:v>
      </x:c>
      <x:c r="B49" s="146" t="n">
        <x:v>9</x:v>
      </x:c>
      <x:c r="C49" s="146" t="str">
        <x:v>2칸 재래식 화장실</x:v>
      </x:c>
      <x:c r="D49" s="146" t="str">
        <x:v>토공·기초</x:v>
      </x:c>
      <x:c r="E49" s="146" t="str">
        <x:v>ELEMENT NO.1</x:v>
      </x:c>
      <x:c r="F49" s="146" t="str">
        <x:v>Excavation and Earthworks. Note: Rates for excavation to include for keeping excavations free from water and planking and strutting to sides of excavations</x:v>
      </x:c>
      <x:c r="G49" s="146" t="str">
        <x:v>D</x:v>
      </x:c>
      <x:c r="H49" s="49" t="str">
        <x:v>Excavate trenches for wall foundations: commencing from reduced levels : not exceeding 1.5m deep .</x:v>
      </x:c>
      <x:c r="I49" s="146" t="str">
        <x:v>m³</x:v>
      </x:c>
      <x:c r="J49" s="149" t="n">
        <x:v>14.16</x:v>
      </x:c>
      <x:c r="K49" s="146" t="str">
        <x:v>=(3.4+3.4+0.15+1.2*2+1.65*4+3+4.65)*0.6*1</x:v>
      </x:c>
      <x:c r="L49" s="149" t="n">
        <x:v>1</x:v>
      </x:c>
      <x:c r="M49" s="149" t="n">
        <x:v>1</x:v>
      </x:c>
      <x:c r="N49" s="149" t="n">
        <x:v>14.16</x:v>
      </x:c>
      <x:c r="O49" s="149" t="n">
        <x:v>14.16</x:v>
      </x:c>
      <x:c r="P49" s="149" t="n">
        <x:f>IF('입력·근거'!$B$12="HIGH",O49,N49)</x:f>
        <x:v>14.16</x:v>
      </x:c>
      <x:c r="Q49" s="158" t="str"/>
      <x:c r="R49" s="161" t="str">
        <x:f>IF(Q49="","",P49*Q49)</x:f>
      </x:c>
      <x:c r="S49" s="146" t="str">
        <x:v>formula_quantity;unpriced_source</x:v>
      </x:c>
    </x:row>
    <x:row r="50">
      <x:c r="A50" s="146" t="str">
        <x:v>2-Stance Pit Latrine</x:v>
      </x:c>
      <x:c r="B50" s="146" t="n">
        <x:v>10</x:v>
      </x:c>
      <x:c r="C50" s="146" t="str">
        <x:v>2칸 재래식 화장실</x:v>
      </x:c>
      <x:c r="D50" s="146" t="str">
        <x:v>토공·기초</x:v>
      </x:c>
      <x:c r="E50" s="146" t="str">
        <x:v>ELEMENT NO.1</x:v>
      </x:c>
      <x:c r="F50" s="146" t="str">
        <x:v>Excavation and Earthworks. Note: Rates for excavation to include for keeping excavations free from water and planking and strutting to sides of excavations</x:v>
      </x:c>
      <x:c r="G50" s="146" t="str"/>
      <x:c r="H50" s="49" t="str">
        <x:v>Ditto but excavation for the pit n.e 3m deep</x:v>
      </x:c>
      <x:c r="I50" s="146" t="str">
        <x:v>m³</x:v>
      </x:c>
      <x:c r="J50" s="149" t="n">
        <x:v>9</x:v>
      </x:c>
      <x:c r="K50" s="146" t="str">
        <x:v>=1.5*2*3</x:v>
      </x:c>
      <x:c r="L50" s="149" t="n">
        <x:v>1</x:v>
      </x:c>
      <x:c r="M50" s="149" t="n">
        <x:v>1</x:v>
      </x:c>
      <x:c r="N50" s="149" t="n">
        <x:v>9</x:v>
      </x:c>
      <x:c r="O50" s="149" t="n">
        <x:v>9</x:v>
      </x:c>
      <x:c r="P50" s="149" t="n">
        <x:f>IF('입력·근거'!$B$12="HIGH",O50,N50)</x:f>
        <x:v>9</x:v>
      </x:c>
      <x:c r="Q50" s="158" t="str"/>
      <x:c r="R50" s="161" t="str">
        <x:f>IF(Q50="","",P50*Q50)</x:f>
      </x:c>
      <x:c r="S50" s="146" t="str">
        <x:v>formula_quantity;unpriced_source</x:v>
      </x:c>
    </x:row>
    <x:row r="51">
      <x:c r="A51" s="146" t="str">
        <x:v>2-Stance Pit Latrine</x:v>
      </x:c>
      <x:c r="B51" s="146" t="n">
        <x:v>11</x:v>
      </x:c>
      <x:c r="C51" s="146" t="str">
        <x:v>2칸 재래식 화장실</x:v>
      </x:c>
      <x:c r="D51" s="146" t="str">
        <x:v>토공·기초</x:v>
      </x:c>
      <x:c r="E51" s="146" t="str">
        <x:v>ELEMENT NO.1</x:v>
      </x:c>
      <x:c r="F51" s="146" t="str">
        <x:v>Excavation and Earthworks. Note: Rates for excavation to include for keeping excavations free from water and planking and strutting to sides of excavations</x:v>
      </x:c>
      <x:c r="G51" s="146" t="str">
        <x:v>E</x:v>
      </x:c>
      <x:c r="H51" s="49" t="str">
        <x:v>Return, fill and ram: Approved imported marrum around foundations: in 200mm layers compacted to 95% MDD.</x:v>
      </x:c>
      <x:c r="I51" s="146" t="str">
        <x:v>m³</x:v>
      </x:c>
      <x:c r="J51" s="149" t="n">
        <x:v>8.291999999999998</x:v>
      </x:c>
      <x:c r="K51" s="146" t="str">
        <x:v>=D9-D14*0.1-D21*0.2</x:v>
      </x:c>
      <x:c r="L51" s="149" t="n">
        <x:v>1</x:v>
      </x:c>
      <x:c r="M51" s="149" t="n">
        <x:v>1</x:v>
      </x:c>
      <x:c r="N51" s="149" t="n">
        <x:v>8.291999999999998</x:v>
      </x:c>
      <x:c r="O51" s="149" t="n">
        <x:v>8.291999999999998</x:v>
      </x:c>
      <x:c r="P51" s="149" t="n">
        <x:f>IF('입력·근거'!$B$12="HIGH",O51,N51)</x:f>
        <x:v>8.291999999999998</x:v>
      </x:c>
      <x:c r="Q51" s="158" t="str"/>
      <x:c r="R51" s="161" t="str">
        <x:f>IF(Q51="","",P51*Q51)</x:f>
      </x:c>
      <x:c r="S51" s="146" t="str">
        <x:v>formula_quantity;unpriced_source</x:v>
      </x:c>
    </x:row>
    <x:row r="52">
      <x:c r="A52" s="146" t="str">
        <x:v>2-Stance Pit Latrine</x:v>
      </x:c>
      <x:c r="B52" s="146" t="n">
        <x:v>12</x:v>
      </x:c>
      <x:c r="C52" s="146" t="str">
        <x:v>2칸 재래식 화장실</x:v>
      </x:c>
      <x:c r="D52" s="146" t="str">
        <x:v>콘크리트·철근·거푸집</x:v>
      </x:c>
      <x:c r="E52" s="146" t="str">
        <x:v>ELEMENT NO.1</x:v>
      </x:c>
      <x:c r="F52" s="146" t="str">
        <x:v>Excavation and Earthworks. Note: Rates for excavation to include for keeping excavations free from water and planking and strutting to sides of excavations</x:v>
      </x:c>
      <x:c r="G52" s="146" t="str">
        <x:v>F</x:v>
      </x:c>
      <x:c r="H52" s="49" t="str">
        <x:v>150mm thick hard core below ground slab</x:v>
      </x:c>
      <x:c r="I52" s="146" t="str">
        <x:v>m²</x:v>
      </x:c>
      <x:c r="J52" s="149" t="n">
        <x:v>15.54</x:v>
      </x:c>
      <x:c r="K52" s="146" t="str">
        <x:v>=(7.95*1.2)+(1*1.5*4)</x:v>
      </x:c>
      <x:c r="L52" s="149" t="n">
        <x:v>1</x:v>
      </x:c>
      <x:c r="M52" s="149" t="n">
        <x:v>1</x:v>
      </x:c>
      <x:c r="N52" s="149" t="n">
        <x:v>15.54</x:v>
      </x:c>
      <x:c r="O52" s="149" t="n">
        <x:v>15.54</x:v>
      </x:c>
      <x:c r="P52" s="149" t="n">
        <x:f>IF('입력·근거'!$B$12="HIGH",O52,N52)</x:f>
        <x:v>15.54</x:v>
      </x:c>
      <x:c r="Q52" s="158" t="str"/>
      <x:c r="R52" s="161" t="str">
        <x:f>IF(Q52="","",P52*Q52)</x:f>
      </x:c>
      <x:c r="S52" s="146" t="str">
        <x:v>formula_quantity;unpriced_source</x:v>
      </x:c>
    </x:row>
    <x:row r="53">
      <x:c r="A53" s="146" t="str">
        <x:v>2-Stance Pit Latrine</x:v>
      </x:c>
      <x:c r="B53" s="146" t="n">
        <x:v>14</x:v>
      </x:c>
      <x:c r="C53" s="146" t="str">
        <x:v>2칸 재래식 화장실</x:v>
      </x:c>
      <x:c r="D53" s="146" t="str">
        <x:v>콘크리트·철근·거푸집</x:v>
      </x:c>
      <x:c r="E53" s="146" t="str">
        <x:v>ELEMENT NO.1</x:v>
      </x:c>
      <x:c r="F53" s="146" t="str">
        <x:v>Reinforced In - Situ Concrete class 25/20mm aggregate</x:v>
      </x:c>
      <x:c r="G53" s="146" t="str">
        <x:v>G</x:v>
      </x:c>
      <x:c r="H53" s="49" t="str">
        <x:v>Foundation in trenches</x:v>
      </x:c>
      <x:c r="I53" s="146" t="str">
        <x:v>m²</x:v>
      </x:c>
      <x:c r="J53" s="149" t="n">
        <x:v>14.16</x:v>
      </x:c>
      <x:c r="K53" s="146" t="str">
        <x:v>=(3.4+3.4+0.15+1.2*2+1.65*4+3+4.65)*0.6</x:v>
      </x:c>
      <x:c r="L53" s="149" t="n">
        <x:v>1</x:v>
      </x:c>
      <x:c r="M53" s="149" t="n">
        <x:v>1</x:v>
      </x:c>
      <x:c r="N53" s="149" t="n">
        <x:v>14.16</x:v>
      </x:c>
      <x:c r="O53" s="149" t="n">
        <x:v>14.16</x:v>
      </x:c>
      <x:c r="P53" s="149" t="n">
        <x:f>IF('입력·근거'!$B$12="HIGH",O53,N53)</x:f>
        <x:v>14.16</x:v>
      </x:c>
      <x:c r="Q53" s="158" t="str"/>
      <x:c r="R53" s="161" t="str">
        <x:f>IF(Q53="","",P53*Q53)</x:f>
      </x:c>
      <x:c r="S53" s="146" t="str">
        <x:v>formula_quantity;unpriced_source</x:v>
      </x:c>
    </x:row>
    <x:row r="54">
      <x:c r="A54" s="146" t="str">
        <x:v>2-Stance Pit Latrine</x:v>
      </x:c>
      <x:c r="B54" s="146" t="n">
        <x:v>15</x:v>
      </x:c>
      <x:c r="C54" s="146" t="str">
        <x:v>2칸 재래식 화장실</x:v>
      </x:c>
      <x:c r="D54" s="146" t="str">
        <x:v>콘크리트·철근·거푸집</x:v>
      </x:c>
      <x:c r="E54" s="146" t="str">
        <x:v>ELEMENT NO.1</x:v>
      </x:c>
      <x:c r="F54" s="146" t="str">
        <x:v>Reinforced In - Situ Concrete class 25/20mm aggregate</x:v>
      </x:c>
      <x:c r="G54" s="146" t="str">
        <x:v>H</x:v>
      </x:c>
      <x:c r="H54" s="49" t="str">
        <x:v>150mm ground floor slab Concrete tampered with fabric reinforcement</x:v>
      </x:c>
      <x:c r="I54" s="146" t="str">
        <x:v>m²</x:v>
      </x:c>
      <x:c r="J54" s="149" t="n">
        <x:v>15.54</x:v>
      </x:c>
      <x:c r="K54" s="146" t="str">
        <x:v>=D12</x:v>
      </x:c>
      <x:c r="L54" s="149" t="n">
        <x:v>1</x:v>
      </x:c>
      <x:c r="M54" s="149" t="n">
        <x:v>1</x:v>
      </x:c>
      <x:c r="N54" s="149" t="n">
        <x:v>15.54</x:v>
      </x:c>
      <x:c r="O54" s="149" t="n">
        <x:v>15.54</x:v>
      </x:c>
      <x:c r="P54" s="149" t="n">
        <x:f>IF('입력·근거'!$B$12="HIGH",O54,N54)</x:f>
        <x:v>15.54</x:v>
      </x:c>
      <x:c r="Q54" s="158" t="str"/>
      <x:c r="R54" s="161" t="str">
        <x:f>IF(Q54="","",P54*Q54)</x:f>
      </x:c>
      <x:c r="S54" s="146" t="str">
        <x:v>formula_quantity;unpriced_source</x:v>
      </x:c>
    </x:row>
    <x:row r="55">
      <x:c r="A55" s="146" t="str">
        <x:v>2-Stance Pit Latrine</x:v>
      </x:c>
      <x:c r="B55" s="146" t="n">
        <x:v>16</x:v>
      </x:c>
      <x:c r="C55" s="146" t="str">
        <x:v>2칸 재래식 화장실</x:v>
      </x:c>
      <x:c r="D55" s="146" t="str">
        <x:v>콘크리트·철근·거푸집</x:v>
      </x:c>
      <x:c r="E55" s="146" t="str">
        <x:v>ELEMENT NO.1</x:v>
      </x:c>
      <x:c r="F55" s="146" t="str">
        <x:v>Reinforced In - Situ Concrete class 25/20mm aggregate</x:v>
      </x:c>
      <x:c r="G55" s="146" t="str">
        <x:v>I</x:v>
      </x:c>
      <x:c r="H55" s="49" t="str">
        <x:v>Ramps and splash apron</x:v>
      </x:c>
      <x:c r="I55" s="146" t="str">
        <x:v>m²</x:v>
      </x:c>
      <x:c r="J55" s="149" t="n">
        <x:v>5.399999999999999</x:v>
      </x:c>
      <x:c r="K55" s="146" t="str">
        <x:v>=7.95*0.3+1.2*2*0.3+1.5*2*0.3+4.65*0.3</x:v>
      </x:c>
      <x:c r="L55" s="149" t="n">
        <x:v>1</x:v>
      </x:c>
      <x:c r="M55" s="149" t="n">
        <x:v>1</x:v>
      </x:c>
      <x:c r="N55" s="149" t="n">
        <x:v>5.399999999999999</x:v>
      </x:c>
      <x:c r="O55" s="149" t="n">
        <x:v>5.399999999999999</x:v>
      </x:c>
      <x:c r="P55" s="149" t="n">
        <x:f>IF('입력·근거'!$B$12="HIGH",O55,N55)</x:f>
        <x:v>5.399999999999999</x:v>
      </x:c>
      <x:c r="Q55" s="158" t="str"/>
      <x:c r="R55" s="161" t="str">
        <x:f>IF(Q55="","",P55*Q55)</x:f>
      </x:c>
      <x:c r="S55" s="146" t="str">
        <x:v>formula_quantity;unpriced_source</x:v>
      </x:c>
    </x:row>
    <x:row r="56">
      <x:c r="A56" s="146" t="str">
        <x:v>2-Stance Pit Latrine</x:v>
      </x:c>
      <x:c r="B56" s="146" t="n">
        <x:v>17</x:v>
      </x:c>
      <x:c r="C56" s="146" t="str">
        <x:v>2칸 재래식 화장실</x:v>
      </x:c>
      <x:c r="D56" s="146" t="str">
        <x:v>콘크리트·철근·거푸집</x:v>
      </x:c>
      <x:c r="E56" s="146" t="str">
        <x:v>ELEMENT NO.1</x:v>
      </x:c>
      <x:c r="F56" s="146" t="str">
        <x:v>Reinforced In - Situ Concrete class 25/20mm aggregate</x:v>
      </x:c>
      <x:c r="G56" s="146" t="str">
        <x:v>J</x:v>
      </x:c>
      <x:c r="H56" s="49" t="str">
        <x:v>Mesh reinforcement Ref No. A98 size 200 x 200 mm weighing 1.58 kg per square metre: in floor slab: including all necessary supports</x:v>
      </x:c>
      <x:c r="I56" s="146" t="str">
        <x:v>m²</x:v>
      </x:c>
      <x:c r="J56" s="149" t="n">
        <x:v>15.54</x:v>
      </x:c>
      <x:c r="K56" s="146" t="str">
        <x:v>=D15</x:v>
      </x:c>
      <x:c r="L56" s="149" t="n">
        <x:v>1</x:v>
      </x:c>
      <x:c r="M56" s="149" t="n">
        <x:v>1</x:v>
      </x:c>
      <x:c r="N56" s="149" t="n">
        <x:v>15.54</x:v>
      </x:c>
      <x:c r="O56" s="149" t="n">
        <x:v>15.54</x:v>
      </x:c>
      <x:c r="P56" s="149" t="n">
        <x:f>IF('입력·근거'!$B$12="HIGH",O56,N56)</x:f>
        <x:v>15.54</x:v>
      </x:c>
      <x:c r="Q56" s="158" t="str"/>
      <x:c r="R56" s="161" t="str">
        <x:f>IF(Q56="","",P56*Q56)</x:f>
      </x:c>
      <x:c r="S56" s="146" t="str">
        <x:v>formula_quantity;unpriced_source</x:v>
      </x:c>
    </x:row>
    <x:row r="57">
      <x:c r="A57" s="146" t="str">
        <x:v>2-Stance Pit Latrine</x:v>
      </x:c>
      <x:c r="B57" s="146" t="n">
        <x:v>19</x:v>
      </x:c>
      <x:c r="C57" s="146" t="str">
        <x:v>2칸 재래식 화장실</x:v>
      </x:c>
      <x:c r="D57" s="146" t="str">
        <x:v>콘크리트·철근·거푸집</x:v>
      </x:c>
      <x:c r="E57" s="146" t="str">
        <x:v>ELEMENT NO.1</x:v>
      </x:c>
      <x:c r="F57" s="146" t="str">
        <x:v>sawn treated formwork to;</x:v>
      </x:c>
      <x:c r="G57" s="146" t="str">
        <x:v>K</x:v>
      </x:c>
      <x:c r="H57" s="49" t="str">
        <x:v>Vertical edges of surface bed : over 75mm but not exceeding 150 mm high.</x:v>
      </x:c>
      <x:c r="I57" s="146" t="str">
        <x:v>m</x:v>
      </x:c>
      <x:c r="J57" s="149" t="n">
        <x:v>21.900000000000002</x:v>
      </x:c>
      <x:c r="K57" s="146" t="str">
        <x:v>=2*(7.95+1.2+1.5+0.3)</x:v>
      </x:c>
      <x:c r="L57" s="149" t="n">
        <x:v>1</x:v>
      </x:c>
      <x:c r="M57" s="149" t="n">
        <x:v>1</x:v>
      </x:c>
      <x:c r="N57" s="149" t="n">
        <x:v>21.900000000000002</x:v>
      </x:c>
      <x:c r="O57" s="149" t="n">
        <x:v>21.900000000000002</x:v>
      </x:c>
      <x:c r="P57" s="149" t="n">
        <x:f>IF('입력·근거'!$B$12="HIGH",O57,N57)</x:f>
        <x:v>21.900000000000002</x:v>
      </x:c>
      <x:c r="Q57" s="158" t="str"/>
      <x:c r="R57" s="161" t="str">
        <x:f>IF(Q57="","",P57*Q57)</x:f>
      </x:c>
      <x:c r="S57" s="146" t="str">
        <x:v>formula_quantity;unpriced_source</x:v>
      </x:c>
    </x:row>
    <x:row r="58">
      <x:c r="A58" s="146" t="str">
        <x:v>2-Stance Pit Latrine</x:v>
      </x:c>
      <x:c r="B58" s="146" t="n">
        <x:v>21</x:v>
      </x:c>
      <x:c r="C58" s="146" t="str">
        <x:v>2칸 재래식 화장실</x:v>
      </x:c>
      <x:c r="D58" s="146" t="str">
        <x:v>조적</x:v>
      </x:c>
      <x:c r="E58" s="146" t="str">
        <x:v>ELEMENT NO.1</x:v>
      </x:c>
      <x:c r="F58" s="146" t="str">
        <x:v>Brickwork in burnt clay bricks in cement and sand mortar (1:3) mix; with and including 25 x 3mm hoop iron strips laid horizontally every alternate course.</x:v>
      </x:c>
      <x:c r="G58" s="146" t="str">
        <x:v>L</x:v>
      </x:c>
      <x:c r="H58" s="49" t="str">
        <x:v>Plinth walling + Splash apron</x:v>
      </x:c>
      <x:c r="I58" s="146" t="str">
        <x:v>m²</x:v>
      </x:c>
      <x:c r="J58" s="149" t="n">
        <x:v>22.260000000000005</x:v>
      </x:c>
      <x:c r="K58" s="146" t="str">
        <x:v>=(3.4+3.4+0.15+1.2*2+1.65*4+3+4.65)*0.6+7.95*0.45+1.2*2*0.45+4.65*0.45+1.5*2*0.45</x:v>
      </x:c>
      <x:c r="L58" s="149" t="n">
        <x:v>1</x:v>
      </x:c>
      <x:c r="M58" s="149" t="n">
        <x:v>1</x:v>
      </x:c>
      <x:c r="N58" s="149" t="n">
        <x:v>22.260000000000005</x:v>
      </x:c>
      <x:c r="O58" s="149" t="n">
        <x:v>22.260000000000005</x:v>
      </x:c>
      <x:c r="P58" s="149" t="n">
        <x:f>IF('입력·근거'!$B$12="HIGH",O58,N58)</x:f>
        <x:v>22.260000000000005</x:v>
      </x:c>
      <x:c r="Q58" s="158" t="str"/>
      <x:c r="R58" s="161" t="str">
        <x:f>IF(Q58="","",P58*Q58)</x:f>
      </x:c>
      <x:c r="S58" s="146" t="str">
        <x:v>formula_quantity;unpriced_source</x:v>
      </x:c>
    </x:row>
    <x:row r="59">
      <x:c r="A59" s="146" t="str">
        <x:v>2-Stance Pit Latrine</x:v>
      </x:c>
      <x:c r="B59" s="146" t="n">
        <x:v>22</x:v>
      </x:c>
      <x:c r="C59" s="146" t="str">
        <x:v>2칸 재래식 화장실</x:v>
      </x:c>
      <x:c r="D59" s="146" t="str">
        <x:v>마감</x:v>
      </x:c>
      <x:c r="E59" s="146" t="str">
        <x:v>ELEMENT NO.1</x:v>
      </x:c>
      <x:c r="F59" s="146" t="str">
        <x:v>Brickwork in burnt clay bricks in cement and sand mortar (1:3) mix; with and including 25 x 3mm hoop iron strips laid horizontally every alternate course.</x:v>
      </x:c>
      <x:c r="G59" s="146" t="str">
        <x:v>M</x:v>
      </x:c>
      <x:c r="H59" s="49" t="str">
        <x:v>25mm Thick cement and sand(1:3) wall plaster wood float finished smooth on walls externally.</x:v>
      </x:c>
      <x:c r="I59" s="146" t="str">
        <x:v>m²</x:v>
      </x:c>
      <x:c r="J59" s="149" t="n">
        <x:v>10.379999999999997</x:v>
      </x:c>
      <x:c r="K59" s="146" t="str">
        <x:v>=(3.4+3.4+0.15+1.2*2+1.65*2+4.65)*0.6</x:v>
      </x:c>
      <x:c r="L59" s="149" t="n">
        <x:v>1</x:v>
      </x:c>
      <x:c r="M59" s="149" t="n">
        <x:v>1</x:v>
      </x:c>
      <x:c r="N59" s="149" t="n">
        <x:v>10.379999999999997</x:v>
      </x:c>
      <x:c r="O59" s="149" t="n">
        <x:v>10.379999999999997</x:v>
      </x:c>
      <x:c r="P59" s="149" t="n">
        <x:f>IF('입력·근거'!$B$12="HIGH",O59,N59)</x:f>
        <x:v>10.379999999999997</x:v>
      </x:c>
      <x:c r="Q59" s="158" t="str"/>
      <x:c r="R59" s="161" t="str">
        <x:f>IF(Q59="","",P59*Q59)</x:f>
      </x:c>
      <x:c r="S59" s="146" t="str">
        <x:v>formula_quantity;unpriced_source</x:v>
      </x:c>
    </x:row>
    <x:row r="60">
      <x:c r="A60" s="146" t="str">
        <x:v>2-Stance Pit Latrine</x:v>
      </x:c>
      <x:c r="B60" s="146" t="n">
        <x:v>23</x:v>
      </x:c>
      <x:c r="C60" s="146" t="str">
        <x:v>2칸 재래식 화장실</x:v>
      </x:c>
      <x:c r="D60" s="146" t="str">
        <x:v>마감</x:v>
      </x:c>
      <x:c r="E60" s="146" t="str">
        <x:v>ELEMENT NO.1</x:v>
      </x:c>
      <x:c r="F60" s="146" t="str">
        <x:v>Brickwork in burnt clay bricks in cement and sand mortar (1:3) mix; with and including 25 x 3mm hoop iron strips laid horizontally every alternate course.</x:v>
      </x:c>
      <x:c r="G60" s="146" t="str">
        <x:v>N</x:v>
      </x:c>
      <x:c r="H60" s="49" t="str">
        <x:v>Apply 3 coats of black bituminous paint to wooden float finish surface</x:v>
      </x:c>
      <x:c r="I60" s="146" t="str">
        <x:v>m²</x:v>
      </x:c>
      <x:c r="J60" s="149" t="n">
        <x:v>10.379999999999997</x:v>
      </x:c>
      <x:c r="K60" s="146" t="str">
        <x:v>=D22</x:v>
      </x:c>
      <x:c r="L60" s="149" t="n">
        <x:v>1</x:v>
      </x:c>
      <x:c r="M60" s="149" t="n">
        <x:v>1</x:v>
      </x:c>
      <x:c r="N60" s="149" t="n">
        <x:v>10.379999999999997</x:v>
      </x:c>
      <x:c r="O60" s="149" t="n">
        <x:v>10.379999999999997</x:v>
      </x:c>
      <x:c r="P60" s="149" t="n">
        <x:f>IF('입력·근거'!$B$12="HIGH",O60,N60)</x:f>
        <x:v>10.379999999999997</x:v>
      </x:c>
      <x:c r="Q60" s="158" t="str"/>
      <x:c r="R60" s="161" t="str">
        <x:f>IF(Q60="","",P60*Q60)</x:f>
      </x:c>
      <x:c r="S60" s="146" t="str">
        <x:v>formula_quantity;unpriced_source</x:v>
      </x:c>
    </x:row>
    <x:row r="61">
      <x:c r="A61" s="146" t="str">
        <x:v>2-Stance Pit Latrine</x:v>
      </x:c>
      <x:c r="B61" s="146" t="n">
        <x:v>25</x:v>
      </x:c>
      <x:c r="C61" s="146" t="str">
        <x:v>2칸 재래식 화장실</x:v>
      </x:c>
      <x:c r="D61" s="146" t="str">
        <x:v>지붕</x:v>
      </x:c>
      <x:c r="E61" s="146" t="str">
        <x:v>ELEMENT NO.1</x:v>
      </x:c>
      <x:c r="F61" s="146" t="str">
        <x:v>Sundries</x:v>
      </x:c>
      <x:c r="G61" s="146" t="str">
        <x:v>O</x:v>
      </x:c>
      <x:c r="H61" s="49" t="str">
        <x:v>Damp proof courses : Hessian based bituminous felt: bedded in cement and sand (1:4) mortar : 300mm laps.</x:v>
      </x:c>
      <x:c r="I61" s="146" t="str">
        <x:v>m</x:v>
      </x:c>
      <x:c r="J61" s="149" t="n">
        <x:v>23.6</x:v>
      </x:c>
      <x:c r="K61" s="146" t="str">
        <x:v>=(3.4+3.4+0.15+1.2*2+1.65*4+3+4.65)</x:v>
      </x:c>
      <x:c r="L61" s="149" t="n">
        <x:v>1</x:v>
      </x:c>
      <x:c r="M61" s="149" t="n">
        <x:v>1</x:v>
      </x:c>
      <x:c r="N61" s="149" t="n">
        <x:v>23.6</x:v>
      </x:c>
      <x:c r="O61" s="149" t="n">
        <x:v>23.6</x:v>
      </x:c>
      <x:c r="P61" s="149" t="n">
        <x:f>IF('입력·근거'!$B$12="HIGH",O61,N61)</x:f>
        <x:v>23.6</x:v>
      </x:c>
      <x:c r="Q61" s="158" t="str"/>
      <x:c r="R61" s="161" t="str">
        <x:f>IF(Q61="","",P61*Q61)</x:f>
      </x:c>
      <x:c r="S61" s="146" t="str">
        <x:v>formula_quantity;unpriced_source</x:v>
      </x:c>
    </x:row>
    <x:row r="62">
      <x:c r="A62" s="146" t="str">
        <x:v>2-Stance Pit Latrine</x:v>
      </x:c>
      <x:c r="B62" s="146" t="n">
        <x:v>30</x:v>
      </x:c>
      <x:c r="C62" s="146" t="str">
        <x:v>2칸 재래식 화장실</x:v>
      </x:c>
      <x:c r="D62" s="146" t="str">
        <x:v>조적</x:v>
      </x:c>
      <x:c r="E62" s="146" t="str">
        <x:v>ELEMENT NO.2: WALLING AND FRAME</x:v>
      </x:c>
      <x:c r="F62" s="146" t="str">
        <x:v>Reinforced in-situ concrete class 25/12mm aggregate in;-</x:v>
      </x:c>
      <x:c r="G62" s="146" t="str">
        <x:v>A</x:v>
      </x:c>
      <x:c r="H62" s="49" t="str">
        <x:v>Ringbeam</x:v>
      </x:c>
      <x:c r="I62" s="146" t="str">
        <x:v>m³</x:v>
      </x:c>
      <x:c r="J62" s="149" t="n">
        <x:v>1</x:v>
      </x:c>
      <x:c r="K62" s="146" t="str"/>
      <x:c r="L62" s="149" t="n">
        <x:v>1</x:v>
      </x:c>
      <x:c r="M62" s="149" t="n">
        <x:v>1</x:v>
      </x:c>
      <x:c r="N62" s="149" t="n">
        <x:v>1</x:v>
      </x:c>
      <x:c r="O62" s="149" t="n">
        <x:v>1</x:v>
      </x:c>
      <x:c r="P62" s="149" t="n">
        <x:f>IF('입력·근거'!$B$12="HIGH",O62,N62)</x:f>
        <x:v>1</x:v>
      </x:c>
      <x:c r="Q62" s="158" t="str"/>
      <x:c r="R62" s="161" t="str">
        <x:f>IF(Q62="","",P62*Q62)</x:f>
      </x:c>
      <x:c r="S62" s="146" t="str">
        <x:v>unpriced_source</x:v>
      </x:c>
    </x:row>
    <x:row r="63">
      <x:c r="A63" s="146" t="str">
        <x:v>2-Stance Pit Latrine</x:v>
      </x:c>
      <x:c r="B63" s="146" t="n">
        <x:v>32</x:v>
      </x:c>
      <x:c r="C63" s="146" t="str">
        <x:v>2칸 재래식 화장실</x:v>
      </x:c>
      <x:c r="D63" s="146" t="str">
        <x:v>창호·철물</x:v>
      </x:c>
      <x:c r="E63" s="146" t="str">
        <x:v>ELEMENT NO.2: WALLING AND FRAME</x:v>
      </x:c>
      <x:c r="F63" s="146" t="str">
        <x:v>Hot rolled High yield ribbed steel bar reinforcement to BS 4449 as described including cutting to lengths, bending, hoisting and fixing including all necessary tying wire and spacing blocks.</x:v>
      </x:c>
      <x:c r="G63" s="146" t="str">
        <x:v>B</x:v>
      </x:c>
      <x:c r="H63" s="49" t="str">
        <x:v>12mm Diameter bars (T12</x:v>
      </x:c>
      <x:c r="I63" s="146" t="str">
        <x:v>kg</x:v>
      </x:c>
      <x:c r="J63" s="149" t="n">
        <x:v>45</x:v>
      </x:c>
      <x:c r="K63" s="146" t="str"/>
      <x:c r="L63" s="149" t="n">
        <x:v>1</x:v>
      </x:c>
      <x:c r="M63" s="149" t="n">
        <x:v>1</x:v>
      </x:c>
      <x:c r="N63" s="149" t="n">
        <x:v>45</x:v>
      </x:c>
      <x:c r="O63" s="149" t="n">
        <x:v>45</x:v>
      </x:c>
      <x:c r="P63" s="149" t="n">
        <x:f>IF('입력·근거'!$B$12="HIGH",O63,N63)</x:f>
        <x:v>45</x:v>
      </x:c>
      <x:c r="Q63" s="158" t="str"/>
      <x:c r="R63" s="161" t="str">
        <x:f>IF(Q63="","",P63*Q63)</x:f>
      </x:c>
      <x:c r="S63" s="146" t="str">
        <x:v>unpriced_source</x:v>
      </x:c>
    </x:row>
    <x:row r="64">
      <x:c r="A64" s="146" t="str">
        <x:v>2-Stance Pit Latrine</x:v>
      </x:c>
      <x:c r="B64" s="146" t="n">
        <x:v>33</x:v>
      </x:c>
      <x:c r="C64" s="146" t="str">
        <x:v>2칸 재래식 화장실</x:v>
      </x:c>
      <x:c r="D64" s="146" t="str">
        <x:v>창호·철물</x:v>
      </x:c>
      <x:c r="E64" s="146" t="str">
        <x:v>ELEMENT NO.2: WALLING AND FRAME</x:v>
      </x:c>
      <x:c r="F64" s="146" t="str">
        <x:v>Hot rolled High yield ribbed steel bar reinforcement to BS 4449 as described including cutting to lengths, bending, hoisting and fixing including all necessary tying wire and spacing blocks.</x:v>
      </x:c>
      <x:c r="G64" s="146" t="str">
        <x:v>C</x:v>
      </x:c>
      <x:c r="H64" s="49" t="str">
        <x:v>8mm Diameter bars</x:v>
      </x:c>
      <x:c r="I64" s="146" t="str">
        <x:v>kg</x:v>
      </x:c>
      <x:c r="J64" s="149" t="n">
        <x:v>25</x:v>
      </x:c>
      <x:c r="K64" s="146" t="str"/>
      <x:c r="L64" s="149" t="n">
        <x:v>1</x:v>
      </x:c>
      <x:c r="M64" s="149" t="n">
        <x:v>1</x:v>
      </x:c>
      <x:c r="N64" s="149" t="n">
        <x:v>25</x:v>
      </x:c>
      <x:c r="O64" s="149" t="n">
        <x:v>25</x:v>
      </x:c>
      <x:c r="P64" s="149" t="n">
        <x:f>IF('입력·근거'!$B$12="HIGH",O64,N64)</x:f>
        <x:v>25</x:v>
      </x:c>
      <x:c r="Q64" s="158" t="str"/>
      <x:c r="R64" s="161" t="str">
        <x:f>IF(Q64="","",P64*Q64)</x:f>
      </x:c>
      <x:c r="S64" s="146" t="str">
        <x:v>unpriced_source</x:v>
      </x:c>
    </x:row>
    <x:row r="65">
      <x:c r="A65" s="146" t="str">
        <x:v>2-Stance Pit Latrine</x:v>
      </x:c>
      <x:c r="B65" s="146" t="n">
        <x:v>34</x:v>
      </x:c>
      <x:c r="C65" s="146" t="str">
        <x:v>2칸 재래식 화장실</x:v>
      </x:c>
      <x:c r="D65" s="146" t="str">
        <x:v>지붕</x:v>
      </x:c>
      <x:c r="E65" s="146" t="str">
        <x:v>ELEMENT NO.2: WALLING AND FRAME</x:v>
      </x:c>
      <x:c r="F65" s="146" t="str">
        <x:v>Hot rolled High yield ribbed steel bar reinforcement to BS 4449 as described including cutting to lengths, bending, hoisting and fixing including all necessary tying wire and spacing blocks.</x:v>
      </x:c>
      <x:c r="G65" s="146" t="str">
        <x:v>D</x:v>
      </x:c>
      <x:c r="H65" s="49" t="str">
        <x:v>R08 stirrups cast in ring beam at every truss position for fastening trusses(MS)</x:v>
      </x:c>
      <x:c r="I65" s="146" t="str">
        <x:v>kg</x:v>
      </x:c>
      <x:c r="J65" s="149" t="n">
        <x:v>15</x:v>
      </x:c>
      <x:c r="K65" s="146" t="str"/>
      <x:c r="L65" s="149" t="n">
        <x:v>1</x:v>
      </x:c>
      <x:c r="M65" s="149" t="n">
        <x:v>1</x:v>
      </x:c>
      <x:c r="N65" s="149" t="n">
        <x:v>15</x:v>
      </x:c>
      <x:c r="O65" s="149" t="n">
        <x:v>15</x:v>
      </x:c>
      <x:c r="P65" s="149" t="n">
        <x:f>IF('입력·근거'!$B$12="HIGH",O65,N65)</x:f>
        <x:v>15</x:v>
      </x:c>
      <x:c r="Q65" s="158" t="str"/>
      <x:c r="R65" s="161" t="str">
        <x:f>IF(Q65="","",P65*Q65)</x:f>
      </x:c>
      <x:c r="S65" s="146" t="str">
        <x:v>unpriced_source</x:v>
      </x:c>
    </x:row>
    <x:row r="66">
      <x:c r="A66" s="146" t="str">
        <x:v>2-Stance Pit Latrine</x:v>
      </x:c>
      <x:c r="B66" s="146" t="n">
        <x:v>36</x:v>
      </x:c>
      <x:c r="C66" s="146" t="str">
        <x:v>2칸 재래식 화장실</x:v>
      </x:c>
      <x:c r="D66" s="146" t="str">
        <x:v>조적</x:v>
      </x:c>
      <x:c r="E66" s="146" t="str">
        <x:v>ELEMENT NO.2: WALLING AND FRAME</x:v>
      </x:c>
      <x:c r="F66" s="146" t="str">
        <x:v>Sawn treated formwork to;</x:v>
      </x:c>
      <x:c r="G66" s="146" t="str">
        <x:v>E</x:v>
      </x:c>
      <x:c r="H66" s="49" t="str">
        <x:v>sides and bottom of Ring beam</x:v>
      </x:c>
      <x:c r="I66" s="146" t="str">
        <x:v>m²</x:v>
      </x:c>
      <x:c r="J66" s="149" t="n">
        <x:v>7.08</x:v>
      </x:c>
      <x:c r="K66" s="146" t="str">
        <x:v>=(3.4+3.4+0.15+1.2*2+1.65*4+3+4.65)*0.3</x:v>
      </x:c>
      <x:c r="L66" s="149" t="n">
        <x:v>1</x:v>
      </x:c>
      <x:c r="M66" s="149" t="n">
        <x:v>1</x:v>
      </x:c>
      <x:c r="N66" s="149" t="n">
        <x:v>7.08</x:v>
      </x:c>
      <x:c r="O66" s="149" t="n">
        <x:v>7.08</x:v>
      </x:c>
      <x:c r="P66" s="149" t="n">
        <x:f>IF('입력·근거'!$B$12="HIGH",O66,N66)</x:f>
        <x:v>7.08</x:v>
      </x:c>
      <x:c r="Q66" s="158" t="str"/>
      <x:c r="R66" s="161" t="str">
        <x:f>IF(Q66="","",P66*Q66)</x:f>
      </x:c>
      <x:c r="S66" s="146" t="str">
        <x:v>formula_quantity;unpriced_source</x:v>
      </x:c>
    </x:row>
    <x:row r="67">
      <x:c r="A67" s="146" t="str">
        <x:v>2-Stance Pit Latrine</x:v>
      </x:c>
      <x:c r="B67" s="146" t="n">
        <x:v>38</x:v>
      </x:c>
      <x:c r="C67" s="146" t="str">
        <x:v>2칸 재래식 화장실</x:v>
      </x:c>
      <x:c r="D67" s="146" t="str">
        <x:v>조적</x:v>
      </x:c>
      <x:c r="E67" s="146" t="str">
        <x:v>ELEMENT NO.2: WALLING AND FRAME</x:v>
      </x:c>
      <x:c r="F67" s="146" t="str">
        <x:v>Brickwork</x:v>
      </x:c>
      <x:c r="G67" s="146" t="str">
        <x:v>F</x:v>
      </x:c>
      <x:c r="H67" s="49" t="str">
        <x:v>150mm thick well burnt clay brick walling bedded and jointed in cement sand(1:3) mortor with and including 25x3mm thick hoop iron strips laid horizontally at every alternate coars</x:v>
      </x:c>
      <x:c r="I67" s="146" t="str">
        <x:v>m²</x:v>
      </x:c>
      <x:c r="J67" s="149" t="n">
        <x:v>59.22</x:v>
      </x:c>
      <x:c r="K67" s="146" t="str">
        <x:v>=((3.4+3.4)*2.1)+(1.2*2*2.1)+1.65*4*2.8+3*2.8+4.65*2.8</x:v>
      </x:c>
      <x:c r="L67" s="149" t="n">
        <x:v>1</x:v>
      </x:c>
      <x:c r="M67" s="149" t="n">
        <x:v>1</x:v>
      </x:c>
      <x:c r="N67" s="149" t="n">
        <x:v>59.22</x:v>
      </x:c>
      <x:c r="O67" s="149" t="n">
        <x:v>59.22</x:v>
      </x:c>
      <x:c r="P67" s="149" t="n">
        <x:f>IF('입력·근거'!$B$12="HIGH",O67,N67)</x:f>
        <x:v>59.22</x:v>
      </x:c>
      <x:c r="Q67" s="158" t="str"/>
      <x:c r="R67" s="161" t="str">
        <x:f>IF(Q67="","",P67*Q67)</x:f>
      </x:c>
      <x:c r="S67" s="146" t="str">
        <x:v>formula_quantity;unpriced_source</x:v>
      </x:c>
    </x:row>
    <x:row r="68">
      <x:c r="A68" s="146" t="str">
        <x:v>2-Stance Pit Latrine</x:v>
      </x:c>
      <x:c r="B68" s="146" t="n">
        <x:v>44</x:v>
      </x:c>
      <x:c r="C68" s="146" t="str">
        <x:v>2칸 재래식 화장실</x:v>
      </x:c>
      <x:c r="D68" s="146" t="str">
        <x:v>지붕</x:v>
      </x:c>
      <x:c r="E68" s="146" t="str">
        <x:v>ELEMENT NO.3 ROOF CONSTRUCTION</x:v>
      </x:c>
      <x:c r="F68" s="146" t="str">
        <x:v>Sawn cypress pressure impregnated with preservative:-</x:v>
      </x:c>
      <x:c r="G68" s="146" t="str">
        <x:v>A</x:v>
      </x:c>
      <x:c r="H68" s="49" t="str">
        <x:v>75x100mm Tie beam</x:v>
      </x:c>
      <x:c r="I68" s="146" t="str">
        <x:v>m</x:v>
      </x:c>
      <x:c r="J68" s="149" t="n">
        <x:v>7.5</x:v>
      </x:c>
      <x:c r="K68" s="146" t="str">
        <x:v>=1.5*5</x:v>
      </x:c>
      <x:c r="L68" s="149" t="n">
        <x:v>1</x:v>
      </x:c>
      <x:c r="M68" s="149" t="n">
        <x:v>1</x:v>
      </x:c>
      <x:c r="N68" s="149" t="n">
        <x:v>7.5</x:v>
      </x:c>
      <x:c r="O68" s="149" t="n">
        <x:v>7.5</x:v>
      </x:c>
      <x:c r="P68" s="149" t="n">
        <x:f>IF('입력·근거'!$B$12="HIGH",O68,N68)</x:f>
        <x:v>7.5</x:v>
      </x:c>
      <x:c r="Q68" s="158" t="str"/>
      <x:c r="R68" s="161" t="str">
        <x:f>IF(Q68="","",P68*Q68)</x:f>
      </x:c>
      <x:c r="S68" s="146" t="str">
        <x:v>formula_quantity;unpriced_source</x:v>
      </x:c>
    </x:row>
    <x:row r="69">
      <x:c r="A69" s="146" t="str">
        <x:v>2-Stance Pit Latrine</x:v>
      </x:c>
      <x:c r="B69" s="146" t="n">
        <x:v>45</x:v>
      </x:c>
      <x:c r="C69" s="146" t="str">
        <x:v>2칸 재래식 화장실</x:v>
      </x:c>
      <x:c r="D69" s="146" t="str">
        <x:v>지붕</x:v>
      </x:c>
      <x:c r="E69" s="146" t="str">
        <x:v>ELEMENT NO.3 ROOF CONSTRUCTION</x:v>
      </x:c>
      <x:c r="F69" s="146" t="str">
        <x:v>Sawn cypress pressure impregnated with preservative:-</x:v>
      </x:c>
      <x:c r="G69" s="146" t="str">
        <x:v>B</x:v>
      </x:c>
      <x:c r="H69" s="49" t="str">
        <x:v>75x100mm Rafters</x:v>
      </x:c>
      <x:c r="I69" s="146" t="str">
        <x:v>m</x:v>
      </x:c>
      <x:c r="J69" s="149" t="n">
        <x:v>8.5</x:v>
      </x:c>
      <x:c r="K69" s="146" t="str">
        <x:v>=1.7*5</x:v>
      </x:c>
      <x:c r="L69" s="149" t="n">
        <x:v>1</x:v>
      </x:c>
      <x:c r="M69" s="149" t="n">
        <x:v>1</x:v>
      </x:c>
      <x:c r="N69" s="149" t="n">
        <x:v>8.5</x:v>
      </x:c>
      <x:c r="O69" s="149" t="n">
        <x:v>8.5</x:v>
      </x:c>
      <x:c r="P69" s="149" t="n">
        <x:f>IF('입력·근거'!$B$12="HIGH",O69,N69)</x:f>
        <x:v>8.5</x:v>
      </x:c>
      <x:c r="Q69" s="158" t="str"/>
      <x:c r="R69" s="161" t="str">
        <x:f>IF(Q69="","",P69*Q69)</x:f>
      </x:c>
      <x:c r="S69" s="146" t="str">
        <x:v>formula_quantity;unpriced_source</x:v>
      </x:c>
    </x:row>
    <x:row r="70">
      <x:c r="A70" s="146" t="str">
        <x:v>2-Stance Pit Latrine</x:v>
      </x:c>
      <x:c r="B70" s="146" t="n">
        <x:v>46</x:v>
      </x:c>
      <x:c r="C70" s="146" t="str">
        <x:v>2칸 재래식 화장실</x:v>
      </x:c>
      <x:c r="D70" s="146" t="str">
        <x:v>지붕</x:v>
      </x:c>
      <x:c r="E70" s="146" t="str">
        <x:v>ELEMENT NO.3 ROOF CONSTRUCTION</x:v>
      </x:c>
      <x:c r="F70" s="146" t="str">
        <x:v>Sawn cypress pressure impregnated with preservative:-</x:v>
      </x:c>
      <x:c r="G70" s="146" t="str">
        <x:v>C</x:v>
      </x:c>
      <x:c r="H70" s="49" t="str">
        <x:v>75x100mm wall plate</x:v>
      </x:c>
      <x:c r="I70" s="146" t="str">
        <x:v>m</x:v>
      </x:c>
      <x:c r="J70" s="149" t="n">
        <x:v>9.3</x:v>
      </x:c>
      <x:c r="K70" s="146" t="str">
        <x:v>=4.65*2</x:v>
      </x:c>
      <x:c r="L70" s="149" t="n">
        <x:v>1</x:v>
      </x:c>
      <x:c r="M70" s="149" t="n">
        <x:v>1</x:v>
      </x:c>
      <x:c r="N70" s="149" t="n">
        <x:v>9.3</x:v>
      </x:c>
      <x:c r="O70" s="149" t="n">
        <x:v>9.3</x:v>
      </x:c>
      <x:c r="P70" s="149" t="n">
        <x:f>IF('입력·근거'!$B$12="HIGH",O70,N70)</x:f>
        <x:v>9.3</x:v>
      </x:c>
      <x:c r="Q70" s="158" t="str"/>
      <x:c r="R70" s="161" t="str">
        <x:f>IF(Q70="","",P70*Q70)</x:f>
      </x:c>
      <x:c r="S70" s="146" t="str">
        <x:v>formula_quantity;unpriced_source</x:v>
      </x:c>
    </x:row>
    <x:row r="71">
      <x:c r="A71" s="146" t="str">
        <x:v>2-Stance Pit Latrine</x:v>
      </x:c>
      <x:c r="B71" s="146" t="n">
        <x:v>47</x:v>
      </x:c>
      <x:c r="C71" s="146" t="str">
        <x:v>2칸 재래식 화장실</x:v>
      </x:c>
      <x:c r="D71" s="146" t="str">
        <x:v>지붕</x:v>
      </x:c>
      <x:c r="E71" s="146" t="str">
        <x:v>ELEMENT NO.3 ROOF CONSTRUCTION</x:v>
      </x:c>
      <x:c r="F71" s="146" t="str">
        <x:v>Sawn cypress pressure impregnated with preservative:-</x:v>
      </x:c>
      <x:c r="G71" s="146" t="str">
        <x:v>D</x:v>
      </x:c>
      <x:c r="H71" s="49" t="str">
        <x:v>50x100mm struts and Ties</x:v>
      </x:c>
      <x:c r="I71" s="146" t="str">
        <x:v>m</x:v>
      </x:c>
      <x:c r="J71" s="149" t="n">
        <x:v>45</x:v>
      </x:c>
      <x:c r="K71" s="146" t="str"/>
      <x:c r="L71" s="149" t="n">
        <x:v>1</x:v>
      </x:c>
      <x:c r="M71" s="149" t="n">
        <x:v>1</x:v>
      </x:c>
      <x:c r="N71" s="149" t="n">
        <x:v>45</x:v>
      </x:c>
      <x:c r="O71" s="149" t="n">
        <x:v>45</x:v>
      </x:c>
      <x:c r="P71" s="149" t="n">
        <x:f>IF('입력·근거'!$B$12="HIGH",O71,N71)</x:f>
        <x:v>45</x:v>
      </x:c>
      <x:c r="Q71" s="158" t="str"/>
      <x:c r="R71" s="161" t="str">
        <x:f>IF(Q71="","",P71*Q71)</x:f>
      </x:c>
      <x:c r="S71" s="146" t="str">
        <x:v>unpriced_source</x:v>
      </x:c>
    </x:row>
    <x:row r="72">
      <x:c r="A72" s="146" t="str">
        <x:v>2-Stance Pit Latrine</x:v>
      </x:c>
      <x:c r="B72" s="146" t="n">
        <x:v>48</x:v>
      </x:c>
      <x:c r="C72" s="146" t="str">
        <x:v>2칸 재래식 화장실</x:v>
      </x:c>
      <x:c r="D72" s="146" t="str">
        <x:v>지붕</x:v>
      </x:c>
      <x:c r="E72" s="146" t="str">
        <x:v>ELEMENT NO.3 ROOF CONSTRUCTION</x:v>
      </x:c>
      <x:c r="F72" s="146" t="str">
        <x:v>Sawn cypress pressure impregnated with preservative:-</x:v>
      </x:c>
      <x:c r="G72" s="146" t="str">
        <x:v>E</x:v>
      </x:c>
      <x:c r="H72" s="49" t="str">
        <x:v>50x100mm purlins</x:v>
      </x:c>
      <x:c r="I72" s="146" t="str">
        <x:v>m</x:v>
      </x:c>
      <x:c r="J72" s="149" t="n">
        <x:v>14</x:v>
      </x:c>
      <x:c r="K72" s="146" t="str"/>
      <x:c r="L72" s="149" t="n">
        <x:v>1</x:v>
      </x:c>
      <x:c r="M72" s="149" t="n">
        <x:v>1</x:v>
      </x:c>
      <x:c r="N72" s="149" t="n">
        <x:v>14</x:v>
      </x:c>
      <x:c r="O72" s="149" t="n">
        <x:v>14</x:v>
      </x:c>
      <x:c r="P72" s="149" t="n">
        <x:f>IF('입력·근거'!$B$12="HIGH",O72,N72)</x:f>
        <x:v>14</x:v>
      </x:c>
      <x:c r="Q72" s="158" t="str"/>
      <x:c r="R72" s="161" t="str">
        <x:f>IF(Q72="","",P72*Q72)</x:f>
      </x:c>
      <x:c r="S72" s="146" t="str">
        <x:v>unpriced_source</x:v>
      </x:c>
    </x:row>
    <x:row r="73">
      <x:c r="A73" s="146" t="str">
        <x:v>2-Stance Pit Latrine</x:v>
      </x:c>
      <x:c r="B73" s="146" t="n">
        <x:v>49</x:v>
      </x:c>
      <x:c r="C73" s="146" t="str">
        <x:v>2칸 재래식 화장실</x:v>
      </x:c>
      <x:c r="D73" s="146" t="str">
        <x:v>지붕</x:v>
      </x:c>
      <x:c r="E73" s="146" t="str">
        <x:v>ELEMENT NO.3 ROOF CONSTRUCTION</x:v>
      </x:c>
      <x:c r="F73" s="146" t="str">
        <x:v>Sawn cypress pressure impregnated with preservative:-</x:v>
      </x:c>
      <x:c r="G73" s="146" t="str">
        <x:v>F</x:v>
      </x:c>
      <x:c r="H73" s="49" t="str">
        <x:v>225mm facia board well treated and painted with pproved paint</x:v>
      </x:c>
      <x:c r="I73" s="146" t="str">
        <x:v>m</x:v>
      </x:c>
      <x:c r="J73" s="149" t="n">
        <x:v>12.600000000000001</x:v>
      </x:c>
      <x:c r="K73" s="146" t="str">
        <x:v>=4.65*2+1.65*2</x:v>
      </x:c>
      <x:c r="L73" s="149" t="n">
        <x:v>1</x:v>
      </x:c>
      <x:c r="M73" s="149" t="n">
        <x:v>1</x:v>
      </x:c>
      <x:c r="N73" s="149" t="n">
        <x:v>12.600000000000001</x:v>
      </x:c>
      <x:c r="O73" s="149" t="n">
        <x:v>12.600000000000001</x:v>
      </x:c>
      <x:c r="P73" s="149" t="n">
        <x:f>IF('입력·근거'!$B$12="HIGH",O73,N73)</x:f>
        <x:v>12.600000000000001</x:v>
      </x:c>
      <x:c r="Q73" s="158" t="str"/>
      <x:c r="R73" s="161" t="str">
        <x:f>IF(Q73="","",P73*Q73)</x:f>
      </x:c>
      <x:c r="S73" s="146" t="str">
        <x:v>formula_quantity;unpriced_source</x:v>
      </x:c>
    </x:row>
    <x:row r="74">
      <x:c r="A74" s="146" t="str">
        <x:v>2-Stance Pit Latrine</x:v>
      </x:c>
      <x:c r="B74" s="146" t="n">
        <x:v>50</x:v>
      </x:c>
      <x:c r="C74" s="146" t="str">
        <x:v>2칸 재래식 화장실</x:v>
      </x:c>
      <x:c r="D74" s="146" t="str">
        <x:v>지붕</x:v>
      </x:c>
      <x:c r="E74" s="146" t="str">
        <x:v>ELEMENT NO.3 ROOF CONSTRUCTION</x:v>
      </x:c>
      <x:c r="F74" s="146" t="str">
        <x:v>Sawn cypress pressure impregnated with preservative:-</x:v>
      </x:c>
      <x:c r="G74" s="146" t="str">
        <x:v>G</x:v>
      </x:c>
      <x:c r="H74" s="49" t="str">
        <x:v>Roof Covering: Guage 26 pre-painted iron roofing sheets fixed with 2 side overlaps and 150mm end laps with and including approved roofing nails or galvanized steel drive screws with plastic washers to manufacturer's instructions.</x:v>
      </x:c>
      <x:c r="I74" s="146" t="str">
        <x:v>m²</x:v>
      </x:c>
      <x:c r="J74" s="149" t="n">
        <x:v>11.025</x:v>
      </x:c>
      <x:c r="K74" s="146" t="str">
        <x:v>=(4.65+0.6)*(1.5+1)-2.1</x:v>
      </x:c>
      <x:c r="L74" s="149" t="n">
        <x:v>1</x:v>
      </x:c>
      <x:c r="M74" s="149" t="n">
        <x:v>1</x:v>
      </x:c>
      <x:c r="N74" s="149" t="n">
        <x:v>11.025</x:v>
      </x:c>
      <x:c r="O74" s="149" t="n">
        <x:v>11.025</x:v>
      </x:c>
      <x:c r="P74" s="149" t="n">
        <x:f>IF('입력·근거'!$B$12="HIGH",O74,N74)</x:f>
        <x:v>11.025</x:v>
      </x:c>
      <x:c r="Q74" s="158" t="str"/>
      <x:c r="R74" s="161" t="str">
        <x:f>IF(Q74="","",P74*Q74)</x:f>
      </x:c>
      <x:c r="S74" s="146" t="str">
        <x:v>formula_quantity;unpriced_source</x:v>
      </x:c>
    </x:row>
    <x:row r="75">
      <x:c r="A75" s="146" t="str">
        <x:v>2-Stance Pit Latrine</x:v>
      </x:c>
      <x:c r="B75" s="146" t="n">
        <x:v>51</x:v>
      </x:c>
      <x:c r="C75" s="146" t="str">
        <x:v>2칸 재래식 화장실</x:v>
      </x:c>
      <x:c r="D75" s="146" t="str">
        <x:v>지붕</x:v>
      </x:c>
      <x:c r="E75" s="146" t="str">
        <x:v>ELEMENT NO.3 ROOF CONSTRUCTION</x:v>
      </x:c>
      <x:c r="F75" s="146" t="str">
        <x:v>Sawn cypress pressure impregnated with preservative:-</x:v>
      </x:c>
      <x:c r="G75" s="146" t="str">
        <x:v>H</x:v>
      </x:c>
      <x:c r="H75" s="49" t="str">
        <x:v>Super V translucent sheets fixed on to roof structure with welded mesh underneath</x:v>
      </x:c>
      <x:c r="I75" s="146" t="str">
        <x:v>no.</x:v>
      </x:c>
      <x:c r="J75" s="149" t="n">
        <x:v>1</x:v>
      </x:c>
      <x:c r="K75" s="146" t="str"/>
      <x:c r="L75" s="149" t="n">
        <x:v>1</x:v>
      </x:c>
      <x:c r="M75" s="149" t="n">
        <x:v>1</x:v>
      </x:c>
      <x:c r="N75" s="149" t="n">
        <x:v>1</x:v>
      </x:c>
      <x:c r="O75" s="149" t="n">
        <x:v>1</x:v>
      </x:c>
      <x:c r="P75" s="149" t="n">
        <x:f>IF('입력·근거'!$B$12="HIGH",O75,N75)</x:f>
        <x:v>1</x:v>
      </x:c>
      <x:c r="Q75" s="158" t="str"/>
      <x:c r="R75" s="161" t="str">
        <x:f>IF(Q75="","",P75*Q75)</x:f>
      </x:c>
      <x:c r="S75" s="146" t="str">
        <x:v>unpriced_source</x:v>
      </x:c>
    </x:row>
    <x:row r="76">
      <x:c r="A76" s="146" t="str">
        <x:v>2-Stance Pit Latrine</x:v>
      </x:c>
      <x:c r="B76" s="146" t="n">
        <x:v>61</x:v>
      </x:c>
      <x:c r="C76" s="146" t="str">
        <x:v>2칸 재래식 화장실</x:v>
      </x:c>
      <x:c r="D76" s="146" t="str">
        <x:v>지붕</x:v>
      </x:c>
      <x:c r="E76" s="146" t="str">
        <x:v>ELEMENT NO.3 ROOF CONSTRUCTION</x:v>
      </x:c>
      <x:c r="F76" s="146" t="str">
        <x:v>External Finishes</x:v>
      </x:c>
      <x:c r="G76" s="146" t="str">
        <x:v>A</x:v>
      </x:c>
      <x:c r="H76" s="49" t="str">
        <x:v>25mm thick cement : sand (1:4) extenal wall rendering in two coats steel trowelled hard and smooth on walls externally</x:v>
      </x:c>
      <x:c r="I76" s="146" t="str">
        <x:v>m²</x:v>
      </x:c>
      <x:c r="J76" s="149" t="n">
        <x:v>36.33</x:v>
      </x:c>
      <x:c r="K76" s="146" t="str">
        <x:v>=((3.4+3.4+0.15)*2.1)+(1.2*2*2.1)+1.65*2*2.1+4.65*2.1</x:v>
      </x:c>
      <x:c r="L76" s="149" t="n">
        <x:v>1</x:v>
      </x:c>
      <x:c r="M76" s="149" t="n">
        <x:v>1</x:v>
      </x:c>
      <x:c r="N76" s="149" t="n">
        <x:v>36.33</x:v>
      </x:c>
      <x:c r="O76" s="149" t="n">
        <x:v>36.33</x:v>
      </x:c>
      <x:c r="P76" s="149" t="n">
        <x:f>IF('입력·근거'!$B$12="HIGH",O76,N76)</x:f>
        <x:v>36.33</x:v>
      </x:c>
      <x:c r="Q76" s="158" t="str"/>
      <x:c r="R76" s="161" t="str">
        <x:f>IF(Q76="","",P76*Q76)</x:f>
      </x:c>
      <x:c r="S76" s="146" t="str">
        <x:v>formula_quantity;unpriced_source</x:v>
      </x:c>
    </x:row>
    <x:row r="77">
      <x:c r="A77" s="146" t="str">
        <x:v>2-Stance Pit Latrine</x:v>
      </x:c>
      <x:c r="B77" s="146" t="n">
        <x:v>62</x:v>
      </x:c>
      <x:c r="C77" s="146" t="str">
        <x:v>2칸 재래식 화장실</x:v>
      </x:c>
      <x:c r="D77" s="146" t="str">
        <x:v>지붕</x:v>
      </x:c>
      <x:c r="E77" s="146" t="str">
        <x:v>ELEMENT NO.3 ROOF CONSTRUCTION</x:v>
      </x:c>
      <x:c r="F77" s="146" t="str">
        <x:v>External Finishes</x:v>
      </x:c>
      <x:c r="G77" s="146" t="str">
        <x:v>B</x:v>
      </x:c>
      <x:c r="H77" s="49" t="str">
        <x:v>Roughcast to rendered walls externally</x:v>
      </x:c>
      <x:c r="I77" s="146" t="str">
        <x:v>m²</x:v>
      </x:c>
      <x:c r="J77" s="149" t="n">
        <x:v>36.33</x:v>
      </x:c>
      <x:c r="K77" s="146" t="str">
        <x:v>=D61</x:v>
      </x:c>
      <x:c r="L77" s="149" t="n">
        <x:v>1</x:v>
      </x:c>
      <x:c r="M77" s="149" t="n">
        <x:v>1</x:v>
      </x:c>
      <x:c r="N77" s="149" t="n">
        <x:v>36.33</x:v>
      </x:c>
      <x:c r="O77" s="149" t="n">
        <x:v>36.33</x:v>
      </x:c>
      <x:c r="P77" s="149" t="n">
        <x:f>IF('입력·근거'!$B$12="HIGH",O77,N77)</x:f>
        <x:v>36.33</x:v>
      </x:c>
      <x:c r="Q77" s="158" t="str"/>
      <x:c r="R77" s="161" t="str">
        <x:f>IF(Q77="","",P77*Q77)</x:f>
      </x:c>
      <x:c r="S77" s="146" t="str">
        <x:v>formula_quantity;unpriced_source</x:v>
      </x:c>
    </x:row>
    <x:row r="78">
      <x:c r="A78" s="146" t="str">
        <x:v>2-Stance Pit Latrine</x:v>
      </x:c>
      <x:c r="B78" s="146" t="n">
        <x:v>63</x:v>
      </x:c>
      <x:c r="C78" s="146" t="str">
        <x:v>2칸 재래식 화장실</x:v>
      </x:c>
      <x:c r="D78" s="146" t="str">
        <x:v>지붕</x:v>
      </x:c>
      <x:c r="E78" s="146" t="str">
        <x:v>ELEMENT NO.3 ROOF CONSTRUCTION</x:v>
      </x:c>
      <x:c r="F78" s="146" t="str">
        <x:v>External Finishes</x:v>
      </x:c>
      <x:c r="G78" s="146" t="str">
        <x:v>C</x:v>
      </x:c>
      <x:c r="H78" s="49" t="str">
        <x:v>Prepare and apply three coats of weather guard paint to rendered walls externally</x:v>
      </x:c>
      <x:c r="I78" s="146" t="str">
        <x:v>m²</x:v>
      </x:c>
      <x:c r="J78" s="149" t="n">
        <x:v>36.33</x:v>
      </x:c>
      <x:c r="K78" s="146" t="str">
        <x:v>=D62</x:v>
      </x:c>
      <x:c r="L78" s="149" t="n">
        <x:v>1</x:v>
      </x:c>
      <x:c r="M78" s="149" t="n">
        <x:v>1</x:v>
      </x:c>
      <x:c r="N78" s="149" t="n">
        <x:v>36.33</x:v>
      </x:c>
      <x:c r="O78" s="149" t="n">
        <x:v>36.33</x:v>
      </x:c>
      <x:c r="P78" s="149" t="n">
        <x:f>IF('입력·근거'!$B$12="HIGH",O78,N78)</x:f>
        <x:v>36.33</x:v>
      </x:c>
      <x:c r="Q78" s="158" t="str"/>
      <x:c r="R78" s="161" t="str">
        <x:f>IF(Q78="","",P78*Q78)</x:f>
      </x:c>
      <x:c r="S78" s="146" t="str">
        <x:v>formula_quantity;unpriced_source</x:v>
      </x:c>
    </x:row>
    <x:row r="79">
      <x:c r="A79" s="146" t="str">
        <x:v>2-Stance Pit Latrine</x:v>
      </x:c>
      <x:c r="B79" s="146" t="n">
        <x:v>67</x:v>
      </x:c>
      <x:c r="C79" s="146" t="str">
        <x:v>2칸 재래식 화장실</x:v>
      </x:c>
      <x:c r="D79" s="146" t="str">
        <x:v>지붕</x:v>
      </x:c>
      <x:c r="E79" s="146" t="str">
        <x:v>ELEMENT NO.3 ROOF CONSTRUCTION</x:v>
      </x:c>
      <x:c r="F79" s="146" t="str">
        <x:v>Internal Finishes</x:v>
      </x:c>
      <x:c r="G79" s="146" t="str">
        <x:v>D</x:v>
      </x:c>
      <x:c r="H79" s="49" t="str">
        <x:v>15mm Cement and sand (1:3) Wall plaster in two coats steel trowelled hard and smooth on wall or cement sand 1:3 mix internally</x:v>
      </x:c>
      <x:c r="I79" s="146" t="str">
        <x:v>m²</x:v>
      </x:c>
      <x:c r="J79" s="149" t="n">
        <x:v>65.72999999999999</x:v>
      </x:c>
      <x:c r="K79" s="146" t="str">
        <x:v>=D62+1.5*7*2.8</x:v>
      </x:c>
      <x:c r="L79" s="149" t="n">
        <x:v>1</x:v>
      </x:c>
      <x:c r="M79" s="149" t="n">
        <x:v>1</x:v>
      </x:c>
      <x:c r="N79" s="149" t="n">
        <x:v>65.72999999999999</x:v>
      </x:c>
      <x:c r="O79" s="149" t="n">
        <x:v>65.72999999999999</x:v>
      </x:c>
      <x:c r="P79" s="149" t="n">
        <x:f>IF('입력·근거'!$B$12="HIGH",O79,N79)</x:f>
        <x:v>65.72999999999999</x:v>
      </x:c>
      <x:c r="Q79" s="158" t="str"/>
      <x:c r="R79" s="161" t="str">
        <x:f>IF(Q79="","",P79*Q79)</x:f>
      </x:c>
      <x:c r="S79" s="146" t="str">
        <x:v>formula_quantity;unpriced_source</x:v>
      </x:c>
    </x:row>
    <x:row r="80">
      <x:c r="A80" s="146" t="str">
        <x:v>2-Stance Pit Latrine</x:v>
      </x:c>
      <x:c r="B80" s="146" t="n">
        <x:v>68</x:v>
      </x:c>
      <x:c r="C80" s="146" t="str">
        <x:v>2칸 재래식 화장실</x:v>
      </x:c>
      <x:c r="D80" s="146" t="str">
        <x:v>지붕</x:v>
      </x:c>
      <x:c r="E80" s="146" t="str">
        <x:v>ELEMENT NO.3 ROOF CONSTRUCTION</x:v>
      </x:c>
      <x:c r="F80" s="146" t="str">
        <x:v>Internal Finishes</x:v>
      </x:c>
      <x:c r="G80" s="146" t="str">
        <x:v>E</x:v>
      </x:c>
      <x:c r="H80" s="49" t="str">
        <x:v>25mm thick cement and sand (1:3) screed finished smooth with steel float</x:v>
      </x:c>
      <x:c r="I80" s="146" t="str">
        <x:v>m²</x:v>
      </x:c>
      <x:c r="J80" s="149" t="n">
        <x:v>15.54</x:v>
      </x:c>
      <x:c r="K80" s="146" t="str">
        <x:v>=D17</x:v>
      </x:c>
      <x:c r="L80" s="149" t="n">
        <x:v>1</x:v>
      </x:c>
      <x:c r="M80" s="149" t="n">
        <x:v>1</x:v>
      </x:c>
      <x:c r="N80" s="149" t="n">
        <x:v>15.54</x:v>
      </x:c>
      <x:c r="O80" s="149" t="n">
        <x:v>15.54</x:v>
      </x:c>
      <x:c r="P80" s="149" t="n">
        <x:f>IF('입력·근거'!$B$12="HIGH",O80,N80)</x:f>
        <x:v>15.54</x:v>
      </x:c>
      <x:c r="Q80" s="158" t="str"/>
      <x:c r="R80" s="161" t="str">
        <x:f>IF(Q80="","",P80*Q80)</x:f>
      </x:c>
      <x:c r="S80" s="146" t="str">
        <x:v>formula_quantity;unpriced_source</x:v>
      </x:c>
    </x:row>
    <x:row r="81">
      <x:c r="A81" s="146" t="str">
        <x:v>2-Stance Pit Latrine</x:v>
      </x:c>
      <x:c r="B81" s="146" t="n">
        <x:v>69</x:v>
      </x:c>
      <x:c r="C81" s="146" t="str">
        <x:v>2칸 재래식 화장실</x:v>
      </x:c>
      <x:c r="D81" s="146" t="str">
        <x:v>지붕</x:v>
      </x:c>
      <x:c r="E81" s="146" t="str">
        <x:v>ELEMENT NO.3 ROOF CONSTRUCTION</x:v>
      </x:c>
      <x:c r="F81" s="146" t="str">
        <x:v>Internal Finishes</x:v>
      </x:c>
      <x:c r="G81" s="146" t="str">
        <x:v>F</x:v>
      </x:c>
      <x:c r="H81" s="49" t="str">
        <x:v>Prepare and apply three coats of silk vinyl paint to plastered walls internally</x:v>
      </x:c>
      <x:c r="I81" s="146" t="str">
        <x:v>m²</x:v>
      </x:c>
      <x:c r="J81" s="149" t="n">
        <x:v>65.72999999999999</x:v>
      </x:c>
      <x:c r="K81" s="146" t="str">
        <x:v>=D67</x:v>
      </x:c>
      <x:c r="L81" s="149" t="n">
        <x:v>1</x:v>
      </x:c>
      <x:c r="M81" s="149" t="n">
        <x:v>1</x:v>
      </x:c>
      <x:c r="N81" s="149" t="n">
        <x:v>65.72999999999999</x:v>
      </x:c>
      <x:c r="O81" s="149" t="n">
        <x:v>65.72999999999999</x:v>
      </x:c>
      <x:c r="P81" s="149" t="n">
        <x:f>IF('입력·근거'!$B$12="HIGH",O81,N81)</x:f>
        <x:v>65.72999999999999</x:v>
      </x:c>
      <x:c r="Q81" s="158" t="str"/>
      <x:c r="R81" s="161" t="str">
        <x:f>IF(Q81="","",P81*Q81)</x:f>
      </x:c>
      <x:c r="S81" s="146" t="str">
        <x:v>formula_quantity;unpriced_source</x:v>
      </x:c>
    </x:row>
    <x:row r="82">
      <x:c r="A82" s="146" t="str">
        <x:v>2-Stance Pit Latrine</x:v>
      </x:c>
      <x:c r="B82" s="146" t="n">
        <x:v>74</x:v>
      </x:c>
      <x:c r="C82" s="146" t="str">
        <x:v>2칸 재래식 화장실</x:v>
      </x:c>
      <x:c r="D82" s="146" t="str">
        <x:v>전기·전력인입</x:v>
      </x:c>
      <x:c r="E82" s="146" t="str">
        <x:v>ELEMENT NO.3 ROOF CONSTRUCTION</x:v>
      </x:c>
      <x:c r="F82" s="146" t="str">
        <x:v>Lighting Fittings</x:v>
      </x:c>
      <x:c r="G82" s="146" t="str">
        <x:v>G</x:v>
      </x:c>
      <x:c r="H82" s="49" t="str">
        <x:v>Fresh and contemporary circular,LED panel light surface mounted round 6W</x:v>
      </x:c>
      <x:c r="I82" s="146" t="str">
        <x:v>no.</x:v>
      </x:c>
      <x:c r="J82" s="149" t="n">
        <x:v>4</x:v>
      </x:c>
      <x:c r="K82" s="146" t="str"/>
      <x:c r="L82" s="149" t="n">
        <x:v>1</x:v>
      </x:c>
      <x:c r="M82" s="149" t="n">
        <x:v>1</x:v>
      </x:c>
      <x:c r="N82" s="149" t="n">
        <x:v>4</x:v>
      </x:c>
      <x:c r="O82" s="149" t="n">
        <x:v>4</x:v>
      </x:c>
      <x:c r="P82" s="149" t="n">
        <x:f>IF('입력·근거'!$B$12="HIGH",O82,N82)</x:f>
        <x:v>4</x:v>
      </x:c>
      <x:c r="Q82" s="158" t="str"/>
      <x:c r="R82" s="161" t="str">
        <x:f>IF(Q82="","",P82*Q82)</x:f>
      </x:c>
      <x:c r="S82" s="146" t="str">
        <x:v>unpriced_source</x:v>
      </x:c>
    </x:row>
    <x:row r="83">
      <x:c r="A83" s="146" t="str">
        <x:v>2-Stance Pit Latrine</x:v>
      </x:c>
      <x:c r="B83" s="146" t="n">
        <x:v>75</x:v>
      </x:c>
      <x:c r="C83" s="146" t="str">
        <x:v>2칸 재래식 화장실</x:v>
      </x:c>
      <x:c r="D83" s="146" t="str">
        <x:v>전기·전력인입</x:v>
      </x:c>
      <x:c r="E83" s="146" t="str">
        <x:v>ELEMENT NO.3 ROOF CONSTRUCTION</x:v>
      </x:c>
      <x:c r="F83" s="146" t="str">
        <x:v>Lighting Fittings</x:v>
      </x:c>
      <x:c r="G83" s="146" t="str">
        <x:v>H</x:v>
      </x:c>
      <x:c r="H83" s="49" t="str">
        <x:v>Security bulkhead with cast aluminium body with glass lens and aluminium louver with 1 x 8W LED lamp</x:v>
      </x:c>
      <x:c r="I83" s="146" t="str">
        <x:v>no.</x:v>
      </x:c>
      <x:c r="J83" s="149" t="n">
        <x:v>3</x:v>
      </x:c>
      <x:c r="K83" s="146" t="str"/>
      <x:c r="L83" s="149" t="n">
        <x:v>1</x:v>
      </x:c>
      <x:c r="M83" s="149" t="n">
        <x:v>1</x:v>
      </x:c>
      <x:c r="N83" s="149" t="n">
        <x:v>3</x:v>
      </x:c>
      <x:c r="O83" s="149" t="n">
        <x:v>3</x:v>
      </x:c>
      <x:c r="P83" s="149" t="n">
        <x:f>IF('입력·근거'!$B$12="HIGH",O83,N83)</x:f>
        <x:v>3</x:v>
      </x:c>
      <x:c r="Q83" s="158" t="str"/>
      <x:c r="R83" s="161" t="str">
        <x:f>IF(Q83="","",P83*Q83)</x:f>
      </x:c>
      <x:c r="S83" s="146" t="str">
        <x:v>unpriced_source</x:v>
      </x:c>
    </x:row>
    <x:row r="84">
      <x:c r="A84" s="146" t="str">
        <x:v>2-Stance Pit Latrine</x:v>
      </x:c>
      <x:c r="B84" s="146" t="n">
        <x:v>76</x:v>
      </x:c>
      <x:c r="C84" s="146" t="str">
        <x:v>2칸 재래식 화장실</x:v>
      </x:c>
      <x:c r="D84" s="146" t="str">
        <x:v>전기·전력인입</x:v>
      </x:c>
      <x:c r="E84" s="146" t="str">
        <x:v>ELEMENT NO.3 ROOF CONSTRUCTION</x:v>
      </x:c>
      <x:c r="F84" s="146" t="str">
        <x:v>Lighting Fittings</x:v>
      </x:c>
      <x:c r="G84" s="146" t="str">
        <x:v>J</x:v>
      </x:c>
      <x:c r="H84" s="49" t="str">
        <x:v>1 x 18W 1200mm LED single surface mounted batten and all accessories</x:v>
      </x:c>
      <x:c r="I84" s="146" t="str">
        <x:v>no.</x:v>
      </x:c>
      <x:c r="J84" s="149" t="n">
        <x:v>0</x:v>
      </x:c>
      <x:c r="K84" s="146" t="str"/>
      <x:c r="L84" s="149" t="n">
        <x:v>1</x:v>
      </x:c>
      <x:c r="M84" s="149" t="n">
        <x:v>1</x:v>
      </x:c>
      <x:c r="N84" s="149" t="n">
        <x:v>0</x:v>
      </x:c>
      <x:c r="O84" s="149" t="n">
        <x:v>0</x:v>
      </x:c>
      <x:c r="P84" s="149" t="n">
        <x:f>IF('입력·근거'!$B$12="HIGH",O84,N84)</x:f>
        <x:v>0</x:v>
      </x:c>
      <x:c r="Q84" s="158" t="str"/>
      <x:c r="R84" s="161" t="str">
        <x:f>IF(Q84="","",P84*Q84)</x:f>
      </x:c>
      <x:c r="S84" s="146" t="str">
        <x:v>zero_quantity_check_formula_or_design;unpriced_source</x:v>
      </x:c>
    </x:row>
    <x:row r="85">
      <x:c r="A85" s="146" t="str">
        <x:v>2-Stance Pit Latrine</x:v>
      </x:c>
      <x:c r="B85" s="146" t="n">
        <x:v>80</x:v>
      </x:c>
      <x:c r="C85" s="146" t="str">
        <x:v>2칸 재래식 화장실</x:v>
      </x:c>
      <x:c r="D85" s="146" t="str">
        <x:v>전기·전력인입</x:v>
      </x:c>
      <x:c r="E85" s="146" t="str">
        <x:v>ELEMENT NO.3 ROOF CONSTRUCTION</x:v>
      </x:c>
      <x:c r="F85" s="146" t="str">
        <x:v>Lighting points</x:v>
      </x:c>
      <x:c r="G85" s="146" t="str">
        <x:v>K</x:v>
      </x:c>
      <x:c r="H85" s="49" t="str">
        <x:v>All wiring of lighting points are to be connected complete and ready from 10A SP miniature circuit breakers on Consumer unit, using 1.5mm sq. PVC-Insulated single core copper cables drawn in PVC flush installed conduits, through switches, and as per drawings</x:v>
      </x:c>
      <x:c r="I85" s="146" t="str">
        <x:v>no.</x:v>
      </x:c>
      <x:c r="J85" s="149" t="n">
        <x:v>8</x:v>
      </x:c>
      <x:c r="K85" s="146" t="str">
        <x:v>=3+4+1</x:v>
      </x:c>
      <x:c r="L85" s="149" t="n">
        <x:v>1</x:v>
      </x:c>
      <x:c r="M85" s="149" t="n">
        <x:v>1</x:v>
      </x:c>
      <x:c r="N85" s="149" t="n">
        <x:v>8</x:v>
      </x:c>
      <x:c r="O85" s="149" t="n">
        <x:v>8</x:v>
      </x:c>
      <x:c r="P85" s="149" t="n">
        <x:f>IF('입력·근거'!$B$12="HIGH",O85,N85)</x:f>
        <x:v>8</x:v>
      </x:c>
      <x:c r="Q85" s="158" t="str"/>
      <x:c r="R85" s="161" t="str">
        <x:f>IF(Q85="","",P85*Q85)</x:f>
      </x:c>
      <x:c r="S85" s="146" t="str">
        <x:v>formula_quantity;unpriced_source</x:v>
      </x:c>
    </x:row>
    <x:row r="86">
      <x:c r="A86" s="146" t="str">
        <x:v>2-Stance Pit Latrine</x:v>
      </x:c>
      <x:c r="B86" s="146" t="n">
        <x:v>81</x:v>
      </x:c>
      <x:c r="C86" s="146" t="str">
        <x:v>2칸 재래식 화장실</x:v>
      </x:c>
      <x:c r="D86" s="146" t="str">
        <x:v>전기·전력인입</x:v>
      </x:c>
      <x:c r="E86" s="146" t="str">
        <x:v>ELEMENT NO.3 ROOF CONSTRUCTION</x:v>
      </x:c>
      <x:c r="F86" s="146" t="str">
        <x:v>Lighting points</x:v>
      </x:c>
      <x:c r="G86" s="146" t="str">
        <x:v>L</x:v>
      </x:c>
      <x:c r="H86" s="49" t="str">
        <x:v>24-Hour photocell for Security Lights, as to Zodion</x:v>
      </x:c>
      <x:c r="I86" s="146" t="str">
        <x:v>no.</x:v>
      </x:c>
      <x:c r="J86" s="149" t="n">
        <x:v>1</x:v>
      </x:c>
      <x:c r="K86" s="146" t="str"/>
      <x:c r="L86" s="149" t="n">
        <x:v>1</x:v>
      </x:c>
      <x:c r="M86" s="149" t="n">
        <x:v>1</x:v>
      </x:c>
      <x:c r="N86" s="149" t="n">
        <x:v>1</x:v>
      </x:c>
      <x:c r="O86" s="149" t="n">
        <x:v>1</x:v>
      </x:c>
      <x:c r="P86" s="149" t="n">
        <x:f>IF('입력·근거'!$B$12="HIGH",O86,N86)</x:f>
        <x:v>1</x:v>
      </x:c>
      <x:c r="Q86" s="158" t="str"/>
      <x:c r="R86" s="161" t="str">
        <x:f>IF(Q86="","",P86*Q86)</x:f>
      </x:c>
      <x:c r="S86" s="146" t="str">
        <x:v>unpriced_source</x:v>
      </x:c>
    </x:row>
    <x:row r="87">
      <x:c r="A87" s="146" t="str">
        <x:v>2-Stance Pit Latrine</x:v>
      </x:c>
      <x:c r="B87" s="146" t="n">
        <x:v>82</x:v>
      </x:c>
      <x:c r="C87" s="146" t="str">
        <x:v>2칸 재래식 화장실</x:v>
      </x:c>
      <x:c r="D87" s="146" t="str">
        <x:v>전기·전력인입</x:v>
      </x:c>
      <x:c r="E87" s="146" t="str">
        <x:v>ELEMENT NO.3 ROOF CONSTRUCTION</x:v>
      </x:c>
      <x:c r="F87" s="146" t="str">
        <x:v>Lighting points</x:v>
      </x:c>
      <x:c r="G87" s="146" t="str">
        <x:v>M</x:v>
      </x:c>
      <x:c r="H87" s="49" t="str">
        <x:v>Supply and Install a 8x8 Adaptable Box for Power extension</x:v>
      </x:c>
      <x:c r="I87" s="146" t="str">
        <x:v>no.</x:v>
      </x:c>
      <x:c r="J87" s="149" t="n">
        <x:v>1</x:v>
      </x:c>
      <x:c r="K87" s="146" t="str"/>
      <x:c r="L87" s="149" t="n">
        <x:v>1</x:v>
      </x:c>
      <x:c r="M87" s="149" t="n">
        <x:v>1</x:v>
      </x:c>
      <x:c r="N87" s="149" t="n">
        <x:v>1</x:v>
      </x:c>
      <x:c r="O87" s="149" t="n">
        <x:v>1</x:v>
      </x:c>
      <x:c r="P87" s="149" t="n">
        <x:f>IF('입력·근거'!$B$12="HIGH",O87,N87)</x:f>
        <x:v>1</x:v>
      </x:c>
      <x:c r="Q87" s="158" t="str"/>
      <x:c r="R87" s="161" t="str">
        <x:f>IF(Q87="","",P87*Q87)</x:f>
      </x:c>
      <x:c r="S87" s="146" t="str">
        <x:v>unpriced_source</x:v>
      </x:c>
    </x:row>
    <x:row r="88">
      <x:c r="A88" s="146" t="str">
        <x:v>6-Stance water borne Toilet</x:v>
      </x:c>
      <x:c r="B88" s="146" t="n">
        <x:v>5</x:v>
      </x:c>
      <x:c r="C88" s="146" t="str">
        <x:v>6칸 수세식 화장실</x:v>
      </x:c>
      <x:c r="D88" s="146" t="str">
        <x:v>급배수·위생</x:v>
      </x:c>
      <x:c r="E88" s="146" t="str">
        <x:v>ELEMENT NO.1</x:v>
      </x:c>
      <x:c r="F88" s="146" t="str">
        <x:v>SUBSTRUCTURE</x:v>
      </x:c>
      <x:c r="G88" s="146" t="str">
        <x:v>A</x:v>
      </x:c>
      <x:c r="H88" s="49" t="str">
        <x:v>Clear site area for new construction of all under growth small bushes, grub up all tress and any exisiting structures and obstructions and excavate over site to remove top soil average 250mm thick and remove from site</x:v>
      </x:c>
      <x:c r="I88" s="146" t="str">
        <x:v>m²</x:v>
      </x:c>
      <x:c r="J88" s="149" t="n">
        <x:v>0</x:v>
      </x:c>
      <x:c r="K88" s="146" t="str"/>
      <x:c r="L88" s="149" t="n">
        <x:v>1</x:v>
      </x:c>
      <x:c r="M88" s="149" t="n">
        <x:v>1</x:v>
      </x:c>
      <x:c r="N88" s="149" t="n">
        <x:v>0</x:v>
      </x:c>
      <x:c r="O88" s="149" t="n">
        <x:v>0</x:v>
      </x:c>
      <x:c r="P88" s="149" t="n">
        <x:f>IF('입력·근거'!$B$12="HIGH",O88,N88)</x:f>
        <x:v>0</x:v>
      </x:c>
      <x:c r="Q88" s="158" t="str"/>
      <x:c r="R88" s="161" t="str">
        <x:f>IF(Q88="","",P88*Q88)</x:f>
      </x:c>
      <x:c r="S88" s="146" t="str">
        <x:v>zero_quantity_check_formula_or_design;unpriced_source</x:v>
      </x:c>
    </x:row>
    <x:row r="89">
      <x:c r="A89" s="146" t="str">
        <x:v>6-Stance water borne Toilet</x:v>
      </x:c>
      <x:c r="B89" s="146" t="n">
        <x:v>6</x:v>
      </x:c>
      <x:c r="C89" s="146" t="str">
        <x:v>6칸 수세식 화장실</x:v>
      </x:c>
      <x:c r="D89" s="146" t="str">
        <x:v>급배수·위생</x:v>
      </x:c>
      <x:c r="E89" s="146" t="str">
        <x:v>ELEMENT NO.1</x:v>
      </x:c>
      <x:c r="F89" s="146" t="str">
        <x:v>SUBSTRUCTURE</x:v>
      </x:c>
      <x:c r="G89" s="146" t="str">
        <x:v>B</x:v>
      </x:c>
      <x:c r="H89" s="49" t="str">
        <x:v>Treat surface of subsoil or fillings and surroundings with approved chemical anti-termite solution: provide ten year guarantee.</x:v>
      </x:c>
      <x:c r="I89" s="146" t="str">
        <x:v>m²</x:v>
      </x:c>
      <x:c r="J89" s="149" t="n">
        <x:v>87</x:v>
      </x:c>
      <x:c r="K89" s="146" t="str"/>
      <x:c r="L89" s="149" t="n">
        <x:v>1</x:v>
      </x:c>
      <x:c r="M89" s="149" t="n">
        <x:v>1</x:v>
      </x:c>
      <x:c r="N89" s="149" t="n">
        <x:v>87</x:v>
      </x:c>
      <x:c r="O89" s="149" t="n">
        <x:v>87</x:v>
      </x:c>
      <x:c r="P89" s="149" t="n">
        <x:f>IF('입력·근거'!$B$12="HIGH",O89,N89)</x:f>
        <x:v>87</x:v>
      </x:c>
      <x:c r="Q89" s="158" t="str"/>
      <x:c r="R89" s="161" t="str">
        <x:f>IF(Q89="","",P89*Q89)</x:f>
      </x:c>
      <x:c r="S89" s="146" t="str">
        <x:v>unpriced_source</x:v>
      </x:c>
    </x:row>
    <x:row r="90">
      <x:c r="A90" s="146" t="str">
        <x:v>6-Stance water borne Toilet</x:v>
      </x:c>
      <x:c r="B90" s="146" t="n">
        <x:v>8</x:v>
      </x:c>
      <x:c r="C90" s="146" t="str">
        <x:v>6칸 수세식 화장실</x:v>
      </x:c>
      <x:c r="D90" s="146" t="str">
        <x:v>급배수·위생</x:v>
      </x:c>
      <x:c r="E90" s="146" t="str">
        <x:v>ELEMENT NO.1</x:v>
      </x:c>
      <x:c r="F90" s="146" t="str">
        <x:v>Excavation and Earthworks. Note: Rates for excavation to include for keeping excavations free from water and planking and strutting to sides of excavations</x:v>
      </x:c>
      <x:c r="G90" s="146" t="str">
        <x:v>C</x:v>
      </x:c>
      <x:c r="H90" s="49" t="str">
        <x:v>Excavate to reduce levels and remove from site.</x:v>
      </x:c>
      <x:c r="I90" s="146" t="str">
        <x:v>m³</x:v>
      </x:c>
      <x:c r="J90" s="149" t="n">
        <x:v>0</x:v>
      </x:c>
      <x:c r="K90" s="146" t="str">
        <x:v>=D5*0.25</x:v>
      </x:c>
      <x:c r="L90" s="149" t="n">
        <x:v>1</x:v>
      </x:c>
      <x:c r="M90" s="149" t="n">
        <x:v>1</x:v>
      </x:c>
      <x:c r="N90" s="149" t="n">
        <x:v>0</x:v>
      </x:c>
      <x:c r="O90" s="149" t="n">
        <x:v>0</x:v>
      </x:c>
      <x:c r="P90" s="149" t="n">
        <x:f>IF('입력·근거'!$B$12="HIGH",O90,N90)</x:f>
        <x:v>0</x:v>
      </x:c>
      <x:c r="Q90" s="158" t="str"/>
      <x:c r="R90" s="161" t="str">
        <x:f>IF(Q90="","",P90*Q90)</x:f>
      </x:c>
      <x:c r="S90" s="146" t="str">
        <x:v>zero_quantity_check_formula_or_design;formula_quantity;unpriced_source</x:v>
      </x:c>
    </x:row>
    <x:row r="91">
      <x:c r="A91" s="146" t="str">
        <x:v>6-Stance water borne Toilet</x:v>
      </x:c>
      <x:c r="B91" s="146" t="n">
        <x:v>9</x:v>
      </x:c>
      <x:c r="C91" s="146" t="str">
        <x:v>6칸 수세식 화장실</x:v>
      </x:c>
      <x:c r="D91" s="146" t="str">
        <x:v>급배수·위생</x:v>
      </x:c>
      <x:c r="E91" s="146" t="str">
        <x:v>ELEMENT NO.1</x:v>
      </x:c>
      <x:c r="F91" s="146" t="str">
        <x:v>Excavation and Earthworks. Note: Rates for excavation to include for keeping excavations free from water and planking and strutting to sides of excavations</x:v>
      </x:c>
      <x:c r="G91" s="146" t="str">
        <x:v>D</x:v>
      </x:c>
      <x:c r="H91" s="49" t="str">
        <x:v>Excavate trenches for wall foundations: commencing from reduced levels : not exceeding 1.5m deep .</x:v>
      </x:c>
      <x:c r="I91" s="146" t="str">
        <x:v>m³</x:v>
      </x:c>
      <x:c r="J91" s="149" t="n">
        <x:v>21</x:v>
      </x:c>
      <x:c r="K91" s="146" t="str"/>
      <x:c r="L91" s="149" t="n">
        <x:v>1</x:v>
      </x:c>
      <x:c r="M91" s="149" t="n">
        <x:v>1</x:v>
      </x:c>
      <x:c r="N91" s="149" t="n">
        <x:v>21</x:v>
      </x:c>
      <x:c r="O91" s="149" t="n">
        <x:v>21</x:v>
      </x:c>
      <x:c r="P91" s="149" t="n">
        <x:f>IF('입력·근거'!$B$12="HIGH",O91,N91)</x:f>
        <x:v>21</x:v>
      </x:c>
      <x:c r="Q91" s="158" t="str"/>
      <x:c r="R91" s="161" t="str">
        <x:f>IF(Q91="","",P91*Q91)</x:f>
      </x:c>
      <x:c r="S91" s="146" t="str">
        <x:v>unpriced_source</x:v>
      </x:c>
    </x:row>
    <x:row r="92">
      <x:c r="A92" s="146" t="str">
        <x:v>6-Stance water borne Toilet</x:v>
      </x:c>
      <x:c r="B92" s="146" t="n">
        <x:v>10</x:v>
      </x:c>
      <x:c r="C92" s="146" t="str">
        <x:v>6칸 수세식 화장실</x:v>
      </x:c>
      <x:c r="D92" s="146" t="str">
        <x:v>급배수·위생</x:v>
      </x:c>
      <x:c r="E92" s="146" t="str">
        <x:v>ELEMENT NO.1</x:v>
      </x:c>
      <x:c r="F92" s="146" t="str">
        <x:v>Excavation and Earthworks. Note: Rates for excavation to include for keeping excavations free from water and planking and strutting to sides of excavations</x:v>
      </x:c>
      <x:c r="G92" s="146" t="str">
        <x:v>E</x:v>
      </x:c>
      <x:c r="H92" s="49" t="str">
        <x:v>Return, fill and ram: Approved imported marrum around foundations: in 200mm layers compacted to 95% MDD.</x:v>
      </x:c>
      <x:c r="I92" s="146" t="str">
        <x:v>m³</x:v>
      </x:c>
      <x:c r="J92" s="149" t="n">
        <x:v>9.339999999999998</x:v>
      </x:c>
      <x:c r="K92" s="146" t="str">
        <x:v>=D9-D13*0.1-D20*0.2</x:v>
      </x:c>
      <x:c r="L92" s="149" t="n">
        <x:v>1</x:v>
      </x:c>
      <x:c r="M92" s="149" t="n">
        <x:v>1</x:v>
      </x:c>
      <x:c r="N92" s="149" t="n">
        <x:v>9.339999999999998</x:v>
      </x:c>
      <x:c r="O92" s="149" t="n">
        <x:v>9.339999999999998</x:v>
      </x:c>
      <x:c r="P92" s="149" t="n">
        <x:f>IF('입력·근거'!$B$12="HIGH",O92,N92)</x:f>
        <x:v>9.339999999999998</x:v>
      </x:c>
      <x:c r="Q92" s="158" t="str"/>
      <x:c r="R92" s="161" t="str">
        <x:f>IF(Q92="","",P92*Q92)</x:f>
      </x:c>
      <x:c r="S92" s="146" t="str">
        <x:v>formula_quantity;unpriced_source</x:v>
      </x:c>
    </x:row>
    <x:row r="93">
      <x:c r="A93" s="146" t="str">
        <x:v>6-Stance water borne Toilet</x:v>
      </x:c>
      <x:c r="B93" s="146" t="n">
        <x:v>11</x:v>
      </x:c>
      <x:c r="C93" s="146" t="str">
        <x:v>6칸 수세식 화장실</x:v>
      </x:c>
      <x:c r="D93" s="146" t="str">
        <x:v>급배수·위생</x:v>
      </x:c>
      <x:c r="E93" s="146" t="str">
        <x:v>ELEMENT NO.1</x:v>
      </x:c>
      <x:c r="F93" s="146" t="str">
        <x:v>Excavation and Earthworks. Note: Rates for excavation to include for keeping excavations free from water and planking and strutting to sides of excavations</x:v>
      </x:c>
      <x:c r="G93" s="146" t="str">
        <x:v>F</x:v>
      </x:c>
      <x:c r="H93" s="49" t="str">
        <x:v>150mm thick hard core below ground slab</x:v>
      </x:c>
      <x:c r="I93" s="146" t="str">
        <x:v>m²</x:v>
      </x:c>
      <x:c r="J93" s="149" t="n">
        <x:v>41.39</x:v>
      </x:c>
      <x:c r="K93" s="146" t="str"/>
      <x:c r="L93" s="149" t="n">
        <x:v>1</x:v>
      </x:c>
      <x:c r="M93" s="149" t="n">
        <x:v>1</x:v>
      </x:c>
      <x:c r="N93" s="149" t="n">
        <x:v>41.39</x:v>
      </x:c>
      <x:c r="O93" s="149" t="n">
        <x:v>41.39</x:v>
      </x:c>
      <x:c r="P93" s="149" t="n">
        <x:f>IF('입력·근거'!$B$12="HIGH",O93,N93)</x:f>
        <x:v>41.39</x:v>
      </x:c>
      <x:c r="Q93" s="158" t="str"/>
      <x:c r="R93" s="161" t="str">
        <x:f>IF(Q93="","",P93*Q93)</x:f>
      </x:c>
      <x:c r="S93" s="146" t="str">
        <x:v>unpriced_source</x:v>
      </x:c>
    </x:row>
    <x:row r="94">
      <x:c r="A94" s="146" t="str">
        <x:v>6-Stance water borne Toilet</x:v>
      </x:c>
      <x:c r="B94" s="146" t="n">
        <x:v>13</x:v>
      </x:c>
      <x:c r="C94" s="146" t="str">
        <x:v>6칸 수세식 화장실</x:v>
      </x:c>
      <x:c r="D94" s="146" t="str">
        <x:v>급배수·위생</x:v>
      </x:c>
      <x:c r="E94" s="146" t="str">
        <x:v>ELEMENT NO.1</x:v>
      </x:c>
      <x:c r="F94" s="146" t="str">
        <x:v>Reinforced In - Situ Concrete class 25/20mm aggregate</x:v>
      </x:c>
      <x:c r="G94" s="146" t="str">
        <x:v>G</x:v>
      </x:c>
      <x:c r="H94" s="49" t="str">
        <x:v>Foundation in trenches</x:v>
      </x:c>
      <x:c r="I94" s="146" t="str">
        <x:v>m²</x:v>
      </x:c>
      <x:c r="J94" s="149" t="n">
        <x:v>24.599999999999998</x:v>
      </x:c>
      <x:c r="K94" s="146" t="str">
        <x:v>=(8.4*3+7.9*2)*0.6</x:v>
      </x:c>
      <x:c r="L94" s="149" t="n">
        <x:v>1</x:v>
      </x:c>
      <x:c r="M94" s="149" t="n">
        <x:v>1</x:v>
      </x:c>
      <x:c r="N94" s="149" t="n">
        <x:v>24.599999999999998</x:v>
      </x:c>
      <x:c r="O94" s="149" t="n">
        <x:v>24.599999999999998</x:v>
      </x:c>
      <x:c r="P94" s="149" t="n">
        <x:f>IF('입력·근거'!$B$12="HIGH",O94,N94)</x:f>
        <x:v>24.599999999999998</x:v>
      </x:c>
      <x:c r="Q94" s="158" t="str"/>
      <x:c r="R94" s="161" t="str">
        <x:f>IF(Q94="","",P94*Q94)</x:f>
      </x:c>
      <x:c r="S94" s="146" t="str">
        <x:v>formula_quantity;unpriced_source</x:v>
      </x:c>
    </x:row>
    <x:row r="95">
      <x:c r="A95" s="146" t="str">
        <x:v>6-Stance water borne Toilet</x:v>
      </x:c>
      <x:c r="B95" s="146" t="n">
        <x:v>14</x:v>
      </x:c>
      <x:c r="C95" s="146" t="str">
        <x:v>6칸 수세식 화장실</x:v>
      </x:c>
      <x:c r="D95" s="146" t="str">
        <x:v>급배수·위생</x:v>
      </x:c>
      <x:c r="E95" s="146" t="str">
        <x:v>ELEMENT NO.1</x:v>
      </x:c>
      <x:c r="F95" s="146" t="str">
        <x:v>Reinforced In - Situ Concrete class 25/20mm aggregate</x:v>
      </x:c>
      <x:c r="G95" s="146" t="str">
        <x:v>H</x:v>
      </x:c>
      <x:c r="H95" s="49" t="str">
        <x:v>100mm ground floor slab Concrete tampered with fabric reinforcement</x:v>
      </x:c>
      <x:c r="I95" s="146" t="str">
        <x:v>m²</x:v>
      </x:c>
      <x:c r="J95" s="149" t="n">
        <x:v>47</x:v>
      </x:c>
      <x:c r="K95" s="146" t="str"/>
      <x:c r="L95" s="149" t="n">
        <x:v>1</x:v>
      </x:c>
      <x:c r="M95" s="149" t="n">
        <x:v>1</x:v>
      </x:c>
      <x:c r="N95" s="149" t="n">
        <x:v>47</x:v>
      </x:c>
      <x:c r="O95" s="149" t="n">
        <x:v>47</x:v>
      </x:c>
      <x:c r="P95" s="149" t="n">
        <x:f>IF('입력·근거'!$B$12="HIGH",O95,N95)</x:f>
        <x:v>47</x:v>
      </x:c>
      <x:c r="Q95" s="158" t="str"/>
      <x:c r="R95" s="161" t="str">
        <x:f>IF(Q95="","",P95*Q95)</x:f>
      </x:c>
      <x:c r="S95" s="146" t="str">
        <x:v>unpriced_source</x:v>
      </x:c>
    </x:row>
    <x:row r="96">
      <x:c r="A96" s="146" t="str">
        <x:v>6-Stance water borne Toilet</x:v>
      </x:c>
      <x:c r="B96" s="146" t="n">
        <x:v>15</x:v>
      </x:c>
      <x:c r="C96" s="146" t="str">
        <x:v>6칸 수세식 화장실</x:v>
      </x:c>
      <x:c r="D96" s="146" t="str">
        <x:v>급배수·위생</x:v>
      </x:c>
      <x:c r="E96" s="146" t="str">
        <x:v>ELEMENT NO.1</x:v>
      </x:c>
      <x:c r="F96" s="146" t="str">
        <x:v>Reinforced In - Situ Concrete class 25/20mm aggregate</x:v>
      </x:c>
      <x:c r="G96" s="146" t="str">
        <x:v>I</x:v>
      </x:c>
      <x:c r="H96" s="49" t="str">
        <x:v>Ramps and splash apron</x:v>
      </x:c>
      <x:c r="I96" s="146" t="str">
        <x:v>m²</x:v>
      </x:c>
      <x:c r="J96" s="149" t="n">
        <x:v>16.979999999999997</x:v>
      </x:c>
      <x:c r="K96" s="146" t="str">
        <x:v>=(2*(7.9+8.4)*0.3)+1.5*2.4*2</x:v>
      </x:c>
      <x:c r="L96" s="149" t="n">
        <x:v>1</x:v>
      </x:c>
      <x:c r="M96" s="149" t="n">
        <x:v>1</x:v>
      </x:c>
      <x:c r="N96" s="149" t="n">
        <x:v>16.979999999999997</x:v>
      </x:c>
      <x:c r="O96" s="149" t="n">
        <x:v>16.979999999999997</x:v>
      </x:c>
      <x:c r="P96" s="149" t="n">
        <x:f>IF('입력·근거'!$B$12="HIGH",O96,N96)</x:f>
        <x:v>16.979999999999997</x:v>
      </x:c>
      <x:c r="Q96" s="158" t="str"/>
      <x:c r="R96" s="161" t="str">
        <x:f>IF(Q96="","",P96*Q96)</x:f>
      </x:c>
      <x:c r="S96" s="146" t="str">
        <x:v>formula_quantity;unpriced_source</x:v>
      </x:c>
    </x:row>
    <x:row r="97">
      <x:c r="A97" s="146" t="str">
        <x:v>6-Stance water borne Toilet</x:v>
      </x:c>
      <x:c r="B97" s="146" t="n">
        <x:v>16</x:v>
      </x:c>
      <x:c r="C97" s="146" t="str">
        <x:v>6칸 수세식 화장실</x:v>
      </x:c>
      <x:c r="D97" s="146" t="str">
        <x:v>급배수·위생</x:v>
      </x:c>
      <x:c r="E97" s="146" t="str">
        <x:v>ELEMENT NO.1</x:v>
      </x:c>
      <x:c r="F97" s="146" t="str">
        <x:v>Reinforced In - Situ Concrete class 25/20mm aggregate</x:v>
      </x:c>
      <x:c r="G97" s="146" t="str">
        <x:v>J</x:v>
      </x:c>
      <x:c r="H97" s="49" t="str">
        <x:v>Mesh reinforcement Ref No. A98 size 200 x 200 mm weighing 1.58 kg per square metre: in floor slab: including all necessary supports</x:v>
      </x:c>
      <x:c r="I97" s="146" t="str">
        <x:v>m²</x:v>
      </x:c>
      <x:c r="J97" s="149" t="n">
        <x:v>47</x:v>
      </x:c>
      <x:c r="K97" s="146" t="str">
        <x:v>=D14</x:v>
      </x:c>
      <x:c r="L97" s="149" t="n">
        <x:v>1</x:v>
      </x:c>
      <x:c r="M97" s="149" t="n">
        <x:v>1</x:v>
      </x:c>
      <x:c r="N97" s="149" t="n">
        <x:v>47</x:v>
      </x:c>
      <x:c r="O97" s="149" t="n">
        <x:v>47</x:v>
      </x:c>
      <x:c r="P97" s="149" t="n">
        <x:f>IF('입력·근거'!$B$12="HIGH",O97,N97)</x:f>
        <x:v>47</x:v>
      </x:c>
      <x:c r="Q97" s="158" t="str"/>
      <x:c r="R97" s="161" t="str">
        <x:f>IF(Q97="","",P97*Q97)</x:f>
      </x:c>
      <x:c r="S97" s="146" t="str">
        <x:v>formula_quantity;unpriced_source</x:v>
      </x:c>
    </x:row>
    <x:row r="98">
      <x:c r="A98" s="146" t="str">
        <x:v>6-Stance water borne Toilet</x:v>
      </x:c>
      <x:c r="B98" s="146" t="n">
        <x:v>18</x:v>
      </x:c>
      <x:c r="C98" s="146" t="str">
        <x:v>6칸 수세식 화장실</x:v>
      </x:c>
      <x:c r="D98" s="146" t="str">
        <x:v>급배수·위생</x:v>
      </x:c>
      <x:c r="E98" s="146" t="str">
        <x:v>ELEMENT NO.1</x:v>
      </x:c>
      <x:c r="F98" s="146" t="str">
        <x:v>sawn treated formwork to;</x:v>
      </x:c>
      <x:c r="G98" s="146" t="str">
        <x:v>K</x:v>
      </x:c>
      <x:c r="H98" s="49" t="str">
        <x:v>Vertical edges of surface bed : over 75mm but not exceeding 150 mm high.</x:v>
      </x:c>
      <x:c r="I98" s="146" t="str">
        <x:v>m</x:v>
      </x:c>
      <x:c r="J98" s="149" t="n">
        <x:v>28</x:v>
      </x:c>
      <x:c r="K98" s="146" t="str"/>
      <x:c r="L98" s="149" t="n">
        <x:v>1</x:v>
      </x:c>
      <x:c r="M98" s="149" t="n">
        <x:v>1</x:v>
      </x:c>
      <x:c r="N98" s="149" t="n">
        <x:v>28</x:v>
      </x:c>
      <x:c r="O98" s="149" t="n">
        <x:v>28</x:v>
      </x:c>
      <x:c r="P98" s="149" t="n">
        <x:f>IF('입력·근거'!$B$12="HIGH",O98,N98)</x:f>
        <x:v>28</x:v>
      </x:c>
      <x:c r="Q98" s="158" t="str"/>
      <x:c r="R98" s="161" t="str">
        <x:f>IF(Q98="","",P98*Q98)</x:f>
      </x:c>
      <x:c r="S98" s="146" t="str">
        <x:v>unpriced_source</x:v>
      </x:c>
    </x:row>
    <x:row r="99">
      <x:c r="A99" s="146" t="str">
        <x:v>6-Stance water borne Toilet</x:v>
      </x:c>
      <x:c r="B99" s="146" t="n">
        <x:v>20</x:v>
      </x:c>
      <x:c r="C99" s="146" t="str">
        <x:v>6칸 수세식 화장실</x:v>
      </x:c>
      <x:c r="D99" s="146" t="str">
        <x:v>급배수·위생</x:v>
      </x:c>
      <x:c r="E99" s="146" t="str">
        <x:v>ELEMENT NO.1</x:v>
      </x:c>
      <x:c r="F99" s="146" t="str">
        <x:v>Brickwork in burnt clay bricks in cement and sand mortar (1:3) mix; with and including 25 x 3mm hoop iron strips laid horizontally every alternate course.</x:v>
      </x:c>
      <x:c r="G99" s="146" t="str">
        <x:v>L</x:v>
      </x:c>
      <x:c r="H99" s="49" t="str">
        <x:v>Plinth walling + Splash apron</x:v>
      </x:c>
      <x:c r="I99" s="146" t="str">
        <x:v>m²</x:v>
      </x:c>
      <x:c r="J99" s="149" t="n">
        <x:v>46</x:v>
      </x:c>
      <x:c r="K99" s="146" t="str"/>
      <x:c r="L99" s="149" t="n">
        <x:v>1</x:v>
      </x:c>
      <x:c r="M99" s="149" t="n">
        <x:v>1</x:v>
      </x:c>
      <x:c r="N99" s="149" t="n">
        <x:v>46</x:v>
      </x:c>
      <x:c r="O99" s="149" t="n">
        <x:v>46</x:v>
      </x:c>
      <x:c r="P99" s="149" t="n">
        <x:f>IF('입력·근거'!$B$12="HIGH",O99,N99)</x:f>
        <x:v>46</x:v>
      </x:c>
      <x:c r="Q99" s="158" t="str"/>
      <x:c r="R99" s="161" t="str">
        <x:f>IF(Q99="","",P99*Q99)</x:f>
      </x:c>
      <x:c r="S99" s="146" t="str">
        <x:v>unpriced_source</x:v>
      </x:c>
    </x:row>
    <x:row r="100">
      <x:c r="A100" s="146" t="str">
        <x:v>6-Stance water borne Toilet</x:v>
      </x:c>
      <x:c r="B100" s="146" t="n">
        <x:v>21</x:v>
      </x:c>
      <x:c r="C100" s="146" t="str">
        <x:v>6칸 수세식 화장실</x:v>
      </x:c>
      <x:c r="D100" s="146" t="str">
        <x:v>급배수·위생</x:v>
      </x:c>
      <x:c r="E100" s="146" t="str">
        <x:v>ELEMENT NO.1</x:v>
      </x:c>
      <x:c r="F100" s="146" t="str">
        <x:v>Brickwork in burnt clay bricks in cement and sand mortar (1:3) mix; with and including 25 x 3mm hoop iron strips laid horizontally every alternate course.</x:v>
      </x:c>
      <x:c r="G100" s="146" t="str">
        <x:v>M</x:v>
      </x:c>
      <x:c r="H100" s="49" t="str">
        <x:v>25mm Thick cement and sand(1:3) wall plaster wood float finished smooth on walls externally.</x:v>
      </x:c>
      <x:c r="I100" s="146" t="str">
        <x:v>m²</x:v>
      </x:c>
      <x:c r="J100" s="149" t="n">
        <x:v>40.2</x:v>
      </x:c>
      <x:c r="K100" s="146" t="str">
        <x:v>=(6.1*4+7.9*2)*1</x:v>
      </x:c>
      <x:c r="L100" s="149" t="n">
        <x:v>1</x:v>
      </x:c>
      <x:c r="M100" s="149" t="n">
        <x:v>1</x:v>
      </x:c>
      <x:c r="N100" s="149" t="n">
        <x:v>40.2</x:v>
      </x:c>
      <x:c r="O100" s="149" t="n">
        <x:v>40.2</x:v>
      </x:c>
      <x:c r="P100" s="149" t="n">
        <x:f>IF('입력·근거'!$B$12="HIGH",O100,N100)</x:f>
        <x:v>40.2</x:v>
      </x:c>
      <x:c r="Q100" s="158" t="str"/>
      <x:c r="R100" s="161" t="str">
        <x:f>IF(Q100="","",P100*Q100)</x:f>
      </x:c>
      <x:c r="S100" s="146" t="str">
        <x:v>formula_quantity;unpriced_source</x:v>
      </x:c>
    </x:row>
    <x:row r="101">
      <x:c r="A101" s="146" t="str">
        <x:v>6-Stance water borne Toilet</x:v>
      </x:c>
      <x:c r="B101" s="146" t="n">
        <x:v>22</x:v>
      </x:c>
      <x:c r="C101" s="146" t="str">
        <x:v>6칸 수세식 화장실</x:v>
      </x:c>
      <x:c r="D101" s="146" t="str">
        <x:v>급배수·위생</x:v>
      </x:c>
      <x:c r="E101" s="146" t="str">
        <x:v>ELEMENT NO.1</x:v>
      </x:c>
      <x:c r="F101" s="146" t="str">
        <x:v>Brickwork in burnt clay bricks in cement and sand mortar (1:3) mix; with and including 25 x 3mm hoop iron strips laid horizontally every alternate course.</x:v>
      </x:c>
      <x:c r="G101" s="146" t="str">
        <x:v>N</x:v>
      </x:c>
      <x:c r="H101" s="49" t="str">
        <x:v>Apply 3 coats of black bituminous paint to wooden float finish surface</x:v>
      </x:c>
      <x:c r="I101" s="146" t="str">
        <x:v>m²</x:v>
      </x:c>
      <x:c r="J101" s="149" t="n">
        <x:v>40.2</x:v>
      </x:c>
      <x:c r="K101" s="146" t="str">
        <x:v>=D21</x:v>
      </x:c>
      <x:c r="L101" s="149" t="n">
        <x:v>1</x:v>
      </x:c>
      <x:c r="M101" s="149" t="n">
        <x:v>1</x:v>
      </x:c>
      <x:c r="N101" s="149" t="n">
        <x:v>40.2</x:v>
      </x:c>
      <x:c r="O101" s="149" t="n">
        <x:v>40.2</x:v>
      </x:c>
      <x:c r="P101" s="149" t="n">
        <x:f>IF('입력·근거'!$B$12="HIGH",O101,N101)</x:f>
        <x:v>40.2</x:v>
      </x:c>
      <x:c r="Q101" s="158" t="str"/>
      <x:c r="R101" s="161" t="str">
        <x:f>IF(Q101="","",P101*Q101)</x:f>
      </x:c>
      <x:c r="S101" s="146" t="str">
        <x:v>formula_quantity;unpriced_source</x:v>
      </x:c>
    </x:row>
    <x:row r="102">
      <x:c r="A102" s="146" t="str">
        <x:v>6-Stance water borne Toilet</x:v>
      </x:c>
      <x:c r="B102" s="146" t="n">
        <x:v>24</x:v>
      </x:c>
      <x:c r="C102" s="146" t="str">
        <x:v>6칸 수세식 화장실</x:v>
      </x:c>
      <x:c r="D102" s="146" t="str">
        <x:v>급배수·위생</x:v>
      </x:c>
      <x:c r="E102" s="146" t="str">
        <x:v>ELEMENT NO.1</x:v>
      </x:c>
      <x:c r="F102" s="146" t="str">
        <x:v>Sundries</x:v>
      </x:c>
      <x:c r="G102" s="146" t="str">
        <x:v>O</x:v>
      </x:c>
      <x:c r="H102" s="49" t="str">
        <x:v>Damp proof courses : Hessian based bituminous felt: bedded in cement and sand (1:4) mortar : 300mm laps.</x:v>
      </x:c>
      <x:c r="I102" s="146" t="str">
        <x:v>m</x:v>
      </x:c>
      <x:c r="J102" s="149" t="n">
        <x:v>46</x:v>
      </x:c>
      <x:c r="K102" s="146" t="str"/>
      <x:c r="L102" s="149" t="n">
        <x:v>1</x:v>
      </x:c>
      <x:c r="M102" s="149" t="n">
        <x:v>1</x:v>
      </x:c>
      <x:c r="N102" s="149" t="n">
        <x:v>46</x:v>
      </x:c>
      <x:c r="O102" s="149" t="n">
        <x:v>46</x:v>
      </x:c>
      <x:c r="P102" s="149" t="n">
        <x:f>IF('입력·근거'!$B$12="HIGH",O102,N102)</x:f>
        <x:v>46</x:v>
      </x:c>
      <x:c r="Q102" s="158" t="str"/>
      <x:c r="R102" s="161" t="str">
        <x:f>IF(Q102="","",P102*Q102)</x:f>
      </x:c>
      <x:c r="S102" s="146" t="str">
        <x:v>unpriced_source</x:v>
      </x:c>
    </x:row>
    <x:row r="103">
      <x:c r="A103" s="146" t="str">
        <x:v>6-Stance water borne Toilet</x:v>
      </x:c>
      <x:c r="B103" s="146" t="n">
        <x:v>29</x:v>
      </x:c>
      <x:c r="C103" s="146" t="str">
        <x:v>6칸 수세식 화장실</x:v>
      </x:c>
      <x:c r="D103" s="146" t="str">
        <x:v>급배수·위생</x:v>
      </x:c>
      <x:c r="E103" s="146" t="str">
        <x:v>ELEMENT NO.2: WALLING AND FRAME</x:v>
      </x:c>
      <x:c r="F103" s="146" t="str">
        <x:v>Reinforced in-situ concrete class 25/12mm aggregate in;-</x:v>
      </x:c>
      <x:c r="G103" s="146" t="str">
        <x:v>A</x:v>
      </x:c>
      <x:c r="H103" s="49" t="str">
        <x:v>Ringbeam</x:v>
      </x:c>
      <x:c r="I103" s="146" t="str">
        <x:v>m³</x:v>
      </x:c>
      <x:c r="J103" s="149" t="n">
        <x:v>2.6280000000000006</x:v>
      </x:c>
      <x:c r="K103" s="146" t="str">
        <x:v>=(6.1*4+7.9*2+0.9*4)*0.2*0.3</x:v>
      </x:c>
      <x:c r="L103" s="149" t="n">
        <x:v>1</x:v>
      </x:c>
      <x:c r="M103" s="149" t="n">
        <x:v>1</x:v>
      </x:c>
      <x:c r="N103" s="149" t="n">
        <x:v>2.6280000000000006</x:v>
      </x:c>
      <x:c r="O103" s="149" t="n">
        <x:v>2.6280000000000006</x:v>
      </x:c>
      <x:c r="P103" s="149" t="n">
        <x:f>IF('입력·근거'!$B$12="HIGH",O103,N103)</x:f>
        <x:v>2.6280000000000006</x:v>
      </x:c>
      <x:c r="Q103" s="158" t="str"/>
      <x:c r="R103" s="161" t="str">
        <x:f>IF(Q103="","",P103*Q103)</x:f>
      </x:c>
      <x:c r="S103" s="146" t="str">
        <x:v>formula_quantity;unpriced_source</x:v>
      </x:c>
    </x:row>
    <x:row r="104">
      <x:c r="A104" s="146" t="str">
        <x:v>6-Stance water borne Toilet</x:v>
      </x:c>
      <x:c r="B104" s="146" t="n">
        <x:v>31</x:v>
      </x:c>
      <x:c r="C104" s="146" t="str">
        <x:v>6칸 수세식 화장실</x:v>
      </x:c>
      <x:c r="D104" s="146" t="str">
        <x:v>급배수·위생</x:v>
      </x:c>
      <x:c r="E104" s="146" t="str">
        <x:v>ELEMENT NO.2: WALLING AND FRAME</x:v>
      </x:c>
      <x:c r="F104" s="146" t="str">
        <x:v>Hot rolled High yield ribbed steel bar reinforcement to BS 4449 as described including cutting to lengths, bending, hoisting and fixing including all necessary tying wire and spacing blocks.</x:v>
      </x:c>
      <x:c r="G104" s="146" t="str">
        <x:v>B</x:v>
      </x:c>
      <x:c r="H104" s="49" t="str">
        <x:v>12mm Diameter bars (T12</x:v>
      </x:c>
      <x:c r="I104" s="146" t="str">
        <x:v>kg</x:v>
      </x:c>
      <x:c r="J104" s="149" t="n">
        <x:v>140</x:v>
      </x:c>
      <x:c r="K104" s="146" t="str"/>
      <x:c r="L104" s="149" t="n">
        <x:v>1</x:v>
      </x:c>
      <x:c r="M104" s="149" t="n">
        <x:v>1</x:v>
      </x:c>
      <x:c r="N104" s="149" t="n">
        <x:v>140</x:v>
      </x:c>
      <x:c r="O104" s="149" t="n">
        <x:v>140</x:v>
      </x:c>
      <x:c r="P104" s="149" t="n">
        <x:f>IF('입력·근거'!$B$12="HIGH",O104,N104)</x:f>
        <x:v>140</x:v>
      </x:c>
      <x:c r="Q104" s="158" t="str"/>
      <x:c r="R104" s="161" t="str">
        <x:f>IF(Q104="","",P104*Q104)</x:f>
      </x:c>
      <x:c r="S104" s="146" t="str">
        <x:v>unpriced_source</x:v>
      </x:c>
    </x:row>
    <x:row r="105">
      <x:c r="A105" s="146" t="str">
        <x:v>6-Stance water borne Toilet</x:v>
      </x:c>
      <x:c r="B105" s="146" t="n">
        <x:v>32</x:v>
      </x:c>
      <x:c r="C105" s="146" t="str">
        <x:v>6칸 수세식 화장실</x:v>
      </x:c>
      <x:c r="D105" s="146" t="str">
        <x:v>급배수·위생</x:v>
      </x:c>
      <x:c r="E105" s="146" t="str">
        <x:v>ELEMENT NO.2: WALLING AND FRAME</x:v>
      </x:c>
      <x:c r="F105" s="146" t="str">
        <x:v>Hot rolled High yield ribbed steel bar reinforcement to BS 4449 as described including cutting to lengths, bending, hoisting and fixing including all necessary tying wire and spacing blocks.</x:v>
      </x:c>
      <x:c r="G105" s="146" t="str">
        <x:v>C</x:v>
      </x:c>
      <x:c r="H105" s="49" t="str">
        <x:v>8mm Diameter bars</x:v>
      </x:c>
      <x:c r="I105" s="146" t="str">
        <x:v>kg</x:v>
      </x:c>
      <x:c r="J105" s="149" t="n">
        <x:v>49</x:v>
      </x:c>
      <x:c r="K105" s="146" t="str"/>
      <x:c r="L105" s="149" t="n">
        <x:v>1</x:v>
      </x:c>
      <x:c r="M105" s="149" t="n">
        <x:v>1</x:v>
      </x:c>
      <x:c r="N105" s="149" t="n">
        <x:v>49</x:v>
      </x:c>
      <x:c r="O105" s="149" t="n">
        <x:v>49</x:v>
      </x:c>
      <x:c r="P105" s="149" t="n">
        <x:f>IF('입력·근거'!$B$12="HIGH",O105,N105)</x:f>
        <x:v>49</x:v>
      </x:c>
      <x:c r="Q105" s="158" t="str"/>
      <x:c r="R105" s="161" t="str">
        <x:f>IF(Q105="","",P105*Q105)</x:f>
      </x:c>
      <x:c r="S105" s="146" t="str">
        <x:v>unpriced_source</x:v>
      </x:c>
    </x:row>
    <x:row r="106">
      <x:c r="A106" s="146" t="str">
        <x:v>6-Stance water borne Toilet</x:v>
      </x:c>
      <x:c r="B106" s="146" t="n">
        <x:v>33</x:v>
      </x:c>
      <x:c r="C106" s="146" t="str">
        <x:v>6칸 수세식 화장실</x:v>
      </x:c>
      <x:c r="D106" s="146" t="str">
        <x:v>급배수·위생</x:v>
      </x:c>
      <x:c r="E106" s="146" t="str">
        <x:v>ELEMENT NO.2: WALLING AND FRAME</x:v>
      </x:c>
      <x:c r="F106" s="146" t="str">
        <x:v>Hot rolled High yield ribbed steel bar reinforcement to BS 4449 as described including cutting to lengths, bending, hoisting and fixing including all necessary tying wire and spacing blocks.</x:v>
      </x:c>
      <x:c r="G106" s="146" t="str">
        <x:v>D</x:v>
      </x:c>
      <x:c r="H106" s="49" t="str">
        <x:v>R08 stirrups cast in ring beam at every truss position for fastening trusses(MS)</x:v>
      </x:c>
      <x:c r="I106" s="146" t="str">
        <x:v>kg</x:v>
      </x:c>
      <x:c r="J106" s="149" t="n">
        <x:v>55</x:v>
      </x:c>
      <x:c r="K106" s="146" t="str"/>
      <x:c r="L106" s="149" t="n">
        <x:v>1</x:v>
      </x:c>
      <x:c r="M106" s="149" t="n">
        <x:v>1</x:v>
      </x:c>
      <x:c r="N106" s="149" t="n">
        <x:v>55</x:v>
      </x:c>
      <x:c r="O106" s="149" t="n">
        <x:v>55</x:v>
      </x:c>
      <x:c r="P106" s="149" t="n">
        <x:f>IF('입력·근거'!$B$12="HIGH",O106,N106)</x:f>
        <x:v>55</x:v>
      </x:c>
      <x:c r="Q106" s="158" t="str"/>
      <x:c r="R106" s="161" t="str">
        <x:f>IF(Q106="","",P106*Q106)</x:f>
      </x:c>
      <x:c r="S106" s="146" t="str">
        <x:v>unpriced_source</x:v>
      </x:c>
    </x:row>
    <x:row r="107">
      <x:c r="A107" s="146" t="str">
        <x:v>6-Stance water borne Toilet</x:v>
      </x:c>
      <x:c r="B107" s="146" t="n">
        <x:v>35</x:v>
      </x:c>
      <x:c r="C107" s="146" t="str">
        <x:v>6칸 수세식 화장실</x:v>
      </x:c>
      <x:c r="D107" s="146" t="str">
        <x:v>급배수·위생</x:v>
      </x:c>
      <x:c r="E107" s="146" t="str">
        <x:v>ELEMENT NO.2: WALLING AND FRAME</x:v>
      </x:c>
      <x:c r="F107" s="146" t="str">
        <x:v>Sawn treated formwork to;</x:v>
      </x:c>
      <x:c r="G107" s="146" t="str">
        <x:v>E</x:v>
      </x:c>
      <x:c r="H107" s="49" t="str">
        <x:v>sides and bottom of Ring beam</x:v>
      </x:c>
      <x:c r="I107" s="146" t="str">
        <x:v>m²</x:v>
      </x:c>
      <x:c r="J107" s="149" t="n">
        <x:v>34</x:v>
      </x:c>
      <x:c r="K107" s="146" t="str"/>
      <x:c r="L107" s="149" t="n">
        <x:v>1</x:v>
      </x:c>
      <x:c r="M107" s="149" t="n">
        <x:v>1</x:v>
      </x:c>
      <x:c r="N107" s="149" t="n">
        <x:v>34</x:v>
      </x:c>
      <x:c r="O107" s="149" t="n">
        <x:v>34</x:v>
      </x:c>
      <x:c r="P107" s="149" t="n">
        <x:f>IF('입력·근거'!$B$12="HIGH",O107,N107)</x:f>
        <x:v>34</x:v>
      </x:c>
      <x:c r="Q107" s="158" t="str"/>
      <x:c r="R107" s="161" t="str">
        <x:f>IF(Q107="","",P107*Q107)</x:f>
      </x:c>
      <x:c r="S107" s="146" t="str">
        <x:v>unpriced_source</x:v>
      </x:c>
    </x:row>
    <x:row r="108">
      <x:c r="A108" s="146" t="str">
        <x:v>6-Stance water borne Toilet</x:v>
      </x:c>
      <x:c r="B108" s="146" t="n">
        <x:v>37</x:v>
      </x:c>
      <x:c r="C108" s="146" t="str">
        <x:v>6칸 수세식 화장실</x:v>
      </x:c>
      <x:c r="D108" s="146" t="str">
        <x:v>급배수·위생</x:v>
      </x:c>
      <x:c r="E108" s="146" t="str">
        <x:v>ELEMENT NO.2: WALLING AND FRAME</x:v>
      </x:c>
      <x:c r="F108" s="146" t="str">
        <x:v>Brickwork</x:v>
      </x:c>
      <x:c r="G108" s="146" t="str">
        <x:v>F</x:v>
      </x:c>
      <x:c r="H108" s="49" t="str">
        <x:v>150mm thick well burnt clay brick walling bedded and jointed in cement sand(1:3) mortor with and including 25x3mm thick hoop iron strips laid horizontally at every alternate coars</x:v>
      </x:c>
      <x:c r="I108" s="146" t="str">
        <x:v>m²</x:v>
      </x:c>
      <x:c r="J108" s="149" t="n">
        <x:v>152</x:v>
      </x:c>
      <x:c r="K108" s="146" t="str"/>
      <x:c r="L108" s="149" t="n">
        <x:v>1</x:v>
      </x:c>
      <x:c r="M108" s="149" t="n">
        <x:v>1</x:v>
      </x:c>
      <x:c r="N108" s="149" t="n">
        <x:v>152</x:v>
      </x:c>
      <x:c r="O108" s="149" t="n">
        <x:v>152</x:v>
      </x:c>
      <x:c r="P108" s="149" t="n">
        <x:f>IF('입력·근거'!$B$12="HIGH",O108,N108)</x:f>
        <x:v>152</x:v>
      </x:c>
      <x:c r="Q108" s="158" t="str"/>
      <x:c r="R108" s="161" t="str">
        <x:f>IF(Q108="","",P108*Q108)</x:f>
      </x:c>
      <x:c r="S108" s="146" t="str">
        <x:v>unpriced_source</x:v>
      </x:c>
    </x:row>
    <x:row r="109">
      <x:c r="A109" s="146" t="str">
        <x:v>6-Stance water borne Toilet</x:v>
      </x:c>
      <x:c r="B109" s="146" t="n">
        <x:v>38</x:v>
      </x:c>
      <x:c r="C109" s="146" t="str">
        <x:v>6칸 수세식 화장실</x:v>
      </x:c>
      <x:c r="D109" s="146" t="str">
        <x:v>급배수·위생</x:v>
      </x:c>
      <x:c r="E109" s="146" t="str">
        <x:v>ELEMENT NO.2: WALLING AND FRAME</x:v>
      </x:c>
      <x:c r="F109" s="146" t="str">
        <x:v>Brickwork</x:v>
      </x:c>
      <x:c r="G109" s="146" t="str"/>
      <x:c r="H109" s="49" t="str">
        <x:v>DECORATIVE BRICK WALLING COMPRISING "POMPEI BRICKS" each size 180 x 180mm jointed in cement and sand (1:3) mortar and painted in coloured cement</x:v>
      </x:c>
      <x:c r="I109" s="146" t="str">
        <x:v>m²</x:v>
      </x:c>
      <x:c r="J109" s="149" t="n">
        <x:v>8.8</x:v>
      </x:c>
      <x:c r="K109" s="146" t="str">
        <x:v>=2.2*1*4</x:v>
      </x:c>
      <x:c r="L109" s="149" t="n">
        <x:v>1</x:v>
      </x:c>
      <x:c r="M109" s="149" t="n">
        <x:v>1</x:v>
      </x:c>
      <x:c r="N109" s="149" t="n">
        <x:v>8.8</x:v>
      </x:c>
      <x:c r="O109" s="149" t="n">
        <x:v>8.8</x:v>
      </x:c>
      <x:c r="P109" s="149" t="n">
        <x:f>IF('입력·근거'!$B$12="HIGH",O109,N109)</x:f>
        <x:v>8.8</x:v>
      </x:c>
      <x:c r="Q109" s="158" t="str"/>
      <x:c r="R109" s="161" t="str">
        <x:f>IF(Q109="","",P109*Q109)</x:f>
      </x:c>
      <x:c r="S109" s="146" t="str">
        <x:v>formula_quantity;unpriced_source</x:v>
      </x:c>
    </x:row>
    <x:row r="110">
      <x:c r="A110" s="146" t="str">
        <x:v>6-Stance water borne Toilet</x:v>
      </x:c>
      <x:c r="B110" s="146" t="n">
        <x:v>44</x:v>
      </x:c>
      <x:c r="C110" s="146" t="str">
        <x:v>6칸 수세식 화장실</x:v>
      </x:c>
      <x:c r="D110" s="146" t="str">
        <x:v>급배수·위생</x:v>
      </x:c>
      <x:c r="E110" s="146" t="str">
        <x:v>ELEMENT NO.3 ROOF CONSTRUCTION &amp; RAINWATER DISPOSAL</x:v>
      </x:c>
      <x:c r="F110" s="146" t="str">
        <x:v>Sawn cypress pressure impregnated with preservative:-</x:v>
      </x:c>
      <x:c r="G110" s="146" t="str">
        <x:v>A</x:v>
      </x:c>
      <x:c r="H110" s="49" t="str">
        <x:v>75x100mm Tie beam</x:v>
      </x:c>
      <x:c r="I110" s="146" t="str">
        <x:v>m</x:v>
      </x:c>
      <x:c r="J110" s="149" t="n">
        <x:v>49</x:v>
      </x:c>
      <x:c r="K110" s="146" t="str"/>
      <x:c r="L110" s="149" t="n">
        <x:v>1</x:v>
      </x:c>
      <x:c r="M110" s="149" t="n">
        <x:v>1</x:v>
      </x:c>
      <x:c r="N110" s="149" t="n">
        <x:v>49</x:v>
      </x:c>
      <x:c r="O110" s="149" t="n">
        <x:v>49</x:v>
      </x:c>
      <x:c r="P110" s="149" t="n">
        <x:f>IF('입력·근거'!$B$12="HIGH",O110,N110)</x:f>
        <x:v>49</x:v>
      </x:c>
      <x:c r="Q110" s="158" t="str"/>
      <x:c r="R110" s="161" t="str">
        <x:f>IF(Q110="","",P110*Q110)</x:f>
      </x:c>
      <x:c r="S110" s="146" t="str">
        <x:v>unpriced_source</x:v>
      </x:c>
    </x:row>
    <x:row r="111">
      <x:c r="A111" s="146" t="str">
        <x:v>6-Stance water borne Toilet</x:v>
      </x:c>
      <x:c r="B111" s="146" t="n">
        <x:v>45</x:v>
      </x:c>
      <x:c r="C111" s="146" t="str">
        <x:v>6칸 수세식 화장실</x:v>
      </x:c>
      <x:c r="D111" s="146" t="str">
        <x:v>급배수·위생</x:v>
      </x:c>
      <x:c r="E111" s="146" t="str">
        <x:v>ELEMENT NO.3 ROOF CONSTRUCTION &amp; RAINWATER DISPOSAL</x:v>
      </x:c>
      <x:c r="F111" s="146" t="str">
        <x:v>Sawn cypress pressure impregnated with preservative:-</x:v>
      </x:c>
      <x:c r="G111" s="146" t="str">
        <x:v>B</x:v>
      </x:c>
      <x:c r="H111" s="49" t="str">
        <x:v>75x100mm Rafters</x:v>
      </x:c>
      <x:c r="I111" s="146" t="str">
        <x:v>m</x:v>
      </x:c>
      <x:c r="J111" s="149" t="n">
        <x:v>50</x:v>
      </x:c>
      <x:c r="K111" s="146" t="str"/>
      <x:c r="L111" s="149" t="n">
        <x:v>1</x:v>
      </x:c>
      <x:c r="M111" s="149" t="n">
        <x:v>1</x:v>
      </x:c>
      <x:c r="N111" s="149" t="n">
        <x:v>50</x:v>
      </x:c>
      <x:c r="O111" s="149" t="n">
        <x:v>50</x:v>
      </x:c>
      <x:c r="P111" s="149" t="n">
        <x:f>IF('입력·근거'!$B$12="HIGH",O111,N111)</x:f>
        <x:v>50</x:v>
      </x:c>
      <x:c r="Q111" s="158" t="str"/>
      <x:c r="R111" s="161" t="str">
        <x:f>IF(Q111="","",P111*Q111)</x:f>
      </x:c>
      <x:c r="S111" s="146" t="str">
        <x:v>unpriced_source</x:v>
      </x:c>
    </x:row>
    <x:row r="112">
      <x:c r="A112" s="146" t="str">
        <x:v>6-Stance water borne Toilet</x:v>
      </x:c>
      <x:c r="B112" s="146" t="n">
        <x:v>46</x:v>
      </x:c>
      <x:c r="C112" s="146" t="str">
        <x:v>6칸 수세식 화장실</x:v>
      </x:c>
      <x:c r="D112" s="146" t="str">
        <x:v>급배수·위생</x:v>
      </x:c>
      <x:c r="E112" s="146" t="str">
        <x:v>ELEMENT NO.3 ROOF CONSTRUCTION &amp; RAINWATER DISPOSAL</x:v>
      </x:c>
      <x:c r="F112" s="146" t="str">
        <x:v>Sawn cypress pressure impregnated with preservative:-</x:v>
      </x:c>
      <x:c r="G112" s="146" t="str">
        <x:v>C</x:v>
      </x:c>
      <x:c r="H112" s="49" t="str">
        <x:v>75x100mm wall plate</x:v>
      </x:c>
      <x:c r="I112" s="146" t="str">
        <x:v>m</x:v>
      </x:c>
      <x:c r="J112" s="149" t="n">
        <x:v>26</x:v>
      </x:c>
      <x:c r="K112" s="146" t="str"/>
      <x:c r="L112" s="149" t="n">
        <x:v>1</x:v>
      </x:c>
      <x:c r="M112" s="149" t="n">
        <x:v>1</x:v>
      </x:c>
      <x:c r="N112" s="149" t="n">
        <x:v>26</x:v>
      </x:c>
      <x:c r="O112" s="149" t="n">
        <x:v>26</x:v>
      </x:c>
      <x:c r="P112" s="149" t="n">
        <x:f>IF('입력·근거'!$B$12="HIGH",O112,N112)</x:f>
        <x:v>26</x:v>
      </x:c>
      <x:c r="Q112" s="158" t="str"/>
      <x:c r="R112" s="161" t="str">
        <x:f>IF(Q112="","",P112*Q112)</x:f>
      </x:c>
      <x:c r="S112" s="146" t="str">
        <x:v>unpriced_source</x:v>
      </x:c>
    </x:row>
    <x:row r="113">
      <x:c r="A113" s="146" t="str">
        <x:v>6-Stance water borne Toilet</x:v>
      </x:c>
      <x:c r="B113" s="146" t="n">
        <x:v>47</x:v>
      </x:c>
      <x:c r="C113" s="146" t="str">
        <x:v>6칸 수세식 화장실</x:v>
      </x:c>
      <x:c r="D113" s="146" t="str">
        <x:v>급배수·위생</x:v>
      </x:c>
      <x:c r="E113" s="146" t="str">
        <x:v>ELEMENT NO.3 ROOF CONSTRUCTION &amp; RAINWATER DISPOSAL</x:v>
      </x:c>
      <x:c r="F113" s="146" t="str">
        <x:v>Sawn cypress pressure impregnated with preservative:-</x:v>
      </x:c>
      <x:c r="G113" s="146" t="str">
        <x:v>D</x:v>
      </x:c>
      <x:c r="H113" s="49" t="str">
        <x:v>50x100mm struts and Ties</x:v>
      </x:c>
      <x:c r="I113" s="146" t="str">
        <x:v>m</x:v>
      </x:c>
      <x:c r="J113" s="149" t="n">
        <x:v>46</x:v>
      </x:c>
      <x:c r="K113" s="146" t="str"/>
      <x:c r="L113" s="149" t="n">
        <x:v>1</x:v>
      </x:c>
      <x:c r="M113" s="149" t="n">
        <x:v>1</x:v>
      </x:c>
      <x:c r="N113" s="149" t="n">
        <x:v>46</x:v>
      </x:c>
      <x:c r="O113" s="149" t="n">
        <x:v>46</x:v>
      </x:c>
      <x:c r="P113" s="149" t="n">
        <x:f>IF('입력·근거'!$B$12="HIGH",O113,N113)</x:f>
        <x:v>46</x:v>
      </x:c>
      <x:c r="Q113" s="158" t="str"/>
      <x:c r="R113" s="161" t="str">
        <x:f>IF(Q113="","",P113*Q113)</x:f>
      </x:c>
      <x:c r="S113" s="146" t="str">
        <x:v>unpriced_source</x:v>
      </x:c>
    </x:row>
    <x:row r="114">
      <x:c r="A114" s="146" t="str">
        <x:v>6-Stance water borne Toilet</x:v>
      </x:c>
      <x:c r="B114" s="146" t="n">
        <x:v>48</x:v>
      </x:c>
      <x:c r="C114" s="146" t="str">
        <x:v>6칸 수세식 화장실</x:v>
      </x:c>
      <x:c r="D114" s="146" t="str">
        <x:v>급배수·위생</x:v>
      </x:c>
      <x:c r="E114" s="146" t="str">
        <x:v>ELEMENT NO.3 ROOF CONSTRUCTION &amp; RAINWATER DISPOSAL</x:v>
      </x:c>
      <x:c r="F114" s="146" t="str">
        <x:v>Sawn cypress pressure impregnated with preservative:-</x:v>
      </x:c>
      <x:c r="G114" s="146" t="str">
        <x:v>E</x:v>
      </x:c>
      <x:c r="H114" s="49" t="str">
        <x:v>50x100mm purlins</x:v>
      </x:c>
      <x:c r="I114" s="146" t="str">
        <x:v>m</x:v>
      </x:c>
      <x:c r="J114" s="149" t="n">
        <x:v>44</x:v>
      </x:c>
      <x:c r="K114" s="146" t="str"/>
      <x:c r="L114" s="149" t="n">
        <x:v>1</x:v>
      </x:c>
      <x:c r="M114" s="149" t="n">
        <x:v>1</x:v>
      </x:c>
      <x:c r="N114" s="149" t="n">
        <x:v>44</x:v>
      </x:c>
      <x:c r="O114" s="149" t="n">
        <x:v>44</x:v>
      </x:c>
      <x:c r="P114" s="149" t="n">
        <x:f>IF('입력·근거'!$B$12="HIGH",O114,N114)</x:f>
        <x:v>44</x:v>
      </x:c>
      <x:c r="Q114" s="158" t="str"/>
      <x:c r="R114" s="161" t="str">
        <x:f>IF(Q114="","",P114*Q114)</x:f>
      </x:c>
      <x:c r="S114" s="146" t="str">
        <x:v>unpriced_source</x:v>
      </x:c>
    </x:row>
    <x:row r="115">
      <x:c r="A115" s="146" t="str">
        <x:v>6-Stance water borne Toilet</x:v>
      </x:c>
      <x:c r="B115" s="146" t="n">
        <x:v>49</x:v>
      </x:c>
      <x:c r="C115" s="146" t="str">
        <x:v>6칸 수세식 화장실</x:v>
      </x:c>
      <x:c r="D115" s="146" t="str">
        <x:v>급배수·위생</x:v>
      </x:c>
      <x:c r="E115" s="146" t="str">
        <x:v>ELEMENT NO.3 ROOF CONSTRUCTION &amp; RAINWATER DISPOSAL</x:v>
      </x:c>
      <x:c r="F115" s="146" t="str">
        <x:v>Sawn cypress pressure impregnated with preservative:-</x:v>
      </x:c>
      <x:c r="G115" s="146" t="str">
        <x:v>F</x:v>
      </x:c>
      <x:c r="H115" s="49" t="str">
        <x:v>225mm facia board well treated and painted with pproved paint</x:v>
      </x:c>
      <x:c r="I115" s="146" t="str">
        <x:v>m</x:v>
      </x:c>
      <x:c r="J115" s="149" t="n">
        <x:v>43</x:v>
      </x:c>
      <x:c r="K115" s="146" t="str"/>
      <x:c r="L115" s="149" t="n">
        <x:v>1</x:v>
      </x:c>
      <x:c r="M115" s="149" t="n">
        <x:v>1</x:v>
      </x:c>
      <x:c r="N115" s="149" t="n">
        <x:v>43</x:v>
      </x:c>
      <x:c r="O115" s="149" t="n">
        <x:v>43</x:v>
      </x:c>
      <x:c r="P115" s="149" t="n">
        <x:f>IF('입력·근거'!$B$12="HIGH",O115,N115)</x:f>
        <x:v>43</x:v>
      </x:c>
      <x:c r="Q115" s="158" t="str"/>
      <x:c r="R115" s="161" t="str">
        <x:f>IF(Q115="","",P115*Q115)</x:f>
      </x:c>
      <x:c r="S115" s="146" t="str">
        <x:v>unpriced_source</x:v>
      </x:c>
    </x:row>
    <x:row r="116">
      <x:c r="A116" s="146" t="str">
        <x:v>6-Stance water borne Toilet</x:v>
      </x:c>
      <x:c r="B116" s="146" t="n">
        <x:v>50</x:v>
      </x:c>
      <x:c r="C116" s="146" t="str">
        <x:v>6칸 수세식 화장실</x:v>
      </x:c>
      <x:c r="D116" s="146" t="str">
        <x:v>급배수·위생</x:v>
      </x:c>
      <x:c r="E116" s="146" t="str">
        <x:v>ELEMENT NO.3 ROOF CONSTRUCTION &amp; RAINWATER DISPOSAL</x:v>
      </x:c>
      <x:c r="F116" s="146" t="str">
        <x:v>Sawn cypress pressure impregnated with preservative:-</x:v>
      </x:c>
      <x:c r="G116" s="146" t="str">
        <x:v>G</x:v>
      </x:c>
      <x:c r="H116" s="49" t="str">
        <x:v>Roof Covering: Guage 26 pre-painted iron roofing sheets fixed with 2 side overlaps and 150mm end laps with and including approved roofing nails or galvanized steel drive screws with plastic washers to manufacturer's instructions.</x:v>
      </x:c>
      <x:c r="I116" s="146" t="str">
        <x:v>m²</x:v>
      </x:c>
      <x:c r="J116" s="149" t="n">
        <x:v>55.19</x:v>
      </x:c>
      <x:c r="K116" s="146" t="str">
        <x:v>=(6.1+1)*(7.9+1)-8</x:v>
      </x:c>
      <x:c r="L116" s="149" t="n">
        <x:v>1</x:v>
      </x:c>
      <x:c r="M116" s="149" t="n">
        <x:v>1</x:v>
      </x:c>
      <x:c r="N116" s="149" t="n">
        <x:v>55.19</x:v>
      </x:c>
      <x:c r="O116" s="149" t="n">
        <x:v>55.19</x:v>
      </x:c>
      <x:c r="P116" s="149" t="n">
        <x:f>IF('입력·근거'!$B$12="HIGH",O116,N116)</x:f>
        <x:v>55.19</x:v>
      </x:c>
      <x:c r="Q116" s="158" t="str"/>
      <x:c r="R116" s="161" t="str">
        <x:f>IF(Q116="","",P116*Q116)</x:f>
      </x:c>
      <x:c r="S116" s="146" t="str">
        <x:v>formula_quantity;unpriced_source</x:v>
      </x:c>
    </x:row>
    <x:row r="117">
      <x:c r="A117" s="146" t="str">
        <x:v>6-Stance water borne Toilet</x:v>
      </x:c>
      <x:c r="B117" s="146" t="n">
        <x:v>51</x:v>
      </x:c>
      <x:c r="C117" s="146" t="str">
        <x:v>6칸 수세식 화장실</x:v>
      </x:c>
      <x:c r="D117" s="146" t="str">
        <x:v>급배수·위생</x:v>
      </x:c>
      <x:c r="E117" s="146" t="str">
        <x:v>ELEMENT NO.3 ROOF CONSTRUCTION &amp; RAINWATER DISPOSAL</x:v>
      </x:c>
      <x:c r="F117" s="146" t="str">
        <x:v>Sawn cypress pressure impregnated with preservative:-</x:v>
      </x:c>
      <x:c r="G117" s="146" t="str">
        <x:v>H</x:v>
      </x:c>
      <x:c r="H117" s="49" t="str">
        <x:v>Super V translucent sheets fixed on to roof structure with welded mesh underneath</x:v>
      </x:c>
      <x:c r="I117" s="146" t="str">
        <x:v>no.</x:v>
      </x:c>
      <x:c r="J117" s="149" t="n">
        <x:v>4</x:v>
      </x:c>
      <x:c r="K117" s="146" t="str"/>
      <x:c r="L117" s="149" t="n">
        <x:v>1</x:v>
      </x:c>
      <x:c r="M117" s="149" t="n">
        <x:v>1</x:v>
      </x:c>
      <x:c r="N117" s="149" t="n">
        <x:v>4</x:v>
      </x:c>
      <x:c r="O117" s="149" t="n">
        <x:v>4</x:v>
      </x:c>
      <x:c r="P117" s="149" t="n">
        <x:f>IF('입력·근거'!$B$12="HIGH",O117,N117)</x:f>
        <x:v>4</x:v>
      </x:c>
      <x:c r="Q117" s="158" t="str"/>
      <x:c r="R117" s="161" t="str">
        <x:f>IF(Q117="","",P117*Q117)</x:f>
      </x:c>
      <x:c r="S117" s="146" t="str">
        <x:v>unpriced_source</x:v>
      </x:c>
    </x:row>
    <x:row r="118">
      <x:c r="A118" s="146" t="str">
        <x:v>6-Stance water borne Toilet</x:v>
      </x:c>
      <x:c r="B118" s="146" t="n">
        <x:v>52</x:v>
      </x:c>
      <x:c r="C118" s="146" t="str">
        <x:v>6칸 수세식 화장실</x:v>
      </x:c>
      <x:c r="D118" s="146" t="str">
        <x:v>급배수·위생</x:v>
      </x:c>
      <x:c r="E118" s="146" t="str">
        <x:v>ELEMENT NO.3 ROOF CONSTRUCTION &amp; RAINWATER DISPOSAL</x:v>
      </x:c>
      <x:c r="F118" s="146" t="str">
        <x:v>Sawn cypress pressure impregnated with preservative:-</x:v>
      </x:c>
      <x:c r="G118" s="146" t="str">
        <x:v>J</x:v>
      </x:c>
      <x:c r="H118" s="49" t="str">
        <x:v>300mm Wide ridge flashing</x:v>
      </x:c>
      <x:c r="I118" s="146" t="str">
        <x:v>m</x:v>
      </x:c>
      <x:c r="J118" s="149" t="n">
        <x:v>7.5</x:v>
      </x:c>
      <x:c r="K118" s="146" t="str"/>
      <x:c r="L118" s="149" t="n">
        <x:v>1</x:v>
      </x:c>
      <x:c r="M118" s="149" t="n">
        <x:v>1</x:v>
      </x:c>
      <x:c r="N118" s="149" t="n">
        <x:v>7.5</x:v>
      </x:c>
      <x:c r="O118" s="149" t="n">
        <x:v>7.5</x:v>
      </x:c>
      <x:c r="P118" s="149" t="n">
        <x:f>IF('입력·근거'!$B$12="HIGH",O118,N118)</x:f>
        <x:v>7.5</x:v>
      </x:c>
      <x:c r="Q118" s="158" t="str"/>
      <x:c r="R118" s="161" t="str">
        <x:f>IF(Q118="","",P118*Q118)</x:f>
      </x:c>
      <x:c r="S118" s="146" t="str">
        <x:v>unpriced_source</x:v>
      </x:c>
    </x:row>
    <x:row r="119">
      <x:c r="A119" s="146" t="str">
        <x:v>6-Stance water borne Toilet</x:v>
      </x:c>
      <x:c r="B119" s="146" t="n">
        <x:v>53</x:v>
      </x:c>
      <x:c r="C119" s="146" t="str">
        <x:v>6칸 수세식 화장실</x:v>
      </x:c>
      <x:c r="D119" s="146" t="str">
        <x:v>급배수·위생</x:v>
      </x:c>
      <x:c r="E119" s="146" t="str">
        <x:v>ELEMENT NO.3 ROOF CONSTRUCTION &amp; RAINWATER DISPOSAL</x:v>
      </x:c>
      <x:c r="F119" s="146" t="str">
        <x:v>Sawn cypress pressure impregnated with preservative:-</x:v>
      </x:c>
      <x:c r="G119" s="146" t="str">
        <x:v>K</x:v>
      </x:c>
      <x:c r="H119" s="49" t="str">
        <x:v>130mm diameter half round PVC gutter</x:v>
      </x:c>
      <x:c r="I119" s="146" t="str">
        <x:v>m</x:v>
      </x:c>
      <x:c r="J119" s="149" t="n">
        <x:v>15</x:v>
      </x:c>
      <x:c r="K119" s="146" t="str"/>
      <x:c r="L119" s="149" t="n">
        <x:v>1</x:v>
      </x:c>
      <x:c r="M119" s="149" t="n">
        <x:v>1</x:v>
      </x:c>
      <x:c r="N119" s="149" t="n">
        <x:v>15</x:v>
      </x:c>
      <x:c r="O119" s="149" t="n">
        <x:v>15</x:v>
      </x:c>
      <x:c r="P119" s="149" t="n">
        <x:f>IF('입력·근거'!$B$12="HIGH",O119,N119)</x:f>
        <x:v>15</x:v>
      </x:c>
      <x:c r="Q119" s="158" t="str"/>
      <x:c r="R119" s="161" t="str">
        <x:f>IF(Q119="","",P119*Q119)</x:f>
      </x:c>
      <x:c r="S119" s="146" t="str">
        <x:v>unpriced_source</x:v>
      </x:c>
    </x:row>
    <x:row r="120">
      <x:c r="A120" s="146" t="str">
        <x:v>6-Stance water borne Toilet</x:v>
      </x:c>
      <x:c r="B120" s="146" t="n">
        <x:v>54</x:v>
      </x:c>
      <x:c r="C120" s="146" t="str">
        <x:v>6칸 수세식 화장실</x:v>
      </x:c>
      <x:c r="D120" s="146" t="str">
        <x:v>급배수·위생</x:v>
      </x:c>
      <x:c r="E120" s="146" t="str">
        <x:v>ELEMENT NO.3 ROOF CONSTRUCTION &amp; RAINWATER DISPOSAL</x:v>
      </x:c>
      <x:c r="F120" s="146" t="str">
        <x:v>Sawn cypress pressure impregnated with preservative:-</x:v>
      </x:c>
      <x:c r="G120" s="146" t="str">
        <x:v>L</x:v>
      </x:c>
      <x:c r="H120" s="49" t="str">
        <x:v>Extra over gutter for outlet to suit 100mm diameter pipe.</x:v>
      </x:c>
      <x:c r="I120" s="146" t="str">
        <x:v>no.</x:v>
      </x:c>
      <x:c r="J120" s="149" t="n">
        <x:v>2</x:v>
      </x:c>
      <x:c r="K120" s="146" t="str"/>
      <x:c r="L120" s="149" t="n">
        <x:v>1</x:v>
      </x:c>
      <x:c r="M120" s="149" t="n">
        <x:v>1</x:v>
      </x:c>
      <x:c r="N120" s="149" t="n">
        <x:v>2</x:v>
      </x:c>
      <x:c r="O120" s="149" t="n">
        <x:v>2</x:v>
      </x:c>
      <x:c r="P120" s="149" t="n">
        <x:f>IF('입력·근거'!$B$12="HIGH",O120,N120)</x:f>
        <x:v>2</x:v>
      </x:c>
      <x:c r="Q120" s="158" t="str"/>
      <x:c r="R120" s="161" t="str">
        <x:f>IF(Q120="","",P120*Q120)</x:f>
      </x:c>
      <x:c r="S120" s="146" t="str">
        <x:v>unpriced_source</x:v>
      </x:c>
    </x:row>
    <x:row r="121">
      <x:c r="A121" s="146" t="str">
        <x:v>6-Stance water borne Toilet</x:v>
      </x:c>
      <x:c r="B121" s="146" t="n">
        <x:v>55</x:v>
      </x:c>
      <x:c r="C121" s="146" t="str">
        <x:v>6칸 수세식 화장실</x:v>
      </x:c>
      <x:c r="D121" s="146" t="str">
        <x:v>급배수·위생</x:v>
      </x:c>
      <x:c r="E121" s="146" t="str">
        <x:v>ELEMENT NO.3 ROOF CONSTRUCTION &amp; RAINWATER DISPOSAL</x:v>
      </x:c>
      <x:c r="F121" s="146" t="str">
        <x:v>Sawn cypress pressure impregnated with preservative:-</x:v>
      </x:c>
      <x:c r="G121" s="146" t="str">
        <x:v>N</x:v>
      </x:c>
      <x:c r="H121" s="49" t="str">
        <x:v>Extra over gutter for bends</x:v>
      </x:c>
      <x:c r="I121" s="146" t="str">
        <x:v>no.</x:v>
      </x:c>
      <x:c r="J121" s="149" t="n">
        <x:v>2</x:v>
      </x:c>
      <x:c r="K121" s="146" t="str"/>
      <x:c r="L121" s="149" t="n">
        <x:v>1</x:v>
      </x:c>
      <x:c r="M121" s="149" t="n">
        <x:v>1</x:v>
      </x:c>
      <x:c r="N121" s="149" t="n">
        <x:v>2</x:v>
      </x:c>
      <x:c r="O121" s="149" t="n">
        <x:v>2</x:v>
      </x:c>
      <x:c r="P121" s="149" t="n">
        <x:f>IF('입력·근거'!$B$12="HIGH",O121,N121)</x:f>
        <x:v>2</x:v>
      </x:c>
      <x:c r="Q121" s="158" t="str"/>
      <x:c r="R121" s="161" t="str">
        <x:f>IF(Q121="","",P121*Q121)</x:f>
      </x:c>
      <x:c r="S121" s="146" t="str">
        <x:v>unpriced_source</x:v>
      </x:c>
    </x:row>
    <x:row r="122">
      <x:c r="A122" s="146" t="str">
        <x:v>6-Stance water borne Toilet</x:v>
      </x:c>
      <x:c r="B122" s="146" t="n">
        <x:v>56</x:v>
      </x:c>
      <x:c r="C122" s="146" t="str">
        <x:v>6칸 수세식 화장실</x:v>
      </x:c>
      <x:c r="D122" s="146" t="str">
        <x:v>급배수·위생</x:v>
      </x:c>
      <x:c r="E122" s="146" t="str">
        <x:v>ELEMENT NO.3 ROOF CONSTRUCTION &amp; RAINWATER DISPOSAL</x:v>
      </x:c>
      <x:c r="F122" s="146" t="str">
        <x:v>Sawn cypress pressure impregnated with preservative:-</x:v>
      </x:c>
      <x:c r="G122" s="146" t="str">
        <x:v>O</x:v>
      </x:c>
      <x:c r="H122" s="49" t="str">
        <x:v>100mm diameter PVC down pipe</x:v>
      </x:c>
      <x:c r="I122" s="146" t="str">
        <x:v>m</x:v>
      </x:c>
      <x:c r="J122" s="149" t="n">
        <x:v>12</x:v>
      </x:c>
      <x:c r="K122" s="146" t="str"/>
      <x:c r="L122" s="149" t="n">
        <x:v>1</x:v>
      </x:c>
      <x:c r="M122" s="149" t="n">
        <x:v>1</x:v>
      </x:c>
      <x:c r="N122" s="149" t="n">
        <x:v>12</x:v>
      </x:c>
      <x:c r="O122" s="149" t="n">
        <x:v>12</x:v>
      </x:c>
      <x:c r="P122" s="149" t="n">
        <x:f>IF('입력·근거'!$B$12="HIGH",O122,N122)</x:f>
        <x:v>12</x:v>
      </x:c>
      <x:c r="Q122" s="158" t="str"/>
      <x:c r="R122" s="161" t="str">
        <x:f>IF(Q122="","",P122*Q122)</x:f>
      </x:c>
      <x:c r="S122" s="146" t="str">
        <x:v>unpriced_source</x:v>
      </x:c>
    </x:row>
    <x:row r="123">
      <x:c r="A123" s="146" t="str">
        <x:v>6-Stance water borne Toilet</x:v>
      </x:c>
      <x:c r="B123" s="146" t="n">
        <x:v>57</x:v>
      </x:c>
      <x:c r="C123" s="146" t="str">
        <x:v>6칸 수세식 화장실</x:v>
      </x:c>
      <x:c r="D123" s="146" t="str">
        <x:v>급배수·위생</x:v>
      </x:c>
      <x:c r="E123" s="146" t="str">
        <x:v>ELEMENT NO.3 ROOF CONSTRUCTION &amp; RAINWATER DISPOSAL</x:v>
      </x:c>
      <x:c r="F123" s="146" t="str">
        <x:v>Sawn cypress pressure impregnated with preservative:-</x:v>
      </x:c>
      <x:c r="G123" s="146" t="str">
        <x:v>P</x:v>
      </x:c>
      <x:c r="H123" s="49" t="str">
        <x:v>Extra over for bends.</x:v>
      </x:c>
      <x:c r="I123" s="146" t="str">
        <x:v>no.</x:v>
      </x:c>
      <x:c r="J123" s="149" t="n">
        <x:v>4</x:v>
      </x:c>
      <x:c r="K123" s="146" t="str"/>
      <x:c r="L123" s="149" t="n">
        <x:v>1</x:v>
      </x:c>
      <x:c r="M123" s="149" t="n">
        <x:v>1</x:v>
      </x:c>
      <x:c r="N123" s="149" t="n">
        <x:v>4</x:v>
      </x:c>
      <x:c r="O123" s="149" t="n">
        <x:v>4</x:v>
      </x:c>
      <x:c r="P123" s="149" t="n">
        <x:f>IF('입력·근거'!$B$12="HIGH",O123,N123)</x:f>
        <x:v>4</x:v>
      </x:c>
      <x:c r="Q123" s="158" t="str"/>
      <x:c r="R123" s="161" t="str">
        <x:f>IF(Q123="","",P123*Q123)</x:f>
      </x:c>
      <x:c r="S123" s="146" t="str">
        <x:v>unpriced_source</x:v>
      </x:c>
    </x:row>
    <x:row r="124">
      <x:c r="A124" s="146" t="str">
        <x:v>6-Stance water borne Toilet</x:v>
      </x:c>
      <x:c r="B124" s="146" t="n">
        <x:v>58</x:v>
      </x:c>
      <x:c r="C124" s="146" t="str">
        <x:v>6칸 수세식 화장실</x:v>
      </x:c>
      <x:c r="D124" s="146" t="str">
        <x:v>급배수·위생</x:v>
      </x:c>
      <x:c r="E124" s="146" t="str">
        <x:v>ELEMENT NO.3 ROOF CONSTRUCTION &amp; RAINWATER DISPOSAL</x:v>
      </x:c>
      <x:c r="F124" s="146" t="str">
        <x:v>Sawn cypress pressure impregnated with preservative:-</x:v>
      </x:c>
      <x:c r="G124" s="146" t="str">
        <x:v>Q</x:v>
      </x:c>
      <x:c r="H124" s="49" t="str">
        <x:v>Extra over for shoe.</x:v>
      </x:c>
      <x:c r="I124" s="146" t="str">
        <x:v>no.</x:v>
      </x:c>
      <x:c r="J124" s="149" t="n">
        <x:v>2</x:v>
      </x:c>
      <x:c r="K124" s="146" t="str"/>
      <x:c r="L124" s="149" t="n">
        <x:v>1</x:v>
      </x:c>
      <x:c r="M124" s="149" t="n">
        <x:v>1</x:v>
      </x:c>
      <x:c r="N124" s="149" t="n">
        <x:v>2</x:v>
      </x:c>
      <x:c r="O124" s="149" t="n">
        <x:v>2</x:v>
      </x:c>
      <x:c r="P124" s="149" t="n">
        <x:f>IF('입력·근거'!$B$12="HIGH",O124,N124)</x:f>
        <x:v>2</x:v>
      </x:c>
      <x:c r="Q124" s="158" t="str"/>
      <x:c r="R124" s="161" t="str">
        <x:f>IF(Q124="","",P124*Q124)</x:f>
      </x:c>
      <x:c r="S124" s="146" t="str">
        <x:v>unpriced_source</x:v>
      </x:c>
    </x:row>
    <x:row r="125">
      <x:c r="A125" s="146" t="str">
        <x:v>6-Stance water borne Toilet</x:v>
      </x:c>
      <x:c r="B125" s="146" t="n">
        <x:v>67</x:v>
      </x:c>
      <x:c r="C125" s="146" t="str">
        <x:v>6칸 수세식 화장실</x:v>
      </x:c>
      <x:c r="D125" s="146" t="str">
        <x:v>급배수·위생</x:v>
      </x:c>
      <x:c r="E125" s="146" t="str">
        <x:v>ELEMENT NO.3 ROOF CONSTRUCTION &amp; RAINWATER DISPOSAL</x:v>
      </x:c>
      <x:c r="F125" s="146" t="str">
        <x:v>External Finishes</x:v>
      </x:c>
      <x:c r="G125" s="146" t="str">
        <x:v>A</x:v>
      </x:c>
      <x:c r="H125" s="49" t="str">
        <x:v>25mm thick cement : sand (1:4) extenal wall rendering in two coats steel trowelled hard and smooth on walls externally</x:v>
      </x:c>
      <x:c r="I125" s="146" t="str">
        <x:v>m²</x:v>
      </x:c>
      <x:c r="J125" s="149" t="n">
        <x:v>59</x:v>
      </x:c>
      <x:c r="K125" s="146" t="str"/>
      <x:c r="L125" s="149" t="n">
        <x:v>1</x:v>
      </x:c>
      <x:c r="M125" s="149" t="n">
        <x:v>1</x:v>
      </x:c>
      <x:c r="N125" s="149" t="n">
        <x:v>59</x:v>
      </x:c>
      <x:c r="O125" s="149" t="n">
        <x:v>59</x:v>
      </x:c>
      <x:c r="P125" s="149" t="n">
        <x:f>IF('입력·근거'!$B$12="HIGH",O125,N125)</x:f>
        <x:v>59</x:v>
      </x:c>
      <x:c r="Q125" s="158" t="str"/>
      <x:c r="R125" s="161" t="str">
        <x:f>IF(Q125="","",P125*Q125)</x:f>
      </x:c>
      <x:c r="S125" s="146" t="str">
        <x:v>unpriced_source</x:v>
      </x:c>
    </x:row>
    <x:row r="126">
      <x:c r="A126" s="146" t="str">
        <x:v>6-Stance water borne Toilet</x:v>
      </x:c>
      <x:c r="B126" s="146" t="n">
        <x:v>68</x:v>
      </x:c>
      <x:c r="C126" s="146" t="str">
        <x:v>6칸 수세식 화장실</x:v>
      </x:c>
      <x:c r="D126" s="146" t="str">
        <x:v>급배수·위생</x:v>
      </x:c>
      <x:c r="E126" s="146" t="str">
        <x:v>ELEMENT NO.3 ROOF CONSTRUCTION &amp; RAINWATER DISPOSAL</x:v>
      </x:c>
      <x:c r="F126" s="146" t="str">
        <x:v>External Finishes</x:v>
      </x:c>
      <x:c r="G126" s="146" t="str">
        <x:v>B</x:v>
      </x:c>
      <x:c r="H126" s="49" t="str">
        <x:v>Roughcast to rendered walls externally</x:v>
      </x:c>
      <x:c r="I126" s="146" t="str">
        <x:v>m²</x:v>
      </x:c>
      <x:c r="J126" s="149" t="n">
        <x:v>59</x:v>
      </x:c>
      <x:c r="K126" s="146" t="str">
        <x:v>=D67</x:v>
      </x:c>
      <x:c r="L126" s="149" t="n">
        <x:v>1</x:v>
      </x:c>
      <x:c r="M126" s="149" t="n">
        <x:v>1</x:v>
      </x:c>
      <x:c r="N126" s="149" t="n">
        <x:v>59</x:v>
      </x:c>
      <x:c r="O126" s="149" t="n">
        <x:v>59</x:v>
      </x:c>
      <x:c r="P126" s="149" t="n">
        <x:f>IF('입력·근거'!$B$12="HIGH",O126,N126)</x:f>
        <x:v>59</x:v>
      </x:c>
      <x:c r="Q126" s="158" t="str"/>
      <x:c r="R126" s="161" t="str">
        <x:f>IF(Q126="","",P126*Q126)</x:f>
      </x:c>
      <x:c r="S126" s="146" t="str">
        <x:v>formula_quantity;unpriced_source</x:v>
      </x:c>
    </x:row>
    <x:row r="127">
      <x:c r="A127" s="146" t="str">
        <x:v>6-Stance water borne Toilet</x:v>
      </x:c>
      <x:c r="B127" s="146" t="n">
        <x:v>69</x:v>
      </x:c>
      <x:c r="C127" s="146" t="str">
        <x:v>6칸 수세식 화장실</x:v>
      </x:c>
      <x:c r="D127" s="146" t="str">
        <x:v>급배수·위생</x:v>
      </x:c>
      <x:c r="E127" s="146" t="str">
        <x:v>ELEMENT NO.3 ROOF CONSTRUCTION &amp; RAINWATER DISPOSAL</x:v>
      </x:c>
      <x:c r="F127" s="146" t="str">
        <x:v>External Finishes</x:v>
      </x:c>
      <x:c r="G127" s="146" t="str">
        <x:v>C</x:v>
      </x:c>
      <x:c r="H127" s="49" t="str">
        <x:v>Prepare and apply three coats of weather guard paint to rendered walls externally</x:v>
      </x:c>
      <x:c r="I127" s="146" t="str">
        <x:v>m²</x:v>
      </x:c>
      <x:c r="J127" s="149" t="n">
        <x:v>59</x:v>
      </x:c>
      <x:c r="K127" s="146" t="str">
        <x:v>=D68</x:v>
      </x:c>
      <x:c r="L127" s="149" t="n">
        <x:v>1</x:v>
      </x:c>
      <x:c r="M127" s="149" t="n">
        <x:v>1</x:v>
      </x:c>
      <x:c r="N127" s="149" t="n">
        <x:v>59</x:v>
      </x:c>
      <x:c r="O127" s="149" t="n">
        <x:v>59</x:v>
      </x:c>
      <x:c r="P127" s="149" t="n">
        <x:f>IF('입력·근거'!$B$12="HIGH",O127,N127)</x:f>
        <x:v>59</x:v>
      </x:c>
      <x:c r="Q127" s="158" t="str"/>
      <x:c r="R127" s="161" t="str">
        <x:f>IF(Q127="","",P127*Q127)</x:f>
      </x:c>
      <x:c r="S127" s="146" t="str">
        <x:v>formula_quantity;unpriced_source</x:v>
      </x:c>
    </x:row>
    <x:row r="128">
      <x:c r="A128" s="146" t="str">
        <x:v>6-Stance water borne Toilet</x:v>
      </x:c>
      <x:c r="B128" s="146" t="n">
        <x:v>73</x:v>
      </x:c>
      <x:c r="C128" s="146" t="str">
        <x:v>6칸 수세식 화장실</x:v>
      </x:c>
      <x:c r="D128" s="146" t="str">
        <x:v>급배수·위생</x:v>
      </x:c>
      <x:c r="E128" s="146" t="str">
        <x:v>ELEMENT NO.3 ROOF CONSTRUCTION &amp; RAINWATER DISPOSAL</x:v>
      </x:c>
      <x:c r="F128" s="146" t="str">
        <x:v>Internal Finishes</x:v>
      </x:c>
      <x:c r="G128" s="146" t="str">
        <x:v>D</x:v>
      </x:c>
      <x:c r="H128" s="49" t="str">
        <x:v>15mm Cement and sand (1:3) Wall plaster in two coats steel trowelled hard and smooth on wall or cement sand 1:3 mix internally</x:v>
      </x:c>
      <x:c r="I128" s="146" t="str">
        <x:v>m²</x:v>
      </x:c>
      <x:c r="J128" s="149" t="n">
        <x:v>98</x:v>
      </x:c>
      <x:c r="K128" s="146" t="str"/>
      <x:c r="L128" s="149" t="n">
        <x:v>1</x:v>
      </x:c>
      <x:c r="M128" s="149" t="n">
        <x:v>1</x:v>
      </x:c>
      <x:c r="N128" s="149" t="n">
        <x:v>98</x:v>
      </x:c>
      <x:c r="O128" s="149" t="n">
        <x:v>98</x:v>
      </x:c>
      <x:c r="P128" s="149" t="n">
        <x:f>IF('입력·근거'!$B$12="HIGH",O128,N128)</x:f>
        <x:v>98</x:v>
      </x:c>
      <x:c r="Q128" s="158" t="str"/>
      <x:c r="R128" s="161" t="str">
        <x:f>IF(Q128="","",P128*Q128)</x:f>
      </x:c>
      <x:c r="S128" s="146" t="str">
        <x:v>unpriced_source</x:v>
      </x:c>
    </x:row>
    <x:row r="129">
      <x:c r="A129" s="146" t="str">
        <x:v>6-Stance water borne Toilet</x:v>
      </x:c>
      <x:c r="B129" s="146" t="n">
        <x:v>74</x:v>
      </x:c>
      <x:c r="C129" s="146" t="str">
        <x:v>6칸 수세식 화장실</x:v>
      </x:c>
      <x:c r="D129" s="146" t="str">
        <x:v>급배수·위생</x:v>
      </x:c>
      <x:c r="E129" s="146" t="str">
        <x:v>ELEMENT NO.3 ROOF CONSTRUCTION &amp; RAINWATER DISPOSAL</x:v>
      </x:c>
      <x:c r="F129" s="146" t="str">
        <x:v>Internal Finishes</x:v>
      </x:c>
      <x:c r="G129" s="146" t="str">
        <x:v>E</x:v>
      </x:c>
      <x:c r="H129" s="49" t="str">
        <x:v>25mm thick cement and sand (1:3) screed finished smooth with steel float</x:v>
      </x:c>
      <x:c r="I129" s="146" t="str">
        <x:v>m²</x:v>
      </x:c>
      <x:c r="J129" s="149" t="n">
        <x:v>43</x:v>
      </x:c>
      <x:c r="K129" s="146" t="str"/>
      <x:c r="L129" s="149" t="n">
        <x:v>1</x:v>
      </x:c>
      <x:c r="M129" s="149" t="n">
        <x:v>1</x:v>
      </x:c>
      <x:c r="N129" s="149" t="n">
        <x:v>43</x:v>
      </x:c>
      <x:c r="O129" s="149" t="n">
        <x:v>43</x:v>
      </x:c>
      <x:c r="P129" s="149" t="n">
        <x:f>IF('입력·근거'!$B$12="HIGH",O129,N129)</x:f>
        <x:v>43</x:v>
      </x:c>
      <x:c r="Q129" s="158" t="str"/>
      <x:c r="R129" s="161" t="str">
        <x:f>IF(Q129="","",P129*Q129)</x:f>
      </x:c>
      <x:c r="S129" s="146" t="str">
        <x:v>unpriced_source</x:v>
      </x:c>
    </x:row>
    <x:row r="130">
      <x:c r="A130" s="146" t="str">
        <x:v>6-Stance water borne Toilet</x:v>
      </x:c>
      <x:c r="B130" s="146" t="n">
        <x:v>75</x:v>
      </x:c>
      <x:c r="C130" s="146" t="str">
        <x:v>6칸 수세식 화장실</x:v>
      </x:c>
      <x:c r="D130" s="146" t="str">
        <x:v>급배수·위생</x:v>
      </x:c>
      <x:c r="E130" s="146" t="str">
        <x:v>ELEMENT NO.3 ROOF CONSTRUCTION &amp; RAINWATER DISPOSAL</x:v>
      </x:c>
      <x:c r="F130" s="146" t="str">
        <x:v>Internal Finishes</x:v>
      </x:c>
      <x:c r="G130" s="146" t="str">
        <x:v>F</x:v>
      </x:c>
      <x:c r="H130" s="49" t="str">
        <x:v>Prepare and apply three coats of silk vinyl paint to plastered walls internally</x:v>
      </x:c>
      <x:c r="I130" s="146" t="str">
        <x:v>m²</x:v>
      </x:c>
      <x:c r="J130" s="149" t="n">
        <x:v>98</x:v>
      </x:c>
      <x:c r="K130" s="146" t="str">
        <x:v>=D73</x:v>
      </x:c>
      <x:c r="L130" s="149" t="n">
        <x:v>1</x:v>
      </x:c>
      <x:c r="M130" s="149" t="n">
        <x:v>1</x:v>
      </x:c>
      <x:c r="N130" s="149" t="n">
        <x:v>98</x:v>
      </x:c>
      <x:c r="O130" s="149" t="n">
        <x:v>98</x:v>
      </x:c>
      <x:c r="P130" s="149" t="n">
        <x:f>IF('입력·근거'!$B$12="HIGH",O130,N130)</x:f>
        <x:v>98</x:v>
      </x:c>
      <x:c r="Q130" s="158" t="str"/>
      <x:c r="R130" s="161" t="str">
        <x:f>IF(Q130="","",P130*Q130)</x:f>
      </x:c>
      <x:c r="S130" s="146" t="str">
        <x:v>formula_quantity;unpriced_source</x:v>
      </x:c>
    </x:row>
    <x:row r="131">
      <x:c r="A131" s="146" t="str">
        <x:v>6-Stance water borne Toilet</x:v>
      </x:c>
      <x:c r="B131" s="146" t="n">
        <x:v>80</x:v>
      </x:c>
      <x:c r="C131" s="146" t="str">
        <x:v>6칸 수세식 화장실</x:v>
      </x:c>
      <x:c r="D131" s="146" t="str">
        <x:v>급배수·위생</x:v>
      </x:c>
      <x:c r="E131" s="146" t="str">
        <x:v>ELEMENT NO.3 ROOF CONSTRUCTION &amp; RAINWATER DISPOSAL</x:v>
      </x:c>
      <x:c r="F131" s="146" t="str">
        <x:v>Drainage</x:v>
      </x:c>
      <x:c r="G131" s="146" t="str">
        <x:v>A</x:v>
      </x:c>
      <x:c r="H131" s="49" t="str">
        <x:v>PVC Gully Trap</x:v>
      </x:c>
      <x:c r="I131" s="146" t="str">
        <x:v>no.</x:v>
      </x:c>
      <x:c r="J131" s="149" t="n">
        <x:v>3</x:v>
      </x:c>
      <x:c r="K131" s="146" t="str"/>
      <x:c r="L131" s="149" t="n">
        <x:v>1</x:v>
      </x:c>
      <x:c r="M131" s="149" t="n">
        <x:v>1</x:v>
      </x:c>
      <x:c r="N131" s="149" t="n">
        <x:v>3</x:v>
      </x:c>
      <x:c r="O131" s="149" t="n">
        <x:v>3</x:v>
      </x:c>
      <x:c r="P131" s="149" t="n">
        <x:f>IF('입력·근거'!$B$12="HIGH",O131,N131)</x:f>
        <x:v>3</x:v>
      </x:c>
      <x:c r="Q131" s="158" t="str"/>
      <x:c r="R131" s="161" t="str">
        <x:f>IF(Q131="","",P131*Q131)</x:f>
      </x:c>
      <x:c r="S131" s="146" t="str">
        <x:v>unpriced_source</x:v>
      </x:c>
    </x:row>
    <x:row r="132">
      <x:c r="A132" s="146" t="str">
        <x:v>6-Stance water borne Toilet</x:v>
      </x:c>
      <x:c r="B132" s="146" t="n">
        <x:v>81</x:v>
      </x:c>
      <x:c r="C132" s="146" t="str">
        <x:v>6칸 수세식 화장실</x:v>
      </x:c>
      <x:c r="D132" s="146" t="str">
        <x:v>급배수·위생</x:v>
      </x:c>
      <x:c r="E132" s="146" t="str">
        <x:v>ELEMENT NO.3 ROOF CONSTRUCTION &amp; RAINWATER DISPOSAL</x:v>
      </x:c>
      <x:c r="F132" s="146" t="str">
        <x:v>Drainage</x:v>
      </x:c>
      <x:c r="G132" s="146" t="str">
        <x:v>B</x:v>
      </x:c>
      <x:c r="H132" s="49" t="str">
        <x:v>Floor Trap as ARMITAGE SHANKS complete with all accessories</x:v>
      </x:c>
      <x:c r="I132" s="146" t="str">
        <x:v>no.</x:v>
      </x:c>
      <x:c r="J132" s="149" t="n">
        <x:v>4</x:v>
      </x:c>
      <x:c r="K132" s="146" t="str"/>
      <x:c r="L132" s="149" t="n">
        <x:v>1</x:v>
      </x:c>
      <x:c r="M132" s="149" t="n">
        <x:v>1</x:v>
      </x:c>
      <x:c r="N132" s="149" t="n">
        <x:v>4</x:v>
      </x:c>
      <x:c r="O132" s="149" t="n">
        <x:v>4</x:v>
      </x:c>
      <x:c r="P132" s="149" t="n">
        <x:f>IF('입력·근거'!$B$12="HIGH",O132,N132)</x:f>
        <x:v>4</x:v>
      </x:c>
      <x:c r="Q132" s="158" t="str"/>
      <x:c r="R132" s="161" t="str">
        <x:f>IF(Q132="","",P132*Q132)</x:f>
      </x:c>
      <x:c r="S132" s="146" t="str">
        <x:v>unpriced_source</x:v>
      </x:c>
    </x:row>
    <x:row r="133">
      <x:c r="A133" s="146" t="str">
        <x:v>6-Stance water borne Toilet</x:v>
      </x:c>
      <x:c r="B133" s="146" t="n">
        <x:v>82</x:v>
      </x:c>
      <x:c r="C133" s="146" t="str">
        <x:v>6칸 수세식 화장실</x:v>
      </x:c>
      <x:c r="D133" s="146" t="str">
        <x:v>급배수·위생</x:v>
      </x:c>
      <x:c r="E133" s="146" t="str">
        <x:v>ELEMENT NO.3 ROOF CONSTRUCTION &amp; RAINWATER DISPOSAL</x:v>
      </x:c>
      <x:c r="F133" s="146" t="str">
        <x:v>Drainage</x:v>
      </x:c>
      <x:c r="G133" s="146" t="str">
        <x:v>C</x:v>
      </x:c>
      <x:c r="H133" s="49" t="str">
        <x:v>Soak Pit Size approx. 2500mm on top tapering to 1500mm and depth of 1500mm complete with hardcore and all accessories</x:v>
      </x:c>
      <x:c r="I133" s="146" t="str">
        <x:v>item</x:v>
      </x:c>
      <x:c r="J133" s="149" t="n">
        <x:v>1</x:v>
      </x:c>
      <x:c r="K133" s="146" t="str"/>
      <x:c r="L133" s="149" t="n">
        <x:v>1</x:v>
      </x:c>
      <x:c r="M133" s="149" t="n">
        <x:v>1</x:v>
      </x:c>
      <x:c r="N133" s="149" t="n">
        <x:v>1</x:v>
      </x:c>
      <x:c r="O133" s="149" t="n">
        <x:v>1</x:v>
      </x:c>
      <x:c r="P133" s="149" t="n">
        <x:f>IF('입력·근거'!$B$12="HIGH",O133,N133)</x:f>
        <x:v>1</x:v>
      </x:c>
      <x:c r="Q133" s="158" t="str"/>
      <x:c r="R133" s="161" t="str">
        <x:f>IF(Q133="","",P133*Q133)</x:f>
      </x:c>
      <x:c r="S133" s="146" t="str">
        <x:v>unpriced_source</x:v>
      </x:c>
    </x:row>
    <x:row r="134">
      <x:c r="A134" s="146" t="str">
        <x:v>6-Stance water borne Toilet</x:v>
      </x:c>
      <x:c r="B134" s="146" t="n">
        <x:v>83</x:v>
      </x:c>
      <x:c r="C134" s="146" t="str">
        <x:v>6칸 수세식 화장실</x:v>
      </x:c>
      <x:c r="D134" s="146" t="str">
        <x:v>급배수·위생</x:v>
      </x:c>
      <x:c r="E134" s="146" t="str">
        <x:v>ELEMENT NO.3 ROOF CONSTRUCTION &amp; RAINWATER DISPOSAL</x:v>
      </x:c>
      <x:c r="F134" s="146" t="str">
        <x:v>Drainage</x:v>
      </x:c>
      <x:c r="G134" s="146" t="str">
        <x:v>D</x:v>
      </x:c>
      <x:c r="H134" s="49" t="str">
        <x:v>Manhole 450 x 600mm in masonry brickwork, rendered smooth inside complete with benching, heavy duty manhole cover made out of concrete and angles and all accessories.</x:v>
      </x:c>
      <x:c r="I134" s="146" t="str">
        <x:v>no.</x:v>
      </x:c>
      <x:c r="J134" s="149" t="n">
        <x:v>4</x:v>
      </x:c>
      <x:c r="K134" s="146" t="str"/>
      <x:c r="L134" s="149" t="n">
        <x:v>1</x:v>
      </x:c>
      <x:c r="M134" s="149" t="n">
        <x:v>1</x:v>
      </x:c>
      <x:c r="N134" s="149" t="n">
        <x:v>4</x:v>
      </x:c>
      <x:c r="O134" s="149" t="n">
        <x:v>4</x:v>
      </x:c>
      <x:c r="P134" s="149" t="n">
        <x:f>IF('입력·근거'!$B$12="HIGH",O134,N134)</x:f>
        <x:v>4</x:v>
      </x:c>
      <x:c r="Q134" s="158" t="str"/>
      <x:c r="R134" s="161" t="str">
        <x:f>IF(Q134="","",P134*Q134)</x:f>
      </x:c>
      <x:c r="S134" s="146" t="str">
        <x:v>unpriced_source</x:v>
      </x:c>
    </x:row>
    <x:row r="135">
      <x:c r="A135" s="146" t="str">
        <x:v>6-Stance water borne Toilet</x:v>
      </x:c>
      <x:c r="B135" s="146" t="n">
        <x:v>84</x:v>
      </x:c>
      <x:c r="C135" s="146" t="str">
        <x:v>6칸 수세식 화장실</x:v>
      </x:c>
      <x:c r="D135" s="146" t="str">
        <x:v>급배수·위생</x:v>
      </x:c>
      <x:c r="E135" s="146" t="str">
        <x:v>ELEMENT NO.3 ROOF CONSTRUCTION &amp; RAINWATER DISPOSAL</x:v>
      </x:c>
      <x:c r="F135" s="146" t="str">
        <x:v>Drainage</x:v>
      </x:c>
      <x:c r="G135" s="146" t="str">
        <x:v>E</x:v>
      </x:c>
      <x:c r="H135" s="49" t="str">
        <x:v>110mm PVC heavy gauge pipework buried in the ground to a fall of 1:60 complete with excavations, bedding, backfilling and all accessories.</x:v>
      </x:c>
      <x:c r="I135" s="146" t="str">
        <x:v>m</x:v>
      </x:c>
      <x:c r="J135" s="149" t="n">
        <x:v>15</x:v>
      </x:c>
      <x:c r="K135" s="146" t="str"/>
      <x:c r="L135" s="149" t="n">
        <x:v>1</x:v>
      </x:c>
      <x:c r="M135" s="149" t="n">
        <x:v>1</x:v>
      </x:c>
      <x:c r="N135" s="149" t="n">
        <x:v>15</x:v>
      </x:c>
      <x:c r="O135" s="149" t="n">
        <x:v>15</x:v>
      </x:c>
      <x:c r="P135" s="149" t="n">
        <x:f>IF('입력·근거'!$B$12="HIGH",O135,N135)</x:f>
        <x:v>15</x:v>
      </x:c>
      <x:c r="Q135" s="158" t="str"/>
      <x:c r="R135" s="161" t="str">
        <x:f>IF(Q135="","",P135*Q135)</x:f>
      </x:c>
      <x:c r="S135" s="146" t="str">
        <x:v>unpriced_source</x:v>
      </x:c>
    </x:row>
    <x:row r="136">
      <x:c r="A136" s="146" t="str">
        <x:v>6-Stance water borne Toilet</x:v>
      </x:c>
      <x:c r="B136" s="146" t="n">
        <x:v>85</x:v>
      </x:c>
      <x:c r="C136" s="146" t="str">
        <x:v>6칸 수세식 화장실</x:v>
      </x:c>
      <x:c r="D136" s="146" t="str">
        <x:v>급배수·위생</x:v>
      </x:c>
      <x:c r="E136" s="146" t="str">
        <x:v>ELEMENT NO.3 ROOF CONSTRUCTION &amp; RAINWATER DISPOSAL</x:v>
      </x:c>
      <x:c r="F136" s="146" t="str">
        <x:v>Drainage</x:v>
      </x:c>
      <x:c r="G136" s="146" t="str">
        <x:v>F</x:v>
      </x:c>
      <x:c r="H136" s="49" t="str">
        <x:v>Wash hand basin with half pedestal complete with one center tap hole, white in color, wall bolts&amp; brackets, Flexible tube 450mm long complete, 32mm chrome plated bottle trap, wall bolts, and 1/2" Lever action pillar tap with chrome plated handles, 11/4" chrome plated waste.</x:v>
      </x:c>
      <x:c r="I136" s="146" t="str">
        <x:v>no.</x:v>
      </x:c>
      <x:c r="J136" s="149" t="n">
        <x:v>4</x:v>
      </x:c>
      <x:c r="K136" s="146" t="str"/>
      <x:c r="L136" s="149" t="n">
        <x:v>1</x:v>
      </x:c>
      <x:c r="M136" s="149" t="n">
        <x:v>1</x:v>
      </x:c>
      <x:c r="N136" s="149" t="n">
        <x:v>4</x:v>
      </x:c>
      <x:c r="O136" s="149" t="n">
        <x:v>4</x:v>
      </x:c>
      <x:c r="P136" s="149" t="n">
        <x:f>IF('입력·근거'!$B$12="HIGH",O136,N136)</x:f>
        <x:v>4</x:v>
      </x:c>
      <x:c r="Q136" s="158" t="str"/>
      <x:c r="R136" s="161" t="str">
        <x:f>IF(Q136="","",P136*Q136)</x:f>
      </x:c>
      <x:c r="S136" s="146" t="str">
        <x:v>unpriced_source</x:v>
      </x:c>
    </x:row>
    <x:row r="137">
      <x:c r="A137" s="146" t="str">
        <x:v>6-Stance water borne Toilet</x:v>
      </x:c>
      <x:c r="B137" s="146" t="n">
        <x:v>86</x:v>
      </x:c>
      <x:c r="C137" s="146" t="str">
        <x:v>6칸 수세식 화장실</x:v>
      </x:c>
      <x:c r="D137" s="146" t="str">
        <x:v>급배수·위생</x:v>
      </x:c>
      <x:c r="E137" s="146" t="str">
        <x:v>ELEMENT NO.3 ROOF CONSTRUCTION &amp; RAINWATER DISPOSAL</x:v>
      </x:c>
      <x:c r="F137" s="146" t="str">
        <x:v>Drainage</x:v>
      </x:c>
      <x:c r="G137" s="146" t="str">
        <x:v>G</x:v>
      </x:c>
      <x:c r="H137" s="49" t="str">
        <x:v>Wall mounted stainless steel toilet roll holder</x:v>
      </x:c>
      <x:c r="I137" s="146" t="str">
        <x:v>no.</x:v>
      </x:c>
      <x:c r="J137" s="149" t="n">
        <x:v>6</x:v>
      </x:c>
      <x:c r="K137" s="146" t="str"/>
      <x:c r="L137" s="149" t="n">
        <x:v>1</x:v>
      </x:c>
      <x:c r="M137" s="149" t="n">
        <x:v>1</x:v>
      </x:c>
      <x:c r="N137" s="149" t="n">
        <x:v>6</x:v>
      </x:c>
      <x:c r="O137" s="149" t="n">
        <x:v>6</x:v>
      </x:c>
      <x:c r="P137" s="149" t="n">
        <x:f>IF('입력·근거'!$B$12="HIGH",O137,N137)</x:f>
        <x:v>6</x:v>
      </x:c>
      <x:c r="Q137" s="158" t="str"/>
      <x:c r="R137" s="161" t="str">
        <x:f>IF(Q137="","",P137*Q137)</x:f>
      </x:c>
      <x:c r="S137" s="146" t="str">
        <x:v>unpriced_source</x:v>
      </x:c>
    </x:row>
    <x:row r="138">
      <x:c r="A138" s="146" t="str">
        <x:v>6-Stance water borne Toilet</x:v>
      </x:c>
      <x:c r="B138" s="146" t="n">
        <x:v>87</x:v>
      </x:c>
      <x:c r="C138" s="146" t="str">
        <x:v>6칸 수세식 화장실</x:v>
      </x:c>
      <x:c r="D138" s="146" t="str">
        <x:v>급배수·위생</x:v>
      </x:c>
      <x:c r="E138" s="146" t="str">
        <x:v>ELEMENT NO.3 ROOF CONSTRUCTION &amp; RAINWATER DISPOSAL</x:v>
      </x:c>
      <x:c r="F138" s="146" t="str">
        <x:v>Drainage</x:v>
      </x:c>
      <x:c r="G138" s="146" t="str">
        <x:v>H</x:v>
      </x:c>
      <x:c r="H138" s="49" t="str">
        <x:v>Stainless steel double coat Hooks</x:v>
      </x:c>
      <x:c r="I138" s="146" t="str">
        <x:v>no.</x:v>
      </x:c>
      <x:c r="J138" s="149" t="n">
        <x:v>6</x:v>
      </x:c>
      <x:c r="K138" s="146" t="str"/>
      <x:c r="L138" s="149" t="n">
        <x:v>1</x:v>
      </x:c>
      <x:c r="M138" s="149" t="n">
        <x:v>1</x:v>
      </x:c>
      <x:c r="N138" s="149" t="n">
        <x:v>6</x:v>
      </x:c>
      <x:c r="O138" s="149" t="n">
        <x:v>6</x:v>
      </x:c>
      <x:c r="P138" s="149" t="n">
        <x:f>IF('입력·근거'!$B$12="HIGH",O138,N138)</x:f>
        <x:v>6</x:v>
      </x:c>
      <x:c r="Q138" s="158" t="str"/>
      <x:c r="R138" s="161" t="str">
        <x:f>IF(Q138="","",P138*Q138)</x:f>
      </x:c>
      <x:c r="S138" s="146" t="str">
        <x:v>unpriced_source</x:v>
      </x:c>
    </x:row>
    <x:row r="139">
      <x:c r="A139" s="146" t="str">
        <x:v>6-Stance water borne Toilet</x:v>
      </x:c>
      <x:c r="B139" s="146" t="n">
        <x:v>88</x:v>
      </x:c>
      <x:c r="C139" s="146" t="str">
        <x:v>6칸 수세식 화장실</x:v>
      </x:c>
      <x:c r="D139" s="146" t="str">
        <x:v>급배수·위생</x:v>
      </x:c>
      <x:c r="E139" s="146" t="str">
        <x:v>ELEMENT NO.3 ROOF CONSTRUCTION &amp; RAINWATER DISPOSAL</x:v>
      </x:c>
      <x:c r="F139" s="146" t="str">
        <x:v>Drainage</x:v>
      </x:c>
      <x:c r="G139" s="146" t="str">
        <x:v>I</x:v>
      </x:c>
      <x:c r="H139" s="49" t="str">
        <x:v>White glazed vitreous china back to wall, top inlet, 'P' or 'S' trap WC bowl to BS 3402 complete with heavy duty seat and cover with steel hinges</x:v>
      </x:c>
      <x:c r="I139" s="146" t="str">
        <x:v>no.</x:v>
      </x:c>
      <x:c r="J139" s="149" t="n">
        <x:v>6</x:v>
      </x:c>
      <x:c r="K139" s="146" t="str"/>
      <x:c r="L139" s="149" t="n">
        <x:v>1</x:v>
      </x:c>
      <x:c r="M139" s="149" t="n">
        <x:v>1</x:v>
      </x:c>
      <x:c r="N139" s="149" t="n">
        <x:v>6</x:v>
      </x:c>
      <x:c r="O139" s="149" t="n">
        <x:v>6</x:v>
      </x:c>
      <x:c r="P139" s="149" t="n">
        <x:f>IF('입력·근거'!$B$12="HIGH",O139,N139)</x:f>
        <x:v>6</x:v>
      </x:c>
      <x:c r="Q139" s="158" t="str"/>
      <x:c r="R139" s="161" t="str">
        <x:f>IF(Q139="","",P139*Q139)</x:f>
      </x:c>
      <x:c r="S139" s="146" t="str">
        <x:v>unpriced_source</x:v>
      </x:c>
    </x:row>
    <x:row r="140">
      <x:c r="A140" s="146" t="str">
        <x:v>6-Stance water borne Toilet</x:v>
      </x:c>
      <x:c r="B140" s="146" t="n">
        <x:v>89</x:v>
      </x:c>
      <x:c r="C140" s="146" t="str">
        <x:v>6칸 수세식 화장실</x:v>
      </x:c>
      <x:c r="D140" s="146" t="str">
        <x:v>급배수·위생</x:v>
      </x:c>
      <x:c r="E140" s="146" t="str">
        <x:v>ELEMENT NO.3 ROOF CONSTRUCTION &amp; RAINWATER DISPOSAL</x:v>
      </x:c>
      <x:c r="F140" s="146" t="str">
        <x:v>Drainage</x:v>
      </x:c>
      <x:c r="G140" s="146" t="str">
        <x:v>J</x:v>
      </x:c>
      <x:c r="H140" s="49" t="str">
        <x:v>Wall hung stainless steel as Franke Urinal bowls</x:v>
      </x:c>
      <x:c r="I140" s="146" t="str">
        <x:v>no.</x:v>
      </x:c>
      <x:c r="J140" s="149" t="n">
        <x:v>3</x:v>
      </x:c>
      <x:c r="K140" s="146" t="str"/>
      <x:c r="L140" s="149" t="n">
        <x:v>1</x:v>
      </x:c>
      <x:c r="M140" s="149" t="n">
        <x:v>1</x:v>
      </x:c>
      <x:c r="N140" s="149" t="n">
        <x:v>3</x:v>
      </x:c>
      <x:c r="O140" s="149" t="n">
        <x:v>3</x:v>
      </x:c>
      <x:c r="P140" s="149" t="n">
        <x:f>IF('입력·근거'!$B$12="HIGH",O140,N140)</x:f>
        <x:v>3</x:v>
      </x:c>
      <x:c r="Q140" s="158" t="str"/>
      <x:c r="R140" s="161" t="str">
        <x:f>IF(Q140="","",P140*Q140)</x:f>
      </x:c>
      <x:c r="S140" s="146" t="str">
        <x:v>unpriced_source</x:v>
      </x:c>
    </x:row>
    <x:row r="141">
      <x:c r="A141" s="146" t="str">
        <x:v>6-Stance water borne Toilet</x:v>
      </x:c>
      <x:c r="B141" s="146" t="n">
        <x:v>91</x:v>
      </x:c>
      <x:c r="C141" s="146" t="str">
        <x:v>6칸 수세식 화장실</x:v>
      </x:c>
      <x:c r="D141" s="146" t="str">
        <x:v>급배수·위생</x:v>
      </x:c>
      <x:c r="E141" s="146" t="str">
        <x:v>ELEMENT NO.3 ROOF CONSTRUCTION &amp; RAINWATER DISPOSAL</x:v>
      </x:c>
      <x:c r="F141" s="146" t="str">
        <x:v>Drainage</x:v>
      </x:c>
      <x:c r="G141" s="146" t="str">
        <x:v>K</x:v>
      </x:c>
      <x:c r="H141" s="49" t="str">
        <x:v>Wall mirrors 600 x 400mm with bevelled edges polished with chrome plated dome shaped screws</x:v>
      </x:c>
      <x:c r="I141" s="146" t="str">
        <x:v>no.</x:v>
      </x:c>
      <x:c r="J141" s="149" t="n">
        <x:v>4</x:v>
      </x:c>
      <x:c r="K141" s="146" t="str"/>
      <x:c r="L141" s="149" t="n">
        <x:v>1</x:v>
      </x:c>
      <x:c r="M141" s="149" t="n">
        <x:v>1</x:v>
      </x:c>
      <x:c r="N141" s="149" t="n">
        <x:v>4</x:v>
      </x:c>
      <x:c r="O141" s="149" t="n">
        <x:v>4</x:v>
      </x:c>
      <x:c r="P141" s="149" t="n">
        <x:f>IF('입력·근거'!$B$12="HIGH",O141,N141)</x:f>
        <x:v>4</x:v>
      </x:c>
      <x:c r="Q141" s="158" t="str"/>
      <x:c r="R141" s="161" t="str">
        <x:f>IF(Q141="","",P141*Q141)</x:f>
      </x:c>
      <x:c r="S141" s="146" t="str">
        <x:v>unpriced_source</x:v>
      </x:c>
    </x:row>
    <x:row r="142">
      <x:c r="A142" s="146" t="str">
        <x:v>6-Stance water borne Toilet</x:v>
      </x:c>
      <x:c r="B142" s="146" t="n">
        <x:v>92</x:v>
      </x:c>
      <x:c r="C142" s="146" t="str">
        <x:v>6칸 수세식 화장실</x:v>
      </x:c>
      <x:c r="D142" s="146" t="str">
        <x:v>급배수·위생</x:v>
      </x:c>
      <x:c r="E142" s="146" t="str">
        <x:v>ELEMENT NO.3 ROOF CONSTRUCTION &amp; RAINWATER DISPOSAL</x:v>
      </x:c>
      <x:c r="F142" s="146" t="str">
        <x:v>Drainage</x:v>
      </x:c>
      <x:c r="G142" s="146" t="str">
        <x:v>L</x:v>
      </x:c>
      <x:c r="H142" s="49" t="str">
        <x:v>Septic Tank for 40 people in masonry brickwork, rendered smooth inside complete with inlet and outlet manholes benching, heavy duty manhole cover made out of concrete and angles and all accessories.</x:v>
      </x:c>
      <x:c r="I142" s="146" t="str">
        <x:v>no.</x:v>
      </x:c>
      <x:c r="J142" s="149" t="n">
        <x:v>1</x:v>
      </x:c>
      <x:c r="K142" s="146" t="str"/>
      <x:c r="L142" s="149" t="n">
        <x:v>1</x:v>
      </x:c>
      <x:c r="M142" s="149" t="n">
        <x:v>1</x:v>
      </x:c>
      <x:c r="N142" s="149" t="n">
        <x:v>1</x:v>
      </x:c>
      <x:c r="O142" s="149" t="n">
        <x:v>1</x:v>
      </x:c>
      <x:c r="P142" s="149" t="n">
        <x:f>IF('입력·근거'!$B$12="HIGH",O142,N142)</x:f>
        <x:v>1</x:v>
      </x:c>
      <x:c r="Q142" s="158" t="str"/>
      <x:c r="R142" s="161" t="str">
        <x:f>IF(Q142="","",P142*Q142)</x:f>
      </x:c>
      <x:c r="S142" s="146" t="str">
        <x:v>unpriced_source</x:v>
      </x:c>
    </x:row>
    <x:row r="143">
      <x:c r="A143" s="146" t="str">
        <x:v>6-Stance water borne Toilet</x:v>
      </x:c>
      <x:c r="B143" s="146" t="n">
        <x:v>95</x:v>
      </x:c>
      <x:c r="C143" s="146" t="str">
        <x:v>6칸 수세식 화장실</x:v>
      </x:c>
      <x:c r="D143" s="146" t="str">
        <x:v>급배수·위생</x:v>
      </x:c>
      <x:c r="E143" s="146" t="str">
        <x:v>ELEMENT NO.3 ROOF CONSTRUCTION &amp; RAINWATER DISPOSAL</x:v>
      </x:c>
      <x:c r="F143" s="146" t="str">
        <x:v>PIPE WORK</x:v>
      </x:c>
      <x:c r="G143" s="146" t="str">
        <x:v>M</x:v>
      </x:c>
      <x:c r="H143" s="49" t="str">
        <x:v>25mm PPR cold water Pipe work complete.</x:v>
      </x:c>
      <x:c r="I143" s="146" t="str">
        <x:v>m</x:v>
      </x:c>
      <x:c r="J143" s="149" t="n">
        <x:v>14</x:v>
      </x:c>
      <x:c r="K143" s="146" t="str"/>
      <x:c r="L143" s="149" t="n">
        <x:v>1</x:v>
      </x:c>
      <x:c r="M143" s="149" t="n">
        <x:v>1</x:v>
      </x:c>
      <x:c r="N143" s="149" t="n">
        <x:v>14</x:v>
      </x:c>
      <x:c r="O143" s="149" t="n">
        <x:v>14</x:v>
      </x:c>
      <x:c r="P143" s="149" t="n">
        <x:f>IF('입력·근거'!$B$12="HIGH",O143,N143)</x:f>
        <x:v>14</x:v>
      </x:c>
      <x:c r="Q143" s="158" t="str"/>
      <x:c r="R143" s="161" t="str">
        <x:f>IF(Q143="","",P143*Q143)</x:f>
      </x:c>
      <x:c r="S143" s="146" t="str">
        <x:v>unpriced_source</x:v>
      </x:c>
    </x:row>
    <x:row r="144">
      <x:c r="A144" s="146" t="str">
        <x:v>6-Stance water borne Toilet</x:v>
      </x:c>
      <x:c r="B144" s="146" t="n">
        <x:v>96</x:v>
      </x:c>
      <x:c r="C144" s="146" t="str">
        <x:v>6칸 수세식 화장실</x:v>
      </x:c>
      <x:c r="D144" s="146" t="str">
        <x:v>급배수·위생</x:v>
      </x:c>
      <x:c r="E144" s="146" t="str">
        <x:v>ELEMENT NO.3 ROOF CONSTRUCTION &amp; RAINWATER DISPOSAL</x:v>
      </x:c>
      <x:c r="F144" s="146" t="str">
        <x:v>PIPE WORK</x:v>
      </x:c>
      <x:c r="G144" s="146" t="str">
        <x:v>N</x:v>
      </x:c>
      <x:c r="H144" s="49" t="str">
        <x:v>20mm PPR cold water Pipe work complete.</x:v>
      </x:c>
      <x:c r="I144" s="146" t="str">
        <x:v>m</x:v>
      </x:c>
      <x:c r="J144" s="149" t="n">
        <x:v>8</x:v>
      </x:c>
      <x:c r="K144" s="146" t="str"/>
      <x:c r="L144" s="149" t="n">
        <x:v>1</x:v>
      </x:c>
      <x:c r="M144" s="149" t="n">
        <x:v>1</x:v>
      </x:c>
      <x:c r="N144" s="149" t="n">
        <x:v>8</x:v>
      </x:c>
      <x:c r="O144" s="149" t="n">
        <x:v>8</x:v>
      </x:c>
      <x:c r="P144" s="149" t="n">
        <x:f>IF('입력·근거'!$B$12="HIGH",O144,N144)</x:f>
        <x:v>8</x:v>
      </x:c>
      <x:c r="Q144" s="158" t="str"/>
      <x:c r="R144" s="161" t="str">
        <x:f>IF(Q144="","",P144*Q144)</x:f>
      </x:c>
      <x:c r="S144" s="146" t="str">
        <x:v>unpriced_source</x:v>
      </x:c>
    </x:row>
    <x:row r="145">
      <x:c r="A145" s="146" t="str">
        <x:v>6-Stance water borne Toilet</x:v>
      </x:c>
      <x:c r="B145" s="146" t="n">
        <x:v>97</x:v>
      </x:c>
      <x:c r="C145" s="146" t="str">
        <x:v>6칸 수세식 화장실</x:v>
      </x:c>
      <x:c r="D145" s="146" t="str">
        <x:v>급배수·위생</x:v>
      </x:c>
      <x:c r="E145" s="146" t="str">
        <x:v>ELEMENT NO.3 ROOF CONSTRUCTION &amp; RAINWATER DISPOSAL</x:v>
      </x:c>
      <x:c r="F145" s="146" t="str">
        <x:v>PIPE WORK</x:v>
      </x:c>
      <x:c r="G145" s="146" t="str">
        <x:v>O</x:v>
      </x:c>
      <x:c r="H145" s="49" t="str">
        <x:v>25mm gate valves</x:v>
      </x:c>
      <x:c r="I145" s="146" t="str">
        <x:v>m</x:v>
      </x:c>
      <x:c r="J145" s="149" t="n">
        <x:v>1</x:v>
      </x:c>
      <x:c r="K145" s="146" t="str"/>
      <x:c r="L145" s="149" t="n">
        <x:v>1</x:v>
      </x:c>
      <x:c r="M145" s="149" t="n">
        <x:v>1</x:v>
      </x:c>
      <x:c r="N145" s="149" t="n">
        <x:v>1</x:v>
      </x:c>
      <x:c r="O145" s="149" t="n">
        <x:v>1</x:v>
      </x:c>
      <x:c r="P145" s="149" t="n">
        <x:f>IF('입력·근거'!$B$12="HIGH",O145,N145)</x:f>
        <x:v>1</x:v>
      </x:c>
      <x:c r="Q145" s="158" t="str"/>
      <x:c r="R145" s="161" t="str">
        <x:f>IF(Q145="","",P145*Q145)</x:f>
      </x:c>
      <x:c r="S145" s="146" t="str">
        <x:v>unpriced_source</x:v>
      </x:c>
    </x:row>
    <x:row r="146">
      <x:c r="A146" s="146" t="str">
        <x:v>6-Stance water borne Toilet</x:v>
      </x:c>
      <x:c r="B146" s="146" t="n">
        <x:v>98</x:v>
      </x:c>
      <x:c r="C146" s="146" t="str">
        <x:v>6칸 수세식 화장실</x:v>
      </x:c>
      <x:c r="D146" s="146" t="str">
        <x:v>급배수·위생</x:v>
      </x:c>
      <x:c r="E146" s="146" t="str">
        <x:v>ELEMENT NO.3 ROOF CONSTRUCTION &amp; RAINWATER DISPOSAL</x:v>
      </x:c>
      <x:c r="F146" s="146" t="str">
        <x:v>PIPE WORK</x:v>
      </x:c>
      <x:c r="G146" s="146" t="str">
        <x:v>P</x:v>
      </x:c>
      <x:c r="H146" s="49" t="str">
        <x:v>20mm angle valves</x:v>
      </x:c>
      <x:c r="I146" s="146" t="str">
        <x:v>m</x:v>
      </x:c>
      <x:c r="J146" s="149" t="n">
        <x:v>6</x:v>
      </x:c>
      <x:c r="K146" s="146" t="str"/>
      <x:c r="L146" s="149" t="n">
        <x:v>1</x:v>
      </x:c>
      <x:c r="M146" s="149" t="n">
        <x:v>1</x:v>
      </x:c>
      <x:c r="N146" s="149" t="n">
        <x:v>6</x:v>
      </x:c>
      <x:c r="O146" s="149" t="n">
        <x:v>6</x:v>
      </x:c>
      <x:c r="P146" s="149" t="n">
        <x:f>IF('입력·근거'!$B$12="HIGH",O146,N146)</x:f>
        <x:v>6</x:v>
      </x:c>
      <x:c r="Q146" s="158" t="str"/>
      <x:c r="R146" s="161" t="str">
        <x:f>IF(Q146="","",P146*Q146)</x:f>
      </x:c>
      <x:c r="S146" s="146" t="str">
        <x:v>unpriced_source</x:v>
      </x:c>
    </x:row>
    <x:row r="147">
      <x:c r="A147" s="146" t="str">
        <x:v>6-Stance water borne Toilet</x:v>
      </x:c>
      <x:c r="B147" s="146" t="n">
        <x:v>99</x:v>
      </x:c>
      <x:c r="C147" s="146" t="str">
        <x:v>6칸 수세식 화장실</x:v>
      </x:c>
      <x:c r="D147" s="146" t="str">
        <x:v>급배수·위생</x:v>
      </x:c>
      <x:c r="E147" s="146" t="str">
        <x:v>ELEMENT NO.3 ROOF CONSTRUCTION &amp; RAINWATER DISPOSAL</x:v>
      </x:c>
      <x:c r="F147" s="146" t="str">
        <x:v>PIPE WORK</x:v>
      </x:c>
      <x:c r="G147" s="146" t="str">
        <x:v>Q</x:v>
      </x:c>
      <x:c r="H147" s="49" t="str">
        <x:v>Water supply line DN 25mm PN10 HDPE pipe burried in the ground 600mm below formation level complete with excavations, backfilling and making good.</x:v>
      </x:c>
      <x:c r="I147" s="146" t="str">
        <x:v>m</x:v>
      </x:c>
      <x:c r="J147" s="149" t="n">
        <x:v>40</x:v>
      </x:c>
      <x:c r="K147" s="146" t="str"/>
      <x:c r="L147" s="149" t="n">
        <x:v>1</x:v>
      </x:c>
      <x:c r="M147" s="149" t="n">
        <x:v>1</x:v>
      </x:c>
      <x:c r="N147" s="149" t="n">
        <x:v>40</x:v>
      </x:c>
      <x:c r="O147" s="149" t="n">
        <x:v>40</x:v>
      </x:c>
      <x:c r="P147" s="149" t="n">
        <x:f>IF('입력·근거'!$B$12="HIGH",O147,N147)</x:f>
        <x:v>40</x:v>
      </x:c>
      <x:c r="Q147" s="158" t="str"/>
      <x:c r="R147" s="161" t="str">
        <x:f>IF(Q147="","",P147*Q147)</x:f>
      </x:c>
      <x:c r="S147" s="146" t="str">
        <x:v>unpriced_source</x:v>
      </x:c>
    </x:row>
    <x:row r="148">
      <x:c r="A148" s="146" t="str">
        <x:v>6-Stance water borne Toilet</x:v>
      </x:c>
      <x:c r="B148" s="146" t="n">
        <x:v>101</x:v>
      </x:c>
      <x:c r="C148" s="146" t="str">
        <x:v>6칸 수세식 화장실</x:v>
      </x:c>
      <x:c r="D148" s="146" t="str">
        <x:v>급배수·위생</x:v>
      </x:c>
      <x:c r="E148" s="146" t="str">
        <x:v>ELEMENT NO.3 ROOF CONSTRUCTION &amp; RAINWATER DISPOSAL</x:v>
      </x:c>
      <x:c r="F148" s="146" t="str">
        <x:v>Water Tank</x:v>
      </x:c>
      <x:c r="G148" s="146" t="str">
        <x:v>R</x:v>
      </x:c>
      <x:c r="H148" s="49" t="str">
        <x:v>Cylindrical PVC vertical water tank 3000 Litres as CrestTanks or equal approved complete with 25mm inlet ball valve, overflow, outlet and wash out and all accessories.</x:v>
      </x:c>
      <x:c r="I148" s="146" t="str">
        <x:v>no.</x:v>
      </x:c>
      <x:c r="J148" s="149" t="n">
        <x:v>1</x:v>
      </x:c>
      <x:c r="K148" s="146" t="str"/>
      <x:c r="L148" s="149" t="n">
        <x:v>1</x:v>
      </x:c>
      <x:c r="M148" s="149" t="n">
        <x:v>1</x:v>
      </x:c>
      <x:c r="N148" s="149" t="n">
        <x:v>1</x:v>
      </x:c>
      <x:c r="O148" s="149" t="n">
        <x:v>1</x:v>
      </x:c>
      <x:c r="P148" s="149" t="n">
        <x:f>IF('입력·근거'!$B$12="HIGH",O148,N148)</x:f>
        <x:v>1</x:v>
      </x:c>
      <x:c r="Q148" s="158" t="str"/>
      <x:c r="R148" s="161" t="str">
        <x:f>IF(Q148="","",P148*Q148)</x:f>
      </x:c>
      <x:c r="S148" s="146" t="str">
        <x:v>unpriced_source</x:v>
      </x:c>
    </x:row>
    <x:row r="149">
      <x:c r="A149" s="146" t="str">
        <x:v>6-Stance water borne Toilet</x:v>
      </x:c>
      <x:c r="B149" s="146" t="n">
        <x:v>102</x:v>
      </x:c>
      <x:c r="C149" s="146" t="str">
        <x:v>6칸 수세식 화장실</x:v>
      </x:c>
      <x:c r="D149" s="146" t="str">
        <x:v>급배수·위생</x:v>
      </x:c>
      <x:c r="E149" s="146" t="str">
        <x:v>ELEMENT NO.3 ROOF CONSTRUCTION &amp; RAINWATER DISPOSAL</x:v>
      </x:c>
      <x:c r="F149" s="146" t="str">
        <x:v>Water Tank</x:v>
      </x:c>
      <x:c r="G149" s="146" t="str">
        <x:v>S</x:v>
      </x:c>
      <x:c r="H149" s="49" t="str">
        <x:v>Steel stand for above tanks, 3m high fixed in the ground next to the building complete with all accessories.</x:v>
      </x:c>
      <x:c r="I149" s="146" t="str">
        <x:v>no.</x:v>
      </x:c>
      <x:c r="J149" s="149" t="n">
        <x:v>1</x:v>
      </x:c>
      <x:c r="K149" s="146" t="str"/>
      <x:c r="L149" s="149" t="n">
        <x:v>1</x:v>
      </x:c>
      <x:c r="M149" s="149" t="n">
        <x:v>1</x:v>
      </x:c>
      <x:c r="N149" s="149" t="n">
        <x:v>1</x:v>
      </x:c>
      <x:c r="O149" s="149" t="n">
        <x:v>1</x:v>
      </x:c>
      <x:c r="P149" s="149" t="n">
        <x:f>IF('입력·근거'!$B$12="HIGH",O149,N149)</x:f>
        <x:v>1</x:v>
      </x:c>
      <x:c r="Q149" s="158" t="str"/>
      <x:c r="R149" s="161" t="str">
        <x:f>IF(Q149="","",P149*Q149)</x:f>
      </x:c>
      <x:c r="S149" s="146" t="str">
        <x:v>unpriced_source</x:v>
      </x:c>
    </x:row>
    <x:row r="150">
      <x:c r="A150" s="146" t="str">
        <x:v>6-Stance water borne Toilet</x:v>
      </x:c>
      <x:c r="B150" s="146" t="n">
        <x:v>107</x:v>
      </x:c>
      <x:c r="C150" s="146" t="str">
        <x:v>6칸 수세식 화장실</x:v>
      </x:c>
      <x:c r="D150" s="146" t="str">
        <x:v>전기·전력인입</x:v>
      </x:c>
      <x:c r="E150" s="146" t="str">
        <x:v>ELEMENT NO.3 ROOF CONSTRUCTION &amp; RAINWATER DISPOSAL</x:v>
      </x:c>
      <x:c r="F150" s="146" t="str">
        <x:v>Lighting Fittings</x:v>
      </x:c>
      <x:c r="G150" s="146" t="str">
        <x:v>A</x:v>
      </x:c>
      <x:c r="H150" s="49" t="str">
        <x:v>Fresh and contemporary circular,LED panel light surface mounted round 6W</x:v>
      </x:c>
      <x:c r="I150" s="146" t="str">
        <x:v>no.</x:v>
      </x:c>
      <x:c r="J150" s="149" t="n">
        <x:v>10</x:v>
      </x:c>
      <x:c r="K150" s="146" t="str"/>
      <x:c r="L150" s="149" t="n">
        <x:v>1</x:v>
      </x:c>
      <x:c r="M150" s="149" t="n">
        <x:v>1</x:v>
      </x:c>
      <x:c r="N150" s="149" t="n">
        <x:v>10</x:v>
      </x:c>
      <x:c r="O150" s="149" t="n">
        <x:v>10</x:v>
      </x:c>
      <x:c r="P150" s="149" t="n">
        <x:f>IF('입력·근거'!$B$12="HIGH",O150,N150)</x:f>
        <x:v>10</x:v>
      </x:c>
      <x:c r="Q150" s="158" t="str"/>
      <x:c r="R150" s="161" t="str">
        <x:f>IF(Q150="","",P150*Q150)</x:f>
      </x:c>
      <x:c r="S150" s="146" t="str">
        <x:v>unpriced_source</x:v>
      </x:c>
    </x:row>
    <x:row r="151">
      <x:c r="A151" s="146" t="str">
        <x:v>6-Stance water borne Toilet</x:v>
      </x:c>
      <x:c r="B151" s="146" t="n">
        <x:v>108</x:v>
      </x:c>
      <x:c r="C151" s="146" t="str">
        <x:v>6칸 수세식 화장실</x:v>
      </x:c>
      <x:c r="D151" s="146" t="str">
        <x:v>전기·전력인입</x:v>
      </x:c>
      <x:c r="E151" s="146" t="str">
        <x:v>ELEMENT NO.3 ROOF CONSTRUCTION &amp; RAINWATER DISPOSAL</x:v>
      </x:c>
      <x:c r="F151" s="146" t="str">
        <x:v>Lighting Fittings</x:v>
      </x:c>
      <x:c r="G151" s="146" t="str">
        <x:v>B</x:v>
      </x:c>
      <x:c r="H151" s="49" t="str">
        <x:v>Security bulkhead with cast aluminium body with glass lens and aluminium louver with 1 x 8W LED lamp</x:v>
      </x:c>
      <x:c r="I151" s="146" t="str">
        <x:v>no.</x:v>
      </x:c>
      <x:c r="J151" s="149" t="n">
        <x:v>4</x:v>
      </x:c>
      <x:c r="K151" s="146" t="str"/>
      <x:c r="L151" s="149" t="n">
        <x:v>1</x:v>
      </x:c>
      <x:c r="M151" s="149" t="n">
        <x:v>1</x:v>
      </x:c>
      <x:c r="N151" s="149" t="n">
        <x:v>4</x:v>
      </x:c>
      <x:c r="O151" s="149" t="n">
        <x:v>4</x:v>
      </x:c>
      <x:c r="P151" s="149" t="n">
        <x:f>IF('입력·근거'!$B$12="HIGH",O151,N151)</x:f>
        <x:v>4</x:v>
      </x:c>
      <x:c r="Q151" s="158" t="str"/>
      <x:c r="R151" s="161" t="str">
        <x:f>IF(Q151="","",P151*Q151)</x:f>
      </x:c>
      <x:c r="S151" s="146" t="str">
        <x:v>unpriced_source</x:v>
      </x:c>
    </x:row>
    <x:row r="152">
      <x:c r="A152" s="146" t="str">
        <x:v>6-Stance water borne Toilet</x:v>
      </x:c>
      <x:c r="B152" s="146" t="n">
        <x:v>109</x:v>
      </x:c>
      <x:c r="C152" s="146" t="str">
        <x:v>6칸 수세식 화장실</x:v>
      </x:c>
      <x:c r="D152" s="146" t="str">
        <x:v>전기·전력인입</x:v>
      </x:c>
      <x:c r="E152" s="146" t="str">
        <x:v>ELEMENT NO.3 ROOF CONSTRUCTION &amp; RAINWATER DISPOSAL</x:v>
      </x:c>
      <x:c r="F152" s="146" t="str">
        <x:v>Lighting Fittings</x:v>
      </x:c>
      <x:c r="G152" s="146" t="str">
        <x:v>C</x:v>
      </x:c>
      <x:c r="H152" s="49" t="str">
        <x:v>1 x 18W 1200mm LED single surface mounted batten and all accessories</x:v>
      </x:c>
      <x:c r="I152" s="146" t="str">
        <x:v>no.</x:v>
      </x:c>
      <x:c r="J152" s="149" t="n">
        <x:v>3</x:v>
      </x:c>
      <x:c r="K152" s="146" t="str"/>
      <x:c r="L152" s="149" t="n">
        <x:v>1</x:v>
      </x:c>
      <x:c r="M152" s="149" t="n">
        <x:v>1</x:v>
      </x:c>
      <x:c r="N152" s="149" t="n">
        <x:v>3</x:v>
      </x:c>
      <x:c r="O152" s="149" t="n">
        <x:v>3</x:v>
      </x:c>
      <x:c r="P152" s="149" t="n">
        <x:f>IF('입력·근거'!$B$12="HIGH",O152,N152)</x:f>
        <x:v>3</x:v>
      </x:c>
      <x:c r="Q152" s="158" t="str"/>
      <x:c r="R152" s="161" t="str">
        <x:f>IF(Q152="","",P152*Q152)</x:f>
      </x:c>
      <x:c r="S152" s="146" t="str">
        <x:v>unpriced_source</x:v>
      </x:c>
    </x:row>
    <x:row r="153">
      <x:c r="A153" s="146" t="str">
        <x:v>6-Stance water borne Toilet</x:v>
      </x:c>
      <x:c r="B153" s="146" t="n">
        <x:v>111</x:v>
      </x:c>
      <x:c r="C153" s="146" t="str">
        <x:v>6칸 수세식 화장실</x:v>
      </x:c>
      <x:c r="D153" s="146" t="str">
        <x:v>전기·전력인입</x:v>
      </x:c>
      <x:c r="E153" s="146" t="str">
        <x:v>ELEMENT NO.3 ROOF CONSTRUCTION &amp; RAINWATER DISPOSAL</x:v>
      </x:c>
      <x:c r="F153" s="146" t="str">
        <x:v>Switches &amp; Wiring Accessories</x:v>
      </x:c>
      <x:c r="G153" s="146" t="str">
        <x:v>D</x:v>
      </x:c>
      <x:c r="H153" s="49" t="str">
        <x:v>6A/240V 3 - Gang 2-Way witches c/w flush mounting box, and accessories</x:v>
      </x:c>
      <x:c r="I153" s="146" t="str">
        <x:v>no.</x:v>
      </x:c>
      <x:c r="J153" s="149" t="n">
        <x:v>2</x:v>
      </x:c>
      <x:c r="K153" s="146" t="str"/>
      <x:c r="L153" s="149" t="n">
        <x:v>1</x:v>
      </x:c>
      <x:c r="M153" s="149" t="n">
        <x:v>1</x:v>
      </x:c>
      <x:c r="N153" s="149" t="n">
        <x:v>2</x:v>
      </x:c>
      <x:c r="O153" s="149" t="n">
        <x:v>2</x:v>
      </x:c>
      <x:c r="P153" s="149" t="n">
        <x:f>IF('입력·근거'!$B$12="HIGH",O153,N153)</x:f>
        <x:v>2</x:v>
      </x:c>
      <x:c r="Q153" s="158" t="str"/>
      <x:c r="R153" s="161" t="str">
        <x:f>IF(Q153="","",P153*Q153)</x:f>
      </x:c>
      <x:c r="S153" s="146" t="str">
        <x:v>unpriced_source</x:v>
      </x:c>
    </x:row>
    <x:row r="154">
      <x:c r="A154" s="146" t="str">
        <x:v>6-Stance water borne Toilet</x:v>
      </x:c>
      <x:c r="B154" s="146" t="n">
        <x:v>114</x:v>
      </x:c>
      <x:c r="C154" s="146" t="str">
        <x:v>6칸 수세식 화장실</x:v>
      </x:c>
      <x:c r="D154" s="146" t="str">
        <x:v>전기·전력인입</x:v>
      </x:c>
      <x:c r="E154" s="146" t="str">
        <x:v>ELEMENT NO.3 ROOF CONSTRUCTION &amp; RAINWATER DISPOSAL</x:v>
      </x:c>
      <x:c r="F154" s="146" t="str">
        <x:v>Lighting points</x:v>
      </x:c>
      <x:c r="G154" s="146" t="str">
        <x:v>F</x:v>
      </x:c>
      <x:c r="H154" s="49" t="str">
        <x:v>All wiring of lighting points are to be connected complete and ready from 10A SP miniature circuit breakers on Consumer unit through Adaptable Box, using 1.5mm sq. PVC-Insulated single core copper cables drawn in PVC flush installed conduits, through switches, and as per drawings</x:v>
      </x:c>
      <x:c r="I154" s="146" t="str">
        <x:v>no.</x:v>
      </x:c>
      <x:c r="J154" s="149" t="n">
        <x:v>15</x:v>
      </x:c>
      <x:c r="K154" s="146" t="str"/>
      <x:c r="L154" s="149" t="n">
        <x:v>1</x:v>
      </x:c>
      <x:c r="M154" s="149" t="n">
        <x:v>1</x:v>
      </x:c>
      <x:c r="N154" s="149" t="n">
        <x:v>15</x:v>
      </x:c>
      <x:c r="O154" s="149" t="n">
        <x:v>15</x:v>
      </x:c>
      <x:c r="P154" s="149" t="n">
        <x:f>IF('입력·근거'!$B$12="HIGH",O154,N154)</x:f>
        <x:v>15</x:v>
      </x:c>
      <x:c r="Q154" s="158" t="str"/>
      <x:c r="R154" s="161" t="str">
        <x:f>IF(Q154="","",P154*Q154)</x:f>
      </x:c>
      <x:c r="S154" s="146" t="str">
        <x:v>unpriced_source</x:v>
      </x:c>
    </x:row>
    <x:row r="155">
      <x:c r="A155" s="146" t="str">
        <x:v>6-Stance water borne Toilet</x:v>
      </x:c>
      <x:c r="B155" s="146" t="n">
        <x:v>115</x:v>
      </x:c>
      <x:c r="C155" s="146" t="str">
        <x:v>6칸 수세식 화장실</x:v>
      </x:c>
      <x:c r="D155" s="146" t="str">
        <x:v>전기·전력인입</x:v>
      </x:c>
      <x:c r="E155" s="146" t="str">
        <x:v>ELEMENT NO.3 ROOF CONSTRUCTION &amp; RAINWATER DISPOSAL</x:v>
      </x:c>
      <x:c r="F155" s="146" t="str">
        <x:v>Lighting points</x:v>
      </x:c>
      <x:c r="G155" s="146" t="str">
        <x:v>G</x:v>
      </x:c>
      <x:c r="H155" s="49" t="str">
        <x:v>24-Hour photocell for Security Lights, as to Zodion</x:v>
      </x:c>
      <x:c r="I155" s="146" t="str">
        <x:v>no.</x:v>
      </x:c>
      <x:c r="J155" s="149" t="n">
        <x:v>1</x:v>
      </x:c>
      <x:c r="K155" s="146" t="str"/>
      <x:c r="L155" s="149" t="n">
        <x:v>1</x:v>
      </x:c>
      <x:c r="M155" s="149" t="n">
        <x:v>1</x:v>
      </x:c>
      <x:c r="N155" s="149" t="n">
        <x:v>1</x:v>
      </x:c>
      <x:c r="O155" s="149" t="n">
        <x:v>1</x:v>
      </x:c>
      <x:c r="P155" s="149" t="n">
        <x:f>IF('입력·근거'!$B$12="HIGH",O155,N155)</x:f>
        <x:v>1</x:v>
      </x:c>
      <x:c r="Q155" s="158" t="str"/>
      <x:c r="R155" s="161" t="str">
        <x:f>IF(Q155="","",P155*Q155)</x:f>
      </x:c>
      <x:c r="S155" s="146" t="str">
        <x:v>unpriced_source</x:v>
      </x:c>
    </x:row>
    <x:row r="156">
      <x:c r="A156" s="146" t="str">
        <x:v>6-Stance water borne Toilet</x:v>
      </x:c>
      <x:c r="B156" s="146" t="n">
        <x:v>116</x:v>
      </x:c>
      <x:c r="C156" s="146" t="str">
        <x:v>6칸 수세식 화장실</x:v>
      </x:c>
      <x:c r="D156" s="146" t="str">
        <x:v>전기·전력인입</x:v>
      </x:c>
      <x:c r="E156" s="146" t="str">
        <x:v>ELEMENT NO.3 ROOF CONSTRUCTION &amp; RAINWATER DISPOSAL</x:v>
      </x:c>
      <x:c r="F156" s="146" t="str">
        <x:v>Lighting points</x:v>
      </x:c>
      <x:c r="G156" s="146" t="str">
        <x:v>H</x:v>
      </x:c>
      <x:c r="H156" s="49" t="str">
        <x:v>Supply and Install a 8x8 Adaptable Box for Power extension</x:v>
      </x:c>
      <x:c r="I156" s="146" t="str">
        <x:v>no.</x:v>
      </x:c>
      <x:c r="J156" s="149" t="n">
        <x:v>1</x:v>
      </x:c>
      <x:c r="K156" s="146" t="str"/>
      <x:c r="L156" s="149" t="n">
        <x:v>1</x:v>
      </x:c>
      <x:c r="M156" s="149" t="n">
        <x:v>1</x:v>
      </x:c>
      <x:c r="N156" s="149" t="n">
        <x:v>1</x:v>
      </x:c>
      <x:c r="O156" s="149" t="n">
        <x:v>1</x:v>
      </x:c>
      <x:c r="P156" s="149" t="n">
        <x:f>IF('입력·근거'!$B$12="HIGH",O156,N156)</x:f>
        <x:v>1</x:v>
      </x:c>
      <x:c r="Q156" s="158" t="str"/>
      <x:c r="R156" s="161" t="str">
        <x:f>IF(Q156="","",P156*Q156)</x:f>
      </x:c>
      <x:c r="S156" s="146" t="str">
        <x:v>unpriced_source</x:v>
      </x:c>
    </x:row>
    <x:row r="157">
      <x:c r="A157" s="146" t="str">
        <x:v>Milling Facility.</x:v>
      </x:c>
      <x:c r="B157" s="146" t="n">
        <x:v>6</x:v>
      </x:c>
      <x:c r="C157" s="146" t="str">
        <x:v>옥수수 가공시설</x:v>
      </x:c>
      <x:c r="D157" s="146" t="str">
        <x:v>토공·기초</x:v>
      </x:c>
      <x:c r="E157" s="146" t="str">
        <x:v>ELEMENT NO.1</x:v>
      </x:c>
      <x:c r="F157" s="146" t="str">
        <x:v>SUBSTRUCTURE</x:v>
      </x:c>
      <x:c r="G157" s="146" t="str">
        <x:v>A</x:v>
      </x:c>
      <x:c r="H157" s="49" t="str">
        <x:v>Allow for maintaining and upholding sides of excavation: clear off all fallen material, rubbish</x:v>
      </x:c>
      <x:c r="I157" s="146" t="str">
        <x:v>item</x:v>
      </x:c>
      <x:c r="J157" s="149" t="n">
        <x:v>1</x:v>
      </x:c>
      <x:c r="K157" s="146" t="str"/>
      <x:c r="L157" s="149" t="n">
        <x:v>1</x:v>
      </x:c>
      <x:c r="M157" s="149" t="n">
        <x:v>1</x:v>
      </x:c>
      <x:c r="N157" s="149" t="n">
        <x:v>1</x:v>
      </x:c>
      <x:c r="O157" s="149" t="n">
        <x:v>1</x:v>
      </x:c>
      <x:c r="P157" s="149" t="n">
        <x:f>IF('입력·근거'!$B$12="HIGH",O157,N157)</x:f>
        <x:v>1</x:v>
      </x:c>
      <x:c r="Q157" s="158" t="str"/>
      <x:c r="R157" s="161" t="str">
        <x:f>IF(Q157="","",P157*Q157)</x:f>
      </x:c>
      <x:c r="S157" s="146" t="str">
        <x:v>unpriced_source</x:v>
      </x:c>
    </x:row>
    <x:row r="158">
      <x:c r="A158" s="146" t="str">
        <x:v>Milling Facility.</x:v>
      </x:c>
      <x:c r="B158" s="146" t="n">
        <x:v>7</x:v>
      </x:c>
      <x:c r="C158" s="146" t="str">
        <x:v>옥수수 가공시설</x:v>
      </x:c>
      <x:c r="D158" s="146" t="str">
        <x:v>토공·기초</x:v>
      </x:c>
      <x:c r="E158" s="146" t="str">
        <x:v>ELEMENT NO.1</x:v>
      </x:c>
      <x:c r="F158" s="146" t="str">
        <x:v>SUBSTRUCTURE</x:v>
      </x:c>
      <x:c r="G158" s="146" t="str">
        <x:v>B</x:v>
      </x:c>
      <x:c r="H158" s="49" t="str">
        <x:v>Allow for keeping the whole of the excavation free from general water</x:v>
      </x:c>
      <x:c r="I158" s="146" t="str">
        <x:v>item</x:v>
      </x:c>
      <x:c r="J158" s="149" t="n">
        <x:v>1</x:v>
      </x:c>
      <x:c r="K158" s="146" t="str"/>
      <x:c r="L158" s="149" t="n">
        <x:v>1</x:v>
      </x:c>
      <x:c r="M158" s="149" t="n">
        <x:v>1</x:v>
      </x:c>
      <x:c r="N158" s="149" t="n">
        <x:v>1</x:v>
      </x:c>
      <x:c r="O158" s="149" t="n">
        <x:v>1</x:v>
      </x:c>
      <x:c r="P158" s="149" t="n">
        <x:f>IF('입력·근거'!$B$12="HIGH",O158,N158)</x:f>
        <x:v>1</x:v>
      </x:c>
      <x:c r="Q158" s="158" t="str"/>
      <x:c r="R158" s="161" t="str">
        <x:f>IF(Q158="","",P158*Q158)</x:f>
      </x:c>
      <x:c r="S158" s="146" t="str">
        <x:v>unpriced_source</x:v>
      </x:c>
    </x:row>
    <x:row r="159">
      <x:c r="A159" s="146" t="str">
        <x:v>Milling Facility.</x:v>
      </x:c>
      <x:c r="B159" s="146" t="n">
        <x:v>8</x:v>
      </x:c>
      <x:c r="C159" s="146" t="str">
        <x:v>옥수수 가공시설</x:v>
      </x:c>
      <x:c r="D159" s="146" t="str">
        <x:v>토공·기초</x:v>
      </x:c>
      <x:c r="E159" s="146" t="str">
        <x:v>ELEMENT NO.1</x:v>
      </x:c>
      <x:c r="F159" s="146" t="str">
        <x:v>SUBSTRUCTURE</x:v>
      </x:c>
      <x:c r="G159" s="146" t="str">
        <x:v>C</x:v>
      </x:c>
      <x:c r="H159" s="49" t="str">
        <x:v>Excavate oversite average 200mm deep to remove vegetable top soil; spread and level on site as directed</x:v>
      </x:c>
      <x:c r="I159" s="146" t="str">
        <x:v>m²</x:v>
      </x:c>
      <x:c r="J159" s="149" t="n">
        <x:v>0</x:v>
      </x:c>
      <x:c r="K159" s="146" t="str"/>
      <x:c r="L159" s="149" t="n">
        <x:v>1</x:v>
      </x:c>
      <x:c r="M159" s="149" t="n">
        <x:v>1</x:v>
      </x:c>
      <x:c r="N159" s="149" t="n">
        <x:v>0</x:v>
      </x:c>
      <x:c r="O159" s="149" t="n">
        <x:v>0</x:v>
      </x:c>
      <x:c r="P159" s="149" t="n">
        <x:f>IF('입력·근거'!$B$12="HIGH",O159,N159)</x:f>
        <x:v>0</x:v>
      </x:c>
      <x:c r="Q159" s="158" t="str"/>
      <x:c r="R159" s="161" t="str">
        <x:f>IF(Q159="","",P159*Q159)</x:f>
      </x:c>
      <x:c r="S159" s="146" t="str">
        <x:v>zero_quantity_check_formula_or_design;unpriced_source</x:v>
      </x:c>
    </x:row>
    <x:row r="160">
      <x:c r="A160" s="146" t="str">
        <x:v>Milling Facility.</x:v>
      </x:c>
      <x:c r="B160" s="146" t="n">
        <x:v>9</x:v>
      </x:c>
      <x:c r="C160" s="146" t="str">
        <x:v>옥수수 가공시설</x:v>
      </x:c>
      <x:c r="D160" s="146" t="str">
        <x:v>토공·기초</x:v>
      </x:c>
      <x:c r="E160" s="146" t="str">
        <x:v>ELEMENT NO.1</x:v>
      </x:c>
      <x:c r="F160" s="146" t="str">
        <x:v>SUBSTRUCTURE</x:v>
      </x:c>
      <x:c r="G160" s="146" t="str">
        <x:v>D</x:v>
      </x:c>
      <x:c r="H160" s="49" t="str">
        <x:v>Mass excavation to reduce levels commencing from stripped level</x:v>
      </x:c>
      <x:c r="I160" s="146" t="str">
        <x:v>m³</x:v>
      </x:c>
      <x:c r="J160" s="149" t="n">
        <x:v>0</x:v>
      </x:c>
      <x:c r="K160" s="146" t="str"/>
      <x:c r="L160" s="149" t="n">
        <x:v>1</x:v>
      </x:c>
      <x:c r="M160" s="149" t="n">
        <x:v>1</x:v>
      </x:c>
      <x:c r="N160" s="149" t="n">
        <x:v>0</x:v>
      </x:c>
      <x:c r="O160" s="149" t="n">
        <x:v>0</x:v>
      </x:c>
      <x:c r="P160" s="149" t="n">
        <x:f>IF('입력·근거'!$B$12="HIGH",O160,N160)</x:f>
        <x:v>0</x:v>
      </x:c>
      <x:c r="Q160" s="158" t="str"/>
      <x:c r="R160" s="161" t="str">
        <x:f>IF(Q160="","",P160*Q160)</x:f>
      </x:c>
      <x:c r="S160" s="146" t="str">
        <x:v>zero_quantity_check_formula_or_design;unpriced_source</x:v>
      </x:c>
    </x:row>
    <x:row r="161">
      <x:c r="A161" s="146" t="str">
        <x:v>Milling Facility.</x:v>
      </x:c>
      <x:c r="B161" s="146" t="n">
        <x:v>10</x:v>
      </x:c>
      <x:c r="C161" s="146" t="str">
        <x:v>옥수수 가공시설</x:v>
      </x:c>
      <x:c r="D161" s="146" t="str">
        <x:v>콘크리트·철근·거푸집</x:v>
      </x:c>
      <x:c r="E161" s="146" t="str">
        <x:v>ELEMENT NO.1</x:v>
      </x:c>
      <x:c r="F161" s="146" t="str">
        <x:v>SUBSTRUCTURE</x:v>
      </x:c>
      <x:c r="G161" s="146" t="str">
        <x:v>E</x:v>
      </x:c>
      <x:c r="H161" s="49" t="str">
        <x:v>Excavate for column bases not exceeding 1.5 meters deep from reduced level.</x:v>
      </x:c>
      <x:c r="I161" s="146" t="str">
        <x:v>m³</x:v>
      </x:c>
      <x:c r="J161" s="149" t="n">
        <x:v>54</x:v>
      </x:c>
      <x:c r="K161" s="146" t="str">
        <x:v>=1.5*1.5*1.5*16</x:v>
      </x:c>
      <x:c r="L161" s="149" t="n">
        <x:v>1</x:v>
      </x:c>
      <x:c r="M161" s="149" t="n">
        <x:v>1</x:v>
      </x:c>
      <x:c r="N161" s="149" t="n">
        <x:v>54</x:v>
      </x:c>
      <x:c r="O161" s="149" t="n">
        <x:v>54</x:v>
      </x:c>
      <x:c r="P161" s="149" t="n">
        <x:f>IF('입력·근거'!$B$12="HIGH",O161,N161)</x:f>
        <x:v>54</x:v>
      </x:c>
      <x:c r="Q161" s="158" t="str"/>
      <x:c r="R161" s="161" t="str">
        <x:f>IF(Q161="","",P161*Q161)</x:f>
      </x:c>
      <x:c r="S161" s="146" t="str">
        <x:v>formula_quantity;unpriced_source</x:v>
      </x:c>
    </x:row>
    <x:row r="162">
      <x:c r="A162" s="146" t="str">
        <x:v>Milling Facility.</x:v>
      </x:c>
      <x:c r="B162" s="146" t="n">
        <x:v>11</x:v>
      </x:c>
      <x:c r="C162" s="146" t="str">
        <x:v>옥수수 가공시설</x:v>
      </x:c>
      <x:c r="D162" s="146" t="str">
        <x:v>토공·기초</x:v>
      </x:c>
      <x:c r="E162" s="146" t="str">
        <x:v>ELEMENT NO.1</x:v>
      </x:c>
      <x:c r="F162" s="146" t="str">
        <x:v>SUBSTRUCTURE</x:v>
      </x:c>
      <x:c r="G162" s="146" t="str">
        <x:v>F</x:v>
      </x:c>
      <x:c r="H162" s="49" t="str">
        <x:v>Ditto but 1.5 to 3.0m deep</x:v>
      </x:c>
      <x:c r="I162" s="146" t="str">
        <x:v>m³</x:v>
      </x:c>
      <x:c r="J162" s="149" t="n">
        <x:v>0</x:v>
      </x:c>
      <x:c r="K162" s="146" t="str"/>
      <x:c r="L162" s="149" t="n">
        <x:v>1</x:v>
      </x:c>
      <x:c r="M162" s="149" t="n">
        <x:v>1</x:v>
      </x:c>
      <x:c r="N162" s="149" t="n">
        <x:v>0</x:v>
      </x:c>
      <x:c r="O162" s="149" t="n">
        <x:v>0</x:v>
      </x:c>
      <x:c r="P162" s="149" t="n">
        <x:f>IF('입력·근거'!$B$12="HIGH",O162,N162)</x:f>
        <x:v>0</x:v>
      </x:c>
      <x:c r="Q162" s="158" t="str"/>
      <x:c r="R162" s="161" t="str">
        <x:f>IF(Q162="","",P162*Q162)</x:f>
      </x:c>
      <x:c r="S162" s="146" t="str">
        <x:v>zero_quantity_check_formula_or_design;unpriced_source</x:v>
      </x:c>
    </x:row>
    <x:row r="163">
      <x:c r="A163" s="146" t="str">
        <x:v>Milling Facility.</x:v>
      </x:c>
      <x:c r="B163" s="146" t="n">
        <x:v>12</x:v>
      </x:c>
      <x:c r="C163" s="146" t="str">
        <x:v>옥수수 가공시설</x:v>
      </x:c>
      <x:c r="D163" s="146" t="str">
        <x:v>토공·기초</x:v>
      </x:c>
      <x:c r="E163" s="146" t="str">
        <x:v>ELEMENT NO.1</x:v>
      </x:c>
      <x:c r="F163" s="146" t="str">
        <x:v>SUBSTRUCTURE</x:v>
      </x:c>
      <x:c r="G163" s="146" t="str">
        <x:v>G</x:v>
      </x:c>
      <x:c r="H163" s="49" t="str">
        <x:v>Excavate for foundation trench not exceeding 1.5 meters deep from reduced level.</x:v>
      </x:c>
      <x:c r="I163" s="146" t="str">
        <x:v>m³</x:v>
      </x:c>
      <x:c r="J163" s="149" t="n">
        <x:v>79</x:v>
      </x:c>
      <x:c r="K163" s="146" t="str"/>
      <x:c r="L163" s="149" t="n">
        <x:v>1</x:v>
      </x:c>
      <x:c r="M163" s="149" t="n">
        <x:v>1</x:v>
      </x:c>
      <x:c r="N163" s="149" t="n">
        <x:v>79</x:v>
      </x:c>
      <x:c r="O163" s="149" t="n">
        <x:v>79</x:v>
      </x:c>
      <x:c r="P163" s="149" t="n">
        <x:f>IF('입력·근거'!$B$12="HIGH",O163,N163)</x:f>
        <x:v>79</x:v>
      </x:c>
      <x:c r="Q163" s="158" t="str"/>
      <x:c r="R163" s="161" t="str">
        <x:f>IF(Q163="","",P163*Q163)</x:f>
      </x:c>
      <x:c r="S163" s="146" t="str">
        <x:v>unpriced_source</x:v>
      </x:c>
    </x:row>
    <x:row r="164">
      <x:c r="A164" s="146" t="str">
        <x:v>Milling Facility.</x:v>
      </x:c>
      <x:c r="B164" s="146" t="n">
        <x:v>13</x:v>
      </x:c>
      <x:c r="C164" s="146" t="str">
        <x:v>옥수수 가공시설</x:v>
      </x:c>
      <x:c r="D164" s="146" t="str">
        <x:v>토공·기초</x:v>
      </x:c>
      <x:c r="E164" s="146" t="str">
        <x:v>ELEMENT NO.1</x:v>
      </x:c>
      <x:c r="F164" s="146" t="str">
        <x:v>SUBSTRUCTURE</x:v>
      </x:c>
      <x:c r="G164" s="146" t="str">
        <x:v>H</x:v>
      </x:c>
      <x:c r="H164" s="49" t="str">
        <x:v>Ditto but 1.5 to 3.0m deep</x:v>
      </x:c>
      <x:c r="I164" s="146" t="str">
        <x:v>m³</x:v>
      </x:c>
      <x:c r="J164" s="149" t="n">
        <x:v>0</x:v>
      </x:c>
      <x:c r="K164" s="146" t="str"/>
      <x:c r="L164" s="149" t="n">
        <x:v>1</x:v>
      </x:c>
      <x:c r="M164" s="149" t="n">
        <x:v>1</x:v>
      </x:c>
      <x:c r="N164" s="149" t="n">
        <x:v>0</x:v>
      </x:c>
      <x:c r="O164" s="149" t="n">
        <x:v>0</x:v>
      </x:c>
      <x:c r="P164" s="149" t="n">
        <x:f>IF('입력·근거'!$B$12="HIGH",O164,N164)</x:f>
        <x:v>0</x:v>
      </x:c>
      <x:c r="Q164" s="158" t="str"/>
      <x:c r="R164" s="161" t="str">
        <x:f>IF(Q164="","",P164*Q164)</x:f>
      </x:c>
      <x:c r="S164" s="146" t="str">
        <x:v>zero_quantity_check_formula_or_design;unpriced_source</x:v>
      </x:c>
    </x:row>
    <x:row r="165">
      <x:c r="A165" s="146" t="str">
        <x:v>Milling Facility.</x:v>
      </x:c>
      <x:c r="B165" s="146" t="n">
        <x:v>14</x:v>
      </x:c>
      <x:c r="C165" s="146" t="str">
        <x:v>옥수수 가공시설</x:v>
      </x:c>
      <x:c r="D165" s="146" t="str">
        <x:v>토공·기초</x:v>
      </x:c>
      <x:c r="E165" s="146" t="str">
        <x:v>ELEMENT NO.1</x:v>
      </x:c>
      <x:c r="F165" s="146" t="str">
        <x:v>SUBSTRUCTURE</x:v>
      </x:c>
      <x:c r="G165" s="146" t="str">
        <x:v>I</x:v>
      </x:c>
      <x:c r="H165" s="49" t="str">
        <x:v>Extra over excavations for excavating in rock.</x:v>
      </x:c>
      <x:c r="I165" s="146" t="str">
        <x:v>m³</x:v>
      </x:c>
      <x:c r="J165" s="149" t="n">
        <x:v>2</x:v>
      </x:c>
      <x:c r="K165" s="146" t="str"/>
      <x:c r="L165" s="149" t="n">
        <x:v>1</x:v>
      </x:c>
      <x:c r="M165" s="149" t="n">
        <x:v>1</x:v>
      </x:c>
      <x:c r="N165" s="149" t="n">
        <x:v>2</x:v>
      </x:c>
      <x:c r="O165" s="149" t="n">
        <x:v>2</x:v>
      </x:c>
      <x:c r="P165" s="149" t="n">
        <x:f>IF('입력·근거'!$B$12="HIGH",O165,N165)</x:f>
        <x:v>2</x:v>
      </x:c>
      <x:c r="Q165" s="158" t="str"/>
      <x:c r="R165" s="161" t="str">
        <x:f>IF(Q165="","",P165*Q165)</x:f>
      </x:c>
      <x:c r="S165" s="146" t="str">
        <x:v>unpriced_source</x:v>
      </x:c>
    </x:row>
    <x:row r="166">
      <x:c r="A166" s="146" t="str">
        <x:v>Milling Facility.</x:v>
      </x:c>
      <x:c r="B166" s="146" t="n">
        <x:v>15</x:v>
      </x:c>
      <x:c r="C166" s="146" t="str">
        <x:v>옥수수 가공시설</x:v>
      </x:c>
      <x:c r="D166" s="146" t="str">
        <x:v>토공·기초</x:v>
      </x:c>
      <x:c r="E166" s="146" t="str">
        <x:v>ELEMENT NO.1</x:v>
      </x:c>
      <x:c r="F166" s="146" t="str">
        <x:v>SUBSTRUCTURE</x:v>
      </x:c>
      <x:c r="G166" s="146" t="str">
        <x:v>J</x:v>
      </x:c>
      <x:c r="H166" s="49" t="str">
        <x:v>Return fill and ram selected excavated material around foundations.</x:v>
      </x:c>
      <x:c r="I166" s="146" t="str">
        <x:v>m³</x:v>
      </x:c>
      <x:c r="J166" s="149" t="n">
        <x:v>82</x:v>
      </x:c>
      <x:c r="K166" s="146" t="str"/>
      <x:c r="L166" s="149" t="n">
        <x:v>1</x:v>
      </x:c>
      <x:c r="M166" s="149" t="n">
        <x:v>1</x:v>
      </x:c>
      <x:c r="N166" s="149" t="n">
        <x:v>82</x:v>
      </x:c>
      <x:c r="O166" s="149" t="n">
        <x:v>82</x:v>
      </x:c>
      <x:c r="P166" s="149" t="n">
        <x:f>IF('입력·근거'!$B$12="HIGH",O166,N166)</x:f>
        <x:v>82</x:v>
      </x:c>
      <x:c r="Q166" s="158" t="str"/>
      <x:c r="R166" s="161" t="str">
        <x:f>IF(Q166="","",P166*Q166)</x:f>
      </x:c>
      <x:c r="S166" s="146" t="str">
        <x:v>unpriced_source</x:v>
      </x:c>
    </x:row>
    <x:row r="167">
      <x:c r="A167" s="146" t="str">
        <x:v>Milling Facility.</x:v>
      </x:c>
      <x:c r="B167" s="146" t="n">
        <x:v>16</x:v>
      </x:c>
      <x:c r="C167" s="146" t="str">
        <x:v>옥수수 가공시설</x:v>
      </x:c>
      <x:c r="D167" s="146" t="str">
        <x:v>토공·기초</x:v>
      </x:c>
      <x:c r="E167" s="146" t="str">
        <x:v>ELEMENT NO.1</x:v>
      </x:c>
      <x:c r="F167" s="146" t="str">
        <x:v>SUBSTRUCTURE</x:v>
      </x:c>
      <x:c r="G167" s="146" t="str">
        <x:v>K</x:v>
      </x:c>
      <x:c r="H167" s="49" t="str">
        <x:v>Load and cart away surplus excavated material from site.</x:v>
      </x:c>
      <x:c r="I167" s="146" t="str">
        <x:v>m³</x:v>
      </x:c>
      <x:c r="J167" s="149" t="n">
        <x:v>41</x:v>
      </x:c>
      <x:c r="K167" s="146" t="str"/>
      <x:c r="L167" s="149" t="n">
        <x:v>1</x:v>
      </x:c>
      <x:c r="M167" s="149" t="n">
        <x:v>1</x:v>
      </x:c>
      <x:c r="N167" s="149" t="n">
        <x:v>41</x:v>
      </x:c>
      <x:c r="O167" s="149" t="n">
        <x:v>41</x:v>
      </x:c>
      <x:c r="P167" s="149" t="n">
        <x:f>IF('입력·근거'!$B$12="HIGH",O167,N167)</x:f>
        <x:v>41</x:v>
      </x:c>
      <x:c r="Q167" s="158" t="str"/>
      <x:c r="R167" s="161" t="str">
        <x:f>IF(Q167="","",P167*Q167)</x:f>
      </x:c>
      <x:c r="S167" s="146" t="str">
        <x:v>unpriced_source</x:v>
      </x:c>
    </x:row>
    <x:row r="168">
      <x:c r="A168" s="146" t="str">
        <x:v>Milling Facility.</x:v>
      </x:c>
      <x:c r="B168" s="146" t="n">
        <x:v>17</x:v>
      </x:c>
      <x:c r="C168" s="146" t="str">
        <x:v>옥수수 가공시설</x:v>
      </x:c>
      <x:c r="D168" s="146" t="str">
        <x:v>토공·기초</x:v>
      </x:c>
      <x:c r="E168" s="146" t="str">
        <x:v>ELEMENT NO.1</x:v>
      </x:c>
      <x:c r="F168" s="146" t="str">
        <x:v>SUBSTRUCTURE</x:v>
      </x:c>
      <x:c r="G168" s="146" t="str">
        <x:v>L</x:v>
      </x:c>
      <x:c r="H168" s="49" t="str">
        <x:v>Approved marrum fill to make up levels; well rolled and compacted to 95% MDD to Engineer's approval</x:v>
      </x:c>
      <x:c r="I168" s="146" t="str">
        <x:v>m³</x:v>
      </x:c>
      <x:c r="J168" s="149" t="n">
        <x:v>109</x:v>
      </x:c>
      <x:c r="K168" s="146" t="str"/>
      <x:c r="L168" s="149" t="n">
        <x:v>1</x:v>
      </x:c>
      <x:c r="M168" s="149" t="n">
        <x:v>1</x:v>
      </x:c>
      <x:c r="N168" s="149" t="n">
        <x:v>109</x:v>
      </x:c>
      <x:c r="O168" s="149" t="n">
        <x:v>109</x:v>
      </x:c>
      <x:c r="P168" s="149" t="n">
        <x:f>IF('입력·근거'!$B$12="HIGH",O168,N168)</x:f>
        <x:v>109</x:v>
      </x:c>
      <x:c r="Q168" s="158" t="str"/>
      <x:c r="R168" s="161" t="str">
        <x:f>IF(Q168="","",P168*Q168)</x:f>
      </x:c>
      <x:c r="S168" s="146" t="str">
        <x:v>unpriced_source</x:v>
      </x:c>
    </x:row>
    <x:row r="169">
      <x:c r="A169" s="146" t="str">
        <x:v>Milling Facility.</x:v>
      </x:c>
      <x:c r="B169" s="146" t="n">
        <x:v>18</x:v>
      </x:c>
      <x:c r="C169" s="146" t="str">
        <x:v>옥수수 가공시설</x:v>
      </x:c>
      <x:c r="D169" s="146" t="str">
        <x:v>토공·기초</x:v>
      </x:c>
      <x:c r="E169" s="146" t="str">
        <x:v>ELEMENT NO.1</x:v>
      </x:c>
      <x:c r="F169" s="146" t="str">
        <x:v>SUBSTRUCTURE</x:v>
      </x:c>
      <x:c r="G169" s="146" t="str">
        <x:v>M</x:v>
      </x:c>
      <x:c r="H169" s="49" t="str">
        <x:v>200mm Thick bed of hand packed stone base, well rolled and compacted.</x:v>
      </x:c>
      <x:c r="I169" s="146" t="str">
        <x:v>m²</x:v>
      </x:c>
      <x:c r="J169" s="149" t="n">
        <x:v>347</x:v>
      </x:c>
      <x:c r="K169" s="146" t="str"/>
      <x:c r="L169" s="149" t="n">
        <x:v>1</x:v>
      </x:c>
      <x:c r="M169" s="149" t="n">
        <x:v>1</x:v>
      </x:c>
      <x:c r="N169" s="149" t="n">
        <x:v>347</x:v>
      </x:c>
      <x:c r="O169" s="149" t="n">
        <x:v>347</x:v>
      </x:c>
      <x:c r="P169" s="149" t="n">
        <x:f>IF('입력·근거'!$B$12="HIGH",O169,N169)</x:f>
        <x:v>347</x:v>
      </x:c>
      <x:c r="Q169" s="158" t="str"/>
      <x:c r="R169" s="161" t="str">
        <x:f>IF(Q169="","",P169*Q169)</x:f>
      </x:c>
      <x:c r="S169" s="146" t="str">
        <x:v>unpriced_source</x:v>
      </x:c>
    </x:row>
    <x:row r="170">
      <x:c r="A170" s="146" t="str">
        <x:v>Milling Facility.</x:v>
      </x:c>
      <x:c r="B170" s="146" t="n">
        <x:v>19</x:v>
      </x:c>
      <x:c r="C170" s="146" t="str">
        <x:v>옥수수 가공시설</x:v>
      </x:c>
      <x:c r="D170" s="146" t="str">
        <x:v>조적</x:v>
      </x:c>
      <x:c r="E170" s="146" t="str">
        <x:v>ELEMENT NO.1</x:v>
      </x:c>
      <x:c r="F170" s="146" t="str">
        <x:v>SUBSTRUCTURE</x:v>
      </x:c>
      <x:c r="G170" s="146" t="str">
        <x:v>N</x:v>
      </x:c>
      <x:c r="H170" s="49" t="str">
        <x:v>Insecticide treatment to surfaces of hardcore, top of foundation walling, bottom and sides of excavation.</x:v>
      </x:c>
      <x:c r="I170" s="146" t="str">
        <x:v>m²</x:v>
      </x:c>
      <x:c r="J170" s="149" t="n">
        <x:v>682.8800000000001</x:v>
      </x:c>
      <x:c r="K170" s="146" t="str">
        <x:v>=17*3.6*2+19.4*3.6*2+8.7*3.6*2+3.1*3.6+D18</x:v>
      </x:c>
      <x:c r="L170" s="149" t="n">
        <x:v>1</x:v>
      </x:c>
      <x:c r="M170" s="149" t="n">
        <x:v>1</x:v>
      </x:c>
      <x:c r="N170" s="149" t="n">
        <x:v>682.8800000000001</x:v>
      </x:c>
      <x:c r="O170" s="149" t="n">
        <x:v>682.8800000000001</x:v>
      </x:c>
      <x:c r="P170" s="149" t="n">
        <x:f>IF('입력·근거'!$B$12="HIGH",O170,N170)</x:f>
        <x:v>682.8800000000001</x:v>
      </x:c>
      <x:c r="Q170" s="158" t="str"/>
      <x:c r="R170" s="161" t="str">
        <x:f>IF(Q170="","",P170*Q170)</x:f>
      </x:c>
      <x:c r="S170" s="146" t="str">
        <x:v>formula_quantity;unpriced_source</x:v>
      </x:c>
    </x:row>
    <x:row r="171">
      <x:c r="A171" s="146" t="str">
        <x:v>Milling Facility.</x:v>
      </x:c>
      <x:c r="B171" s="146" t="n">
        <x:v>21</x:v>
      </x:c>
      <x:c r="C171" s="146" t="str">
        <x:v>옥수수 가공시설</x:v>
      </x:c>
      <x:c r="D171" s="146" t="str">
        <x:v>토공·기초</x:v>
      </x:c>
      <x:c r="E171" s="146" t="str">
        <x:v>ELEMENT NO.1</x:v>
      </x:c>
      <x:c r="F171" s="146" t="str">
        <x:v>COARSE SAND: in</x:v>
      </x:c>
      <x:c r="G171" s="146" t="str">
        <x:v>O</x:v>
      </x:c>
      <x:c r="H171" s="49" t="str">
        <x:v>50mm thick blinding over surfaces of hardcore</x:v>
      </x:c>
      <x:c r="I171" s="146" t="str">
        <x:v>m²</x:v>
      </x:c>
      <x:c r="J171" s="149" t="n">
        <x:v>347</x:v>
      </x:c>
      <x:c r="K171" s="146" t="str">
        <x:v>=D18</x:v>
      </x:c>
      <x:c r="L171" s="149" t="n">
        <x:v>1</x:v>
      </x:c>
      <x:c r="M171" s="149" t="n">
        <x:v>1</x:v>
      </x:c>
      <x:c r="N171" s="149" t="n">
        <x:v>347</x:v>
      </x:c>
      <x:c r="O171" s="149" t="n">
        <x:v>347</x:v>
      </x:c>
      <x:c r="P171" s="149" t="n">
        <x:f>IF('입력·근거'!$B$12="HIGH",O171,N171)</x:f>
        <x:v>347</x:v>
      </x:c>
      <x:c r="Q171" s="158" t="str"/>
      <x:c r="R171" s="161" t="str">
        <x:f>IF(Q171="","",P171*Q171)</x:f>
      </x:c>
      <x:c r="S171" s="146" t="str">
        <x:v>formula_quantity;unpriced_source</x:v>
      </x:c>
    </x:row>
    <x:row r="172">
      <x:c r="A172" s="146" t="str">
        <x:v>Milling Facility.</x:v>
      </x:c>
      <x:c r="B172" s="146" t="n">
        <x:v>22</x:v>
      </x:c>
      <x:c r="C172" s="146" t="str">
        <x:v>옥수수 가공시설</x:v>
      </x:c>
      <x:c r="D172" s="146" t="str">
        <x:v>콘크리트·철근·거푸집</x:v>
      </x:c>
      <x:c r="E172" s="146" t="str">
        <x:v>ELEMENT NO.1</x:v>
      </x:c>
      <x:c r="F172" s="146" t="str">
        <x:v>COARSE SAND: in</x:v>
      </x:c>
      <x:c r="G172" s="146" t="str">
        <x:v>P</x:v>
      </x:c>
      <x:c r="H172" s="49" t="str">
        <x:v>50mm Thick blinding layer under column bases</x:v>
      </x:c>
      <x:c r="I172" s="146" t="str">
        <x:v>m²</x:v>
      </x:c>
      <x:c r="J172" s="149" t="n">
        <x:v>36</x:v>
      </x:c>
      <x:c r="K172" s="146" t="str">
        <x:v>=D10/1.5</x:v>
      </x:c>
      <x:c r="L172" s="149" t="n">
        <x:v>1</x:v>
      </x:c>
      <x:c r="M172" s="149" t="n">
        <x:v>1</x:v>
      </x:c>
      <x:c r="N172" s="149" t="n">
        <x:v>36</x:v>
      </x:c>
      <x:c r="O172" s="149" t="n">
        <x:v>36</x:v>
      </x:c>
      <x:c r="P172" s="149" t="n">
        <x:f>IF('입력·근거'!$B$12="HIGH",O172,N172)</x:f>
        <x:v>36</x:v>
      </x:c>
      <x:c r="Q172" s="158" t="str"/>
      <x:c r="R172" s="161" t="str">
        <x:f>IF(Q172="","",P172*Q172)</x:f>
      </x:c>
      <x:c r="S172" s="146" t="str">
        <x:v>formula_quantity;unpriced_source</x:v>
      </x:c>
    </x:row>
    <x:row r="173">
      <x:c r="A173" s="146" t="str">
        <x:v>Milling Facility.</x:v>
      </x:c>
      <x:c r="B173" s="146" t="n">
        <x:v>23</x:v>
      </x:c>
      <x:c r="C173" s="146" t="str">
        <x:v>옥수수 가공시설</x:v>
      </x:c>
      <x:c r="D173" s="146" t="str">
        <x:v>토공·기초</x:v>
      </x:c>
      <x:c r="E173" s="146" t="str">
        <x:v>ELEMENT NO.1</x:v>
      </x:c>
      <x:c r="F173" s="146" t="str">
        <x:v>COARSE SAND: in</x:v>
      </x:c>
      <x:c r="G173" s="146" t="str">
        <x:v>Q</x:v>
      </x:c>
      <x:c r="H173" s="49" t="str">
        <x:v>50mm Thick blinding layer under strip foundations</x:v>
      </x:c>
      <x:c r="I173" s="146" t="str">
        <x:v>m²</x:v>
      </x:c>
      <x:c r="J173" s="149" t="n">
        <x:v>52.666666666666664</x:v>
      </x:c>
      <x:c r="K173" s="146" t="str">
        <x:v>=D12/1.5</x:v>
      </x:c>
      <x:c r="L173" s="149" t="n">
        <x:v>1</x:v>
      </x:c>
      <x:c r="M173" s="149" t="n">
        <x:v>1</x:v>
      </x:c>
      <x:c r="N173" s="149" t="n">
        <x:v>52.666666666666664</x:v>
      </x:c>
      <x:c r="O173" s="149" t="n">
        <x:v>52.666666666666664</x:v>
      </x:c>
      <x:c r="P173" s="149" t="n">
        <x:f>IF('입력·근거'!$B$12="HIGH",O173,N173)</x:f>
        <x:v>52.666666666666664</x:v>
      </x:c>
      <x:c r="Q173" s="158" t="str"/>
      <x:c r="R173" s="161" t="str">
        <x:f>IF(Q173="","",P173*Q173)</x:f>
      </x:c>
      <x:c r="S173" s="146" t="str">
        <x:v>formula_quantity;unpriced_source</x:v>
      </x:c>
    </x:row>
    <x:row r="174">
      <x:c r="A174" s="146" t="str">
        <x:v>Milling Facility.</x:v>
      </x:c>
      <x:c r="B174" s="146" t="n">
        <x:v>26</x:v>
      </x:c>
      <x:c r="C174" s="146" t="str">
        <x:v>옥수수 가공시설</x:v>
      </x:c>
      <x:c r="D174" s="146" t="str">
        <x:v>콘크리트·철근·거푸집</x:v>
      </x:c>
      <x:c r="E174" s="146" t="str">
        <x:v>ELEMENT NO.1</x:v>
      </x:c>
      <x:c r="F174" s="146" t="str">
        <x:v>VIBRATED MASS CONCRETE CLASS 20; 20mm AGGREGATE : in</x:v>
      </x:c>
      <x:c r="G174" s="146" t="str">
        <x:v>R</x:v>
      </x:c>
      <x:c r="H174" s="49" t="str">
        <x:v>Strip foundations</x:v>
      </x:c>
      <x:c r="I174" s="146" t="str">
        <x:v>m³</x:v>
      </x:c>
      <x:c r="J174" s="149" t="n">
        <x:v>7.8999999999999995</x:v>
      </x:c>
      <x:c r="K174" s="146" t="str">
        <x:v>=D23*0.15</x:v>
      </x:c>
      <x:c r="L174" s="149" t="n">
        <x:v>1</x:v>
      </x:c>
      <x:c r="M174" s="149" t="n">
        <x:v>1</x:v>
      </x:c>
      <x:c r="N174" s="149" t="n">
        <x:v>7.8999999999999995</x:v>
      </x:c>
      <x:c r="O174" s="149" t="n">
        <x:v>7.8999999999999995</x:v>
      </x:c>
      <x:c r="P174" s="149" t="n">
        <x:f>IF('입력·근거'!$B$12="HIGH",O174,N174)</x:f>
        <x:v>7.8999999999999995</x:v>
      </x:c>
      <x:c r="Q174" s="158" t="str"/>
      <x:c r="R174" s="161" t="str">
        <x:f>IF(Q174="","",P174*Q174)</x:f>
      </x:c>
      <x:c r="S174" s="146" t="str">
        <x:v>formula_quantity;unpriced_source</x:v>
      </x:c>
    </x:row>
    <x:row r="175">
      <x:c r="A175" s="146" t="str">
        <x:v>Milling Facility.</x:v>
      </x:c>
      <x:c r="B175" s="146" t="n">
        <x:v>28</x:v>
      </x:c>
      <x:c r="C175" s="146" t="str">
        <x:v>옥수수 가공시설</x:v>
      </x:c>
      <x:c r="D175" s="146" t="str">
        <x:v>콘크리트·철근·거푸집</x:v>
      </x:c>
      <x:c r="E175" s="146" t="str">
        <x:v>ELEMENT NO.1</x:v>
      </x:c>
      <x:c r="F175" s="146" t="str">
        <x:v>VIBRATED REINFORCED CONCRETE CLASS 25; 20mm AGGREGATE : in</x:v>
      </x:c>
      <x:c r="G175" s="146" t="str">
        <x:v>S</x:v>
      </x:c>
      <x:c r="H175" s="49" t="str">
        <x:v>Column bases</x:v>
      </x:c>
      <x:c r="I175" s="146" t="str">
        <x:v>m³</x:v>
      </x:c>
      <x:c r="J175" s="149" t="n">
        <x:v>6.912</x:v>
      </x:c>
      <x:c r="K175" s="146" t="str">
        <x:v>=1.2 * 1.2*0.3*16</x:v>
      </x:c>
      <x:c r="L175" s="149" t="n">
        <x:v>1</x:v>
      </x:c>
      <x:c r="M175" s="149" t="n">
        <x:v>1</x:v>
      </x:c>
      <x:c r="N175" s="149" t="n">
        <x:v>6.912</x:v>
      </x:c>
      <x:c r="O175" s="149" t="n">
        <x:v>6.912</x:v>
      </x:c>
      <x:c r="P175" s="149" t="n">
        <x:f>IF('입력·근거'!$B$12="HIGH",O175,N175)</x:f>
        <x:v>6.912</x:v>
      </x:c>
      <x:c r="Q175" s="158" t="str"/>
      <x:c r="R175" s="161" t="str">
        <x:f>IF(Q175="","",P175*Q175)</x:f>
      </x:c>
      <x:c r="S175" s="146" t="str">
        <x:v>formula_quantity;unpriced_source</x:v>
      </x:c>
    </x:row>
    <x:row r="176">
      <x:c r="A176" s="146" t="str">
        <x:v>Milling Facility.</x:v>
      </x:c>
      <x:c r="B176" s="146" t="n">
        <x:v>29</x:v>
      </x:c>
      <x:c r="C176" s="146" t="str">
        <x:v>옥수수 가공시설</x:v>
      </x:c>
      <x:c r="D176" s="146" t="str">
        <x:v>콘크리트·철근·거푸집</x:v>
      </x:c>
      <x:c r="E176" s="146" t="str">
        <x:v>ELEMENT NO.1</x:v>
      </x:c>
      <x:c r="F176" s="146" t="str">
        <x:v>VIBRATED REINFORCED CONCRETE CLASS 25; 20mm AGGREGATE : in</x:v>
      </x:c>
      <x:c r="G176" s="146" t="str">
        <x:v>T</x:v>
      </x:c>
      <x:c r="H176" s="49" t="str">
        <x:v>Columns</x:v>
      </x:c>
      <x:c r="I176" s="146" t="str">
        <x:v>m³</x:v>
      </x:c>
      <x:c r="J176" s="149" t="n">
        <x:v>5.76</x:v>
      </x:c>
      <x:c r="K176" s="146" t="str">
        <x:v>=0.2*0.3*6*16</x:v>
      </x:c>
      <x:c r="L176" s="149" t="n">
        <x:v>1</x:v>
      </x:c>
      <x:c r="M176" s="149" t="n">
        <x:v>1</x:v>
      </x:c>
      <x:c r="N176" s="149" t="n">
        <x:v>5.76</x:v>
      </x:c>
      <x:c r="O176" s="149" t="n">
        <x:v>5.76</x:v>
      </x:c>
      <x:c r="P176" s="149" t="n">
        <x:f>IF('입력·근거'!$B$12="HIGH",O176,N176)</x:f>
        <x:v>5.76</x:v>
      </x:c>
      <x:c r="Q176" s="158" t="str"/>
      <x:c r="R176" s="161" t="str">
        <x:f>IF(Q176="","",P176*Q176)</x:f>
      </x:c>
      <x:c r="S176" s="146" t="str">
        <x:v>formula_quantity;unpriced_source</x:v>
      </x:c>
    </x:row>
    <x:row r="177">
      <x:c r="A177" s="146" t="str">
        <x:v>Milling Facility.</x:v>
      </x:c>
      <x:c r="B177" s="146" t="n">
        <x:v>30</x:v>
      </x:c>
      <x:c r="C177" s="146" t="str">
        <x:v>옥수수 가공시설</x:v>
      </x:c>
      <x:c r="D177" s="146" t="str">
        <x:v>콘크리트·철근·거푸집</x:v>
      </x:c>
      <x:c r="E177" s="146" t="str">
        <x:v>ELEMENT NO.1</x:v>
      </x:c>
      <x:c r="F177" s="146" t="str">
        <x:v>VIBRATED REINFORCED CONCRETE CLASS 25; 20mm AGGREGATE : in</x:v>
      </x:c>
      <x:c r="G177" s="146" t="str">
        <x:v>U</x:v>
      </x:c>
      <x:c r="H177" s="49" t="str">
        <x:v>Ground Beam</x:v>
      </x:c>
      <x:c r="I177" s="146" t="str">
        <x:v>m³</x:v>
      </x:c>
      <x:c r="J177" s="149" t="n">
        <x:v>5.598000000000001</x:v>
      </x:c>
      <x:c r="K177" s="146" t="str">
        <x:v>=17*0.2*0.3*2+19.4*0.2*0.3*2+8.7*0.2*0.3*2+3.1*0.2*0.3</x:v>
      </x:c>
      <x:c r="L177" s="149" t="n">
        <x:v>1</x:v>
      </x:c>
      <x:c r="M177" s="149" t="n">
        <x:v>1</x:v>
      </x:c>
      <x:c r="N177" s="149" t="n">
        <x:v>5.598000000000001</x:v>
      </x:c>
      <x:c r="O177" s="149" t="n">
        <x:v>5.598000000000001</x:v>
      </x:c>
      <x:c r="P177" s="149" t="n">
        <x:f>IF('입력·근거'!$B$12="HIGH",O177,N177)</x:f>
        <x:v>5.598000000000001</x:v>
      </x:c>
      <x:c r="Q177" s="158" t="str"/>
      <x:c r="R177" s="161" t="str">
        <x:f>IF(Q177="","",P177*Q177)</x:f>
      </x:c>
      <x:c r="S177" s="146" t="str">
        <x:v>formula_quantity;unpriced_source</x:v>
      </x:c>
    </x:row>
    <x:row r="178">
      <x:c r="A178" s="146" t="str">
        <x:v>Milling Facility.</x:v>
      </x:c>
      <x:c r="B178" s="146" t="n">
        <x:v>32</x:v>
      </x:c>
      <x:c r="C178" s="146" t="str">
        <x:v>옥수수 가공시설</x:v>
      </x:c>
      <x:c r="D178" s="146" t="str">
        <x:v>콘크리트·철근·거푸집</x:v>
      </x:c>
      <x:c r="E178" s="146" t="str">
        <x:v>ELEMENT NO.1</x:v>
      </x:c>
      <x:c r="F178" s="146" t="str">
        <x:v>VIBRATED REINFORCED CONCRETE CLASS 25; 20mm AGGREGATE : in</x:v>
      </x:c>
      <x:c r="G178" s="146" t="str">
        <x:v>V</x:v>
      </x:c>
      <x:c r="H178" s="49" t="str">
        <x:v>150mm thick ground floor slab</x:v>
      </x:c>
      <x:c r="I178" s="146" t="str">
        <x:v>m²</x:v>
      </x:c>
      <x:c r="J178" s="149" t="n">
        <x:v>347</x:v>
      </x:c>
      <x:c r="K178" s="146" t="str">
        <x:v>=D18</x:v>
      </x:c>
      <x:c r="L178" s="149" t="n">
        <x:v>1</x:v>
      </x:c>
      <x:c r="M178" s="149" t="n">
        <x:v>1</x:v>
      </x:c>
      <x:c r="N178" s="149" t="n">
        <x:v>347</x:v>
      </x:c>
      <x:c r="O178" s="149" t="n">
        <x:v>347</x:v>
      </x:c>
      <x:c r="P178" s="149" t="n">
        <x:f>IF('입력·근거'!$B$12="HIGH",O178,N178)</x:f>
        <x:v>347</x:v>
      </x:c>
      <x:c r="Q178" s="158" t="str"/>
      <x:c r="R178" s="161" t="str">
        <x:f>IF(Q178="","",P178*Q178)</x:f>
      </x:c>
      <x:c r="S178" s="146" t="str">
        <x:v>formula_quantity;unpriced_source</x:v>
      </x:c>
    </x:row>
    <x:row r="179">
      <x:c r="A179" s="146" t="str">
        <x:v>Milling Facility.</x:v>
      </x:c>
      <x:c r="B179" s="146" t="n">
        <x:v>35</x:v>
      </x:c>
      <x:c r="C179" s="146" t="str">
        <x:v>옥수수 가공시설</x:v>
      </x:c>
      <x:c r="D179" s="146" t="str">
        <x:v>설비·장비</x:v>
      </x:c>
      <x:c r="E179" s="146" t="str">
        <x:v>ELEMENT NO.1</x:v>
      </x:c>
      <x:c r="F179" s="146" t="str">
        <x:v>MILD STEEL ROUND BARS TO BS 4449</x:v>
      </x:c>
      <x:c r="G179" s="146" t="str">
        <x:v>W</x:v>
      </x:c>
      <x:c r="H179" s="49" t="str">
        <x:v>8mm Diameter bars-stirups</x:v>
      </x:c>
      <x:c r="I179" s="146" t="str">
        <x:v>kg</x:v>
      </x:c>
      <x:c r="J179" s="149" t="n">
        <x:v>199.09975</x:v>
      </x:c>
      <x:c r="K179" s="146" t="str">
        <x:v>=((0.85*465)+(0.85*8*16))*0.395</x:v>
      </x:c>
      <x:c r="L179" s="149" t="n">
        <x:v>1</x:v>
      </x:c>
      <x:c r="M179" s="149" t="n">
        <x:v>1</x:v>
      </x:c>
      <x:c r="N179" s="149" t="n">
        <x:v>199.09975</x:v>
      </x:c>
      <x:c r="O179" s="149" t="n">
        <x:v>199.09975</x:v>
      </x:c>
      <x:c r="P179" s="149" t="n">
        <x:f>IF('입력·근거'!$B$12="HIGH",O179,N179)</x:f>
        <x:v>199.09975</x:v>
      </x:c>
      <x:c r="Q179" s="158" t="str"/>
      <x:c r="R179" s="161" t="str">
        <x:f>IF(Q179="","",P179*Q179)</x:f>
      </x:c>
      <x:c r="S179" s="146" t="str">
        <x:v>formula_quantity;unpriced_source</x:v>
      </x:c>
    </x:row>
    <x:row r="180">
      <x:c r="A180" s="146" t="str">
        <x:v>Milling Facility.</x:v>
      </x:c>
      <x:c r="B180" s="146" t="n">
        <x:v>39</x:v>
      </x:c>
      <x:c r="C180" s="146" t="str">
        <x:v>옥수수 가공시설</x:v>
      </x:c>
      <x:c r="D180" s="146" t="str">
        <x:v>콘크리트·철근·거푸집</x:v>
      </x:c>
      <x:c r="E180" s="146" t="str">
        <x:v>ELEMENT NO.1</x:v>
      </x:c>
      <x:c r="F180" s="146" t="str">
        <x:v>HIGH TENSILE RIBBED BARS TO BS 4449</x:v>
      </x:c>
      <x:c r="G180" s="146" t="str">
        <x:v>A</x:v>
      </x:c>
      <x:c r="H180" s="49" t="str">
        <x:v>12mm Diameter bars-ground beams</x:v>
      </x:c>
      <x:c r="I180" s="146" t="str">
        <x:v>kg</x:v>
      </x:c>
      <x:c r="J180" s="149" t="n">
        <x:v>272.1264</x:v>
      </x:c>
      <x:c r="K180" s="146" t="str">
        <x:v>=((17*4*2+19.4*4*2)*1.05)*0.89</x:v>
      </x:c>
      <x:c r="L180" s="149" t="n">
        <x:v>1</x:v>
      </x:c>
      <x:c r="M180" s="149" t="n">
        <x:v>1</x:v>
      </x:c>
      <x:c r="N180" s="149" t="n">
        <x:v>272.1264</x:v>
      </x:c>
      <x:c r="O180" s="149" t="n">
        <x:v>272.1264</x:v>
      </x:c>
      <x:c r="P180" s="149" t="n">
        <x:f>IF('입력·근거'!$B$12="HIGH",O180,N180)</x:f>
        <x:v>272.1264</x:v>
      </x:c>
      <x:c r="Q180" s="158" t="str"/>
      <x:c r="R180" s="161" t="str">
        <x:f>IF(Q180="","",P180*Q180)</x:f>
      </x:c>
      <x:c r="S180" s="146" t="str">
        <x:v>formula_quantity;unpriced_source</x:v>
      </x:c>
    </x:row>
    <x:row r="181">
      <x:c r="A181" s="146" t="str">
        <x:v>Milling Facility.</x:v>
      </x:c>
      <x:c r="B181" s="146" t="n">
        <x:v>40</x:v>
      </x:c>
      <x:c r="C181" s="146" t="str">
        <x:v>옥수수 가공시설</x:v>
      </x:c>
      <x:c r="D181" s="146" t="str">
        <x:v>콘크리트·철근·거푸집</x:v>
      </x:c>
      <x:c r="E181" s="146" t="str">
        <x:v>ELEMENT NO.1</x:v>
      </x:c>
      <x:c r="F181" s="146" t="str">
        <x:v>HIGH TENSILE RIBBED BARS TO BS 4449</x:v>
      </x:c>
      <x:c r="G181" s="146" t="str">
        <x:v>B</x:v>
      </x:c>
      <x:c r="H181" s="49" t="str">
        <x:v>16mm Diameter bars-stub columns</x:v>
      </x:c>
      <x:c r="I181" s="146" t="str">
        <x:v>kg</x:v>
      </x:c>
      <x:c r="J181" s="149" t="n">
        <x:v>303.36</x:v>
      </x:c>
      <x:c r="K181" s="146" t="str">
        <x:v>=3*4*16*1.58</x:v>
      </x:c>
      <x:c r="L181" s="149" t="n">
        <x:v>1</x:v>
      </x:c>
      <x:c r="M181" s="149" t="n">
        <x:v>1</x:v>
      </x:c>
      <x:c r="N181" s="149" t="n">
        <x:v>303.36</x:v>
      </x:c>
      <x:c r="O181" s="149" t="n">
        <x:v>303.36</x:v>
      </x:c>
      <x:c r="P181" s="149" t="n">
        <x:f>IF('입력·근거'!$B$12="HIGH",O181,N181)</x:f>
        <x:v>303.36</x:v>
      </x:c>
      <x:c r="Q181" s="158" t="str"/>
      <x:c r="R181" s="161" t="str">
        <x:f>IF(Q181="","",P181*Q181)</x:f>
      </x:c>
      <x:c r="S181" s="146" t="str">
        <x:v>formula_quantity;unpriced_source</x:v>
      </x:c>
    </x:row>
    <x:row r="182">
      <x:c r="A182" s="146" t="str">
        <x:v>Milling Facility.</x:v>
      </x:c>
      <x:c r="B182" s="146" t="n">
        <x:v>42</x:v>
      </x:c>
      <x:c r="C182" s="146" t="str">
        <x:v>옥수수 가공시설</x:v>
      </x:c>
      <x:c r="D182" s="146" t="str">
        <x:v>콘크리트·철근·거푸집</x:v>
      </x:c>
      <x:c r="E182" s="146" t="str">
        <x:v>ELEMENT NO.1</x:v>
      </x:c>
      <x:c r="F182" s="146" t="str">
        <x:v>STEEL FABRIC REINFORCEMENT TO BS 4483 as described</x:v>
      </x:c>
      <x:c r="G182" s="146" t="str">
        <x:v>C</x:v>
      </x:c>
      <x:c r="H182" s="49" t="str">
        <x:v>No. A98 Fabric Mesh reinforcement weighing 1.58 kg. per square meter fixed in slab</x:v>
      </x:c>
      <x:c r="I182" s="146" t="str">
        <x:v>m²</x:v>
      </x:c>
      <x:c r="J182" s="149" t="n">
        <x:v>347</x:v>
      </x:c>
      <x:c r="K182" s="146" t="str">
        <x:v>=D32</x:v>
      </x:c>
      <x:c r="L182" s="149" t="n">
        <x:v>1</x:v>
      </x:c>
      <x:c r="M182" s="149" t="n">
        <x:v>1</x:v>
      </x:c>
      <x:c r="N182" s="149" t="n">
        <x:v>347</x:v>
      </x:c>
      <x:c r="O182" s="149" t="n">
        <x:v>347</x:v>
      </x:c>
      <x:c r="P182" s="149" t="n">
        <x:f>IF('입력·근거'!$B$12="HIGH",O182,N182)</x:f>
        <x:v>347</x:v>
      </x:c>
      <x:c r="Q182" s="158" t="str"/>
      <x:c r="R182" s="161" t="str">
        <x:f>IF(Q182="","",P182*Q182)</x:f>
      </x:c>
      <x:c r="S182" s="146" t="str">
        <x:v>formula_quantity;unpriced_source</x:v>
      </x:c>
    </x:row>
    <x:row r="183">
      <x:c r="A183" s="146" t="str">
        <x:v>Milling Facility.</x:v>
      </x:c>
      <x:c r="B183" s="146" t="n">
        <x:v>44</x:v>
      </x:c>
      <x:c r="C183" s="146" t="str">
        <x:v>옥수수 가공시설</x:v>
      </x:c>
      <x:c r="D183" s="146" t="str">
        <x:v>콘크리트·철근·거푸집</x:v>
      </x:c>
      <x:c r="E183" s="146" t="str">
        <x:v>ELEMENT NO.1</x:v>
      </x:c>
      <x:c r="F183" s="146" t="str">
        <x:v>FORMWORK TO</x:v>
      </x:c>
      <x:c r="G183" s="146" t="str">
        <x:v>D</x:v>
      </x:c>
      <x:c r="H183" s="49" t="str">
        <x:v>Vertical sides of column bases</x:v>
      </x:c>
      <x:c r="I183" s="146" t="str">
        <x:v>m²</x:v>
      </x:c>
      <x:c r="J183" s="149" t="n">
        <x:v>43.199999999999996</x:v>
      </x:c>
      <x:c r="K183" s="146" t="str">
        <x:v>=0.3*6*24</x:v>
      </x:c>
      <x:c r="L183" s="149" t="n">
        <x:v>1</x:v>
      </x:c>
      <x:c r="M183" s="149" t="n">
        <x:v>1</x:v>
      </x:c>
      <x:c r="N183" s="149" t="n">
        <x:v>43.199999999999996</x:v>
      </x:c>
      <x:c r="O183" s="149" t="n">
        <x:v>43.199999999999996</x:v>
      </x:c>
      <x:c r="P183" s="149" t="n">
        <x:f>IF('입력·근거'!$B$12="HIGH",O183,N183)</x:f>
        <x:v>43.199999999999996</x:v>
      </x:c>
      <x:c r="Q183" s="158" t="str"/>
      <x:c r="R183" s="161" t="str">
        <x:f>IF(Q183="","",P183*Q183)</x:f>
      </x:c>
      <x:c r="S183" s="146" t="str">
        <x:v>formula_quantity;unpriced_source</x:v>
      </x:c>
    </x:row>
    <x:row r="184">
      <x:c r="A184" s="146" t="str">
        <x:v>Milling Facility.</x:v>
      </x:c>
      <x:c r="B184" s="146" t="n">
        <x:v>45</x:v>
      </x:c>
      <x:c r="C184" s="146" t="str">
        <x:v>옥수수 가공시설</x:v>
      </x:c>
      <x:c r="D184" s="146" t="str">
        <x:v>콘크리트·철근·거푸집</x:v>
      </x:c>
      <x:c r="E184" s="146" t="str">
        <x:v>ELEMENT NO.1</x:v>
      </x:c>
      <x:c r="F184" s="146" t="str">
        <x:v>FORMWORK TO</x:v>
      </x:c>
      <x:c r="G184" s="146" t="str">
        <x:v>E</x:v>
      </x:c>
      <x:c r="H184" s="49" t="str">
        <x:v>Vertical sides of columns</x:v>
      </x:c>
      <x:c r="I184" s="146" t="str">
        <x:v>m²</x:v>
      </x:c>
      <x:c r="J184" s="149" t="n">
        <x:v>34.56</x:v>
      </x:c>
      <x:c r="K184" s="146" t="str">
        <x:v>=2*(0.2+0.4)*1.2*24</x:v>
      </x:c>
      <x:c r="L184" s="149" t="n">
        <x:v>1</x:v>
      </x:c>
      <x:c r="M184" s="149" t="n">
        <x:v>1</x:v>
      </x:c>
      <x:c r="N184" s="149" t="n">
        <x:v>34.56</x:v>
      </x:c>
      <x:c r="O184" s="149" t="n">
        <x:v>34.56</x:v>
      </x:c>
      <x:c r="P184" s="149" t="n">
        <x:f>IF('입력·근거'!$B$12="HIGH",O184,N184)</x:f>
        <x:v>34.56</x:v>
      </x:c>
      <x:c r="Q184" s="158" t="str"/>
      <x:c r="R184" s="161" t="str">
        <x:f>IF(Q184="","",P184*Q184)</x:f>
      </x:c>
      <x:c r="S184" s="146" t="str">
        <x:v>formula_quantity;unpriced_source</x:v>
      </x:c>
    </x:row>
    <x:row r="185">
      <x:c r="A185" s="146" t="str">
        <x:v>Milling Facility.</x:v>
      </x:c>
      <x:c r="B185" s="146" t="n">
        <x:v>46</x:v>
      </x:c>
      <x:c r="C185" s="146" t="str">
        <x:v>옥수수 가공시설</x:v>
      </x:c>
      <x:c r="D185" s="146" t="str">
        <x:v>콘크리트·철근·거푸집</x:v>
      </x:c>
      <x:c r="E185" s="146" t="str">
        <x:v>ELEMENT NO.1</x:v>
      </x:c>
      <x:c r="F185" s="146" t="str">
        <x:v>FORMWORK TO</x:v>
      </x:c>
      <x:c r="G185" s="146" t="str">
        <x:v>F</x:v>
      </x:c>
      <x:c r="H185" s="49" t="str">
        <x:v>Sides of strip foundation</x:v>
      </x:c>
      <x:c r="I185" s="146" t="str">
        <x:v>m²</x:v>
      </x:c>
      <x:c r="J185" s="149" t="n">
        <x:v>0</x:v>
      </x:c>
      <x:c r="K185" s="146" t="str"/>
      <x:c r="L185" s="149" t="n">
        <x:v>1</x:v>
      </x:c>
      <x:c r="M185" s="149" t="n">
        <x:v>1</x:v>
      </x:c>
      <x:c r="N185" s="149" t="n">
        <x:v>0</x:v>
      </x:c>
      <x:c r="O185" s="149" t="n">
        <x:v>0</x:v>
      </x:c>
      <x:c r="P185" s="149" t="n">
        <x:f>IF('입력·근거'!$B$12="HIGH",O185,N185)</x:f>
        <x:v>0</x:v>
      </x:c>
      <x:c r="Q185" s="158" t="str"/>
      <x:c r="R185" s="161" t="str">
        <x:f>IF(Q185="","",P185*Q185)</x:f>
      </x:c>
      <x:c r="S185" s="146" t="str">
        <x:v>zero_quantity_check_formula_or_design;unpriced_source</x:v>
      </x:c>
    </x:row>
    <x:row r="186">
      <x:c r="A186" s="146" t="str">
        <x:v>Milling Facility.</x:v>
      </x:c>
      <x:c r="B186" s="146" t="n">
        <x:v>47</x:v>
      </x:c>
      <x:c r="C186" s="146" t="str">
        <x:v>옥수수 가공시설</x:v>
      </x:c>
      <x:c r="D186" s="146" t="str">
        <x:v>콘크리트·철근·거푸집</x:v>
      </x:c>
      <x:c r="E186" s="146" t="str">
        <x:v>ELEMENT NO.1</x:v>
      </x:c>
      <x:c r="F186" s="146" t="str">
        <x:v>FORMWORK TO</x:v>
      </x:c>
      <x:c r="G186" s="146" t="str">
        <x:v>G</x:v>
      </x:c>
      <x:c r="H186" s="49" t="str">
        <x:v>Sides of ground beam</x:v>
      </x:c>
      <x:c r="I186" s="146" t="str">
        <x:v>m²</x:v>
      </x:c>
      <x:c r="J186" s="149" t="n">
        <x:v>56</x:v>
      </x:c>
      <x:c r="K186" s="146" t="str"/>
      <x:c r="L186" s="149" t="n">
        <x:v>1</x:v>
      </x:c>
      <x:c r="M186" s="149" t="n">
        <x:v>1</x:v>
      </x:c>
      <x:c r="N186" s="149" t="n">
        <x:v>56</x:v>
      </x:c>
      <x:c r="O186" s="149" t="n">
        <x:v>56</x:v>
      </x:c>
      <x:c r="P186" s="149" t="n">
        <x:f>IF('입력·근거'!$B$12="HIGH",O186,N186)</x:f>
        <x:v>56</x:v>
      </x:c>
      <x:c r="Q186" s="158" t="str"/>
      <x:c r="R186" s="161" t="str">
        <x:f>IF(Q186="","",P186*Q186)</x:f>
      </x:c>
      <x:c r="S186" s="146" t="str">
        <x:v>unpriced_source</x:v>
      </x:c>
    </x:row>
    <x:row r="187">
      <x:c r="A187" s="146" t="str">
        <x:v>Milling Facility.</x:v>
      </x:c>
      <x:c r="B187" s="146" t="n">
        <x:v>48</x:v>
      </x:c>
      <x:c r="C187" s="146" t="str">
        <x:v>옥수수 가공시설</x:v>
      </x:c>
      <x:c r="D187" s="146" t="str">
        <x:v>콘크리트·철근·거푸집</x:v>
      </x:c>
      <x:c r="E187" s="146" t="str">
        <x:v>ELEMENT NO.1</x:v>
      </x:c>
      <x:c r="F187" s="146" t="str">
        <x:v>FORMWORK TO</x:v>
      </x:c>
      <x:c r="G187" s="146" t="str">
        <x:v>H</x:v>
      </x:c>
      <x:c r="H187" s="49" t="str">
        <x:v>Edges of slabs 75 to 150mm high</x:v>
      </x:c>
      <x:c r="I187" s="146" t="str">
        <x:v>m</x:v>
      </x:c>
      <x:c r="J187" s="149" t="n">
        <x:v>95.6</x:v>
      </x:c>
      <x:c r="K187" s="146" t="str">
        <x:v>=2*(17+19.4)+2*(8.3+3.1)</x:v>
      </x:c>
      <x:c r="L187" s="149" t="n">
        <x:v>1</x:v>
      </x:c>
      <x:c r="M187" s="149" t="n">
        <x:v>1</x:v>
      </x:c>
      <x:c r="N187" s="149" t="n">
        <x:v>95.6</x:v>
      </x:c>
      <x:c r="O187" s="149" t="n">
        <x:v>95.6</x:v>
      </x:c>
      <x:c r="P187" s="149" t="n">
        <x:f>IF('입력·근거'!$B$12="HIGH",O187,N187)</x:f>
        <x:v>95.6</x:v>
      </x:c>
      <x:c r="Q187" s="158" t="str"/>
      <x:c r="R187" s="161" t="str">
        <x:f>IF(Q187="","",P187*Q187)</x:f>
      </x:c>
      <x:c r="S187" s="146" t="str">
        <x:v>formula_quantity;unpriced_source</x:v>
      </x:c>
    </x:row>
    <x:row r="188">
      <x:c r="A188" s="146" t="str">
        <x:v>Milling Facility.</x:v>
      </x:c>
      <x:c r="B188" s="146" t="n">
        <x:v>50</x:v>
      </x:c>
      <x:c r="C188" s="146" t="str">
        <x:v>옥수수 가공시설</x:v>
      </x:c>
      <x:c r="D188" s="146" t="str">
        <x:v>지붕</x:v>
      </x:c>
      <x:c r="E188" s="146" t="str">
        <x:v>ELEMENT NO.1</x:v>
      </x:c>
      <x:c r="F188" s="146" t="str">
        <x:v>DAMP PROOF COURSES</x:v>
      </x:c>
      <x:c r="G188" s="146" t="str">
        <x:v>I</x:v>
      </x:c>
      <x:c r="H188" s="49" t="str">
        <x:v>1000 Gauge polythene sheeting laid on blinded hardcore</x:v>
      </x:c>
      <x:c r="I188" s="146" t="str">
        <x:v>m²</x:v>
      </x:c>
      <x:c r="J188" s="149" t="n">
        <x:v>347</x:v>
      </x:c>
      <x:c r="K188" s="146" t="str">
        <x:v>=D42</x:v>
      </x:c>
      <x:c r="L188" s="149" t="n">
        <x:v>1</x:v>
      </x:c>
      <x:c r="M188" s="149" t="n">
        <x:v>1</x:v>
      </x:c>
      <x:c r="N188" s="149" t="n">
        <x:v>347</x:v>
      </x:c>
      <x:c r="O188" s="149" t="n">
        <x:v>347</x:v>
      </x:c>
      <x:c r="P188" s="149" t="n">
        <x:f>IF('입력·근거'!$B$12="HIGH",O188,N188)</x:f>
        <x:v>347</x:v>
      </x:c>
      <x:c r="Q188" s="158" t="str"/>
      <x:c r="R188" s="161" t="str">
        <x:f>IF(Q188="","",P188*Q188)</x:f>
      </x:c>
      <x:c r="S188" s="146" t="str">
        <x:v>formula_quantity;unpriced_source</x:v>
      </x:c>
    </x:row>
    <x:row r="189">
      <x:c r="A189" s="146" t="str">
        <x:v>Milling Facility.</x:v>
      </x:c>
      <x:c r="B189" s="146" t="n">
        <x:v>53</x:v>
      </x:c>
      <x:c r="C189" s="146" t="str">
        <x:v>옥수수 가공시설</x:v>
      </x:c>
      <x:c r="D189" s="146" t="str">
        <x:v>조적</x:v>
      </x:c>
      <x:c r="E189" s="146" t="str">
        <x:v>ELEMENT NO.1</x:v>
      </x:c>
      <x:c r="F189" s="146" t="str">
        <x:v>Brickwork in burnt clay bricks in cement and sand mortar (1:3) mix; with and including 25 x 3mm hoop iron strips laid horizontally every alternate course.</x:v>
      </x:c>
      <x:c r="G189" s="146" t="str">
        <x:v>J</x:v>
      </x:c>
      <x:c r="H189" s="49" t="str">
        <x:v>200mm Thick walls</x:v>
      </x:c>
      <x:c r="I189" s="146" t="str">
        <x:v>m²</x:v>
      </x:c>
      <x:c r="J189" s="149" t="n">
        <x:v>74</x:v>
      </x:c>
      <x:c r="K189" s="146" t="str"/>
      <x:c r="L189" s="149" t="n">
        <x:v>1</x:v>
      </x:c>
      <x:c r="M189" s="149" t="n">
        <x:v>1</x:v>
      </x:c>
      <x:c r="N189" s="149" t="n">
        <x:v>74</x:v>
      </x:c>
      <x:c r="O189" s="149" t="n">
        <x:v>74</x:v>
      </x:c>
      <x:c r="P189" s="149" t="n">
        <x:f>IF('입력·근거'!$B$12="HIGH",O189,N189)</x:f>
        <x:v>74</x:v>
      </x:c>
      <x:c r="Q189" s="158" t="str"/>
      <x:c r="R189" s="161" t="str">
        <x:f>IF(Q189="","",P189*Q189)</x:f>
      </x:c>
      <x:c r="S189" s="146" t="str">
        <x:v>unpriced_source</x:v>
      </x:c>
    </x:row>
    <x:row r="190">
      <x:c r="A190" s="146" t="str">
        <x:v>Milling Facility.</x:v>
      </x:c>
      <x:c r="B190" s="146" t="n">
        <x:v>54</x:v>
      </x:c>
      <x:c r="C190" s="146" t="str">
        <x:v>옥수수 가공시설</x:v>
      </x:c>
      <x:c r="D190" s="146" t="str">
        <x:v>급배수·위생</x:v>
      </x:c>
      <x:c r="E190" s="146" t="str">
        <x:v>ELEMENT NO.1</x:v>
      </x:c>
      <x:c r="F190" s="146" t="str">
        <x:v>Brickwork in burnt clay bricks in cement and sand mortar (1:3) mix; with and including 25 x 3mm hoop iron strips laid horizontally every alternate course.</x:v>
      </x:c>
      <x:c r="G190" s="146" t="str">
        <x:v>K</x:v>
      </x:c>
      <x:c r="H190" s="49" t="str">
        <x:v>100mm diameter x 6mm thick x 6000mm high galvanised iron class B pipe support with bottom end welded to 110 x 110 x 6mm thick plate set in and including concrete (1:3:6) base size 200 x 200 x 300mm deep and 100 x 80 x 6mm U-plate welded on top end and general painting.</x:v>
      </x:c>
      <x:c r="I190" s="146" t="str">
        <x:v>no.</x:v>
      </x:c>
      <x:c r="J190" s="149" t="n">
        <x:v>14</x:v>
      </x:c>
      <x:c r="K190" s="146" t="str"/>
      <x:c r="L190" s="149" t="n">
        <x:v>1</x:v>
      </x:c>
      <x:c r="M190" s="149" t="n">
        <x:v>1</x:v>
      </x:c>
      <x:c r="N190" s="149" t="n">
        <x:v>14</x:v>
      </x:c>
      <x:c r="O190" s="149" t="n">
        <x:v>14</x:v>
      </x:c>
      <x:c r="P190" s="149" t="n">
        <x:f>IF('입력·근거'!$B$12="HIGH",O190,N190)</x:f>
        <x:v>14</x:v>
      </x:c>
      <x:c r="Q190" s="158" t="str"/>
      <x:c r="R190" s="161" t="str">
        <x:f>IF(Q190="","",P190*Q190)</x:f>
      </x:c>
      <x:c r="S190" s="146" t="str">
        <x:v>unpriced_source</x:v>
      </x:c>
    </x:row>
    <x:row r="191">
      <x:c r="A191" s="146" t="str">
        <x:v>Milling Facility.</x:v>
      </x:c>
      <x:c r="B191" s="146" t="n">
        <x:v>56</x:v>
      </x:c>
      <x:c r="C191" s="146" t="str">
        <x:v>옥수수 가공시설</x:v>
      </x:c>
      <x:c r="D191" s="146" t="str">
        <x:v>설비·장비</x:v>
      </x:c>
      <x:c r="E191" s="146" t="str">
        <x:v>ELEMENT NO.1</x:v>
      </x:c>
      <x:c r="F191" s="146" t="str">
        <x:v>CONSTRUCTION, CONTRACTION &amp; EXPANSION JOINTS</x:v>
      </x:c>
      <x:c r="G191" s="146" t="str">
        <x:v>L</x:v>
      </x:c>
      <x:c r="H191" s="49" t="str">
        <x:v>Saw cut construction joint 15mm x 125mm deep as directed by the Engineer.</x:v>
      </x:c>
      <x:c r="I191" s="146" t="str">
        <x:v>m</x:v>
      </x:c>
      <x:c r="J191" s="149" t="n">
        <x:v>75</x:v>
      </x:c>
      <x:c r="K191" s="146" t="str"/>
      <x:c r="L191" s="149" t="n">
        <x:v>1</x:v>
      </x:c>
      <x:c r="M191" s="149" t="n">
        <x:v>1</x:v>
      </x:c>
      <x:c r="N191" s="149" t="n">
        <x:v>75</x:v>
      </x:c>
      <x:c r="O191" s="149" t="n">
        <x:v>75</x:v>
      </x:c>
      <x:c r="P191" s="149" t="n">
        <x:f>IF('입력·근거'!$B$12="HIGH",O191,N191)</x:f>
        <x:v>75</x:v>
      </x:c>
      <x:c r="Q191" s="158" t="str"/>
      <x:c r="R191" s="161" t="str">
        <x:f>IF(Q191="","",P191*Q191)</x:f>
      </x:c>
      <x:c r="S191" s="146" t="str">
        <x:v>unpriced_source</x:v>
      </x:c>
    </x:row>
    <x:row r="192">
      <x:c r="A192" s="146" t="str">
        <x:v>Milling Facility.</x:v>
      </x:c>
      <x:c r="B192" s="146" t="n">
        <x:v>57</x:v>
      </x:c>
      <x:c r="C192" s="146" t="str">
        <x:v>옥수수 가공시설</x:v>
      </x:c>
      <x:c r="D192" s="146" t="str">
        <x:v>콘크리트·철근·거푸집</x:v>
      </x:c>
      <x:c r="E192" s="146" t="str">
        <x:v>ELEMENT NO.1</x:v>
      </x:c>
      <x:c r="F192" s="146" t="str">
        <x:v>CONSTRUCTION, CONTRACTION &amp; EXPANSION JOINTS</x:v>
      </x:c>
      <x:c r="G192" s="146" t="str">
        <x:v>M</x:v>
      </x:c>
      <x:c r="H192" s="49" t="str">
        <x:v>15 x 15mm Approved mastic sealant in slab</x:v>
      </x:c>
      <x:c r="I192" s="146" t="str">
        <x:v>m</x:v>
      </x:c>
      <x:c r="J192" s="149" t="n">
        <x:v>75</x:v>
      </x:c>
      <x:c r="K192" s="146" t="str">
        <x:v>=D56</x:v>
      </x:c>
      <x:c r="L192" s="149" t="n">
        <x:v>1</x:v>
      </x:c>
      <x:c r="M192" s="149" t="n">
        <x:v>1</x:v>
      </x:c>
      <x:c r="N192" s="149" t="n">
        <x:v>75</x:v>
      </x:c>
      <x:c r="O192" s="149" t="n">
        <x:v>75</x:v>
      </x:c>
      <x:c r="P192" s="149" t="n">
        <x:f>IF('입력·근거'!$B$12="HIGH",O192,N192)</x:f>
        <x:v>75</x:v>
      </x:c>
      <x:c r="Q192" s="158" t="str"/>
      <x:c r="R192" s="161" t="str">
        <x:f>IF(Q192="","",P192*Q192)</x:f>
      </x:c>
      <x:c r="S192" s="146" t="str">
        <x:v>formula_quantity;unpriced_source</x:v>
      </x:c>
    </x:row>
    <x:row r="193">
      <x:c r="A193" s="146" t="str">
        <x:v>Milling Facility.</x:v>
      </x:c>
      <x:c r="B193" s="146" t="n">
        <x:v>58</x:v>
      </x:c>
      <x:c r="C193" s="146" t="str">
        <x:v>옥수수 가공시설</x:v>
      </x:c>
      <x:c r="D193" s="146" t="str">
        <x:v>콘크리트·철근·거푸집</x:v>
      </x:c>
      <x:c r="E193" s="146" t="str">
        <x:v>ELEMENT NO.1</x:v>
      </x:c>
      <x:c r="F193" s="146" t="str">
        <x:v>CONSTRUCTION, CONTRACTION &amp; EXPANSION JOINTS</x:v>
      </x:c>
      <x:c r="G193" s="146" t="str">
        <x:v>N</x:v>
      </x:c>
      <x:c r="H193" s="49" t="str">
        <x:v>15 x 110mm flexcell expansion joints filler in floor slab as directed by the Engineer.</x:v>
      </x:c>
      <x:c r="I193" s="146" t="str">
        <x:v>m</x:v>
      </x:c>
      <x:c r="J193" s="149" t="n">
        <x:v>75</x:v>
      </x:c>
      <x:c r="K193" s="146" t="str"/>
      <x:c r="L193" s="149" t="n">
        <x:v>1</x:v>
      </x:c>
      <x:c r="M193" s="149" t="n">
        <x:v>1</x:v>
      </x:c>
      <x:c r="N193" s="149" t="n">
        <x:v>75</x:v>
      </x:c>
      <x:c r="O193" s="149" t="n">
        <x:v>75</x:v>
      </x:c>
      <x:c r="P193" s="149" t="n">
        <x:f>IF('입력·근거'!$B$12="HIGH",O193,N193)</x:f>
        <x:v>75</x:v>
      </x:c>
      <x:c r="Q193" s="158" t="str"/>
      <x:c r="R193" s="161" t="str">
        <x:f>IF(Q193="","",P193*Q193)</x:f>
      </x:c>
      <x:c r="S193" s="146" t="str">
        <x:v>unpriced_source</x:v>
      </x:c>
    </x:row>
    <x:row r="194">
      <x:c r="A194" s="146" t="str">
        <x:v>Milling Facility.</x:v>
      </x:c>
      <x:c r="B194" s="146" t="n">
        <x:v>60</x:v>
      </x:c>
      <x:c r="C194" s="146" t="str">
        <x:v>옥수수 가공시설</x:v>
      </x:c>
      <x:c r="D194" s="146" t="str">
        <x:v>마감</x:v>
      </x:c>
      <x:c r="E194" s="146" t="str">
        <x:v>ELEMENT NO.1</x:v>
      </x:c>
      <x:c r="F194" s="146" t="str">
        <x:v>MECHANICALLY POWER FLOATED FLOOR FINISH; MECHANICALLY TROWELLED; with and including approved floor hardener; to freshly laid concrete; to</x:v>
      </x:c>
      <x:c r="G194" s="146" t="str">
        <x:v>O</x:v>
      </x:c>
      <x:c r="H194" s="49" t="str">
        <x:v>Floors</x:v>
      </x:c>
      <x:c r="I194" s="146" t="str">
        <x:v>m²</x:v>
      </x:c>
      <x:c r="J194" s="149" t="n">
        <x:v>347</x:v>
      </x:c>
      <x:c r="K194" s="146" t="str">
        <x:v>=D42</x:v>
      </x:c>
      <x:c r="L194" s="149" t="n">
        <x:v>1</x:v>
      </x:c>
      <x:c r="M194" s="149" t="n">
        <x:v>1</x:v>
      </x:c>
      <x:c r="N194" s="149" t="n">
        <x:v>347</x:v>
      </x:c>
      <x:c r="O194" s="149" t="n">
        <x:v>347</x:v>
      </x:c>
      <x:c r="P194" s="149" t="n">
        <x:f>IF('입력·근거'!$B$12="HIGH",O194,N194)</x:f>
        <x:v>347</x:v>
      </x:c>
      <x:c r="Q194" s="158" t="str"/>
      <x:c r="R194" s="161" t="str">
        <x:f>IF(Q194="","",P194*Q194)</x:f>
      </x:c>
      <x:c r="S194" s="146" t="str">
        <x:v>formula_quantity;unpriced_source</x:v>
      </x:c>
    </x:row>
    <x:row r="195">
      <x:c r="A195" s="146" t="str">
        <x:v>Milling Facility.</x:v>
      </x:c>
      <x:c r="B195" s="146" t="n">
        <x:v>73</x:v>
      </x:c>
      <x:c r="C195" s="146" t="str">
        <x:v>옥수수 가공시설</x:v>
      </x:c>
      <x:c r="D195" s="146" t="str">
        <x:v>콘크리트·철근·거푸집</x:v>
      </x:c>
      <x:c r="E195" s="146" t="str">
        <x:v>ELEMENT NO.2</x:v>
      </x:c>
      <x:c r="F195" s="146" t="str">
        <x:v>VIBRATED REINFORCED CONCRETE CLASS 25; 20mm AGGREGATE : in</x:v>
      </x:c>
      <x:c r="G195" s="146" t="str">
        <x:v>A</x:v>
      </x:c>
      <x:c r="H195" s="49" t="str">
        <x:v>Columns</x:v>
      </x:c>
      <x:c r="I195" s="146" t="str">
        <x:v>m³</x:v>
      </x:c>
      <x:c r="J195" s="149" t="n">
        <x:v>5.76</x:v>
      </x:c>
      <x:c r="K195" s="146" t="str">
        <x:v>=0.2*0.3*6*16</x:v>
      </x:c>
      <x:c r="L195" s="149" t="n">
        <x:v>1</x:v>
      </x:c>
      <x:c r="M195" s="149" t="n">
        <x:v>1</x:v>
      </x:c>
      <x:c r="N195" s="149" t="n">
        <x:v>5.76</x:v>
      </x:c>
      <x:c r="O195" s="149" t="n">
        <x:v>5.76</x:v>
      </x:c>
      <x:c r="P195" s="149" t="n">
        <x:f>IF('입력·근거'!$B$12="HIGH",O195,N195)</x:f>
        <x:v>5.76</x:v>
      </x:c>
      <x:c r="Q195" s="158" t="str"/>
      <x:c r="R195" s="161" t="str">
        <x:f>IF(Q195="","",P195*Q195)</x:f>
      </x:c>
      <x:c r="S195" s="146" t="str">
        <x:v>formula_quantity;unpriced_source</x:v>
      </x:c>
    </x:row>
    <x:row r="196">
      <x:c r="A196" s="146" t="str">
        <x:v>Milling Facility.</x:v>
      </x:c>
      <x:c r="B196" s="146" t="n">
        <x:v>74</x:v>
      </x:c>
      <x:c r="C196" s="146" t="str">
        <x:v>옥수수 가공시설</x:v>
      </x:c>
      <x:c r="D196" s="146" t="str">
        <x:v>콘크리트·철근·거푸집</x:v>
      </x:c>
      <x:c r="E196" s="146" t="str">
        <x:v>ELEMENT NO.2</x:v>
      </x:c>
      <x:c r="F196" s="146" t="str">
        <x:v>VIBRATED REINFORCED CONCRETE CLASS 25; 20mm AGGREGATE : in</x:v>
      </x:c>
      <x:c r="G196" s="146" t="str">
        <x:v>B</x:v>
      </x:c>
      <x:c r="H196" s="49" t="str">
        <x:v>Ring Beams + wall plate beams</x:v>
      </x:c>
      <x:c r="I196" s="146" t="str">
        <x:v>m³</x:v>
      </x:c>
      <x:c r="J196" s="149" t="n">
        <x:v>7.3</x:v>
      </x:c>
      <x:c r="K196" s="146" t="str"/>
      <x:c r="L196" s="149" t="n">
        <x:v>1</x:v>
      </x:c>
      <x:c r="M196" s="149" t="n">
        <x:v>1</x:v>
      </x:c>
      <x:c r="N196" s="149" t="n">
        <x:v>7.3</x:v>
      </x:c>
      <x:c r="O196" s="149" t="n">
        <x:v>7.3</x:v>
      </x:c>
      <x:c r="P196" s="149" t="n">
        <x:f>IF('입력·근거'!$B$12="HIGH",O196,N196)</x:f>
        <x:v>7.3</x:v>
      </x:c>
      <x:c r="Q196" s="158" t="str"/>
      <x:c r="R196" s="161" t="str">
        <x:f>IF(Q196="","",P196*Q196)</x:f>
      </x:c>
      <x:c r="S196" s="146" t="str">
        <x:v>unpriced_source</x:v>
      </x:c>
    </x:row>
    <x:row r="197">
      <x:c r="A197" s="146" t="str">
        <x:v>Milling Facility.</x:v>
      </x:c>
      <x:c r="B197" s="146" t="n">
        <x:v>77</x:v>
      </x:c>
      <x:c r="C197" s="146" t="str">
        <x:v>옥수수 가공시설</x:v>
      </x:c>
      <x:c r="D197" s="146" t="str">
        <x:v>설비·장비</x:v>
      </x:c>
      <x:c r="E197" s="146" t="str">
        <x:v>ELEMENT NO.2</x:v>
      </x:c>
      <x:c r="F197" s="146" t="str">
        <x:v>MILD STEEL ROUND BARS TO BS 4449</x:v>
      </x:c>
      <x:c r="G197" s="146" t="str">
        <x:v>C</x:v>
      </x:c>
      <x:c r="H197" s="49" t="str">
        <x:v>8mm Diameter bars</x:v>
      </x:c>
      <x:c r="I197" s="146" t="str">
        <x:v>kg</x:v>
      </x:c>
      <x:c r="J197" s="149" t="n">
        <x:v>839</x:v>
      </x:c>
      <x:c r="K197" s="146" t="str"/>
      <x:c r="L197" s="149" t="n">
        <x:v>1</x:v>
      </x:c>
      <x:c r="M197" s="149" t="n">
        <x:v>1</x:v>
      </x:c>
      <x:c r="N197" s="149" t="n">
        <x:v>839</x:v>
      </x:c>
      <x:c r="O197" s="149" t="n">
        <x:v>839</x:v>
      </x:c>
      <x:c r="P197" s="149" t="n">
        <x:f>IF('입력·근거'!$B$12="HIGH",O197,N197)</x:f>
        <x:v>839</x:v>
      </x:c>
      <x:c r="Q197" s="158" t="str"/>
      <x:c r="R197" s="161" t="str">
        <x:f>IF(Q197="","",P197*Q197)</x:f>
      </x:c>
      <x:c r="S197" s="146" t="str">
        <x:v>unpriced_source</x:v>
      </x:c>
    </x:row>
    <x:row r="198">
      <x:c r="A198" s="146" t="str">
        <x:v>Milling Facility.</x:v>
      </x:c>
      <x:c r="B198" s="146" t="n">
        <x:v>79</x:v>
      </x:c>
      <x:c r="C198" s="146" t="str">
        <x:v>옥수수 가공시설</x:v>
      </x:c>
      <x:c r="D198" s="146" t="str">
        <x:v>설비·장비</x:v>
      </x:c>
      <x:c r="E198" s="146" t="str">
        <x:v>ELEMENT NO.2</x:v>
      </x:c>
      <x:c r="F198" s="146" t="str">
        <x:v>HIGH TENSILE RIBBED BARS TO BS 4449</x:v>
      </x:c>
      <x:c r="G198" s="146" t="str">
        <x:v>D</x:v>
      </x:c>
      <x:c r="H198" s="49" t="str">
        <x:v>12mm Diameter bars</x:v>
      </x:c>
      <x:c r="I198" s="146" t="str">
        <x:v>kg</x:v>
      </x:c>
      <x:c r="J198" s="149" t="n">
        <x:v>644</x:v>
      </x:c>
      <x:c r="K198" s="146" t="str"/>
      <x:c r="L198" s="149" t="n">
        <x:v>1</x:v>
      </x:c>
      <x:c r="M198" s="149" t="n">
        <x:v>1</x:v>
      </x:c>
      <x:c r="N198" s="149" t="n">
        <x:v>644</x:v>
      </x:c>
      <x:c r="O198" s="149" t="n">
        <x:v>644</x:v>
      </x:c>
      <x:c r="P198" s="149" t="n">
        <x:f>IF('입력·근거'!$B$12="HIGH",O198,N198)</x:f>
        <x:v>644</x:v>
      </x:c>
      <x:c r="Q198" s="158" t="str"/>
      <x:c r="R198" s="161" t="str">
        <x:f>IF(Q198="","",P198*Q198)</x:f>
      </x:c>
      <x:c r="S198" s="146" t="str">
        <x:v>unpriced_source</x:v>
      </x:c>
    </x:row>
    <x:row r="199">
      <x:c r="A199" s="146" t="str">
        <x:v>Milling Facility.</x:v>
      </x:c>
      <x:c r="B199" s="146" t="n">
        <x:v>80</x:v>
      </x:c>
      <x:c r="C199" s="146" t="str">
        <x:v>옥수수 가공시설</x:v>
      </x:c>
      <x:c r="D199" s="146" t="str">
        <x:v>설비·장비</x:v>
      </x:c>
      <x:c r="E199" s="146" t="str">
        <x:v>ELEMENT NO.2</x:v>
      </x:c>
      <x:c r="F199" s="146" t="str">
        <x:v>HIGH TENSILE RIBBED BARS TO BS 4449</x:v>
      </x:c>
      <x:c r="G199" s="146" t="str">
        <x:v>E</x:v>
      </x:c>
      <x:c r="H199" s="49" t="str">
        <x:v>16mm Diameter bars</x:v>
      </x:c>
      <x:c r="I199" s="146" t="str">
        <x:v>kg</x:v>
      </x:c>
      <x:c r="J199" s="149" t="n">
        <x:v>837</x:v>
      </x:c>
      <x:c r="K199" s="146" t="str"/>
      <x:c r="L199" s="149" t="n">
        <x:v>1</x:v>
      </x:c>
      <x:c r="M199" s="149" t="n">
        <x:v>1</x:v>
      </x:c>
      <x:c r="N199" s="149" t="n">
        <x:v>837</x:v>
      </x:c>
      <x:c r="O199" s="149" t="n">
        <x:v>837</x:v>
      </x:c>
      <x:c r="P199" s="149" t="n">
        <x:f>IF('입력·근거'!$B$12="HIGH",O199,N199)</x:f>
        <x:v>837</x:v>
      </x:c>
      <x:c r="Q199" s="158" t="str"/>
      <x:c r="R199" s="161" t="str">
        <x:f>IF(Q199="","",P199*Q199)</x:f>
      </x:c>
      <x:c r="S199" s="146" t="str">
        <x:v>unpriced_source</x:v>
      </x:c>
    </x:row>
    <x:row r="200">
      <x:c r="A200" s="146" t="str">
        <x:v>Milling Facility.</x:v>
      </x:c>
      <x:c r="B200" s="146" t="n">
        <x:v>82</x:v>
      </x:c>
      <x:c r="C200" s="146" t="str">
        <x:v>옥수수 가공시설</x:v>
      </x:c>
      <x:c r="D200" s="146" t="str">
        <x:v>콘크리트·철근·거푸집</x:v>
      </x:c>
      <x:c r="E200" s="146" t="str">
        <x:v>ELEMENT NO.2</x:v>
      </x:c>
      <x:c r="F200" s="146" t="str">
        <x:v>FORMWORK TO:</x:v>
      </x:c>
      <x:c r="G200" s="146" t="str">
        <x:v>F</x:v>
      </x:c>
      <x:c r="H200" s="49" t="str">
        <x:v>Sides and soffittes of wall plate beams</x:v>
      </x:c>
      <x:c r="I200" s="146" t="str">
        <x:v>m²</x:v>
      </x:c>
      <x:c r="J200" s="149" t="n">
        <x:v>75</x:v>
      </x:c>
      <x:c r="K200" s="146" t="str"/>
      <x:c r="L200" s="149" t="n">
        <x:v>1</x:v>
      </x:c>
      <x:c r="M200" s="149" t="n">
        <x:v>1</x:v>
      </x:c>
      <x:c r="N200" s="149" t="n">
        <x:v>75</x:v>
      </x:c>
      <x:c r="O200" s="149" t="n">
        <x:v>75</x:v>
      </x:c>
      <x:c r="P200" s="149" t="n">
        <x:f>IF('입력·근거'!$B$12="HIGH",O200,N200)</x:f>
        <x:v>75</x:v>
      </x:c>
      <x:c r="Q200" s="158" t="str"/>
      <x:c r="R200" s="161" t="str">
        <x:f>IF(Q200="","",P200*Q200)</x:f>
      </x:c>
      <x:c r="S200" s="146" t="str">
        <x:v>unpriced_source</x:v>
      </x:c>
    </x:row>
    <x:row r="201">
      <x:c r="A201" s="146" t="str">
        <x:v>Milling Facility.</x:v>
      </x:c>
      <x:c r="B201" s="146" t="n">
        <x:v>83</x:v>
      </x:c>
      <x:c r="C201" s="146" t="str">
        <x:v>옥수수 가공시설</x:v>
      </x:c>
      <x:c r="D201" s="146" t="str">
        <x:v>콘크리트·철근·거푸집</x:v>
      </x:c>
      <x:c r="E201" s="146" t="str">
        <x:v>ELEMENT NO.2</x:v>
      </x:c>
      <x:c r="F201" s="146" t="str">
        <x:v>FORMWORK TO:</x:v>
      </x:c>
      <x:c r="G201" s="146" t="str">
        <x:v>G</x:v>
      </x:c>
      <x:c r="H201" s="49" t="str">
        <x:v>Sides and soffittes of ring beams</x:v>
      </x:c>
      <x:c r="I201" s="146" t="str">
        <x:v>m²</x:v>
      </x:c>
      <x:c r="J201" s="149" t="n">
        <x:v>75</x:v>
      </x:c>
      <x:c r="K201" s="146" t="str"/>
      <x:c r="L201" s="149" t="n">
        <x:v>1</x:v>
      </x:c>
      <x:c r="M201" s="149" t="n">
        <x:v>1</x:v>
      </x:c>
      <x:c r="N201" s="149" t="n">
        <x:v>75</x:v>
      </x:c>
      <x:c r="O201" s="149" t="n">
        <x:v>75</x:v>
      </x:c>
      <x:c r="P201" s="149" t="n">
        <x:f>IF('입력·근거'!$B$12="HIGH",O201,N201)</x:f>
        <x:v>75</x:v>
      </x:c>
      <x:c r="Q201" s="158" t="str"/>
      <x:c r="R201" s="161" t="str">
        <x:f>IF(Q201="","",P201*Q201)</x:f>
      </x:c>
      <x:c r="S201" s="146" t="str">
        <x:v>unpriced_source</x:v>
      </x:c>
    </x:row>
    <x:row r="202">
      <x:c r="A202" s="146" t="str">
        <x:v>Milling Facility.</x:v>
      </x:c>
      <x:c r="B202" s="146" t="n">
        <x:v>84</x:v>
      </x:c>
      <x:c r="C202" s="146" t="str">
        <x:v>옥수수 가공시설</x:v>
      </x:c>
      <x:c r="D202" s="146" t="str">
        <x:v>콘크리트·철근·거푸집</x:v>
      </x:c>
      <x:c r="E202" s="146" t="str">
        <x:v>ELEMENT NO.2</x:v>
      </x:c>
      <x:c r="F202" s="146" t="str">
        <x:v>FORMWORK TO:</x:v>
      </x:c>
      <x:c r="G202" s="146" t="str">
        <x:v>H</x:v>
      </x:c>
      <x:c r="H202" s="49" t="str">
        <x:v>Vertical sides of columns</x:v>
      </x:c>
      <x:c r="I202" s="146" t="str">
        <x:v>m²</x:v>
      </x:c>
      <x:c r="J202" s="149" t="n">
        <x:v>172.8</x:v>
      </x:c>
      <x:c r="K202" s="146" t="str">
        <x:v>=(2*(0.2+0.4))*6*24</x:v>
      </x:c>
      <x:c r="L202" s="149" t="n">
        <x:v>1</x:v>
      </x:c>
      <x:c r="M202" s="149" t="n">
        <x:v>1</x:v>
      </x:c>
      <x:c r="N202" s="149" t="n">
        <x:v>172.8</x:v>
      </x:c>
      <x:c r="O202" s="149" t="n">
        <x:v>172.8</x:v>
      </x:c>
      <x:c r="P202" s="149" t="n">
        <x:f>IF('입력·근거'!$B$12="HIGH",O202,N202)</x:f>
        <x:v>172.8</x:v>
      </x:c>
      <x:c r="Q202" s="158" t="str"/>
      <x:c r="R202" s="161" t="str">
        <x:f>IF(Q202="","",P202*Q202)</x:f>
      </x:c>
      <x:c r="S202" s="146" t="str">
        <x:v>formula_quantity;unpriced_source</x:v>
      </x:c>
    </x:row>
    <x:row r="203">
      <x:c r="A203" s="146" t="str">
        <x:v>Milling Facility.</x:v>
      </x:c>
      <x:c r="B203" s="146" t="n">
        <x:v>90</x:v>
      </x:c>
      <x:c r="C203" s="146" t="str">
        <x:v>옥수수 가공시설</x:v>
      </x:c>
      <x:c r="D203" s="146" t="str">
        <x:v>창호·철물</x:v>
      </x:c>
      <x:c r="E203" s="146" t="str">
        <x:v>ELEMENT NO.3</x:v>
      </x:c>
      <x:c r="F203" s="146" t="str">
        <x:v>PRECAST CONCRETE CLASS 25; 20mm AGGREGATE : finished fair on all exposed surfaces including bedding and jointing in cement sand (1:3) mortar</x:v>
      </x:c>
      <x:c r="G203" s="146" t="str">
        <x:v>A</x:v>
      </x:c>
      <x:c r="H203" s="49" t="str">
        <x:v>300 x 75mm Weathered and throated window cill</x:v>
      </x:c>
      <x:c r="I203" s="146" t="str">
        <x:v>m</x:v>
      </x:c>
      <x:c r="J203" s="149" t="n">
        <x:v>29</x:v>
      </x:c>
      <x:c r="K203" s="146" t="str"/>
      <x:c r="L203" s="149" t="n">
        <x:v>1</x:v>
      </x:c>
      <x:c r="M203" s="149" t="n">
        <x:v>1</x:v>
      </x:c>
      <x:c r="N203" s="149" t="n">
        <x:v>29</x:v>
      </x:c>
      <x:c r="O203" s="149" t="n">
        <x:v>29</x:v>
      </x:c>
      <x:c r="P203" s="149" t="n">
        <x:f>IF('입력·근거'!$B$12="HIGH",O203,N203)</x:f>
        <x:v>29</x:v>
      </x:c>
      <x:c r="Q203" s="158" t="str"/>
      <x:c r="R203" s="161" t="str">
        <x:f>IF(Q203="","",P203*Q203)</x:f>
      </x:c>
      <x:c r="S203" s="146" t="str">
        <x:v>unpriced_source</x:v>
      </x:c>
    </x:row>
    <x:row r="204">
      <x:c r="A204" s="146" t="str">
        <x:v>Milling Facility.</x:v>
      </x:c>
      <x:c r="B204" s="146" t="n">
        <x:v>91</x:v>
      </x:c>
      <x:c r="C204" s="146" t="str">
        <x:v>옥수수 가공시설</x:v>
      </x:c>
      <x:c r="D204" s="146" t="str">
        <x:v>마감</x:v>
      </x:c>
      <x:c r="E204" s="146" t="str">
        <x:v>ELEMENT NO.3</x:v>
      </x:c>
      <x:c r="F204" s="146" t="str">
        <x:v>PRECAST CONCRETE CLASS 25; 20mm AGGREGATE : finished fair on all exposed surfaces including bedding and jointing in cement sand (1:3) mortar</x:v>
      </x:c>
      <x:c r="G204" s="146" t="str">
        <x:v>B</x:v>
      </x:c>
      <x:c r="H204" s="49" t="str">
        <x:v>225 x 200mm Lintols</x:v>
      </x:c>
      <x:c r="I204" s="146" t="str">
        <x:v>m</x:v>
      </x:c>
      <x:c r="J204" s="149" t="n">
        <x:v>0</x:v>
      </x:c>
      <x:c r="K204" s="146" t="str"/>
      <x:c r="L204" s="149" t="n">
        <x:v>1</x:v>
      </x:c>
      <x:c r="M204" s="149" t="n">
        <x:v>1</x:v>
      </x:c>
      <x:c r="N204" s="149" t="n">
        <x:v>0</x:v>
      </x:c>
      <x:c r="O204" s="149" t="n">
        <x:v>0</x:v>
      </x:c>
      <x:c r="P204" s="149" t="n">
        <x:f>IF('입력·근거'!$B$12="HIGH",O204,N204)</x:f>
        <x:v>0</x:v>
      </x:c>
      <x:c r="Q204" s="158" t="str"/>
      <x:c r="R204" s="161" t="str">
        <x:f>IF(Q204="","",P204*Q204)</x:f>
      </x:c>
      <x:c r="S204" s="146" t="str">
        <x:v>zero_quantity_check_formula_or_design;unpriced_source</x:v>
      </x:c>
    </x:row>
    <x:row r="205">
      <x:c r="A205" s="146" t="str">
        <x:v>Milling Facility.</x:v>
      </x:c>
      <x:c r="B205" s="146" t="n">
        <x:v>94</x:v>
      </x:c>
      <x:c r="C205" s="146" t="str">
        <x:v>옥수수 가공시설</x:v>
      </x:c>
      <x:c r="D205" s="146" t="str">
        <x:v>조적</x:v>
      </x:c>
      <x:c r="E205" s="146" t="str">
        <x:v>ELEMENT NO.3</x:v>
      </x:c>
      <x:c r="F205" s="146" t="str">
        <x:v>Brickwork in burnt clay bricks in cement and sand mortar (1:3) mix; with and including 25 x 3mm hoop iron strips laid horizontally every alternate course.</x:v>
      </x:c>
      <x:c r="G205" s="146" t="str">
        <x:v>C</x:v>
      </x:c>
      <x:c r="H205" s="49" t="str">
        <x:v>200mm Thick walls</x:v>
      </x:c>
      <x:c r="I205" s="146" t="str">
        <x:v>m²</x:v>
      </x:c>
      <x:c r="J205" s="149" t="n">
        <x:v>459</x:v>
      </x:c>
      <x:c r="K205" s="146" t="str"/>
      <x:c r="L205" s="149" t="n">
        <x:v>1</x:v>
      </x:c>
      <x:c r="M205" s="149" t="n">
        <x:v>1</x:v>
      </x:c>
      <x:c r="N205" s="149" t="n">
        <x:v>459</x:v>
      </x:c>
      <x:c r="O205" s="149" t="n">
        <x:v>459</x:v>
      </x:c>
      <x:c r="P205" s="149" t="n">
        <x:f>IF('입력·근거'!$B$12="HIGH",O205,N205)</x:f>
        <x:v>459</x:v>
      </x:c>
      <x:c r="Q205" s="158" t="str"/>
      <x:c r="R205" s="161" t="str">
        <x:f>IF(Q205="","",P205*Q205)</x:f>
      </x:c>
      <x:c r="S205" s="146" t="str">
        <x:v>unpriced_source</x:v>
      </x:c>
    </x:row>
    <x:row r="206">
      <x:c r="A206" s="146" t="str">
        <x:v>Milling Facility.</x:v>
      </x:c>
      <x:c r="B206" s="146" t="n">
        <x:v>95</x:v>
      </x:c>
      <x:c r="C206" s="146" t="str">
        <x:v>옥수수 가공시설</x:v>
      </x:c>
      <x:c r="D206" s="146" t="str">
        <x:v>조적</x:v>
      </x:c>
      <x:c r="E206" s="146" t="str">
        <x:v>ELEMENT NO.3</x:v>
      </x:c>
      <x:c r="F206" s="146" t="str">
        <x:v>Brickwork in burnt clay bricks in cement and sand mortar (1:3) mix; with and including 25 x 3mm hoop iron strips laid horizontally every alternate course.</x:v>
      </x:c>
      <x:c r="G206" s="146" t="str">
        <x:v>D</x:v>
      </x:c>
      <x:c r="H206" s="49" t="str">
        <x:v>150mm Thick walls</x:v>
      </x:c>
      <x:c r="I206" s="146" t="str">
        <x:v>m²</x:v>
      </x:c>
      <x:c r="J206" s="149" t="n">
        <x:v>0</x:v>
      </x:c>
      <x:c r="K206" s="146" t="str"/>
      <x:c r="L206" s="149" t="n">
        <x:v>1</x:v>
      </x:c>
      <x:c r="M206" s="149" t="n">
        <x:v>1</x:v>
      </x:c>
      <x:c r="N206" s="149" t="n">
        <x:v>0</x:v>
      </x:c>
      <x:c r="O206" s="149" t="n">
        <x:v>0</x:v>
      </x:c>
      <x:c r="P206" s="149" t="n">
        <x:f>IF('입력·근거'!$B$12="HIGH",O206,N206)</x:f>
        <x:v>0</x:v>
      </x:c>
      <x:c r="Q206" s="158" t="str"/>
      <x:c r="R206" s="161" t="str">
        <x:f>IF(Q206="","",P206*Q206)</x:f>
      </x:c>
      <x:c r="S206" s="146" t="str">
        <x:v>zero_quantity_check_formula_or_design;unpriced_source</x:v>
      </x:c>
    </x:row>
    <x:row r="207">
      <x:c r="A207" s="146" t="str">
        <x:v>Milling Facility.</x:v>
      </x:c>
      <x:c r="B207" s="146" t="n">
        <x:v>96</x:v>
      </x:c>
      <x:c r="C207" s="146" t="str">
        <x:v>옥수수 가공시설</x:v>
      </x:c>
      <x:c r="D207" s="146" t="str">
        <x:v>조적</x:v>
      </x:c>
      <x:c r="E207" s="146" t="str">
        <x:v>ELEMENT NO.3</x:v>
      </x:c>
      <x:c r="F207" s="146" t="str">
        <x:v>Brickwork in burnt clay bricks in cement and sand mortar (1:3) mix; with and including 25 x 3mm hoop iron strips laid horizontally every alternate course.</x:v>
      </x:c>
      <x:c r="G207" s="146" t="str">
        <x:v>E</x:v>
      </x:c>
      <x:c r="H207" s="49" t="str">
        <x:v>Labour and Materials in eaves filling in 150mm Brick Walling; 275mm high</x:v>
      </x:c>
      <x:c r="I207" s="146" t="str">
        <x:v>m</x:v>
      </x:c>
      <x:c r="J207" s="149" t="n">
        <x:v>93</x:v>
      </x:c>
      <x:c r="K207" s="146" t="str"/>
      <x:c r="L207" s="149" t="n">
        <x:v>1</x:v>
      </x:c>
      <x:c r="M207" s="149" t="n">
        <x:v>1</x:v>
      </x:c>
      <x:c r="N207" s="149" t="n">
        <x:v>93</x:v>
      </x:c>
      <x:c r="O207" s="149" t="n">
        <x:v>93</x:v>
      </x:c>
      <x:c r="P207" s="149" t="n">
        <x:f>IF('입력·근거'!$B$12="HIGH",O207,N207)</x:f>
        <x:v>93</x:v>
      </x:c>
      <x:c r="Q207" s="158" t="str"/>
      <x:c r="R207" s="161" t="str">
        <x:f>IF(Q207="","",P207*Q207)</x:f>
      </x:c>
      <x:c r="S207" s="146" t="str">
        <x:v>unpriced_source</x:v>
      </x:c>
    </x:row>
    <x:row r="208">
      <x:c r="A208" s="146" t="str">
        <x:v>Milling Facility.</x:v>
      </x:c>
      <x:c r="B208" s="146" t="n">
        <x:v>98</x:v>
      </x:c>
      <x:c r="C208" s="146" t="str">
        <x:v>옥수수 가공시설</x:v>
      </x:c>
      <x:c r="D208" s="146" t="str">
        <x:v>마감</x:v>
      </x:c>
      <x:c r="E208" s="146" t="str">
        <x:v>ELEMENT NO.3</x:v>
      </x:c>
      <x:c r="F208" s="146" t="str">
        <x:v>DECORATIVE BRICK WALLING COMPRISING "POMPEI BRICKS" each size 180 x 180mm jointed in cement and sand (1:3) mortar and painted in coloured cement</x:v>
      </x:c>
      <x:c r="G208" s="146" t="str">
        <x:v>F</x:v>
      </x:c>
      <x:c r="H208" s="49" t="str">
        <x:v>100mm thick grille walling, fair faced both sides with neat pointing</x:v>
      </x:c>
      <x:c r="I208" s="146" t="str">
        <x:v>m²</x:v>
      </x:c>
      <x:c r="J208" s="149" t="n">
        <x:v>32</x:v>
      </x:c>
      <x:c r="K208" s="146" t="str">
        <x:v>=2*2*8</x:v>
      </x:c>
      <x:c r="L208" s="149" t="n">
        <x:v>1</x:v>
      </x:c>
      <x:c r="M208" s="149" t="n">
        <x:v>1</x:v>
      </x:c>
      <x:c r="N208" s="149" t="n">
        <x:v>32</x:v>
      </x:c>
      <x:c r="O208" s="149" t="n">
        <x:v>32</x:v>
      </x:c>
      <x:c r="P208" s="149" t="n">
        <x:f>IF('입력·근거'!$B$12="HIGH",O208,N208)</x:f>
        <x:v>32</x:v>
      </x:c>
      <x:c r="Q208" s="158" t="str"/>
      <x:c r="R208" s="161" t="str">
        <x:f>IF(Q208="","",P208*Q208)</x:f>
      </x:c>
      <x:c r="S208" s="146" t="str">
        <x:v>formula_quantity;unpriced_source</x:v>
      </x:c>
    </x:row>
    <x:row r="209">
      <x:c r="A209" s="146" t="str">
        <x:v>Milling Facility.</x:v>
      </x:c>
      <x:c r="B209" s="146" t="n">
        <x:v>100</x:v>
      </x:c>
      <x:c r="C209" s="146" t="str">
        <x:v>옥수수 가공시설</x:v>
      </x:c>
      <x:c r="D209" s="146" t="str">
        <x:v>지붕</x:v>
      </x:c>
      <x:c r="E209" s="146" t="str">
        <x:v>ELEMENT NO.3</x:v>
      </x:c>
      <x:c r="F209" s="146" t="str">
        <x:v>DAMP PROOF COURSE OF BITUMEN FELT TO B.S 743 Type A with 150mm laps including cement and sand (1:3) levelling bed</x:v>
      </x:c>
      <x:c r="G209" s="146" t="str">
        <x:v>G</x:v>
      </x:c>
      <x:c r="H209" s="49" t="str">
        <x:v>200mm Wide</x:v>
      </x:c>
      <x:c r="I209" s="146" t="str">
        <x:v>m</x:v>
      </x:c>
      <x:c r="J209" s="149" t="n">
        <x:v>93</x:v>
      </x:c>
      <x:c r="K209" s="146" t="str"/>
      <x:c r="L209" s="149" t="n">
        <x:v>1</x:v>
      </x:c>
      <x:c r="M209" s="149" t="n">
        <x:v>1</x:v>
      </x:c>
      <x:c r="N209" s="149" t="n">
        <x:v>93</x:v>
      </x:c>
      <x:c r="O209" s="149" t="n">
        <x:v>93</x:v>
      </x:c>
      <x:c r="P209" s="149" t="n">
        <x:f>IF('입력·근거'!$B$12="HIGH",O209,N209)</x:f>
        <x:v>93</x:v>
      </x:c>
      <x:c r="Q209" s="158" t="str"/>
      <x:c r="R209" s="161" t="str">
        <x:f>IF(Q209="","",P209*Q209)</x:f>
      </x:c>
      <x:c r="S209" s="146" t="str">
        <x:v>unpriced_source</x:v>
      </x:c>
    </x:row>
    <x:row r="210">
      <x:c r="A210" s="146" t="str">
        <x:v>Milling Facility.</x:v>
      </x:c>
      <x:c r="B210" s="146" t="n">
        <x:v>108</x:v>
      </x:c>
      <x:c r="C210" s="146" t="str">
        <x:v>옥수수 가공시설</x:v>
      </x:c>
      <x:c r="D210" s="146" t="str">
        <x:v>설비·장비</x:v>
      </x:c>
      <x:c r="E210" s="146" t="str">
        <x:v>ELEMENT NO.4</x:v>
      </x:c>
      <x:c r="F210" s="146" t="str">
        <x:v>Structural Steelwork : framed : one coat red-oxide primer;</x:v>
      </x:c>
      <x:c r="G210" s="146" t="str">
        <x:v>A</x:v>
      </x:c>
      <x:c r="H210" s="49" t="str">
        <x:v>60 x 40 x 3mm RHS Bottom chord</x:v>
      </x:c>
      <x:c r="I210" s="146" t="str">
        <x:v>kg</x:v>
      </x:c>
      <x:c r="J210" s="149" t="n">
        <x:v>512</x:v>
      </x:c>
      <x:c r="K210" s="146" t="str"/>
      <x:c r="L210" s="149" t="n">
        <x:v>1</x:v>
      </x:c>
      <x:c r="M210" s="149" t="n">
        <x:v>1</x:v>
      </x:c>
      <x:c r="N210" s="149" t="n">
        <x:v>512</x:v>
      </x:c>
      <x:c r="O210" s="149" t="n">
        <x:v>512</x:v>
      </x:c>
      <x:c r="P210" s="149" t="n">
        <x:f>IF('입력·근거'!$B$12="HIGH",O210,N210)</x:f>
        <x:v>512</x:v>
      </x:c>
      <x:c r="Q210" s="158" t="str"/>
      <x:c r="R210" s="161" t="str">
        <x:f>IF(Q210="","",P210*Q210)</x:f>
      </x:c>
      <x:c r="S210" s="146" t="str">
        <x:v>unpriced_source</x:v>
      </x:c>
    </x:row>
    <x:row r="211">
      <x:c r="A211" s="146" t="str">
        <x:v>Milling Facility.</x:v>
      </x:c>
      <x:c r="B211" s="146" t="n">
        <x:v>109</x:v>
      </x:c>
      <x:c r="C211" s="146" t="str">
        <x:v>옥수수 가공시설</x:v>
      </x:c>
      <x:c r="D211" s="146" t="str">
        <x:v>설비·장비</x:v>
      </x:c>
      <x:c r="E211" s="146" t="str">
        <x:v>ELEMENT NO.4</x:v>
      </x:c>
      <x:c r="F211" s="146" t="str">
        <x:v>Structural Steelwork : framed : one coat red-oxide primer;</x:v>
      </x:c>
      <x:c r="G211" s="146" t="str">
        <x:v>B</x:v>
      </x:c>
      <x:c r="H211" s="49" t="str">
        <x:v>60 x 40 x 3mm RHS Top Chord</x:v>
      </x:c>
      <x:c r="I211" s="146" t="str">
        <x:v>kg</x:v>
      </x:c>
      <x:c r="J211" s="149" t="n">
        <x:v>540</x:v>
      </x:c>
      <x:c r="K211" s="146" t="str"/>
      <x:c r="L211" s="149" t="n">
        <x:v>1</x:v>
      </x:c>
      <x:c r="M211" s="149" t="n">
        <x:v>1</x:v>
      </x:c>
      <x:c r="N211" s="149" t="n">
        <x:v>540</x:v>
      </x:c>
      <x:c r="O211" s="149" t="n">
        <x:v>540</x:v>
      </x:c>
      <x:c r="P211" s="149" t="n">
        <x:f>IF('입력·근거'!$B$12="HIGH",O211,N211)</x:f>
        <x:v>540</x:v>
      </x:c>
      <x:c r="Q211" s="158" t="str"/>
      <x:c r="R211" s="161" t="str">
        <x:f>IF(Q211="","",P211*Q211)</x:f>
      </x:c>
      <x:c r="S211" s="146" t="str">
        <x:v>unpriced_source</x:v>
      </x:c>
    </x:row>
    <x:row r="212">
      <x:c r="A212" s="146" t="str">
        <x:v>Milling Facility.</x:v>
      </x:c>
      <x:c r="B212" s="146" t="n">
        <x:v>110</x:v>
      </x:c>
      <x:c r="C212" s="146" t="str">
        <x:v>옥수수 가공시설</x:v>
      </x:c>
      <x:c r="D212" s="146" t="str">
        <x:v>설비·장비</x:v>
      </x:c>
      <x:c r="E212" s="146" t="str">
        <x:v>ELEMENT NO.4</x:v>
      </x:c>
      <x:c r="F212" s="146" t="str">
        <x:v>Structural Steelwork : framed : one coat red-oxide primer;</x:v>
      </x:c>
      <x:c r="G212" s="146" t="str">
        <x:v>C</x:v>
      </x:c>
      <x:c r="H212" s="49" t="str">
        <x:v>40 x 40 x 3mm SHS Internal Members</x:v>
      </x:c>
      <x:c r="I212" s="146" t="str">
        <x:v>kg</x:v>
      </x:c>
      <x:c r="J212" s="149" t="n">
        <x:v>715</x:v>
      </x:c>
      <x:c r="K212" s="146" t="str"/>
      <x:c r="L212" s="149" t="n">
        <x:v>1</x:v>
      </x:c>
      <x:c r="M212" s="149" t="n">
        <x:v>1</x:v>
      </x:c>
      <x:c r="N212" s="149" t="n">
        <x:v>715</x:v>
      </x:c>
      <x:c r="O212" s="149" t="n">
        <x:v>715</x:v>
      </x:c>
      <x:c r="P212" s="149" t="n">
        <x:f>IF('입력·근거'!$B$12="HIGH",O212,N212)</x:f>
        <x:v>715</x:v>
      </x:c>
      <x:c r="Q212" s="158" t="str"/>
      <x:c r="R212" s="161" t="str">
        <x:f>IF(Q212="","",P212*Q212)</x:f>
      </x:c>
      <x:c r="S212" s="146" t="str">
        <x:v>unpriced_source</x:v>
      </x:c>
    </x:row>
    <x:row r="213">
      <x:c r="A213" s="146" t="str">
        <x:v>Milling Facility.</x:v>
      </x:c>
      <x:c r="B213" s="146" t="n">
        <x:v>111</x:v>
      </x:c>
      <x:c r="C213" s="146" t="str">
        <x:v>옥수수 가공시설</x:v>
      </x:c>
      <x:c r="D213" s="146" t="str">
        <x:v>지붕</x:v>
      </x:c>
      <x:c r="E213" s="146" t="str">
        <x:v>ELEMENT NO.4</x:v>
      </x:c>
      <x:c r="F213" s="146" t="str">
        <x:v>Structural Steelwork : framed : one coat red-oxide primer;</x:v>
      </x:c>
      <x:c r="G213" s="146" t="str">
        <x:v>D</x:v>
      </x:c>
      <x:c r="H213" s="49" t="str">
        <x:v>100 x 50 x 2mm Z - Purlins weighing 3.54 Kg. per meter: bolted</x:v>
      </x:c>
      <x:c r="I213" s="146" t="str">
        <x:v>kg</x:v>
      </x:c>
      <x:c r="J213" s="149" t="n">
        <x:v>1270</x:v>
      </x:c>
      <x:c r="K213" s="146" t="str"/>
      <x:c r="L213" s="149" t="n">
        <x:v>1</x:v>
      </x:c>
      <x:c r="M213" s="149" t="n">
        <x:v>1</x:v>
      </x:c>
      <x:c r="N213" s="149" t="n">
        <x:v>1270</x:v>
      </x:c>
      <x:c r="O213" s="149" t="n">
        <x:v>1270</x:v>
      </x:c>
      <x:c r="P213" s="149" t="n">
        <x:f>IF('입력·근거'!$B$12="HIGH",O213,N213)</x:f>
        <x:v>1270</x:v>
      </x:c>
      <x:c r="Q213" s="158" t="str"/>
      <x:c r="R213" s="161" t="str">
        <x:f>IF(Q213="","",P213*Q213)</x:f>
      </x:c>
      <x:c r="S213" s="146" t="str">
        <x:v>unpriced_source</x:v>
      </x:c>
    </x:row>
    <x:row r="214">
      <x:c r="A214" s="146" t="str">
        <x:v>Milling Facility.</x:v>
      </x:c>
      <x:c r="B214" s="146" t="n">
        <x:v>113</x:v>
      </x:c>
      <x:c r="C214" s="146" t="str">
        <x:v>옥수수 가공시설</x:v>
      </x:c>
      <x:c r="D214" s="146" t="str">
        <x:v>설비·장비</x:v>
      </x:c>
      <x:c r="E214" s="146" t="str">
        <x:v>ELEMENT NO.4</x:v>
      </x:c>
      <x:c r="F214" s="146" t="str">
        <x:v>SUNDRIES</x:v>
      </x:c>
      <x:c r="G214" s="146" t="str">
        <x:v>E</x:v>
      </x:c>
      <x:c r="H214" s="49" t="str">
        <x:v>225 x 250 x 8mm Plate: 4 No holes for 16mm diameter J-bolts</x:v>
      </x:c>
      <x:c r="I214" s="146" t="str">
        <x:v>no.</x:v>
      </x:c>
      <x:c r="J214" s="149" t="n">
        <x:v>24</x:v>
      </x:c>
      <x:c r="K214" s="146" t="str"/>
      <x:c r="L214" s="149" t="n">
        <x:v>1</x:v>
      </x:c>
      <x:c r="M214" s="149" t="n">
        <x:v>1</x:v>
      </x:c>
      <x:c r="N214" s="149" t="n">
        <x:v>24</x:v>
      </x:c>
      <x:c r="O214" s="149" t="n">
        <x:v>24</x:v>
      </x:c>
      <x:c r="P214" s="149" t="n">
        <x:f>IF('입력·근거'!$B$12="HIGH",O214,N214)</x:f>
        <x:v>24</x:v>
      </x:c>
      <x:c r="Q214" s="158" t="str"/>
      <x:c r="R214" s="161" t="str">
        <x:f>IF(Q214="","",P214*Q214)</x:f>
      </x:c>
      <x:c r="S214" s="146" t="str">
        <x:v>unpriced_source</x:v>
      </x:c>
    </x:row>
    <x:row r="215">
      <x:c r="A215" s="146" t="str">
        <x:v>Milling Facility.</x:v>
      </x:c>
      <x:c r="B215" s="146" t="n">
        <x:v>114</x:v>
      </x:c>
      <x:c r="C215" s="146" t="str">
        <x:v>옥수수 가공시설</x:v>
      </x:c>
      <x:c r="D215" s="146" t="str">
        <x:v>설비·장비</x:v>
      </x:c>
      <x:c r="E215" s="146" t="str">
        <x:v>ELEMENT NO.4</x:v>
      </x:c>
      <x:c r="F215" s="146" t="str">
        <x:v>SUNDRIES</x:v>
      </x:c>
      <x:c r="G215" s="146" t="str">
        <x:v>F</x:v>
      </x:c>
      <x:c r="H215" s="49" t="str">
        <x:v>40 x 40 x 3mm L-Cleat; 146mm Long: 1 No holes for 12mm diameter bolts: welded to top chord</x:v>
      </x:c>
      <x:c r="I215" s="146" t="str">
        <x:v>no.</x:v>
      </x:c>
      <x:c r="J215" s="149" t="n">
        <x:v>118</x:v>
      </x:c>
      <x:c r="K215" s="146" t="str"/>
      <x:c r="L215" s="149" t="n">
        <x:v>1</x:v>
      </x:c>
      <x:c r="M215" s="149" t="n">
        <x:v>1</x:v>
      </x:c>
      <x:c r="N215" s="149" t="n">
        <x:v>118</x:v>
      </x:c>
      <x:c r="O215" s="149" t="n">
        <x:v>118</x:v>
      </x:c>
      <x:c r="P215" s="149" t="n">
        <x:f>IF('입력·근거'!$B$12="HIGH",O215,N215)</x:f>
        <x:v>118</x:v>
      </x:c>
      <x:c r="Q215" s="158" t="str"/>
      <x:c r="R215" s="161" t="str">
        <x:f>IF(Q215="","",P215*Q215)</x:f>
      </x:c>
      <x:c r="S215" s="146" t="str">
        <x:v>unpriced_source</x:v>
      </x:c>
    </x:row>
    <x:row r="216">
      <x:c r="A216" s="146" t="str">
        <x:v>Milling Facility.</x:v>
      </x:c>
      <x:c r="B216" s="146" t="n">
        <x:v>115</x:v>
      </x:c>
      <x:c r="C216" s="146" t="str">
        <x:v>옥수수 가공시설</x:v>
      </x:c>
      <x:c r="D216" s="146" t="str">
        <x:v>콘크리트·철근·거푸집</x:v>
      </x:c>
      <x:c r="E216" s="146" t="str">
        <x:v>ELEMENT NO.4</x:v>
      </x:c>
      <x:c r="F216" s="146" t="str">
        <x:v>SUNDRIES</x:v>
      </x:c>
      <x:c r="G216" s="146" t="str">
        <x:v>G</x:v>
      </x:c>
      <x:c r="H216" s="49" t="str">
        <x:v>16mm Diameter "J" bolts 710mm Long: fixed into concrete; head, nut and washers</x:v>
      </x:c>
      <x:c r="I216" s="146" t="str">
        <x:v>no.</x:v>
      </x:c>
      <x:c r="J216" s="149" t="n">
        <x:v>96</x:v>
      </x:c>
      <x:c r="K216" s="146" t="str"/>
      <x:c r="L216" s="149" t="n">
        <x:v>1</x:v>
      </x:c>
      <x:c r="M216" s="149" t="n">
        <x:v>1</x:v>
      </x:c>
      <x:c r="N216" s="149" t="n">
        <x:v>96</x:v>
      </x:c>
      <x:c r="O216" s="149" t="n">
        <x:v>96</x:v>
      </x:c>
      <x:c r="P216" s="149" t="n">
        <x:f>IF('입력·근거'!$B$12="HIGH",O216,N216)</x:f>
        <x:v>96</x:v>
      </x:c>
      <x:c r="Q216" s="158" t="str"/>
      <x:c r="R216" s="161" t="str">
        <x:f>IF(Q216="","",P216*Q216)</x:f>
      </x:c>
      <x:c r="S216" s="146" t="str">
        <x:v>unpriced_source</x:v>
      </x:c>
    </x:row>
    <x:row r="217">
      <x:c r="A217" s="146" t="str">
        <x:v>Milling Facility.</x:v>
      </x:c>
      <x:c r="B217" s="146" t="n">
        <x:v>116</x:v>
      </x:c>
      <x:c r="C217" s="146" t="str">
        <x:v>옥수수 가공시설</x:v>
      </x:c>
      <x:c r="D217" s="146" t="str">
        <x:v>설비·장비</x:v>
      </x:c>
      <x:c r="E217" s="146" t="str">
        <x:v>ELEMENT NO.4</x:v>
      </x:c>
      <x:c r="F217" s="146" t="str">
        <x:v>SUNDRIES</x:v>
      </x:c>
      <x:c r="G217" s="146" t="str">
        <x:v>H</x:v>
      </x:c>
      <x:c r="H217" s="49" t="str">
        <x:v>12mm Diameter bolt; 120mm Long; head, nut and washers</x:v>
      </x:c>
      <x:c r="I217" s="146" t="str">
        <x:v>no.</x:v>
      </x:c>
      <x:c r="J217" s="149" t="n">
        <x:v>118</x:v>
      </x:c>
      <x:c r="K217" s="146" t="str"/>
      <x:c r="L217" s="149" t="n">
        <x:v>1</x:v>
      </x:c>
      <x:c r="M217" s="149" t="n">
        <x:v>1</x:v>
      </x:c>
      <x:c r="N217" s="149" t="n">
        <x:v>118</x:v>
      </x:c>
      <x:c r="O217" s="149" t="n">
        <x:v>118</x:v>
      </x:c>
      <x:c r="P217" s="149" t="n">
        <x:f>IF('입력·근거'!$B$12="HIGH",O217,N217)</x:f>
        <x:v>118</x:v>
      </x:c>
      <x:c r="Q217" s="158" t="str"/>
      <x:c r="R217" s="161" t="str">
        <x:f>IF(Q217="","",P217*Q217)</x:f>
      </x:c>
      <x:c r="S217" s="146" t="str">
        <x:v>unpriced_source</x:v>
      </x:c>
    </x:row>
    <x:row r="218">
      <x:c r="A218" s="146" t="str">
        <x:v>Milling Facility.</x:v>
      </x:c>
      <x:c r="B218" s="146" t="n">
        <x:v>119</x:v>
      </x:c>
      <x:c r="C218" s="146" t="str">
        <x:v>옥수수 가공시설</x:v>
      </x:c>
      <x:c r="D218" s="146" t="str">
        <x:v>급배수·위생</x:v>
      </x:c>
      <x:c r="E218" s="146" t="str">
        <x:v>ELEMENT NO.4</x:v>
      </x:c>
      <x:c r="F218" s="146" t="str">
        <x:v>26 Gauge pre-painted IT5 roofing sheets : fixed to Z-purlins with self tapping screws : in</x:v>
      </x:c>
      <x:c r="G218" s="146" t="str">
        <x:v>I</x:v>
      </x:c>
      <x:c r="H218" s="49" t="str">
        <x:v>Sheet laid sloping not exceeding 45 degrees from horizontal.</x:v>
      </x:c>
      <x:c r="I218" s="146" t="str">
        <x:v>m²</x:v>
      </x:c>
      <x:c r="J218" s="149" t="n">
        <x:v>379</x:v>
      </x:c>
      <x:c r="K218" s="146" t="str"/>
      <x:c r="L218" s="149" t="n">
        <x:v>1</x:v>
      </x:c>
      <x:c r="M218" s="149" t="n">
        <x:v>1</x:v>
      </x:c>
      <x:c r="N218" s="149" t="n">
        <x:v>379</x:v>
      </x:c>
      <x:c r="O218" s="149" t="n">
        <x:v>379</x:v>
      </x:c>
      <x:c r="P218" s="149" t="n">
        <x:f>IF('입력·근거'!$B$12="HIGH",O218,N218)</x:f>
        <x:v>379</x:v>
      </x:c>
      <x:c r="Q218" s="158" t="str"/>
      <x:c r="R218" s="161" t="str">
        <x:f>IF(Q218="","",P218*Q218)</x:f>
      </x:c>
      <x:c r="S218" s="146" t="str">
        <x:v>unpriced_source</x:v>
      </x:c>
    </x:row>
    <x:row r="219">
      <x:c r="A219" s="146" t="str">
        <x:v>Milling Facility.</x:v>
      </x:c>
      <x:c r="B219" s="146" t="n">
        <x:v>120</x:v>
      </x:c>
      <x:c r="C219" s="146" t="str">
        <x:v>옥수수 가공시설</x:v>
      </x:c>
      <x:c r="D219" s="146" t="str">
        <x:v>급배수·위생</x:v>
      </x:c>
      <x:c r="E219" s="146" t="str">
        <x:v>ELEMENT NO.4</x:v>
      </x:c>
      <x:c r="F219" s="146" t="str">
        <x:v>26 Gauge pre-painted IT5 roofing sheets : fixed to Z-purlins with self tapping screws : in</x:v>
      </x:c>
      <x:c r="G219" s="146" t="str">
        <x:v>J</x:v>
      </x:c>
      <x:c r="H219" s="49" t="str">
        <x:v>300mm Wide ridge flashing</x:v>
      </x:c>
      <x:c r="I219" s="146" t="str">
        <x:v>m</x:v>
      </x:c>
      <x:c r="J219" s="149" t="n">
        <x:v>25</x:v>
      </x:c>
      <x:c r="K219" s="146" t="str"/>
      <x:c r="L219" s="149" t="n">
        <x:v>1</x:v>
      </x:c>
      <x:c r="M219" s="149" t="n">
        <x:v>1</x:v>
      </x:c>
      <x:c r="N219" s="149" t="n">
        <x:v>25</x:v>
      </x:c>
      <x:c r="O219" s="149" t="n">
        <x:v>25</x:v>
      </x:c>
      <x:c r="P219" s="149" t="n">
        <x:f>IF('입력·근거'!$B$12="HIGH",O219,N219)</x:f>
        <x:v>25</x:v>
      </x:c>
      <x:c r="Q219" s="158" t="str"/>
      <x:c r="R219" s="161" t="str">
        <x:f>IF(Q219="","",P219*Q219)</x:f>
      </x:c>
      <x:c r="S219" s="146" t="str">
        <x:v>unpriced_source</x:v>
      </x:c>
    </x:row>
    <x:row r="220">
      <x:c r="A220" s="146" t="str">
        <x:v>Milling Facility.</x:v>
      </x:c>
      <x:c r="B220" s="146" t="n">
        <x:v>121</x:v>
      </x:c>
      <x:c r="C220" s="146" t="str">
        <x:v>옥수수 가공시설</x:v>
      </x:c>
      <x:c r="D220" s="146" t="str">
        <x:v>급배수·위생</x:v>
      </x:c>
      <x:c r="E220" s="146" t="str">
        <x:v>ELEMENT NO.4</x:v>
      </x:c>
      <x:c r="F220" s="146" t="str">
        <x:v>26 Gauge pre-painted IT5 roofing sheets : fixed to Z-purlins with self tapping screws : in</x:v>
      </x:c>
      <x:c r="G220" s="146" t="str">
        <x:v>K</x:v>
      </x:c>
      <x:c r="H220" s="49" t="str">
        <x:v>300mm Wide hip flashing</x:v>
      </x:c>
      <x:c r="I220" s="146" t="str">
        <x:v>m</x:v>
      </x:c>
      <x:c r="J220" s="149" t="n">
        <x:v>0</x:v>
      </x:c>
      <x:c r="K220" s="146" t="str"/>
      <x:c r="L220" s="149" t="n">
        <x:v>1</x:v>
      </x:c>
      <x:c r="M220" s="149" t="n">
        <x:v>1</x:v>
      </x:c>
      <x:c r="N220" s="149" t="n">
        <x:v>0</x:v>
      </x:c>
      <x:c r="O220" s="149" t="n">
        <x:v>0</x:v>
      </x:c>
      <x:c r="P220" s="149" t="n">
        <x:f>IF('입력·근거'!$B$12="HIGH",O220,N220)</x:f>
        <x:v>0</x:v>
      </x:c>
      <x:c r="Q220" s="158" t="str"/>
      <x:c r="R220" s="161" t="str">
        <x:f>IF(Q220="","",P220*Q220)</x:f>
      </x:c>
      <x:c r="S220" s="146" t="str">
        <x:v>zero_quantity_check_formula_or_design;unpriced_source</x:v>
      </x:c>
    </x:row>
    <x:row r="221">
      <x:c r="A221" s="146" t="str">
        <x:v>Milling Facility.</x:v>
      </x:c>
      <x:c r="B221" s="146" t="n">
        <x:v>122</x:v>
      </x:c>
      <x:c r="C221" s="146" t="str">
        <x:v>옥수수 가공시설</x:v>
      </x:c>
      <x:c r="D221" s="146" t="str">
        <x:v>급배수·위생</x:v>
      </x:c>
      <x:c r="E221" s="146" t="str">
        <x:v>ELEMENT NO.4</x:v>
      </x:c>
      <x:c r="F221" s="146" t="str">
        <x:v>26 Gauge pre-painted IT5 roofing sheets : fixed to Z-purlins with self tapping screws : in</x:v>
      </x:c>
      <x:c r="G221" s="146" t="str">
        <x:v>L</x:v>
      </x:c>
      <x:c r="H221" s="49" t="str">
        <x:v>Super V translucent sheets fixed on to roof structure with welded mesh underneath</x:v>
      </x:c>
      <x:c r="I221" s="146" t="str">
        <x:v>no.</x:v>
      </x:c>
      <x:c r="J221" s="149" t="n">
        <x:v>12</x:v>
      </x:c>
      <x:c r="K221" s="146" t="str"/>
      <x:c r="L221" s="149" t="n">
        <x:v>1</x:v>
      </x:c>
      <x:c r="M221" s="149" t="n">
        <x:v>1</x:v>
      </x:c>
      <x:c r="N221" s="149" t="n">
        <x:v>12</x:v>
      </x:c>
      <x:c r="O221" s="149" t="n">
        <x:v>12</x:v>
      </x:c>
      <x:c r="P221" s="149" t="n">
        <x:f>IF('입력·근거'!$B$12="HIGH",O221,N221)</x:f>
        <x:v>12</x:v>
      </x:c>
      <x:c r="Q221" s="158" t="str"/>
      <x:c r="R221" s="161" t="str">
        <x:f>IF(Q221="","",P221*Q221)</x:f>
      </x:c>
      <x:c r="S221" s="146" t="str">
        <x:v>unpriced_source</x:v>
      </x:c>
    </x:row>
    <x:row r="222">
      <x:c r="A222" s="146" t="str">
        <x:v>Milling Facility.</x:v>
      </x:c>
      <x:c r="B222" s="146" t="n">
        <x:v>123</x:v>
      </x:c>
      <x:c r="C222" s="146" t="str">
        <x:v>옥수수 가공시설</x:v>
      </x:c>
      <x:c r="D222" s="146" t="str">
        <x:v>급배수·위생</x:v>
      </x:c>
      <x:c r="E222" s="146" t="str">
        <x:v>ELEMENT NO.4</x:v>
      </x:c>
      <x:c r="F222" s="146" t="str">
        <x:v>26 Gauge pre-painted IT5 roofing sheets : fixed to Z-purlins with self tapping screws : in</x:v>
      </x:c>
      <x:c r="G222" s="146" t="str">
        <x:v>M</x:v>
      </x:c>
      <x:c r="H222" s="49" t="str">
        <x:v>900mm Diameter Roof cyclones fixed on top of the roof</x:v>
      </x:c>
      <x:c r="I222" s="146" t="str">
        <x:v>no.</x:v>
      </x:c>
      <x:c r="J222" s="149" t="n">
        <x:v>6</x:v>
      </x:c>
      <x:c r="K222" s="146" t="str"/>
      <x:c r="L222" s="149" t="n">
        <x:v>1</x:v>
      </x:c>
      <x:c r="M222" s="149" t="n">
        <x:v>1</x:v>
      </x:c>
      <x:c r="N222" s="149" t="n">
        <x:v>6</x:v>
      </x:c>
      <x:c r="O222" s="149" t="n">
        <x:v>6</x:v>
      </x:c>
      <x:c r="P222" s="149" t="n">
        <x:f>IF('입력·근거'!$B$12="HIGH",O222,N222)</x:f>
        <x:v>6</x:v>
      </x:c>
      <x:c r="Q222" s="158" t="str"/>
      <x:c r="R222" s="161" t="str">
        <x:f>IF(Q222="","",P222*Q222)</x:f>
      </x:c>
      <x:c r="S222" s="146" t="str">
        <x:v>unpriced_source</x:v>
      </x:c>
    </x:row>
    <x:row r="223">
      <x:c r="A223" s="146" t="str">
        <x:v>Milling Facility.</x:v>
      </x:c>
      <x:c r="B223" s="146" t="n">
        <x:v>126</x:v>
      </x:c>
      <x:c r="C223" s="146" t="str">
        <x:v>옥수수 가공시설</x:v>
      </x:c>
      <x:c r="D223" s="146" t="str">
        <x:v>창호·철물</x:v>
      </x:c>
      <x:c r="E223" s="146" t="str">
        <x:v>ELEMENT NO.4</x:v>
      </x:c>
      <x:c r="F223" s="146" t="str">
        <x:v>SUPPLY AND INSTALL APPROVED filler blocks in accordance with manufacturer's instructions; -</x:v>
      </x:c>
      <x:c r="G223" s="146" t="str">
        <x:v>N</x:v>
      </x:c>
      <x:c r="H223" s="49" t="str">
        <x:v>Filler blocks</x:v>
      </x:c>
      <x:c r="I223" s="146" t="str">
        <x:v>m</x:v>
      </x:c>
      <x:c r="J223" s="149" t="n">
        <x:v>93</x:v>
      </x:c>
      <x:c r="K223" s="146" t="str"/>
      <x:c r="L223" s="149" t="n">
        <x:v>1</x:v>
      </x:c>
      <x:c r="M223" s="149" t="n">
        <x:v>1</x:v>
      </x:c>
      <x:c r="N223" s="149" t="n">
        <x:v>93</x:v>
      </x:c>
      <x:c r="O223" s="149" t="n">
        <x:v>93</x:v>
      </x:c>
      <x:c r="P223" s="149" t="n">
        <x:f>IF('입력·근거'!$B$12="HIGH",O223,N223)</x:f>
        <x:v>93</x:v>
      </x:c>
      <x:c r="Q223" s="158" t="str"/>
      <x:c r="R223" s="161" t="str">
        <x:f>IF(Q223="","",P223*Q223)</x:f>
      </x:c>
      <x:c r="S223" s="146" t="str">
        <x:v>unpriced_source</x:v>
      </x:c>
    </x:row>
    <x:row r="224">
      <x:c r="A224" s="146" t="str">
        <x:v>Milling Facility.</x:v>
      </x:c>
      <x:c r="B224" s="146" t="n">
        <x:v>130</x:v>
      </x:c>
      <x:c r="C224" s="146" t="str">
        <x:v>옥수수 가공시설</x:v>
      </x:c>
      <x:c r="D224" s="146" t="str">
        <x:v>지붕</x:v>
      </x:c>
      <x:c r="E224" s="146" t="str">
        <x:v>ELEMENT NO.4</x:v>
      </x:c>
      <x:c r="F224" s="146" t="str">
        <x:v>MILD STEEL, GRADE GJ</x:v>
      </x:c>
      <x:c r="G224" s="146" t="str">
        <x:v>O</x:v>
      </x:c>
      <x:c r="H224" s="49" t="str">
        <x:v>1.5mm thick m.s plate fascia; welded onto steel rafters; with and including 20 x 20 x 2mm stiffeners at 1000mm centres; one coat red oxide primer</x:v>
      </x:c>
      <x:c r="I224" s="146" t="str">
        <x:v>m²</x:v>
      </x:c>
      <x:c r="J224" s="149" t="n">
        <x:v>27.9</x:v>
      </x:c>
      <x:c r="K224" s="146" t="str">
        <x:v>=93*0.3</x:v>
      </x:c>
      <x:c r="L224" s="149" t="n">
        <x:v>1</x:v>
      </x:c>
      <x:c r="M224" s="149" t="n">
        <x:v>1</x:v>
      </x:c>
      <x:c r="N224" s="149" t="n">
        <x:v>27.9</x:v>
      </x:c>
      <x:c r="O224" s="149" t="n">
        <x:v>27.9</x:v>
      </x:c>
      <x:c r="P224" s="149" t="n">
        <x:f>IF('입력·근거'!$B$12="HIGH",O224,N224)</x:f>
        <x:v>27.9</x:v>
      </x:c>
      <x:c r="Q224" s="158" t="str"/>
      <x:c r="R224" s="161" t="str">
        <x:f>IF(Q224="","",P224*Q224)</x:f>
      </x:c>
      <x:c r="S224" s="146" t="str">
        <x:v>formula_quantity;unpriced_source</x:v>
      </x:c>
    </x:row>
    <x:row r="225">
      <x:c r="A225" s="146" t="str">
        <x:v>Milling Facility.</x:v>
      </x:c>
      <x:c r="B225" s="146" t="n">
        <x:v>132</x:v>
      </x:c>
      <x:c r="C225" s="146" t="str">
        <x:v>옥수수 가공시설</x:v>
      </x:c>
      <x:c r="D225" s="146" t="str">
        <x:v>마감</x:v>
      </x:c>
      <x:c r="E225" s="146" t="str">
        <x:v>ELEMENT NO.4</x:v>
      </x:c>
      <x:c r="F225" s="146" t="str">
        <x:v>Touch-up primer : prepare and apply three coats oil paint : to</x:v>
      </x:c>
      <x:c r="G225" s="146" t="str">
        <x:v>P</x:v>
      </x:c>
      <x:c r="H225" s="49" t="str">
        <x:v>Structural steel work.</x:v>
      </x:c>
      <x:c r="I225" s="146" t="str">
        <x:v>kg</x:v>
      </x:c>
      <x:c r="J225" s="149" t="n">
        <x:v>3037</x:v>
      </x:c>
      <x:c r="K225" s="146" t="str">
        <x:v>=D111+D110+D109+D108</x:v>
      </x:c>
      <x:c r="L225" s="149" t="n">
        <x:v>1</x:v>
      </x:c>
      <x:c r="M225" s="149" t="n">
        <x:v>1</x:v>
      </x:c>
      <x:c r="N225" s="149" t="n">
        <x:v>3037</x:v>
      </x:c>
      <x:c r="O225" s="149" t="n">
        <x:v>3037</x:v>
      </x:c>
      <x:c r="P225" s="149" t="n">
        <x:f>IF('입력·근거'!$B$12="HIGH",O225,N225)</x:f>
        <x:v>3037</x:v>
      </x:c>
      <x:c r="Q225" s="158" t="str"/>
      <x:c r="R225" s="161" t="str">
        <x:f>IF(Q225="","",P225*Q225)</x:f>
      </x:c>
      <x:c r="S225" s="146" t="str">
        <x:v>formula_quantity;unpriced_source</x:v>
      </x:c>
    </x:row>
    <x:row r="226">
      <x:c r="A226" s="146" t="str">
        <x:v>Milling Facility.</x:v>
      </x:c>
      <x:c r="B226" s="146" t="n">
        <x:v>133</x:v>
      </x:c>
      <x:c r="C226" s="146" t="str">
        <x:v>옥수수 가공시설</x:v>
      </x:c>
      <x:c r="D226" s="146" t="str">
        <x:v>지붕</x:v>
      </x:c>
      <x:c r="E226" s="146" t="str">
        <x:v>ELEMENT NO.4</x:v>
      </x:c>
      <x:c r="F226" s="146" t="str">
        <x:v>Touch-up primer : prepare and apply three coats oil paint : to</x:v>
      </x:c>
      <x:c r="G226" s="146" t="str">
        <x:v>Q</x:v>
      </x:c>
      <x:c r="H226" s="49" t="str">
        <x:v>Fascia Board</x:v>
      </x:c>
      <x:c r="I226" s="146" t="str">
        <x:v>m²</x:v>
      </x:c>
      <x:c r="J226" s="149" t="n">
        <x:v>55.8</x:v>
      </x:c>
      <x:c r="K226" s="146" t="str">
        <x:v>=D130*2</x:v>
      </x:c>
      <x:c r="L226" s="149" t="n">
        <x:v>1</x:v>
      </x:c>
      <x:c r="M226" s="149" t="n">
        <x:v>1</x:v>
      </x:c>
      <x:c r="N226" s="149" t="n">
        <x:v>55.8</x:v>
      </x:c>
      <x:c r="O226" s="149" t="n">
        <x:v>55.8</x:v>
      </x:c>
      <x:c r="P226" s="149" t="n">
        <x:f>IF('입력·근거'!$B$12="HIGH",O226,N226)</x:f>
        <x:v>55.8</x:v>
      </x:c>
      <x:c r="Q226" s="158" t="str"/>
      <x:c r="R226" s="161" t="str">
        <x:f>IF(Q226="","",P226*Q226)</x:f>
      </x:c>
      <x:c r="S226" s="146" t="str">
        <x:v>formula_quantity;unpriced_source</x:v>
      </x:c>
    </x:row>
    <x:row r="227">
      <x:c r="A227" s="146" t="str">
        <x:v>Milling Facility.</x:v>
      </x:c>
      <x:c r="B227" s="146" t="n">
        <x:v>136</x:v>
      </x:c>
      <x:c r="C227" s="146" t="str">
        <x:v>옥수수 가공시설</x:v>
      </x:c>
      <x:c r="D227" s="146" t="str">
        <x:v>지붕</x:v>
      </x:c>
      <x:c r="E227" s="146" t="str">
        <x:v>ELEMENT NO.4</x:v>
      </x:c>
      <x:c r="F227" s="146" t="str">
        <x:v>PVC Key terrain fixed in accordance with manufacturer's instructions</x:v>
      </x:c>
      <x:c r="G227" s="146" t="str">
        <x:v>R</x:v>
      </x:c>
      <x:c r="H227" s="49" t="str">
        <x:v>130mm diameter half round PVC gutter</x:v>
      </x:c>
      <x:c r="I227" s="146" t="str">
        <x:v>m</x:v>
      </x:c>
      <x:c r="J227" s="149" t="n">
        <x:v>49.4</x:v>
      </x:c>
      <x:c r="K227" s="146" t="str">
        <x:v>=20*2+9.4</x:v>
      </x:c>
      <x:c r="L227" s="149" t="n">
        <x:v>1</x:v>
      </x:c>
      <x:c r="M227" s="149" t="n">
        <x:v>1</x:v>
      </x:c>
      <x:c r="N227" s="149" t="n">
        <x:v>49.4</x:v>
      </x:c>
      <x:c r="O227" s="149" t="n">
        <x:v>49.4</x:v>
      </x:c>
      <x:c r="P227" s="149" t="n">
        <x:f>IF('입력·근거'!$B$12="HIGH",O227,N227)</x:f>
        <x:v>49.4</x:v>
      </x:c>
      <x:c r="Q227" s="158" t="str"/>
      <x:c r="R227" s="161" t="str">
        <x:f>IF(Q227="","",P227*Q227)</x:f>
      </x:c>
      <x:c r="S227" s="146" t="str">
        <x:v>formula_quantity;unpriced_source</x:v>
      </x:c>
    </x:row>
    <x:row r="228">
      <x:c r="A228" s="146" t="str">
        <x:v>Milling Facility.</x:v>
      </x:c>
      <x:c r="B228" s="146" t="n">
        <x:v>137</x:v>
      </x:c>
      <x:c r="C228" s="146" t="str">
        <x:v>옥수수 가공시설</x:v>
      </x:c>
      <x:c r="D228" s="146" t="str">
        <x:v>급배수·위생</x:v>
      </x:c>
      <x:c r="E228" s="146" t="str">
        <x:v>ELEMENT NO.4</x:v>
      </x:c>
      <x:c r="F228" s="146" t="str">
        <x:v>PVC Key terrain fixed in accordance with manufacturer's instructions</x:v>
      </x:c>
      <x:c r="G228" s="146" t="str">
        <x:v>S</x:v>
      </x:c>
      <x:c r="H228" s="49" t="str">
        <x:v>Extra over gutter for outlet to suit 100mm diameter pipe.</x:v>
      </x:c>
      <x:c r="I228" s="146" t="str">
        <x:v>no.</x:v>
      </x:c>
      <x:c r="J228" s="149" t="n">
        <x:v>8</x:v>
      </x:c>
      <x:c r="K228" s="146" t="str"/>
      <x:c r="L228" s="149" t="n">
        <x:v>1</x:v>
      </x:c>
      <x:c r="M228" s="149" t="n">
        <x:v>1</x:v>
      </x:c>
      <x:c r="N228" s="149" t="n">
        <x:v>8</x:v>
      </x:c>
      <x:c r="O228" s="149" t="n">
        <x:v>8</x:v>
      </x:c>
      <x:c r="P228" s="149" t="n">
        <x:f>IF('입력·근거'!$B$12="HIGH",O228,N228)</x:f>
        <x:v>8</x:v>
      </x:c>
      <x:c r="Q228" s="158" t="str"/>
      <x:c r="R228" s="161" t="str">
        <x:f>IF(Q228="","",P228*Q228)</x:f>
      </x:c>
      <x:c r="S228" s="146" t="str">
        <x:v>unpriced_source</x:v>
      </x:c>
    </x:row>
    <x:row r="229">
      <x:c r="A229" s="146" t="str">
        <x:v>Milling Facility.</x:v>
      </x:c>
      <x:c r="B229" s="146" t="n">
        <x:v>138</x:v>
      </x:c>
      <x:c r="C229" s="146" t="str">
        <x:v>옥수수 가공시설</x:v>
      </x:c>
      <x:c r="D229" s="146" t="str">
        <x:v>지붕</x:v>
      </x:c>
      <x:c r="E229" s="146" t="str">
        <x:v>ELEMENT NO.4</x:v>
      </x:c>
      <x:c r="F229" s="146" t="str">
        <x:v>PVC Key terrain fixed in accordance with manufacturer's instructions</x:v>
      </x:c>
      <x:c r="G229" s="146" t="str">
        <x:v>T</x:v>
      </x:c>
      <x:c r="H229" s="49" t="str">
        <x:v>Extra over gutter for bends</x:v>
      </x:c>
      <x:c r="I229" s="146" t="str">
        <x:v>no.</x:v>
      </x:c>
      <x:c r="J229" s="149" t="n">
        <x:v>10</x:v>
      </x:c>
      <x:c r="K229" s="146" t="str"/>
      <x:c r="L229" s="149" t="n">
        <x:v>1</x:v>
      </x:c>
      <x:c r="M229" s="149" t="n">
        <x:v>1</x:v>
      </x:c>
      <x:c r="N229" s="149" t="n">
        <x:v>10</x:v>
      </x:c>
      <x:c r="O229" s="149" t="n">
        <x:v>10</x:v>
      </x:c>
      <x:c r="P229" s="149" t="n">
        <x:f>IF('입력·근거'!$B$12="HIGH",O229,N229)</x:f>
        <x:v>10</x:v>
      </x:c>
      <x:c r="Q229" s="158" t="str"/>
      <x:c r="R229" s="161" t="str">
        <x:f>IF(Q229="","",P229*Q229)</x:f>
      </x:c>
      <x:c r="S229" s="146" t="str">
        <x:v>unpriced_source</x:v>
      </x:c>
    </x:row>
    <x:row r="230">
      <x:c r="A230" s="146" t="str">
        <x:v>Milling Facility.</x:v>
      </x:c>
      <x:c r="B230" s="146" t="n">
        <x:v>139</x:v>
      </x:c>
      <x:c r="C230" s="146" t="str">
        <x:v>옥수수 가공시설</x:v>
      </x:c>
      <x:c r="D230" s="146" t="str">
        <x:v>급배수·위생</x:v>
      </x:c>
      <x:c r="E230" s="146" t="str">
        <x:v>ELEMENT NO.4</x:v>
      </x:c>
      <x:c r="F230" s="146" t="str">
        <x:v>PVC Key terrain fixed in accordance with manufacturer's instructions</x:v>
      </x:c>
      <x:c r="G230" s="146" t="str">
        <x:v>U</x:v>
      </x:c>
      <x:c r="H230" s="49" t="str">
        <x:v>100mm diameter PVC down pipe</x:v>
      </x:c>
      <x:c r="I230" s="146" t="str">
        <x:v>m</x:v>
      </x:c>
      <x:c r="J230" s="149" t="n">
        <x:v>60</x:v>
      </x:c>
      <x:c r="K230" s="146" t="str"/>
      <x:c r="L230" s="149" t="n">
        <x:v>1</x:v>
      </x:c>
      <x:c r="M230" s="149" t="n">
        <x:v>1</x:v>
      </x:c>
      <x:c r="N230" s="149" t="n">
        <x:v>60</x:v>
      </x:c>
      <x:c r="O230" s="149" t="n">
        <x:v>60</x:v>
      </x:c>
      <x:c r="P230" s="149" t="n">
        <x:f>IF('입력·근거'!$B$12="HIGH",O230,N230)</x:f>
        <x:v>60</x:v>
      </x:c>
      <x:c r="Q230" s="158" t="str"/>
      <x:c r="R230" s="161" t="str">
        <x:f>IF(Q230="","",P230*Q230)</x:f>
      </x:c>
      <x:c r="S230" s="146" t="str">
        <x:v>unpriced_source</x:v>
      </x:c>
    </x:row>
    <x:row r="231">
      <x:c r="A231" s="146" t="str">
        <x:v>Milling Facility.</x:v>
      </x:c>
      <x:c r="B231" s="146" t="n">
        <x:v>140</x:v>
      </x:c>
      <x:c r="C231" s="146" t="str">
        <x:v>옥수수 가공시설</x:v>
      </x:c>
      <x:c r="D231" s="146" t="str">
        <x:v>설비·장비</x:v>
      </x:c>
      <x:c r="E231" s="146" t="str">
        <x:v>ELEMENT NO.4</x:v>
      </x:c>
      <x:c r="F231" s="146" t="str">
        <x:v>PVC Key terrain fixed in accordance with manufacturer's instructions</x:v>
      </x:c>
      <x:c r="G231" s="146" t="str">
        <x:v>V</x:v>
      </x:c>
      <x:c r="H231" s="49" t="str">
        <x:v>Extra over for bends.</x:v>
      </x:c>
      <x:c r="I231" s="146" t="str">
        <x:v>no.</x:v>
      </x:c>
      <x:c r="J231" s="149" t="n">
        <x:v>4</x:v>
      </x:c>
      <x:c r="K231" s="146" t="str"/>
      <x:c r="L231" s="149" t="n">
        <x:v>1</x:v>
      </x:c>
      <x:c r="M231" s="149" t="n">
        <x:v>1</x:v>
      </x:c>
      <x:c r="N231" s="149" t="n">
        <x:v>4</x:v>
      </x:c>
      <x:c r="O231" s="149" t="n">
        <x:v>4</x:v>
      </x:c>
      <x:c r="P231" s="149" t="n">
        <x:f>IF('입력·근거'!$B$12="HIGH",O231,N231)</x:f>
        <x:v>4</x:v>
      </x:c>
      <x:c r="Q231" s="158" t="str"/>
      <x:c r="R231" s="161" t="str">
        <x:f>IF(Q231="","",P231*Q231)</x:f>
      </x:c>
      <x:c r="S231" s="146" t="str">
        <x:v>unpriced_source</x:v>
      </x:c>
    </x:row>
    <x:row r="232">
      <x:c r="A232" s="146" t="str">
        <x:v>Milling Facility.</x:v>
      </x:c>
      <x:c r="B232" s="146" t="n">
        <x:v>141</x:v>
      </x:c>
      <x:c r="C232" s="146" t="str">
        <x:v>옥수수 가공시설</x:v>
      </x:c>
      <x:c r="D232" s="146" t="str">
        <x:v>설비·장비</x:v>
      </x:c>
      <x:c r="E232" s="146" t="str">
        <x:v>ELEMENT NO.4</x:v>
      </x:c>
      <x:c r="F232" s="146" t="str">
        <x:v>PVC Key terrain fixed in accordance with manufacturer's instructions</x:v>
      </x:c>
      <x:c r="G232" s="146" t="str">
        <x:v>W</x:v>
      </x:c>
      <x:c r="H232" s="49" t="str">
        <x:v>Extra over for shoe.</x:v>
      </x:c>
      <x:c r="I232" s="146" t="str">
        <x:v>no.</x:v>
      </x:c>
      <x:c r="J232" s="149" t="n">
        <x:v>8</x:v>
      </x:c>
      <x:c r="K232" s="146" t="str"/>
      <x:c r="L232" s="149" t="n">
        <x:v>1</x:v>
      </x:c>
      <x:c r="M232" s="149" t="n">
        <x:v>1</x:v>
      </x:c>
      <x:c r="N232" s="149" t="n">
        <x:v>8</x:v>
      </x:c>
      <x:c r="O232" s="149" t="n">
        <x:v>8</x:v>
      </x:c>
      <x:c r="P232" s="149" t="n">
        <x:f>IF('입력·근거'!$B$12="HIGH",O232,N232)</x:f>
        <x:v>8</x:v>
      </x:c>
      <x:c r="Q232" s="158" t="str"/>
      <x:c r="R232" s="161" t="str">
        <x:f>IF(Q232="","",P232*Q232)</x:f>
      </x:c>
      <x:c r="S232" s="146" t="str">
        <x:v>unpriced_source</x:v>
      </x:c>
    </x:row>
    <x:row r="233">
      <x:c r="A233" s="146" t="str">
        <x:v>Milling Facility.</x:v>
      </x:c>
      <x:c r="B233" s="146" t="n">
        <x:v>152</x:v>
      </x:c>
      <x:c r="C233" s="146" t="str">
        <x:v>옥수수 가공시설</x:v>
      </x:c>
      <x:c r="D233" s="146" t="str">
        <x:v>창호·철물</x:v>
      </x:c>
      <x:c r="E233" s="146" t="str">
        <x:v>ELEMENT NO. 5</x:v>
      </x:c>
      <x:c r="F233" s="146" t="str">
        <x:v>Purpose made steel casement Doors manufactured from standard casement 2.0mm thick sections : manufacture, assemble and deliver to site: supply and fix all approved UNION or equal ironmongery : with and including door frames, fixing drilled, plugged and screwed or built into walling: one coat red oxide primer before delivery.</x:v>
      </x:c>
      <x:c r="G233" s="146" t="str">
        <x:v>A</x:v>
      </x:c>
      <x:c r="H233" s="49" t="str">
        <x:v>Door D1 overall size 4000 x 3000mm high comprising of; 1.5mm thick pre-formed mild steel panels 1050mm high; 1.5mm thick pre-formed mild steel louvre blades 400mm high; 6mm thick clear sheet glazed panels 1050mm high.</x:v>
      </x:c>
      <x:c r="I233" s="146" t="str">
        <x:v>no.</x:v>
      </x:c>
      <x:c r="J233" s="149" t="n">
        <x:v>1</x:v>
      </x:c>
      <x:c r="K233" s="146" t="str"/>
      <x:c r="L233" s="149" t="n">
        <x:v>1</x:v>
      </x:c>
      <x:c r="M233" s="149" t="n">
        <x:v>1</x:v>
      </x:c>
      <x:c r="N233" s="149" t="n">
        <x:v>1</x:v>
      </x:c>
      <x:c r="O233" s="149" t="n">
        <x:v>1</x:v>
      </x:c>
      <x:c r="P233" s="149" t="n">
        <x:f>IF('입력·근거'!$B$12="HIGH",O233,N233)</x:f>
        <x:v>1</x:v>
      </x:c>
      <x:c r="Q233" s="158" t="str"/>
      <x:c r="R233" s="161" t="str">
        <x:f>IF(Q233="","",P233*Q233)</x:f>
      </x:c>
      <x:c r="S233" s="146" t="str">
        <x:v>unpriced_source</x:v>
      </x:c>
    </x:row>
    <x:row r="234">
      <x:c r="A234" s="146" t="str">
        <x:v>Milling Facility.</x:v>
      </x:c>
      <x:c r="B234" s="146" t="n">
        <x:v>153</x:v>
      </x:c>
      <x:c r="C234" s="146" t="str">
        <x:v>옥수수 가공시설</x:v>
      </x:c>
      <x:c r="D234" s="146" t="str">
        <x:v>창호·철물</x:v>
      </x:c>
      <x:c r="E234" s="146" t="str">
        <x:v>ELEMENT NO. 5</x:v>
      </x:c>
      <x:c r="F234" s="146" t="str">
        <x:v>Purpose made steel casement Doors manufactured from standard casement 2.0mm thick sections : manufacture, assemble and deliver to site: supply and fix all approved UNION or equal ironmongery : with and including door frames, fixing drilled, plugged and screwed or built into walling: one coat red oxide primer before delivery.</x:v>
      </x:c>
      <x:c r="G234" s="146" t="str">
        <x:v>B</x:v>
      </x:c>
      <x:c r="H234" s="49" t="str">
        <x:v>Ditto but 1000x2100mm high</x:v>
      </x:c>
      <x:c r="I234" s="146" t="str">
        <x:v>no.</x:v>
      </x:c>
      <x:c r="J234" s="149" t="n">
        <x:v>2</x:v>
      </x:c>
      <x:c r="K234" s="146" t="str"/>
      <x:c r="L234" s="149" t="n">
        <x:v>1</x:v>
      </x:c>
      <x:c r="M234" s="149" t="n">
        <x:v>1</x:v>
      </x:c>
      <x:c r="N234" s="149" t="n">
        <x:v>2</x:v>
      </x:c>
      <x:c r="O234" s="149" t="n">
        <x:v>2</x:v>
      </x:c>
      <x:c r="P234" s="149" t="n">
        <x:f>IF('입력·근거'!$B$12="HIGH",O234,N234)</x:f>
        <x:v>2</x:v>
      </x:c>
      <x:c r="Q234" s="158" t="str"/>
      <x:c r="R234" s="161" t="str">
        <x:f>IF(Q234="","",P234*Q234)</x:f>
      </x:c>
      <x:c r="S234" s="146" t="str">
        <x:v>unpriced_source</x:v>
      </x:c>
    </x:row>
    <x:row r="235">
      <x:c r="A235" s="146" t="str">
        <x:v>Milling Facility.</x:v>
      </x:c>
      <x:c r="B235" s="146" t="n">
        <x:v>155</x:v>
      </x:c>
      <x:c r="C235" s="146" t="str">
        <x:v>옥수수 가공시설</x:v>
      </x:c>
      <x:c r="D235" s="146" t="str">
        <x:v>창호·철물</x:v>
      </x:c>
      <x:c r="E235" s="146" t="str">
        <x:v>ELEMENT NO. 5</x:v>
      </x:c>
      <x:c r="F235" s="146" t="str">
        <x:v>PREPARE SURFACE AND APPLY ETCHING PRIMER; apply one coat primer, one undercoat and two Gloss finishing coats; on metal work : to</x:v>
      </x:c>
      <x:c r="G235" s="146" t="str">
        <x:v>C</x:v>
      </x:c>
      <x:c r="H235" s="49" t="str">
        <x:v>Steel door surfaces</x:v>
      </x:c>
      <x:c r="I235" s="146" t="str">
        <x:v>m²</x:v>
      </x:c>
      <x:c r="J235" s="149" t="n">
        <x:v>16.2</x:v>
      </x:c>
      <x:c r="K235" s="146" t="str">
        <x:v>=4*3+1*2.1*2</x:v>
      </x:c>
      <x:c r="L235" s="149" t="n">
        <x:v>1</x:v>
      </x:c>
      <x:c r="M235" s="149" t="n">
        <x:v>1</x:v>
      </x:c>
      <x:c r="N235" s="149" t="n">
        <x:v>16.2</x:v>
      </x:c>
      <x:c r="O235" s="149" t="n">
        <x:v>16.2</x:v>
      </x:c>
      <x:c r="P235" s="149" t="n">
        <x:f>IF('입력·근거'!$B$12="HIGH",O235,N235)</x:f>
        <x:v>16.2</x:v>
      </x:c>
      <x:c r="Q235" s="158" t="str"/>
      <x:c r="R235" s="161" t="str">
        <x:f>IF(Q235="","",P235*Q235)</x:f>
      </x:c>
      <x:c r="S235" s="146" t="str">
        <x:v>formula_quantity;unpriced_source</x:v>
      </x:c>
    </x:row>
    <x:row r="236">
      <x:c r="A236" s="146" t="str">
        <x:v>Milling Facility.</x:v>
      </x:c>
      <x:c r="B236" s="146" t="n">
        <x:v>162</x:v>
      </x:c>
      <x:c r="C236" s="146" t="str">
        <x:v>옥수수 가공시설</x:v>
      </x:c>
      <x:c r="D236" s="146" t="str">
        <x:v>창호·철물</x:v>
      </x:c>
      <x:c r="E236" s="146" t="str">
        <x:v>ELEMENT NO.6</x:v>
      </x:c>
      <x:c r="F236" s="146" t="str">
        <x:v>PURPOSE MADE WINDOW STANDARD Steel Section for glazing with putty, permanent ventilation comprising T-bar hood and gauze, standard transomes and mullions, heavy duty aluminium friction hinges and fasteners, one coat red oxide etching primer : including 450mm high vents at the top comprising 2mm thick mild steel sheet cranked louvers, 120mm wide bent to shape all welded to window frame; as per Architect's detail drawing.</x:v>
      </x:c>
      <x:c r="G236" s="146" t="str">
        <x:v>A</x:v>
      </x:c>
      <x:c r="H236" s="49" t="str">
        <x:v>Window W1 overall size 1200 x 1200mm high (overall)</x:v>
      </x:c>
      <x:c r="I236" s="146" t="str">
        <x:v>no.</x:v>
      </x:c>
      <x:c r="J236" s="149" t="n">
        <x:v>2</x:v>
      </x:c>
      <x:c r="K236" s="146" t="str"/>
      <x:c r="L236" s="149" t="n">
        <x:v>1</x:v>
      </x:c>
      <x:c r="M236" s="149" t="n">
        <x:v>1</x:v>
      </x:c>
      <x:c r="N236" s="149" t="n">
        <x:v>2</x:v>
      </x:c>
      <x:c r="O236" s="149" t="n">
        <x:v>2</x:v>
      </x:c>
      <x:c r="P236" s="149" t="n">
        <x:f>IF('입력·근거'!$B$12="HIGH",O236,N236)</x:f>
        <x:v>2</x:v>
      </x:c>
      <x:c r="Q236" s="158" t="str"/>
      <x:c r="R236" s="161" t="str">
        <x:f>IF(Q236="","",P236*Q236)</x:f>
      </x:c>
      <x:c r="S236" s="146" t="str">
        <x:v>unpriced_source</x:v>
      </x:c>
    </x:row>
    <x:row r="237">
      <x:c r="A237" s="146" t="str">
        <x:v>Milling Facility.</x:v>
      </x:c>
      <x:c r="B237" s="146" t="n">
        <x:v>164</x:v>
      </x:c>
      <x:c r="C237" s="146" t="str">
        <x:v>옥수수 가공시설</x:v>
      </x:c>
      <x:c r="D237" s="146" t="str">
        <x:v>지붕</x:v>
      </x:c>
      <x:c r="E237" s="146" t="str">
        <x:v>ELEMENT NO.6</x:v>
      </x:c>
      <x:c r="F237" s="146" t="str">
        <x:v>PURPOSE MADE STANDARD Steel burglar proofing made from 25 x 4mm flat bar framing and 12mm solid round mild steel bars : one coat red oxide primer as per Architect's detailed drawing</x:v>
      </x:c>
      <x:c r="G237" s="146" t="str">
        <x:v>B</x:v>
      </x:c>
      <x:c r="H237" s="49" t="str">
        <x:v>Window W1 overall size 1200 x 1200mm high (overall)</x:v>
      </x:c>
      <x:c r="I237" s="146" t="str">
        <x:v>no.</x:v>
      </x:c>
      <x:c r="J237" s="149" t="n">
        <x:v>2</x:v>
      </x:c>
      <x:c r="K237" s="146" t="str"/>
      <x:c r="L237" s="149" t="n">
        <x:v>1</x:v>
      </x:c>
      <x:c r="M237" s="149" t="n">
        <x:v>1</x:v>
      </x:c>
      <x:c r="N237" s="149" t="n">
        <x:v>2</x:v>
      </x:c>
      <x:c r="O237" s="149" t="n">
        <x:v>2</x:v>
      </x:c>
      <x:c r="P237" s="149" t="n">
        <x:f>IF('입력·근거'!$B$12="HIGH",O237,N237)</x:f>
        <x:v>2</x:v>
      </x:c>
      <x:c r="Q237" s="158" t="str"/>
      <x:c r="R237" s="161" t="str">
        <x:f>IF(Q237="","",P237*Q237)</x:f>
      </x:c>
      <x:c r="S237" s="146" t="str">
        <x:v>unpriced_source</x:v>
      </x:c>
    </x:row>
    <x:row r="238">
      <x:c r="A238" s="146" t="str">
        <x:v>Milling Facility.</x:v>
      </x:c>
      <x:c r="B238" s="146" t="n">
        <x:v>166</x:v>
      </x:c>
      <x:c r="C238" s="146" t="str">
        <x:v>옥수수 가공시설</x:v>
      </x:c>
      <x:c r="D238" s="146" t="str">
        <x:v>마감</x:v>
      </x:c>
      <x:c r="E238" s="146" t="str">
        <x:v>ELEMENT NO.6</x:v>
      </x:c>
      <x:c r="F238" s="146" t="str">
        <x:v>PREPARE SURFACE AND APPLY ETCHING PRIMER; apply one coat primer, one undercoat and two Gloss finishing coats; on metal work : to</x:v>
      </x:c>
      <x:c r="G238" s="146" t="str">
        <x:v>C</x:v>
      </x:c>
      <x:c r="H238" s="49" t="str">
        <x:v>General surfaces</x:v>
      </x:c>
      <x:c r="I238" s="146" t="str">
        <x:v>m²</x:v>
      </x:c>
      <x:c r="J238" s="149" t="n">
        <x:v>3</x:v>
      </x:c>
      <x:c r="K238" s="146" t="str"/>
      <x:c r="L238" s="149" t="n">
        <x:v>1</x:v>
      </x:c>
      <x:c r="M238" s="149" t="n">
        <x:v>1</x:v>
      </x:c>
      <x:c r="N238" s="149" t="n">
        <x:v>3</x:v>
      </x:c>
      <x:c r="O238" s="149" t="n">
        <x:v>3</x:v>
      </x:c>
      <x:c r="P238" s="149" t="n">
        <x:f>IF('입력·근거'!$B$12="HIGH",O238,N238)</x:f>
        <x:v>3</x:v>
      </x:c>
      <x:c r="Q238" s="158" t="str"/>
      <x:c r="R238" s="161" t="str">
        <x:f>IF(Q238="","",P238*Q238)</x:f>
      </x:c>
      <x:c r="S238" s="146" t="str">
        <x:v>unpriced_source</x:v>
      </x:c>
    </x:row>
    <x:row r="239">
      <x:c r="A239" s="146" t="str">
        <x:v>Milling Facility.</x:v>
      </x:c>
      <x:c r="B239" s="146" t="n">
        <x:v>167</x:v>
      </x:c>
      <x:c r="C239" s="146" t="str">
        <x:v>옥수수 가공시설</x:v>
      </x:c>
      <x:c r="D239" s="146" t="str">
        <x:v>지붕</x:v>
      </x:c>
      <x:c r="E239" s="146" t="str">
        <x:v>ELEMENT NO.6</x:v>
      </x:c>
      <x:c r="F239" s="146" t="str">
        <x:v>PREPARE SURFACE AND APPLY ETCHING PRIMER; apply one coat primer, one undercoat and two Gloss finishing coats; on metal work : to</x:v>
      </x:c>
      <x:c r="G239" s="146" t="str">
        <x:v>D</x:v>
      </x:c>
      <x:c r="H239" s="49" t="str">
        <x:v>Burglar proofing</x:v>
      </x:c>
      <x:c r="I239" s="146" t="str">
        <x:v>m²</x:v>
      </x:c>
      <x:c r="J239" s="149" t="n">
        <x:v>3</x:v>
      </x:c>
      <x:c r="K239" s="146" t="str"/>
      <x:c r="L239" s="149" t="n">
        <x:v>1</x:v>
      </x:c>
      <x:c r="M239" s="149" t="n">
        <x:v>1</x:v>
      </x:c>
      <x:c r="N239" s="149" t="n">
        <x:v>3</x:v>
      </x:c>
      <x:c r="O239" s="149" t="n">
        <x:v>3</x:v>
      </x:c>
      <x:c r="P239" s="149" t="n">
        <x:f>IF('입력·근거'!$B$12="HIGH",O239,N239)</x:f>
        <x:v>3</x:v>
      </x:c>
      <x:c r="Q239" s="158" t="str"/>
      <x:c r="R239" s="161" t="str">
        <x:f>IF(Q239="","",P239*Q239)</x:f>
      </x:c>
      <x:c r="S239" s="146" t="str">
        <x:v>unpriced_source</x:v>
      </x:c>
    </x:row>
    <x:row r="240">
      <x:c r="A240" s="146" t="str">
        <x:v>Milling Facility.</x:v>
      </x:c>
      <x:c r="B240" s="146" t="n">
        <x:v>174</x:v>
      </x:c>
      <x:c r="C240" s="146" t="str">
        <x:v>옥수수 가공시설</x:v>
      </x:c>
      <x:c r="D240" s="146" t="str">
        <x:v>마감</x:v>
      </x:c>
      <x:c r="E240" s="146" t="str">
        <x:v>ELEMENT NO.7</x:v>
      </x:c>
      <x:c r="F240" s="146" t="str">
        <x:v>CEMENT AND WASHED SAND (1:3) RENDER trowelled smooth</x:v>
      </x:c>
      <x:c r="G240" s="146" t="str">
        <x:v>A</x:v>
      </x:c>
      <x:c r="H240" s="49" t="str">
        <x:v>12mm Thick to walls.</x:v>
      </x:c>
      <x:c r="I240" s="146" t="str">
        <x:v>m²</x:v>
      </x:c>
      <x:c r="J240" s="149" t="n">
        <x:v>473</x:v>
      </x:c>
      <x:c r="K240" s="146" t="str"/>
      <x:c r="L240" s="149" t="n">
        <x:v>1</x:v>
      </x:c>
      <x:c r="M240" s="149" t="n">
        <x:v>1</x:v>
      </x:c>
      <x:c r="N240" s="149" t="n">
        <x:v>473</x:v>
      </x:c>
      <x:c r="O240" s="149" t="n">
        <x:v>473</x:v>
      </x:c>
      <x:c r="P240" s="149" t="n">
        <x:f>IF('입력·근거'!$B$12="HIGH",O240,N240)</x:f>
        <x:v>473</x:v>
      </x:c>
      <x:c r="Q240" s="158" t="str"/>
      <x:c r="R240" s="161" t="str">
        <x:f>IF(Q240="","",P240*Q240)</x:f>
      </x:c>
      <x:c r="S240" s="146" t="str">
        <x:v>unpriced_source</x:v>
      </x:c>
    </x:row>
    <x:row r="241">
      <x:c r="A241" s="146" t="str">
        <x:v>Milling Facility.</x:v>
      </x:c>
      <x:c r="B241" s="146" t="n">
        <x:v>177</x:v>
      </x:c>
      <x:c r="C241" s="146" t="str">
        <x:v>옥수수 가공시설</x:v>
      </x:c>
      <x:c r="D241" s="146" t="str">
        <x:v>마감</x:v>
      </x:c>
      <x:c r="E241" s="146" t="str">
        <x:v>ELEMENT NO.7</x:v>
      </x:c>
      <x:c r="F241" s="146" t="str">
        <x:v>Prepare and apply three coats of silk vinyl paint to plastered walls internally</x:v>
      </x:c>
      <x:c r="G241" s="146" t="str">
        <x:v>B</x:v>
      </x:c>
      <x:c r="H241" s="49" t="str">
        <x:v>Rendered surfaces</x:v>
      </x:c>
      <x:c r="I241" s="146" t="str">
        <x:v>m²</x:v>
      </x:c>
      <x:c r="J241" s="149" t="n">
        <x:v>473</x:v>
      </x:c>
      <x:c r="K241" s="146" t="str">
        <x:v>=D174</x:v>
      </x:c>
      <x:c r="L241" s="149" t="n">
        <x:v>1</x:v>
      </x:c>
      <x:c r="M241" s="149" t="n">
        <x:v>1</x:v>
      </x:c>
      <x:c r="N241" s="149" t="n">
        <x:v>473</x:v>
      </x:c>
      <x:c r="O241" s="149" t="n">
        <x:v>473</x:v>
      </x:c>
      <x:c r="P241" s="149" t="n">
        <x:f>IF('입력·근거'!$B$12="HIGH",O241,N241)</x:f>
        <x:v>473</x:v>
      </x:c>
      <x:c r="Q241" s="158" t="str"/>
      <x:c r="R241" s="161" t="str">
        <x:f>IF(Q241="","",P241*Q241)</x:f>
      </x:c>
      <x:c r="S241" s="146" t="str">
        <x:v>formula_quantity;unpriced_source</x:v>
      </x:c>
    </x:row>
    <x:row r="242">
      <x:c r="A242" s="146" t="str">
        <x:v>Milling Facility.</x:v>
      </x:c>
      <x:c r="B242" s="146" t="n">
        <x:v>178</x:v>
      </x:c>
      <x:c r="C242" s="146" t="str">
        <x:v>옥수수 가공시설</x:v>
      </x:c>
      <x:c r="D242" s="146" t="str">
        <x:v>마감</x:v>
      </x:c>
      <x:c r="E242" s="146" t="str">
        <x:v>ELEMENT NO.7</x:v>
      </x:c>
      <x:c r="F242" s="146" t="str">
        <x:v>Prepare and apply three coats of silk vinyl paint to plastered walls internally</x:v>
      </x:c>
      <x:c r="G242" s="146" t="str">
        <x:v>C</x:v>
      </x:c>
      <x:c r="H242" s="49" t="str">
        <x:v>Fairfaced surfaces 200 - 300mm wide</x:v>
      </x:c>
      <x:c r="I242" s="146" t="str">
        <x:v>m</x:v>
      </x:c>
      <x:c r="J242" s="149" t="n">
        <x:v>29</x:v>
      </x:c>
      <x:c r="K242" s="146" t="str">
        <x:v>=D90</x:v>
      </x:c>
      <x:c r="L242" s="149" t="n">
        <x:v>1</x:v>
      </x:c>
      <x:c r="M242" s="149" t="n">
        <x:v>1</x:v>
      </x:c>
      <x:c r="N242" s="149" t="n">
        <x:v>29</x:v>
      </x:c>
      <x:c r="O242" s="149" t="n">
        <x:v>29</x:v>
      </x:c>
      <x:c r="P242" s="149" t="n">
        <x:f>IF('입력·근거'!$B$12="HIGH",O242,N242)</x:f>
        <x:v>29</x:v>
      </x:c>
      <x:c r="Q242" s="158" t="str"/>
      <x:c r="R242" s="161" t="str">
        <x:f>IF(Q242="","",P242*Q242)</x:f>
      </x:c>
      <x:c r="S242" s="146" t="str">
        <x:v>formula_quantity;unpriced_source</x:v>
      </x:c>
    </x:row>
    <x:row r="243">
      <x:c r="A243" s="146" t="str">
        <x:v>Milling Facility.</x:v>
      </x:c>
      <x:c r="B243" s="146" t="n">
        <x:v>180</x:v>
      </x:c>
      <x:c r="C243" s="146" t="str">
        <x:v>옥수수 가공시설</x:v>
      </x:c>
      <x:c r="D243" s="146" t="str">
        <x:v>마감</x:v>
      </x:c>
      <x:c r="E243" s="146" t="str">
        <x:v>ELEMENT NO.7</x:v>
      </x:c>
      <x:c r="F243" s="146" t="str">
        <x:v>SPLASH APRON</x:v>
      </x:c>
      <x:c r="G243" s="146" t="str">
        <x:v>D</x:v>
      </x:c>
      <x:c r="H243" s="49" t="str">
        <x:v>75mm thick concrete class 20/20mm aggregate splash laid in bays reinforced with and including fabric mesh reinforcement ref A98 as before described; on and including 30mm sand blinding on 100mm thick hardcore; finished smooth with 10mm thick cement sand screed (1:3) steel trowelled smooth; including all necessary formwork.</x:v>
      </x:c>
      <x:c r="I243" s="146" t="str">
        <x:v>m²</x:v>
      </x:c>
      <x:c r="J243" s="149" t="n">
        <x:v>93</x:v>
      </x:c>
      <x:c r="K243" s="146" t="str">
        <x:v>=D126</x:v>
      </x:c>
      <x:c r="L243" s="149" t="n">
        <x:v>1</x:v>
      </x:c>
      <x:c r="M243" s="149" t="n">
        <x:v>1</x:v>
      </x:c>
      <x:c r="N243" s="149" t="n">
        <x:v>93</x:v>
      </x:c>
      <x:c r="O243" s="149" t="n">
        <x:v>93</x:v>
      </x:c>
      <x:c r="P243" s="149" t="n">
        <x:f>IF('입력·근거'!$B$12="HIGH",O243,N243)</x:f>
        <x:v>93</x:v>
      </x:c>
      <x:c r="Q243" s="158" t="str"/>
      <x:c r="R243" s="161" t="str">
        <x:f>IF(Q243="","",P243*Q243)</x:f>
      </x:c>
      <x:c r="S243" s="146" t="str">
        <x:v>formula_quantity;unpriced_source</x:v>
      </x:c>
    </x:row>
    <x:row r="244">
      <x:c r="A244" s="146" t="str">
        <x:v>Milling Facility.</x:v>
      </x:c>
      <x:c r="B244" s="146" t="n">
        <x:v>181</x:v>
      </x:c>
      <x:c r="C244" s="146" t="str">
        <x:v>옥수수 가공시설</x:v>
      </x:c>
      <x:c r="D244" s="146" t="str">
        <x:v>창호·철물</x:v>
      </x:c>
      <x:c r="E244" s="146" t="str">
        <x:v>ELEMENT NO.7</x:v>
      </x:c>
      <x:c r="F244" s="146" t="str">
        <x:v>SPLASH APRON</x:v>
      </x:c>
      <x:c r="G244" s="146" t="str">
        <x:v>E</x:v>
      </x:c>
      <x:c r="H244" s="49" t="str">
        <x:v>100mm thick block walling to sides of splash Apron 400mm deep below reduced level with and including 400mm wide x 200mm thick block footing; plastering and painting to exposed surfaces; necessary excavation and disposal of surplus soil</x:v>
      </x:c>
      <x:c r="I244" s="146" t="str">
        <x:v>m</x:v>
      </x:c>
      <x:c r="J244" s="149" t="n">
        <x:v>88</x:v>
      </x:c>
      <x:c r="K244" s="146" t="str"/>
      <x:c r="L244" s="149" t="n">
        <x:v>1</x:v>
      </x:c>
      <x:c r="M244" s="149" t="n">
        <x:v>1</x:v>
      </x:c>
      <x:c r="N244" s="149" t="n">
        <x:v>88</x:v>
      </x:c>
      <x:c r="O244" s="149" t="n">
        <x:v>88</x:v>
      </x:c>
      <x:c r="P244" s="149" t="n">
        <x:f>IF('입력·근거'!$B$12="HIGH",O244,N244)</x:f>
        <x:v>88</x:v>
      </x:c>
      <x:c r="Q244" s="158" t="str"/>
      <x:c r="R244" s="161" t="str">
        <x:f>IF(Q244="","",P244*Q244)</x:f>
      </x:c>
      <x:c r="S244" s="146" t="str">
        <x:v>unpriced_source</x:v>
      </x:c>
    </x:row>
    <x:row r="245">
      <x:c r="A245" s="146" t="str">
        <x:v>Milling Facility.</x:v>
      </x:c>
      <x:c r="B245" s="146" t="n">
        <x:v>188</x:v>
      </x:c>
      <x:c r="C245" s="146" t="str">
        <x:v>옥수수 가공시설</x:v>
      </x:c>
      <x:c r="D245" s="146" t="str">
        <x:v>마감</x:v>
      </x:c>
      <x:c r="E245" s="146" t="str">
        <x:v>ELEMENT NO.8</x:v>
      </x:c>
      <x:c r="F245" s="146" t="str">
        <x:v>INTERNAL LIME PLASTER First coat of cement lime and sand (1:2:9) second coat of cement, lime putty and sand (1:1.6) Steel trowelled smooth</x:v>
      </x:c>
      <x:c r="G245" s="146" t="str">
        <x:v>A</x:v>
      </x:c>
      <x:c r="H245" s="49" t="str">
        <x:v>12mm Thick two coat work to walls</x:v>
      </x:c>
      <x:c r="I245" s="146" t="str">
        <x:v>m²</x:v>
      </x:c>
      <x:c r="J245" s="149" t="n">
        <x:v>473</x:v>
      </x:c>
      <x:c r="K245" s="146" t="str">
        <x:v>=D177</x:v>
      </x:c>
      <x:c r="L245" s="149" t="n">
        <x:v>1</x:v>
      </x:c>
      <x:c r="M245" s="149" t="n">
        <x:v>1</x:v>
      </x:c>
      <x:c r="N245" s="149" t="n">
        <x:v>473</x:v>
      </x:c>
      <x:c r="O245" s="149" t="n">
        <x:v>473</x:v>
      </x:c>
      <x:c r="P245" s="149" t="n">
        <x:f>IF('입력·근거'!$B$12="HIGH",O245,N245)</x:f>
        <x:v>473</x:v>
      </x:c>
      <x:c r="Q245" s="158" t="str"/>
      <x:c r="R245" s="161" t="str">
        <x:f>IF(Q245="","",P245*Q245)</x:f>
      </x:c>
      <x:c r="S245" s="146" t="str">
        <x:v>formula_quantity;unpriced_source</x:v>
      </x:c>
    </x:row>
    <x:row r="246">
      <x:c r="A246" s="146" t="str">
        <x:v>Milling Facility.</x:v>
      </x:c>
      <x:c r="B246" s="146" t="n">
        <x:v>191</x:v>
      </x:c>
      <x:c r="C246" s="146" t="str">
        <x:v>옥수수 가공시설</x:v>
      </x:c>
      <x:c r="D246" s="146" t="str">
        <x:v>마감</x:v>
      </x:c>
      <x:c r="E246" s="146" t="str">
        <x:v>ELEMENT NO.8</x:v>
      </x:c>
      <x:c r="F246" s="146" t="str">
        <x:v>PREPARE AND APPLY ONE MIST COAT AND THREE COATS silk vinyl emulsion paint internally on:</x:v>
      </x:c>
      <x:c r="G246" s="146" t="str">
        <x:v>B</x:v>
      </x:c>
      <x:c r="H246" s="49" t="str">
        <x:v>Plastered surfaces</x:v>
      </x:c>
      <x:c r="I246" s="146" t="str">
        <x:v>m²</x:v>
      </x:c>
      <x:c r="J246" s="149" t="n">
        <x:v>473</x:v>
      </x:c>
      <x:c r="K246" s="146" t="str">
        <x:v>=D188</x:v>
      </x:c>
      <x:c r="L246" s="149" t="n">
        <x:v>1</x:v>
      </x:c>
      <x:c r="M246" s="149" t="n">
        <x:v>1</x:v>
      </x:c>
      <x:c r="N246" s="149" t="n">
        <x:v>473</x:v>
      </x:c>
      <x:c r="O246" s="149" t="n">
        <x:v>473</x:v>
      </x:c>
      <x:c r="P246" s="149" t="n">
        <x:f>IF('입력·근거'!$B$12="HIGH",O246,N246)</x:f>
        <x:v>473</x:v>
      </x:c>
      <x:c r="Q246" s="158" t="str"/>
      <x:c r="R246" s="161" t="str">
        <x:f>IF(Q246="","",P246*Q246)</x:f>
      </x:c>
      <x:c r="S246" s="146" t="str">
        <x:v>formula_quantity;unpriced_source</x:v>
      </x:c>
    </x:row>
    <x:row r="247">
      <x:c r="A247" s="146" t="str">
        <x:v>Milling Facility.</x:v>
      </x:c>
      <x:c r="B247" s="146" t="n">
        <x:v>197</x:v>
      </x:c>
      <x:c r="C247" s="146" t="str">
        <x:v>옥수수 가공시설</x:v>
      </x:c>
      <x:c r="D247" s="146" t="str">
        <x:v>전기·전력인입</x:v>
      </x:c>
      <x:c r="E247" s="146" t="str">
        <x:v>ELEMENT NO.9</x:v>
      </x:c>
      <x:c r="F247" s="146" t="str">
        <x:v>Lighting Fittings</x:v>
      </x:c>
      <x:c r="G247" s="146" t="str">
        <x:v>A</x:v>
      </x:c>
      <x:c r="H247" s="49" t="str">
        <x:v>Security bulkhead with cast aluminium body with glass lens and aluminium louver with 1 x 8W LED lamp</x:v>
      </x:c>
      <x:c r="I247" s="146" t="str">
        <x:v>no.</x:v>
      </x:c>
      <x:c r="J247" s="149" t="n">
        <x:v>5</x:v>
      </x:c>
      <x:c r="K247" s="146" t="str"/>
      <x:c r="L247" s="149" t="n">
        <x:v>1</x:v>
      </x:c>
      <x:c r="M247" s="149" t="n">
        <x:v>1</x:v>
      </x:c>
      <x:c r="N247" s="149" t="n">
        <x:v>5</x:v>
      </x:c>
      <x:c r="O247" s="149" t="n">
        <x:v>5</x:v>
      </x:c>
      <x:c r="P247" s="149" t="n">
        <x:f>IF('입력·근거'!$B$12="HIGH",O247,N247)</x:f>
        <x:v>5</x:v>
      </x:c>
      <x:c r="Q247" s="158" t="str"/>
      <x:c r="R247" s="161" t="str">
        <x:f>IF(Q247="","",P247*Q247)</x:f>
      </x:c>
      <x:c r="S247" s="146" t="str">
        <x:v>unpriced_source</x:v>
      </x:c>
    </x:row>
    <x:row r="248">
      <x:c r="A248" s="146" t="str">
        <x:v>Milling Facility.</x:v>
      </x:c>
      <x:c r="B248" s="146" t="n">
        <x:v>198</x:v>
      </x:c>
      <x:c r="C248" s="146" t="str">
        <x:v>옥수수 가공시설</x:v>
      </x:c>
      <x:c r="D248" s="146" t="str">
        <x:v>전기·전력인입</x:v>
      </x:c>
      <x:c r="E248" s="146" t="str">
        <x:v>ELEMENT NO.9</x:v>
      </x:c>
      <x:c r="F248" s="146" t="str">
        <x:v>Lighting Fittings</x:v>
      </x:c>
      <x:c r="G248" s="146" t="str">
        <x:v>B</x:v>
      </x:c>
      <x:c r="H248" s="49" t="str">
        <x:v>1 x 18W 1200mm LED single surface mounted batten and all accessories</x:v>
      </x:c>
      <x:c r="I248" s="146" t="str">
        <x:v>no.</x:v>
      </x:c>
      <x:c r="J248" s="149" t="n">
        <x:v>11</x:v>
      </x:c>
      <x:c r="K248" s="146" t="str"/>
      <x:c r="L248" s="149" t="n">
        <x:v>1</x:v>
      </x:c>
      <x:c r="M248" s="149" t="n">
        <x:v>1</x:v>
      </x:c>
      <x:c r="N248" s="149" t="n">
        <x:v>11</x:v>
      </x:c>
      <x:c r="O248" s="149" t="n">
        <x:v>11</x:v>
      </x:c>
      <x:c r="P248" s="149" t="n">
        <x:f>IF('입력·근거'!$B$12="HIGH",O248,N248)</x:f>
        <x:v>11</x:v>
      </x:c>
      <x:c r="Q248" s="158" t="str"/>
      <x:c r="R248" s="161" t="str">
        <x:f>IF(Q248="","",P248*Q248)</x:f>
      </x:c>
      <x:c r="S248" s="146" t="str">
        <x:v>unpriced_source</x:v>
      </x:c>
    </x:row>
    <x:row r="249">
      <x:c r="A249" s="146" t="str">
        <x:v>Milling Facility.</x:v>
      </x:c>
      <x:c r="B249" s="146" t="n">
        <x:v>200</x:v>
      </x:c>
      <x:c r="C249" s="146" t="str">
        <x:v>옥수수 가공시설</x:v>
      </x:c>
      <x:c r="D249" s="146" t="str">
        <x:v>전기·전력인입</x:v>
      </x:c>
      <x:c r="E249" s="146" t="str">
        <x:v>ELEMENT NO.9</x:v>
      </x:c>
      <x:c r="F249" s="146" t="str">
        <x:v>Switches, Sockets &amp; Wiring Accessories</x:v>
      </x:c>
      <x:c r="G249" s="146" t="str">
        <x:v>C</x:v>
      </x:c>
      <x:c r="H249" s="49" t="str">
        <x:v>6A/240V 1-Gang 2-Way switches c/w flush mounting box, and accessories</x:v>
      </x:c>
      <x:c r="I249" s="146" t="str">
        <x:v>no.</x:v>
      </x:c>
      <x:c r="J249" s="149" t="n">
        <x:v>2</x:v>
      </x:c>
      <x:c r="K249" s="146" t="str"/>
      <x:c r="L249" s="149" t="n">
        <x:v>1</x:v>
      </x:c>
      <x:c r="M249" s="149" t="n">
        <x:v>1</x:v>
      </x:c>
      <x:c r="N249" s="149" t="n">
        <x:v>2</x:v>
      </x:c>
      <x:c r="O249" s="149" t="n">
        <x:v>2</x:v>
      </x:c>
      <x:c r="P249" s="149" t="n">
        <x:f>IF('입력·근거'!$B$12="HIGH",O249,N249)</x:f>
        <x:v>2</x:v>
      </x:c>
      <x:c r="Q249" s="158" t="str"/>
      <x:c r="R249" s="161" t="str">
        <x:f>IF(Q249="","",P249*Q249)</x:f>
      </x:c>
      <x:c r="S249" s="146" t="str">
        <x:v>unpriced_source</x:v>
      </x:c>
    </x:row>
    <x:row r="250">
      <x:c r="A250" s="146" t="str">
        <x:v>Milling Facility.</x:v>
      </x:c>
      <x:c r="B250" s="146" t="n">
        <x:v>201</x:v>
      </x:c>
      <x:c r="C250" s="146" t="str">
        <x:v>옥수수 가공시설</x:v>
      </x:c>
      <x:c r="D250" s="146" t="str">
        <x:v>전기·전력인입</x:v>
      </x:c>
      <x:c r="E250" s="146" t="str">
        <x:v>ELEMENT NO.9</x:v>
      </x:c>
      <x:c r="F250" s="146" t="str">
        <x:v>Switches, Sockets &amp; Wiring Accessories</x:v>
      </x:c>
      <x:c r="G250" s="146" t="str">
        <x:v>D</x:v>
      </x:c>
      <x:c r="H250" s="49" t="str">
        <x:v>6A/240V 2-Gang 2-Way witches c/w flush mounting box, and accessories</x:v>
      </x:c>
      <x:c r="I250" s="146" t="str">
        <x:v>no.</x:v>
      </x:c>
      <x:c r="J250" s="149" t="n">
        <x:v>1</x:v>
      </x:c>
      <x:c r="K250" s="146" t="str"/>
      <x:c r="L250" s="149" t="n">
        <x:v>1</x:v>
      </x:c>
      <x:c r="M250" s="149" t="n">
        <x:v>1</x:v>
      </x:c>
      <x:c r="N250" s="149" t="n">
        <x:v>1</x:v>
      </x:c>
      <x:c r="O250" s="149" t="n">
        <x:v>1</x:v>
      </x:c>
      <x:c r="P250" s="149" t="n">
        <x:f>IF('입력·근거'!$B$12="HIGH",O250,N250)</x:f>
        <x:v>1</x:v>
      </x:c>
      <x:c r="Q250" s="158" t="str"/>
      <x:c r="R250" s="161" t="str">
        <x:f>IF(Q250="","",P250*Q250)</x:f>
      </x:c>
      <x:c r="S250" s="146" t="str">
        <x:v>unpriced_source</x:v>
      </x:c>
    </x:row>
    <x:row r="251">
      <x:c r="A251" s="146" t="str">
        <x:v>Milling Facility.</x:v>
      </x:c>
      <x:c r="B251" s="146" t="n">
        <x:v>202</x:v>
      </x:c>
      <x:c r="C251" s="146" t="str">
        <x:v>옥수수 가공시설</x:v>
      </x:c>
      <x:c r="D251" s="146" t="str">
        <x:v>전기·전력인입</x:v>
      </x:c>
      <x:c r="E251" s="146" t="str">
        <x:v>ELEMENT NO.9</x:v>
      </x:c>
      <x:c r="F251" s="146" t="str">
        <x:v>Switches, Sockets &amp; Wiring Accessories</x:v>
      </x:c>
      <x:c r="G251" s="146" t="str">
        <x:v>E</x:v>
      </x:c>
      <x:c r="H251" s="49" t="str">
        <x:v>6A/240V 3-Gang 2 way witches c/w flush mounting box, and accessories</x:v>
      </x:c>
      <x:c r="I251" s="146" t="str">
        <x:v>no.</x:v>
      </x:c>
      <x:c r="J251" s="149" t="n">
        <x:v>2</x:v>
      </x:c>
      <x:c r="K251" s="146" t="str"/>
      <x:c r="L251" s="149" t="n">
        <x:v>1</x:v>
      </x:c>
      <x:c r="M251" s="149" t="n">
        <x:v>1</x:v>
      </x:c>
      <x:c r="N251" s="149" t="n">
        <x:v>2</x:v>
      </x:c>
      <x:c r="O251" s="149" t="n">
        <x:v>2</x:v>
      </x:c>
      <x:c r="P251" s="149" t="n">
        <x:f>IF('입력·근거'!$B$12="HIGH",O251,N251)</x:f>
        <x:v>2</x:v>
      </x:c>
      <x:c r="Q251" s="158" t="str"/>
      <x:c r="R251" s="161" t="str">
        <x:f>IF(Q251="","",P251*Q251)</x:f>
      </x:c>
      <x:c r="S251" s="146" t="str">
        <x:v>unpriced_source</x:v>
      </x:c>
    </x:row>
    <x:row r="252">
      <x:c r="A252" s="146" t="str">
        <x:v>Milling Facility.</x:v>
      </x:c>
      <x:c r="B252" s="146" t="n">
        <x:v>203</x:v>
      </x:c>
      <x:c r="C252" s="146" t="str">
        <x:v>옥수수 가공시설</x:v>
      </x:c>
      <x:c r="D252" s="146" t="str">
        <x:v>전기·전력인입</x:v>
      </x:c>
      <x:c r="E252" s="146" t="str">
        <x:v>ELEMENT NO.9</x:v>
      </x:c>
      <x:c r="F252" s="146" t="str">
        <x:v>Switches, Sockets &amp; Wiring Accessories</x:v>
      </x:c>
      <x:c r="G252" s="146" t="str">
        <x:v>F</x:v>
      </x:c>
      <x:c r="H252" s="49" t="str">
        <x:v>13A SP 2-Gang plate switched socket outlets c/w neon indicator and flush mounting box</x:v>
      </x:c>
      <x:c r="I252" s="146" t="str">
        <x:v>no.</x:v>
      </x:c>
      <x:c r="J252" s="149" t="n">
        <x:v>8</x:v>
      </x:c>
      <x:c r="K252" s="146" t="str"/>
      <x:c r="L252" s="149" t="n">
        <x:v>1</x:v>
      </x:c>
      <x:c r="M252" s="149" t="n">
        <x:v>1</x:v>
      </x:c>
      <x:c r="N252" s="149" t="n">
        <x:v>8</x:v>
      </x:c>
      <x:c r="O252" s="149" t="n">
        <x:v>8</x:v>
      </x:c>
      <x:c r="P252" s="149" t="n">
        <x:f>IF('입력·근거'!$B$12="HIGH",O252,N252)</x:f>
        <x:v>8</x:v>
      </x:c>
      <x:c r="Q252" s="158" t="str"/>
      <x:c r="R252" s="161" t="str">
        <x:f>IF(Q252="","",P252*Q252)</x:f>
      </x:c>
      <x:c r="S252" s="146" t="str">
        <x:v>unpriced_source</x:v>
      </x:c>
    </x:row>
    <x:row r="253">
      <x:c r="A253" s="146" t="str">
        <x:v>Milling Facility.</x:v>
      </x:c>
      <x:c r="B253" s="146" t="n">
        <x:v>206</x:v>
      </x:c>
      <x:c r="C253" s="146" t="str">
        <x:v>옥수수 가공시설</x:v>
      </x:c>
      <x:c r="D253" s="146" t="str">
        <x:v>전기·전력인입</x:v>
      </x:c>
      <x:c r="E253" s="146" t="str">
        <x:v>ELEMENT NO.9</x:v>
      </x:c>
      <x:c r="F253" s="146" t="str">
        <x:v>MAINS POWER SUPPLY AND CONNECTION</x:v>
      </x:c>
      <x:c r="G253" s="146" t="str">
        <x:v>G</x:v>
      </x:c>
      <x:c r="H253" s="49" t="str">
        <x:v>Earthing by 16mm2 stranded bare copper cable complete with all accessories</x:v>
      </x:c>
      <x:c r="I253" s="146" t="str">
        <x:v>m</x:v>
      </x:c>
      <x:c r="J253" s="149" t="n">
        <x:v>10</x:v>
      </x:c>
      <x:c r="K253" s="146" t="str"/>
      <x:c r="L253" s="149" t="n">
        <x:v>1</x:v>
      </x:c>
      <x:c r="M253" s="149" t="n">
        <x:v>1</x:v>
      </x:c>
      <x:c r="N253" s="149" t="n">
        <x:v>10</x:v>
      </x:c>
      <x:c r="O253" s="149" t="n">
        <x:v>10</x:v>
      </x:c>
      <x:c r="P253" s="149" t="n">
        <x:f>IF('입력·근거'!$B$12="HIGH",O253,N253)</x:f>
        <x:v>10</x:v>
      </x:c>
      <x:c r="Q253" s="158" t="str"/>
      <x:c r="R253" s="161" t="str">
        <x:f>IF(Q253="","",P253*Q253)</x:f>
      </x:c>
      <x:c r="S253" s="146" t="str">
        <x:v>unpriced_source</x:v>
      </x:c>
    </x:row>
    <x:row r="254">
      <x:c r="A254" s="146" t="str">
        <x:v>Milling Facility.</x:v>
      </x:c>
      <x:c r="B254" s="146" t="n">
        <x:v>207</x:v>
      </x:c>
      <x:c r="C254" s="146" t="str">
        <x:v>옥수수 가공시설</x:v>
      </x:c>
      <x:c r="D254" s="146" t="str">
        <x:v>설비·장비</x:v>
      </x:c>
      <x:c r="E254" s="146" t="str">
        <x:v>ELEMENT NO.9</x:v>
      </x:c>
      <x:c r="F254" s="146" t="str">
        <x:v>MAINS POWER SUPPLY AND CONNECTION</x:v>
      </x:c>
      <x:c r="G254" s="146" t="str">
        <x:v>H</x:v>
      </x:c>
      <x:c r="H254" s="49" t="str">
        <x:v>Earth Electrodes made from hard drawn copper weld complete with cap earth clamp manjole and complete with all accessories</x:v>
      </x:c>
      <x:c r="I254" s="146" t="str">
        <x:v>item</x:v>
      </x:c>
      <x:c r="J254" s="149" t="n">
        <x:v>1</x:v>
      </x:c>
      <x:c r="K254" s="146" t="str"/>
      <x:c r="L254" s="149" t="n">
        <x:v>1</x:v>
      </x:c>
      <x:c r="M254" s="149" t="n">
        <x:v>1</x:v>
      </x:c>
      <x:c r="N254" s="149" t="n">
        <x:v>1</x:v>
      </x:c>
      <x:c r="O254" s="149" t="n">
        <x:v>1</x:v>
      </x:c>
      <x:c r="P254" s="149" t="n">
        <x:f>IF('입력·근거'!$B$12="HIGH",O254,N254)</x:f>
        <x:v>1</x:v>
      </x:c>
      <x:c r="Q254" s="158" t="str"/>
      <x:c r="R254" s="161" t="str">
        <x:f>IF(Q254="","",P254*Q254)</x:f>
      </x:c>
      <x:c r="S254" s="146" t="str">
        <x:v>unpriced_source</x:v>
      </x:c>
    </x:row>
    <x:row r="255">
      <x:c r="A255" s="146" t="str">
        <x:v>Milling Facility.</x:v>
      </x:c>
      <x:c r="B255" s="146" t="n">
        <x:v>209</x:v>
      </x:c>
      <x:c r="C255" s="146" t="str">
        <x:v>옥수수 가공시설</x:v>
      </x:c>
      <x:c r="D255" s="146" t="str">
        <x:v>전기·전력인입</x:v>
      </x:c>
      <x:c r="E255" s="146" t="str">
        <x:v>ELEMENT NO.9</x:v>
      </x:c>
      <x:c r="F255" s="146" t="str">
        <x:v>Lighting points</x:v>
      </x:c>
      <x:c r="G255" s="146" t="str">
        <x:v>I</x:v>
      </x:c>
      <x:c r="H255" s="49" t="str">
        <x:v>All wiring of lighting points are to be connected complete and ready from 10A SP miniature circuit breakers on Consumer unit, using 1.5mm sq. PVC-Insulated single core copper cables drawn in PVC flush installed conduits, through switches, and as per drawings</x:v>
      </x:c>
      <x:c r="I255" s="146" t="str">
        <x:v>no.</x:v>
      </x:c>
      <x:c r="J255" s="149" t="n">
        <x:v>15</x:v>
      </x:c>
      <x:c r="K255" s="146" t="str"/>
      <x:c r="L255" s="149" t="n">
        <x:v>1</x:v>
      </x:c>
      <x:c r="M255" s="149" t="n">
        <x:v>1</x:v>
      </x:c>
      <x:c r="N255" s="149" t="n">
        <x:v>15</x:v>
      </x:c>
      <x:c r="O255" s="149" t="n">
        <x:v>15</x:v>
      </x:c>
      <x:c r="P255" s="149" t="n">
        <x:f>IF('입력·근거'!$B$12="HIGH",O255,N255)</x:f>
        <x:v>15</x:v>
      </x:c>
      <x:c r="Q255" s="158" t="str"/>
      <x:c r="R255" s="161" t="str">
        <x:f>IF(Q255="","",P255*Q255)</x:f>
      </x:c>
      <x:c r="S255" s="146" t="str">
        <x:v>unpriced_source</x:v>
      </x:c>
    </x:row>
    <x:row r="256">
      <x:c r="A256" s="146" t="str">
        <x:v>Milling Facility.</x:v>
      </x:c>
      <x:c r="B256" s="146" t="n">
        <x:v>211</x:v>
      </x:c>
      <x:c r="C256" s="146" t="str">
        <x:v>옥수수 가공시설</x:v>
      </x:c>
      <x:c r="D256" s="146" t="str">
        <x:v>전기·전력인입</x:v>
      </x:c>
      <x:c r="E256" s="146" t="str">
        <x:v>ELEMENT NO.9</x:v>
      </x:c>
      <x:c r="F256" s="146" t="str">
        <x:v>Power points</x:v>
      </x:c>
      <x:c r="G256" s="146" t="str">
        <x:v>J</x:v>
      </x:c>
      <x:c r="H256" s="49" t="str">
        <x:v>All wiring of all power points are to be connected complete and ready from 32A SP miniature circuit breakers of the respective Consumer Unit using 2.5mm sq. PVC-Insulated single core copper cables in ring circuit, drawn in PVC flush installed conduits, as per drawings</x:v>
      </x:c>
      <x:c r="I256" s="146" t="str">
        <x:v>no.</x:v>
      </x:c>
      <x:c r="J256" s="149" t="n">
        <x:v>9</x:v>
      </x:c>
      <x:c r="K256" s="146" t="str"/>
      <x:c r="L256" s="149" t="n">
        <x:v>1</x:v>
      </x:c>
      <x:c r="M256" s="149" t="n">
        <x:v>1</x:v>
      </x:c>
      <x:c r="N256" s="149" t="n">
        <x:v>9</x:v>
      </x:c>
      <x:c r="O256" s="149" t="n">
        <x:v>9</x:v>
      </x:c>
      <x:c r="P256" s="149" t="n">
        <x:f>IF('입력·근거'!$B$12="HIGH",O256,N256)</x:f>
        <x:v>9</x:v>
      </x:c>
      <x:c r="Q256" s="158" t="str"/>
      <x:c r="R256" s="161" t="str">
        <x:f>IF(Q256="","",P256*Q256)</x:f>
      </x:c>
      <x:c r="S256" s="146" t="str">
        <x:v>unpriced_source</x:v>
      </x:c>
    </x:row>
    <x:row r="257">
      <x:c r="A257" s="146" t="str">
        <x:v>Milling Facility.</x:v>
      </x:c>
      <x:c r="B257" s="146" t="n">
        <x:v>213</x:v>
      </x:c>
      <x:c r="C257" s="146" t="str">
        <x:v>옥수수 가공시설</x:v>
      </x:c>
      <x:c r="D257" s="146" t="str">
        <x:v>설비·장비</x:v>
      </x:c>
      <x:c r="E257" s="146" t="str">
        <x:v>ELEMENT NO.9</x:v>
      </x:c>
      <x:c r="F257" s="146" t="str">
        <x:v>Low Voltage System Earthing</x:v>
      </x:c>
      <x:c r="G257" s="146" t="str">
        <x:v>K</x:v>
      </x:c>
      <x:c r="H257" s="49" t="str">
        <x:v>Earth the Low Voltage System so as to achieve a final earth resistance value of not more than 1.0 Ohm and as per IEE Regulations and Code of Practice</x:v>
      </x:c>
      <x:c r="I257" s="146" t="str">
        <x:v>item</x:v>
      </x:c>
      <x:c r="J257" s="149" t="n">
        <x:v>1</x:v>
      </x:c>
      <x:c r="K257" s="146" t="str"/>
      <x:c r="L257" s="149" t="n">
        <x:v>1</x:v>
      </x:c>
      <x:c r="M257" s="149" t="n">
        <x:v>1</x:v>
      </x:c>
      <x:c r="N257" s="149" t="n">
        <x:v>1</x:v>
      </x:c>
      <x:c r="O257" s="149" t="n">
        <x:v>1</x:v>
      </x:c>
      <x:c r="P257" s="149" t="n">
        <x:f>IF('입력·근거'!$B$12="HIGH",O257,N257)</x:f>
        <x:v>1</x:v>
      </x:c>
      <x:c r="Q257" s="158" t="str"/>
      <x:c r="R257" s="161" t="str">
        <x:f>IF(Q257="","",P257*Q257)</x:f>
      </x:c>
      <x:c r="S257" s="146" t="str">
        <x:v>unpriced_source</x:v>
      </x:c>
    </x:row>
    <x:row r="258">
      <x:c r="A258" s="146" t="str">
        <x:v>Milling Facility.</x:v>
      </x:c>
      <x:c r="B258" s="146" t="n">
        <x:v>214</x:v>
      </x:c>
      <x:c r="C258" s="146" t="str">
        <x:v>옥수수 가공시설</x:v>
      </x:c>
      <x:c r="D258" s="146" t="str">
        <x:v>설비·장비</x:v>
      </x:c>
      <x:c r="E258" s="146" t="str">
        <x:v>ELEMENT NO.9</x:v>
      </x:c>
      <x:c r="F258" s="146" t="str">
        <x:v>Low Voltage System Earthing</x:v>
      </x:c>
      <x:c r="G258" s="146" t="str">
        <x:v>L</x:v>
      </x:c>
      <x:c r="H258" s="49" t="str">
        <x:v>Supply and Install a 8x8 Adaptable Box for Power extension</x:v>
      </x:c>
      <x:c r="I258" s="146" t="str">
        <x:v>no.</x:v>
      </x:c>
      <x:c r="J258" s="149" t="n">
        <x:v>1</x:v>
      </x:c>
      <x:c r="K258" s="146" t="str"/>
      <x:c r="L258" s="149" t="n">
        <x:v>1</x:v>
      </x:c>
      <x:c r="M258" s="149" t="n">
        <x:v>1</x:v>
      </x:c>
      <x:c r="N258" s="149" t="n">
        <x:v>1</x:v>
      </x:c>
      <x:c r="O258" s="149" t="n">
        <x:v>1</x:v>
      </x:c>
      <x:c r="P258" s="149" t="n">
        <x:f>IF('입력·근거'!$B$12="HIGH",O258,N258)</x:f>
        <x:v>1</x:v>
      </x:c>
      <x:c r="Q258" s="158" t="str"/>
      <x:c r="R258" s="161" t="str">
        <x:f>IF(Q258="","",P258*Q258)</x:f>
      </x:c>
      <x:c r="S258" s="146" t="str">
        <x:v>unpriced_source</x:v>
      </x:c>
    </x:row>
    <x:row r="259">
      <x:c r="A259" s="146" t="str">
        <x:v>Milling Facility.</x:v>
      </x:c>
      <x:c r="B259" s="146" t="n">
        <x:v>217</x:v>
      </x:c>
      <x:c r="C259" s="146" t="str">
        <x:v>옥수수 가공시설</x:v>
      </x:c>
      <x:c r="D259" s="146" t="str">
        <x:v>전기·전력인입</x:v>
      </x:c>
      <x:c r="E259" s="146" t="str">
        <x:v>ELEMENT NO.9</x:v>
      </x:c>
      <x:c r="F259" s="146" t="str">
        <x:v>All items are to be supplied and installed complete with all the required mounting, fixing, clipping, testing, connecting accessories, connected, tested and commissioned to the satisfaction of the Electrical Engineer.</x:v>
      </x:c>
      <x:c r="G259" s="146" t="str">
        <x:v>M</x:v>
      </x:c>
      <x:c r="H259" s="49" t="str">
        <x:v>25mm x 3mm copper tape as to FURSE manufacture, or approved equivalent.</x:v>
      </x:c>
      <x:c r="I259" s="146" t="str">
        <x:v>m</x:v>
      </x:c>
      <x:c r="J259" s="149" t="n">
        <x:v>28</x:v>
      </x:c>
      <x:c r="K259" s="146" t="str"/>
      <x:c r="L259" s="149" t="n">
        <x:v>1</x:v>
      </x:c>
      <x:c r="M259" s="149" t="n">
        <x:v>1</x:v>
      </x:c>
      <x:c r="N259" s="149" t="n">
        <x:v>28</x:v>
      </x:c>
      <x:c r="O259" s="149" t="n">
        <x:v>28</x:v>
      </x:c>
      <x:c r="P259" s="149" t="n">
        <x:f>IF('입력·근거'!$B$12="HIGH",O259,N259)</x:f>
        <x:v>28</x:v>
      </x:c>
      <x:c r="Q259" s="158" t="str"/>
      <x:c r="R259" s="161" t="str">
        <x:f>IF(Q259="","",P259*Q259)</x:f>
      </x:c>
      <x:c r="S259" s="146" t="str">
        <x:v>unpriced_source</x:v>
      </x:c>
    </x:row>
    <x:row r="260">
      <x:c r="A260" s="146" t="str">
        <x:v>Milling Facility.</x:v>
      </x:c>
      <x:c r="B260" s="146" t="n">
        <x:v>218</x:v>
      </x:c>
      <x:c r="C260" s="146" t="str">
        <x:v>옥수수 가공시설</x:v>
      </x:c>
      <x:c r="D260" s="146" t="str">
        <x:v>전기·전력인입</x:v>
      </x:c>
      <x:c r="E260" s="146" t="str">
        <x:v>ELEMENT NO.9</x:v>
      </x:c>
      <x:c r="F260" s="146" t="str">
        <x:v>All items are to be supplied and installed complete with all the required mounting, fixing, clipping, testing, connecting accessories, connected, tested and commissioned to the satisfaction of the Electrical Engineer.</x:v>
      </x:c>
      <x:c r="G260" s="146" t="str">
        <x:v>N</x:v>
      </x:c>
      <x:c r="H260" s="49" t="str">
        <x:v>25mm x 3mm copper square test clamp, as to FURSE Cat.No. CT 105, or approved equivalent.</x:v>
      </x:c>
      <x:c r="I260" s="146" t="str">
        <x:v>no.</x:v>
      </x:c>
      <x:c r="J260" s="149" t="n">
        <x:v>2</x:v>
      </x:c>
      <x:c r="K260" s="146" t="str"/>
      <x:c r="L260" s="149" t="n">
        <x:v>1</x:v>
      </x:c>
      <x:c r="M260" s="149" t="n">
        <x:v>1</x:v>
      </x:c>
      <x:c r="N260" s="149" t="n">
        <x:v>2</x:v>
      </x:c>
      <x:c r="O260" s="149" t="n">
        <x:v>2</x:v>
      </x:c>
      <x:c r="P260" s="149" t="n">
        <x:f>IF('입력·근거'!$B$12="HIGH",O260,N260)</x:f>
        <x:v>2</x:v>
      </x:c>
      <x:c r="Q260" s="158" t="str"/>
      <x:c r="R260" s="161" t="str">
        <x:f>IF(Q260="","",P260*Q260)</x:f>
      </x:c>
      <x:c r="S260" s="146" t="str">
        <x:v>unpriced_source</x:v>
      </x:c>
    </x:row>
    <x:row r="261">
      <x:c r="A261" s="146" t="str">
        <x:v>Milling Facility.</x:v>
      </x:c>
      <x:c r="B261" s="146" t="n">
        <x:v>219</x:v>
      </x:c>
      <x:c r="C261" s="146" t="str">
        <x:v>옥수수 가공시설</x:v>
      </x:c>
      <x:c r="D261" s="146" t="str">
        <x:v>전기·전력인입</x:v>
      </x:c>
      <x:c r="E261" s="146" t="str">
        <x:v>ELEMENT NO.9</x:v>
      </x:c>
      <x:c r="F261" s="146" t="str">
        <x:v>All items are to be supplied and installed complete with all the required mounting, fixing, clipping, testing, connecting accessories, connected, tested and commissioned to the satisfaction of the Electrical Engineer.</x:v>
      </x:c>
      <x:c r="G261" s="146" t="str">
        <x:v>O</x:v>
      </x:c>
      <x:c r="H261" s="49" t="str">
        <x:v>2000mm x 15mm air rod, as to FURSE Cat. No. RA 240 c/w multiple point, as to FURSE Cat. No. RA 600, air terminal base, as to FURSE Cat. No. SD 105, and ridge saddle, as to FURSE Cat. No. SD 115, or approved equivalent.</x:v>
      </x:c>
      <x:c r="I261" s="146" t="str">
        <x:v>no.</x:v>
      </x:c>
      <x:c r="J261" s="149" t="n">
        <x:v>1</x:v>
      </x:c>
      <x:c r="K261" s="146" t="str"/>
      <x:c r="L261" s="149" t="n">
        <x:v>1</x:v>
      </x:c>
      <x:c r="M261" s="149" t="n">
        <x:v>1</x:v>
      </x:c>
      <x:c r="N261" s="149" t="n">
        <x:v>1</x:v>
      </x:c>
      <x:c r="O261" s="149" t="n">
        <x:v>1</x:v>
      </x:c>
      <x:c r="P261" s="149" t="n">
        <x:f>IF('입력·근거'!$B$12="HIGH",O261,N261)</x:f>
        <x:v>1</x:v>
      </x:c>
      <x:c r="Q261" s="158" t="str"/>
      <x:c r="R261" s="161" t="str">
        <x:f>IF(Q261="","",P261*Q261)</x:f>
      </x:c>
      <x:c r="S261" s="146" t="str">
        <x:v>unpriced_source</x:v>
      </x:c>
    </x:row>
    <x:row r="262">
      <x:c r="A262" s="146" t="str">
        <x:v>Milling Facility.</x:v>
      </x:c>
      <x:c r="B262" s="146" t="n">
        <x:v>220</x:v>
      </x:c>
      <x:c r="C262" s="146" t="str">
        <x:v>옥수수 가공시설</x:v>
      </x:c>
      <x:c r="D262" s="146" t="str">
        <x:v>전기·전력인입</x:v>
      </x:c>
      <x:c r="E262" s="146" t="str">
        <x:v>ELEMENT NO.9</x:v>
      </x:c>
      <x:c r="F262" s="146" t="str">
        <x:v>All items are to be supplied and installed complete with all the required mounting, fixing, clipping, testing, connecting accessories, connected, tested and commissioned to the satisfaction of the Electrical Engineer.</x:v>
      </x:c>
      <x:c r="G262" s="146" t="str">
        <x:v>P</x:v>
      </x:c>
      <x:c r="H262" s="49" t="str">
        <x:v>25mm x 3mm tape clips</x:v>
      </x:c>
      <x:c r="I262" s="146" t="str">
        <x:v>pkt</x:v>
      </x:c>
      <x:c r="J262" s="149" t="n">
        <x:v>10</x:v>
      </x:c>
      <x:c r="K262" s="146" t="str"/>
      <x:c r="L262" s="149" t="n">
        <x:v>1</x:v>
      </x:c>
      <x:c r="M262" s="149" t="n">
        <x:v>1</x:v>
      </x:c>
      <x:c r="N262" s="149" t="n">
        <x:v>10</x:v>
      </x:c>
      <x:c r="O262" s="149" t="n">
        <x:v>10</x:v>
      </x:c>
      <x:c r="P262" s="149" t="n">
        <x:f>IF('입력·근거'!$B$12="HIGH",O262,N262)</x:f>
        <x:v>10</x:v>
      </x:c>
      <x:c r="Q262" s="158" t="str"/>
      <x:c r="R262" s="161" t="str">
        <x:f>IF(Q262="","",P262*Q262)</x:f>
      </x:c>
      <x:c r="S262" s="146" t="str">
        <x:v>unpriced_source</x:v>
      </x:c>
    </x:row>
    <x:row r="263">
      <x:c r="A263" s="146" t="str">
        <x:v>Milling Facility.</x:v>
      </x:c>
      <x:c r="B263" s="146" t="n">
        <x:v>221</x:v>
      </x:c>
      <x:c r="C263" s="146" t="str">
        <x:v>옥수수 가공시설</x:v>
      </x:c>
      <x:c r="D263" s="146" t="str">
        <x:v>전기·전력인입</x:v>
      </x:c>
      <x:c r="E263" s="146" t="str">
        <x:v>ELEMENT NO.9</x:v>
      </x:c>
      <x:c r="F263" s="146" t="str">
        <x:v>All items are to be supplied and installed complete with all the required mounting, fixing, clipping, testing, connecting accessories, connected, tested and commissioned to the satisfaction of the Electrical Engineer.</x:v>
      </x:c>
      <x:c r="G263" s="146" t="str">
        <x:v>Q</x:v>
      </x:c>
      <x:c r="H263" s="49" t="str">
        <x:v>1200mm x 20mm solid copper earth rod, as to FURSE Cat.No. RC 015, and 600x600 earth mat complete with driving stud and coupler, and accessories.</x:v>
      </x:c>
      <x:c r="I263" s="146" t="str">
        <x:v>no.</x:v>
      </x:c>
      <x:c r="J263" s="149" t="n">
        <x:v>1</x:v>
      </x:c>
      <x:c r="K263" s="146" t="str"/>
      <x:c r="L263" s="149" t="n">
        <x:v>1</x:v>
      </x:c>
      <x:c r="M263" s="149" t="n">
        <x:v>1</x:v>
      </x:c>
      <x:c r="N263" s="149" t="n">
        <x:v>1</x:v>
      </x:c>
      <x:c r="O263" s="149" t="n">
        <x:v>1</x:v>
      </x:c>
      <x:c r="P263" s="149" t="n">
        <x:f>IF('입력·근거'!$B$12="HIGH",O263,N263)</x:f>
        <x:v>1</x:v>
      </x:c>
      <x:c r="Q263" s="158" t="str"/>
      <x:c r="R263" s="161" t="str">
        <x:f>IF(Q263="","",P263*Q263)</x:f>
      </x:c>
      <x:c r="S263" s="146" t="str">
        <x:v>unpriced_source</x:v>
      </x:c>
    </x:row>
    <x:row r="264">
      <x:c r="A264" s="146" t="str">
        <x:v>Milling Facility.</x:v>
      </x:c>
      <x:c r="B264" s="146" t="n">
        <x:v>222</x:v>
      </x:c>
      <x:c r="C264" s="146" t="str">
        <x:v>옥수수 가공시설</x:v>
      </x:c>
      <x:c r="D264" s="146" t="str">
        <x:v>전기·전력인입</x:v>
      </x:c>
      <x:c r="E264" s="146" t="str">
        <x:v>ELEMENT NO.9</x:v>
      </x:c>
      <x:c r="F264" s="146" t="str">
        <x:v>All items are to be supplied and installed complete with all the required mounting, fixing, clipping, testing, connecting accessories, connected, tested and commissioned to the satisfaction of the Electrical Engineer.</x:v>
      </x:c>
      <x:c r="G264" s="146" t="str">
        <x:v>R</x:v>
      </x:c>
      <x:c r="H264" s="49" t="str">
        <x:v>Concrete inspection chamber, as to FURSE Cat. No. PT005 or approved equivalent.</x:v>
      </x:c>
      <x:c r="I264" s="146" t="str">
        <x:v>no.</x:v>
      </x:c>
      <x:c r="J264" s="149" t="n">
        <x:v>2</x:v>
      </x:c>
      <x:c r="K264" s="146" t="str"/>
      <x:c r="L264" s="149" t="n">
        <x:v>1</x:v>
      </x:c>
      <x:c r="M264" s="149" t="n">
        <x:v>1</x:v>
      </x:c>
      <x:c r="N264" s="149" t="n">
        <x:v>2</x:v>
      </x:c>
      <x:c r="O264" s="149" t="n">
        <x:v>2</x:v>
      </x:c>
      <x:c r="P264" s="149" t="n">
        <x:f>IF('입력·근거'!$B$12="HIGH",O264,N264)</x:f>
        <x:v>2</x:v>
      </x:c>
      <x:c r="Q264" s="158" t="str"/>
      <x:c r="R264" s="161" t="str">
        <x:f>IF(Q264="","",P264*Q264)</x:f>
      </x:c>
      <x:c r="S264" s="146" t="str">
        <x:v>unpriced_source</x:v>
      </x:c>
    </x:row>
    <x:row r="265">
      <x:c r="A265" s="146" t="str">
        <x:v>Milling Facility.</x:v>
      </x:c>
      <x:c r="B265" s="146" t="n">
        <x:v>223</x:v>
      </x:c>
      <x:c r="C265" s="146" t="str">
        <x:v>옥수수 가공시설</x:v>
      </x:c>
      <x:c r="D265" s="146" t="str">
        <x:v>전기·전력인입</x:v>
      </x:c>
      <x:c r="E265" s="146" t="str">
        <x:v>ELEMENT NO.9</x:v>
      </x:c>
      <x:c r="F265" s="146" t="str">
        <x:v>All items are to be supplied and installed complete with all the required mounting, fixing, clipping, testing, connecting accessories, connected, tested and commissioned to the satisfaction of the Electrical Engineer.</x:v>
      </x:c>
      <x:c r="G265" s="146" t="str">
        <x:v>S</x:v>
      </x:c>
      <x:c r="H265" s="49" t="str">
        <x:v>Allow for testing and improving of earth resistance like charcoal, and all accessories required to achieve an earth resistance of 5 Ohms</x:v>
      </x:c>
      <x:c r="I265" s="146" t="str">
        <x:v>item</x:v>
      </x:c>
      <x:c r="J265" s="149" t="n">
        <x:v>1</x:v>
      </x:c>
      <x:c r="K265" s="146" t="str"/>
      <x:c r="L265" s="149" t="n">
        <x:v>1</x:v>
      </x:c>
      <x:c r="M265" s="149" t="n">
        <x:v>1</x:v>
      </x:c>
      <x:c r="N265" s="149" t="n">
        <x:v>1</x:v>
      </x:c>
      <x:c r="O265" s="149" t="n">
        <x:v>1</x:v>
      </x:c>
      <x:c r="P265" s="149" t="n">
        <x:f>IF('입력·근거'!$B$12="HIGH",O265,N265)</x:f>
        <x:v>1</x:v>
      </x:c>
      <x:c r="Q265" s="158" t="str"/>
      <x:c r="R265" s="161" t="str">
        <x:f>IF(Q265="","",P265*Q265)</x:f>
      </x:c>
      <x:c r="S265" s="146" t="str">
        <x:v>unpriced_source</x:v>
      </x:c>
    </x:row>
    <x:row r="266">
      <x:c r="A266" s="146" t="str">
        <x:v>ADMIN BLOCK</x:v>
      </x:c>
      <x:c r="B266" s="146" t="n">
        <x:v>5</x:v>
      </x:c>
      <x:c r="C266" s="146" t="str">
        <x:v>관리동</x:v>
      </x:c>
      <x:c r="D266" s="146" t="str">
        <x:v>창호·철물</x:v>
      </x:c>
      <x:c r="E266" s="146" t="str">
        <x:v>ELEMENT NO 1: SUBSTRUCTURE [ALL PROVISIONAL]</x:v>
      </x:c>
      <x:c r="F266" s="146" t="str">
        <x:v>Excavations and Earthworks for site preparation.</x:v>
      </x:c>
      <x:c r="G266" s="146" t="str">
        <x:v>A</x:v>
      </x:c>
      <x:c r="H266" s="49" t="str">
        <x:v>Excavate top vegetable soil average 150mm deep and cart to spoil</x:v>
      </x:c>
      <x:c r="I266" s="146" t="str">
        <x:v>m²</x:v>
      </x:c>
      <x:c r="J266" s="149" t="n">
        <x:v>0</x:v>
      </x:c>
      <x:c r="K266" s="146" t="str"/>
      <x:c r="L266" s="149" t="n">
        <x:v>1</x:v>
      </x:c>
      <x:c r="M266" s="149" t="n">
        <x:v>1</x:v>
      </x:c>
      <x:c r="N266" s="149" t="n">
        <x:v>0</x:v>
      </x:c>
      <x:c r="O266" s="149" t="n">
        <x:v>0</x:v>
      </x:c>
      <x:c r="P266" s="149" t="n">
        <x:f>IF('입력·근거'!$B$12="HIGH",O266,N266)</x:f>
        <x:v>0</x:v>
      </x:c>
      <x:c r="Q266" s="158" t="str"/>
      <x:c r="R266" s="161" t="str">
        <x:f>IF(Q266="","",P266*Q266)</x:f>
      </x:c>
      <x:c r="S266" s="146" t="str">
        <x:v>zero_quantity_check_formula_or_design;unpriced_source</x:v>
      </x:c>
    </x:row>
    <x:row r="267">
      <x:c r="A267" s="146" t="str">
        <x:v>ADMIN BLOCK</x:v>
      </x:c>
      <x:c r="B267" s="146" t="n">
        <x:v>6</x:v>
      </x:c>
      <x:c r="C267" s="146" t="str">
        <x:v>관리동</x:v>
      </x:c>
      <x:c r="D267" s="146" t="str">
        <x:v>창호·철물</x:v>
      </x:c>
      <x:c r="E267" s="146" t="str">
        <x:v>ELEMENT NO 1: SUBSTRUCTURE [ALL PROVISIONAL]</x:v>
      </x:c>
      <x:c r="F267" s="146" t="str">
        <x:v>Excavations and Earthworks for site preparation.</x:v>
      </x:c>
      <x:c r="G267" s="146" t="str">
        <x:v>B</x:v>
      </x:c>
      <x:c r="H267" s="49" t="str">
        <x:v>Excavate to reduce levels not exceeding 1.50 metres deep.</x:v>
      </x:c>
      <x:c r="I267" s="146" t="str">
        <x:v>m³</x:v>
      </x:c>
      <x:c r="J267" s="149" t="n">
        <x:v>0</x:v>
      </x:c>
      <x:c r="K267" s="146" t="str">
        <x:v>=D5*0.5</x:v>
      </x:c>
      <x:c r="L267" s="149" t="n">
        <x:v>1</x:v>
      </x:c>
      <x:c r="M267" s="149" t="n">
        <x:v>1</x:v>
      </x:c>
      <x:c r="N267" s="149" t="n">
        <x:v>0</x:v>
      </x:c>
      <x:c r="O267" s="149" t="n">
        <x:v>0</x:v>
      </x:c>
      <x:c r="P267" s="149" t="n">
        <x:f>IF('입력·근거'!$B$12="HIGH",O267,N267)</x:f>
        <x:v>0</x:v>
      </x:c>
      <x:c r="Q267" s="158" t="str"/>
      <x:c r="R267" s="161" t="str">
        <x:f>IF(Q267="","",P267*Q267)</x:f>
      </x:c>
      <x:c r="S267" s="146" t="str">
        <x:v>zero_quantity_check_formula_or_design;formula_quantity;unpriced_source</x:v>
      </x:c>
    </x:row>
    <x:row r="268">
      <x:c r="A268" s="146" t="str">
        <x:v>ADMIN BLOCK</x:v>
      </x:c>
      <x:c r="B268" s="146" t="n">
        <x:v>7</x:v>
      </x:c>
      <x:c r="C268" s="146" t="str">
        <x:v>관리동</x:v>
      </x:c>
      <x:c r="D268" s="146" t="str">
        <x:v>창호·철물</x:v>
      </x:c>
      <x:c r="E268" s="146" t="str">
        <x:v>ELEMENT NO 1: SUBSTRUCTURE [ALL PROVISIONAL]</x:v>
      </x:c>
      <x:c r="F268" s="146" t="str">
        <x:v>Excavations and Earthworks for site preparation.</x:v>
      </x:c>
      <x:c r="G268" s="146" t="str">
        <x:v>C</x:v>
      </x:c>
      <x:c r="H268" s="49" t="str">
        <x:v>Anti-termite treatment to : sides and bottoms of foundations</x:v>
      </x:c>
      <x:c r="I268" s="146" t="str">
        <x:v>m²</x:v>
      </x:c>
      <x:c r="J268" s="149" t="n">
        <x:v>136</x:v>
      </x:c>
      <x:c r="K268" s="146" t="str"/>
      <x:c r="L268" s="149" t="n">
        <x:v>1</x:v>
      </x:c>
      <x:c r="M268" s="149" t="n">
        <x:v>1</x:v>
      </x:c>
      <x:c r="N268" s="149" t="n">
        <x:v>136</x:v>
      </x:c>
      <x:c r="O268" s="149" t="n">
        <x:v>136</x:v>
      </x:c>
      <x:c r="P268" s="149" t="n">
        <x:f>IF('입력·근거'!$B$12="HIGH",O268,N268)</x:f>
        <x:v>136</x:v>
      </x:c>
      <x:c r="Q268" s="158" t="str"/>
      <x:c r="R268" s="161" t="str">
        <x:f>IF(Q268="","",P268*Q268)</x:f>
      </x:c>
      <x:c r="S268" s="146" t="str">
        <x:v>unpriced_source</x:v>
      </x:c>
    </x:row>
    <x:row r="269">
      <x:c r="A269" s="146" t="str">
        <x:v>ADMIN BLOCK</x:v>
      </x:c>
      <x:c r="B269" s="146" t="n">
        <x:v>8</x:v>
      </x:c>
      <x:c r="C269" s="146" t="str">
        <x:v>관리동</x:v>
      </x:c>
      <x:c r="D269" s="146" t="str">
        <x:v>창호·철물</x:v>
      </x:c>
      <x:c r="E269" s="146" t="str">
        <x:v>ELEMENT NO 1: SUBSTRUCTURE [ALL PROVISIONAL]</x:v>
      </x:c>
      <x:c r="F269" s="146" t="str">
        <x:v>Excavations and Earthworks for site preparation.</x:v>
      </x:c>
      <x:c r="G269" s="146" t="str">
        <x:v>D</x:v>
      </x:c>
      <x:c r="H269" s="49" t="str">
        <x:v>Ditto : stripped surfaces of ground</x:v>
      </x:c>
      <x:c r="I269" s="146" t="str">
        <x:v>m²</x:v>
      </x:c>
      <x:c r="J269" s="149" t="n">
        <x:v>107</x:v>
      </x:c>
      <x:c r="K269" s="146" t="str"/>
      <x:c r="L269" s="149" t="n">
        <x:v>1</x:v>
      </x:c>
      <x:c r="M269" s="149" t="n">
        <x:v>1</x:v>
      </x:c>
      <x:c r="N269" s="149" t="n">
        <x:v>107</x:v>
      </x:c>
      <x:c r="O269" s="149" t="n">
        <x:v>107</x:v>
      </x:c>
      <x:c r="P269" s="149" t="n">
        <x:f>IF('입력·근거'!$B$12="HIGH",O269,N269)</x:f>
        <x:v>107</x:v>
      </x:c>
      <x:c r="Q269" s="158" t="str"/>
      <x:c r="R269" s="161" t="str">
        <x:f>IF(Q269="","",P269*Q269)</x:f>
      </x:c>
      <x:c r="S269" s="146" t="str">
        <x:v>unpriced_source</x:v>
      </x:c>
    </x:row>
    <x:row r="270">
      <x:c r="A270" s="146" t="str">
        <x:v>ADMIN BLOCK</x:v>
      </x:c>
      <x:c r="B270" s="146" t="n">
        <x:v>9</x:v>
      </x:c>
      <x:c r="C270" s="146" t="str">
        <x:v>관리동</x:v>
      </x:c>
      <x:c r="D270" s="146" t="str">
        <x:v>창호·철물</x:v>
      </x:c>
      <x:c r="E270" s="146" t="str">
        <x:v>ELEMENT NO 1: SUBSTRUCTURE [ALL PROVISIONAL]</x:v>
      </x:c>
      <x:c r="F270" s="146" t="str">
        <x:v>Excavations and Earthworks for site preparation.</x:v>
      </x:c>
      <x:c r="G270" s="146" t="str">
        <x:v>E</x:v>
      </x:c>
      <x:c r="H270" s="49" t="str">
        <x:v>Ditto : blinded surfaces of hardcore</x:v>
      </x:c>
      <x:c r="I270" s="146" t="str">
        <x:v>m²</x:v>
      </x:c>
      <x:c r="J270" s="149" t="n">
        <x:v>205</x:v>
      </x:c>
      <x:c r="K270" s="146" t="str"/>
      <x:c r="L270" s="149" t="n">
        <x:v>1</x:v>
      </x:c>
      <x:c r="M270" s="149" t="n">
        <x:v>1</x:v>
      </x:c>
      <x:c r="N270" s="149" t="n">
        <x:v>205</x:v>
      </x:c>
      <x:c r="O270" s="149" t="n">
        <x:v>205</x:v>
      </x:c>
      <x:c r="P270" s="149" t="n">
        <x:f>IF('입력·근거'!$B$12="HIGH",O270,N270)</x:f>
        <x:v>205</x:v>
      </x:c>
      <x:c r="Q270" s="158" t="str"/>
      <x:c r="R270" s="161" t="str">
        <x:f>IF(Q270="","",P270*Q270)</x:f>
      </x:c>
      <x:c r="S270" s="146" t="str">
        <x:v>unpriced_source</x:v>
      </x:c>
    </x:row>
    <x:row r="271">
      <x:c r="A271" s="146" t="str">
        <x:v>ADMIN BLOCK</x:v>
      </x:c>
      <x:c r="B271" s="146" t="n">
        <x:v>11</x:v>
      </x:c>
      <x:c r="C271" s="146" t="str">
        <x:v>관리동</x:v>
      </x:c>
      <x:c r="D271" s="146" t="str">
        <x:v>창호·철물</x:v>
      </x:c>
      <x:c r="E271" s="146" t="str">
        <x:v>ELEMENT NO 1: SUBSTRUCTURE [ALL PROVISIONAL]</x:v>
      </x:c>
      <x:c r="F271" s="146" t="str">
        <x:v>Excavations and Earthworks for foundations.</x:v>
      </x:c>
      <x:c r="G271" s="146" t="str">
        <x:v>F</x:v>
      </x:c>
      <x:c r="H271" s="49" t="str">
        <x:v>Excavate foundation trenches; not exceeding 1.50m deep commencing from stripped level:</x:v>
      </x:c>
      <x:c r="I271" s="146" t="str">
        <x:v>m³</x:v>
      </x:c>
      <x:c r="J271" s="149" t="n">
        <x:v>64</x:v>
      </x:c>
      <x:c r="K271" s="146" t="str"/>
      <x:c r="L271" s="149" t="n">
        <x:v>1</x:v>
      </x:c>
      <x:c r="M271" s="149" t="n">
        <x:v>1</x:v>
      </x:c>
      <x:c r="N271" s="149" t="n">
        <x:v>64</x:v>
      </x:c>
      <x:c r="O271" s="149" t="n">
        <x:v>64</x:v>
      </x:c>
      <x:c r="P271" s="149" t="n">
        <x:f>IF('입력·근거'!$B$12="HIGH",O271,N271)</x:f>
        <x:v>64</x:v>
      </x:c>
      <x:c r="Q271" s="158" t="str"/>
      <x:c r="R271" s="161" t="str">
        <x:f>IF(Q271="","",P271*Q271)</x:f>
      </x:c>
      <x:c r="S271" s="146" t="str">
        <x:v>unpriced_source</x:v>
      </x:c>
    </x:row>
    <x:row r="272">
      <x:c r="A272" s="146" t="str">
        <x:v>ADMIN BLOCK</x:v>
      </x:c>
      <x:c r="B272" s="146" t="n">
        <x:v>12</x:v>
      </x:c>
      <x:c r="C272" s="146" t="str">
        <x:v>관리동</x:v>
      </x:c>
      <x:c r="D272" s="146" t="str">
        <x:v>창호·철물</x:v>
      </x:c>
      <x:c r="E272" s="146" t="str">
        <x:v>ELEMENT NO 1: SUBSTRUCTURE [ALL PROVISIONAL]</x:v>
      </x:c>
      <x:c r="F272" s="146" t="str">
        <x:v>Excavations and Earthworks for foundations.</x:v>
      </x:c>
      <x:c r="G272" s="146" t="str">
        <x:v>G</x:v>
      </x:c>
      <x:c r="H272" s="49" t="str">
        <x:v>Excavate pit for column bases starting from stripped level not exceeding 1.50m deep.</x:v>
      </x:c>
      <x:c r="I272" s="146" t="str">
        <x:v>m³</x:v>
      </x:c>
      <x:c r="J272" s="149" t="n">
        <x:v>0</x:v>
      </x:c>
      <x:c r="K272" s="146" t="str"/>
      <x:c r="L272" s="149" t="n">
        <x:v>1</x:v>
      </x:c>
      <x:c r="M272" s="149" t="n">
        <x:v>1</x:v>
      </x:c>
      <x:c r="N272" s="149" t="n">
        <x:v>0</x:v>
      </x:c>
      <x:c r="O272" s="149" t="n">
        <x:v>0</x:v>
      </x:c>
      <x:c r="P272" s="149" t="n">
        <x:f>IF('입력·근거'!$B$12="HIGH",O272,N272)</x:f>
        <x:v>0</x:v>
      </x:c>
      <x:c r="Q272" s="158" t="str"/>
      <x:c r="R272" s="161" t="str">
        <x:f>IF(Q272="","",P272*Q272)</x:f>
      </x:c>
      <x:c r="S272" s="146" t="str">
        <x:v>zero_quantity_check_formula_or_design;unpriced_source</x:v>
      </x:c>
    </x:row>
    <x:row r="273">
      <x:c r="A273" s="146" t="str">
        <x:v>ADMIN BLOCK</x:v>
      </x:c>
      <x:c r="B273" s="146" t="n">
        <x:v>13</x:v>
      </x:c>
      <x:c r="C273" s="146" t="str">
        <x:v>관리동</x:v>
      </x:c>
      <x:c r="D273" s="146" t="str">
        <x:v>창호·철물</x:v>
      </x:c>
      <x:c r="E273" s="146" t="str">
        <x:v>ELEMENT NO 1: SUBSTRUCTURE [ALL PROVISIONAL]</x:v>
      </x:c>
      <x:c r="F273" s="146" t="str">
        <x:v>Excavations and Earthworks for foundations.</x:v>
      </x:c>
      <x:c r="G273" s="146" t="str">
        <x:v>H</x:v>
      </x:c>
      <x:c r="H273" s="49" t="str">
        <x:v>Extra over excavations : breaking up rock met with in excavations</x:v>
      </x:c>
      <x:c r="I273" s="146" t="str">
        <x:v>m³</x:v>
      </x:c>
      <x:c r="J273" s="149" t="n">
        <x:v>0</x:v>
      </x:c>
      <x:c r="K273" s="146" t="str"/>
      <x:c r="L273" s="149" t="n">
        <x:v>1</x:v>
      </x:c>
      <x:c r="M273" s="149" t="n">
        <x:v>1</x:v>
      </x:c>
      <x:c r="N273" s="149" t="n">
        <x:v>0</x:v>
      </x:c>
      <x:c r="O273" s="149" t="n">
        <x:v>0</x:v>
      </x:c>
      <x:c r="P273" s="149" t="n">
        <x:f>IF('입력·근거'!$B$12="HIGH",O273,N273)</x:f>
        <x:v>0</x:v>
      </x:c>
      <x:c r="Q273" s="158" t="str"/>
      <x:c r="R273" s="161" t="str">
        <x:f>IF(Q273="","",P273*Q273)</x:f>
      </x:c>
      <x:c r="S273" s="146" t="str">
        <x:v>zero_quantity_check_formula_or_design;unpriced_source</x:v>
      </x:c>
    </x:row>
    <x:row r="274">
      <x:c r="A274" s="146" t="str">
        <x:v>ADMIN BLOCK</x:v>
      </x:c>
      <x:c r="B274" s="146" t="n">
        <x:v>15</x:v>
      </x:c>
      <x:c r="C274" s="146" t="str">
        <x:v>관리동</x:v>
      </x:c>
      <x:c r="D274" s="146" t="str">
        <x:v>창호·철물</x:v>
      </x:c>
      <x:c r="E274" s="146" t="str">
        <x:v>ELEMENT NO 1: SUBSTRUCTURE [ALL PROVISIONAL]</x:v>
      </x:c>
      <x:c r="F274" s="146" t="str">
        <x:v>Disposal of excavated materials</x:v>
      </x:c>
      <x:c r="G274" s="146" t="str">
        <x:v>I</x:v>
      </x:c>
      <x:c r="H274" s="49" t="str">
        <x:v>Return, fill and ram: selected excavated materials around foundations,walling and columns; placed in 200mm layers compacted to 95% MDD.</x:v>
      </x:c>
      <x:c r="I274" s="146" t="str">
        <x:v>m³</x:v>
      </x:c>
      <x:c r="J274" s="149" t="n">
        <x:v>26</x:v>
      </x:c>
      <x:c r="K274" s="146" t="str"/>
      <x:c r="L274" s="149" t="n">
        <x:v>1</x:v>
      </x:c>
      <x:c r="M274" s="149" t="n">
        <x:v>1</x:v>
      </x:c>
      <x:c r="N274" s="149" t="n">
        <x:v>26</x:v>
      </x:c>
      <x:c r="O274" s="149" t="n">
        <x:v>26</x:v>
      </x:c>
      <x:c r="P274" s="149" t="n">
        <x:f>IF('입력·근거'!$B$12="HIGH",O274,N274)</x:f>
        <x:v>26</x:v>
      </x:c>
      <x:c r="Q274" s="158" t="str"/>
      <x:c r="R274" s="161" t="str">
        <x:f>IF(Q274="","",P274*Q274)</x:f>
      </x:c>
      <x:c r="S274" s="146" t="str">
        <x:v>unpriced_source</x:v>
      </x:c>
    </x:row>
    <x:row r="275">
      <x:c r="A275" s="146" t="str">
        <x:v>ADMIN BLOCK</x:v>
      </x:c>
      <x:c r="B275" s="146" t="n">
        <x:v>16</x:v>
      </x:c>
      <x:c r="C275" s="146" t="str">
        <x:v>관리동</x:v>
      </x:c>
      <x:c r="D275" s="146" t="str">
        <x:v>창호·철물</x:v>
      </x:c>
      <x:c r="E275" s="146" t="str">
        <x:v>ELEMENT NO 1: SUBSTRUCTURE [ALL PROVISIONAL]</x:v>
      </x:c>
      <x:c r="F275" s="146" t="str">
        <x:v>Disposal of excavated materials</x:v>
      </x:c>
      <x:c r="G275" s="146" t="str">
        <x:v>J</x:v>
      </x:c>
      <x:c r="H275" s="49" t="str">
        <x:v>Surplus excavated material: Load up, cart, deposit, spread and level on site where directed.</x:v>
      </x:c>
      <x:c r="I275" s="146" t="str">
        <x:v>m³</x:v>
      </x:c>
      <x:c r="J275" s="149" t="n">
        <x:v>38</x:v>
      </x:c>
      <x:c r="K275" s="146" t="str"/>
      <x:c r="L275" s="149" t="n">
        <x:v>1</x:v>
      </x:c>
      <x:c r="M275" s="149" t="n">
        <x:v>1</x:v>
      </x:c>
      <x:c r="N275" s="149" t="n">
        <x:v>38</x:v>
      </x:c>
      <x:c r="O275" s="149" t="n">
        <x:v>38</x:v>
      </x:c>
      <x:c r="P275" s="149" t="n">
        <x:f>IF('입력·근거'!$B$12="HIGH",O275,N275)</x:f>
        <x:v>38</x:v>
      </x:c>
      <x:c r="Q275" s="158" t="str"/>
      <x:c r="R275" s="161" t="str">
        <x:f>IF(Q275="","",P275*Q275)</x:f>
      </x:c>
      <x:c r="S275" s="146" t="str">
        <x:v>unpriced_source</x:v>
      </x:c>
    </x:row>
    <x:row r="276">
      <x:c r="A276" s="146" t="str">
        <x:v>ADMIN BLOCK</x:v>
      </x:c>
      <x:c r="B276" s="146" t="n">
        <x:v>18</x:v>
      </x:c>
      <x:c r="C276" s="146" t="str">
        <x:v>관리동</x:v>
      </x:c>
      <x:c r="D276" s="146" t="str">
        <x:v>창호·철물</x:v>
      </x:c>
      <x:c r="E276" s="146" t="str">
        <x:v>ELEMENT NO 1: SUBSTRUCTURE [ALL PROVISIONAL]</x:v>
      </x:c>
      <x:c r="F276" s="146" t="str">
        <x:v>Fillings</x:v>
      </x:c>
      <x:c r="G276" s="146" t="str">
        <x:v>K</x:v>
      </x:c>
      <x:c r="H276" s="49" t="str">
        <x:v>150mm Gravel soil filling : well watered and compacted to MDD 95% : to make up levels under floor bed</x:v>
      </x:c>
      <x:c r="I276" s="146" t="str">
        <x:v>m²</x:v>
      </x:c>
      <x:c r="J276" s="149" t="n">
        <x:v>61.5</x:v>
      </x:c>
      <x:c r="K276" s="146" t="str">
        <x:v>=D9*0.3</x:v>
      </x:c>
      <x:c r="L276" s="149" t="n">
        <x:v>1</x:v>
      </x:c>
      <x:c r="M276" s="149" t="n">
        <x:v>1</x:v>
      </x:c>
      <x:c r="N276" s="149" t="n">
        <x:v>61.5</x:v>
      </x:c>
      <x:c r="O276" s="149" t="n">
        <x:v>61.5</x:v>
      </x:c>
      <x:c r="P276" s="149" t="n">
        <x:f>IF('입력·근거'!$B$12="HIGH",O276,N276)</x:f>
        <x:v>61.5</x:v>
      </x:c>
      <x:c r="Q276" s="158" t="str"/>
      <x:c r="R276" s="161" t="str">
        <x:f>IF(Q276="","",P276*Q276)</x:f>
      </x:c>
      <x:c r="S276" s="146" t="str">
        <x:v>formula_quantity;unpriced_source</x:v>
      </x:c>
    </x:row>
    <x:row r="277">
      <x:c r="A277" s="146" t="str">
        <x:v>ADMIN BLOCK</x:v>
      </x:c>
      <x:c r="B277" s="146" t="n">
        <x:v>19</x:v>
      </x:c>
      <x:c r="C277" s="146" t="str">
        <x:v>관리동</x:v>
      </x:c>
      <x:c r="D277" s="146" t="str">
        <x:v>창호·철물</x:v>
      </x:c>
      <x:c r="E277" s="146" t="str">
        <x:v>ELEMENT NO 1: SUBSTRUCTURE [ALL PROVISIONAL]</x:v>
      </x:c>
      <x:c r="F277" s="146" t="str">
        <x:v>Fillings</x:v>
      </x:c>
      <x:c r="G277" s="146" t="str">
        <x:v>L</x:v>
      </x:c>
      <x:c r="H277" s="49" t="str">
        <x:v>150mm Hardcore bed: in broken stone blinded with and including 50mm layer of approved course sand blinding ; under floor bed</x:v>
      </x:c>
      <x:c r="I277" s="146" t="str">
        <x:v>m²</x:v>
      </x:c>
      <x:c r="J277" s="149" t="n">
        <x:v>205</x:v>
      </x:c>
      <x:c r="K277" s="146" t="str">
        <x:v>=D9</x:v>
      </x:c>
      <x:c r="L277" s="149" t="n">
        <x:v>1</x:v>
      </x:c>
      <x:c r="M277" s="149" t="n">
        <x:v>1</x:v>
      </x:c>
      <x:c r="N277" s="149" t="n">
        <x:v>205</x:v>
      </x:c>
      <x:c r="O277" s="149" t="n">
        <x:v>205</x:v>
      </x:c>
      <x:c r="P277" s="149" t="n">
        <x:f>IF('입력·근거'!$B$12="HIGH",O277,N277)</x:f>
        <x:v>205</x:v>
      </x:c>
      <x:c r="Q277" s="158" t="str"/>
      <x:c r="R277" s="161" t="str">
        <x:f>IF(Q277="","",P277*Q277)</x:f>
      </x:c>
      <x:c r="S277" s="146" t="str">
        <x:v>formula_quantity;unpriced_source</x:v>
      </x:c>
    </x:row>
    <x:row r="278">
      <x:c r="A278" s="146" t="str">
        <x:v>ADMIN BLOCK</x:v>
      </x:c>
      <x:c r="B278" s="146" t="n">
        <x:v>20</x:v>
      </x:c>
      <x:c r="C278" s="146" t="str">
        <x:v>관리동</x:v>
      </x:c>
      <x:c r="D278" s="146" t="str">
        <x:v>창호·철물</x:v>
      </x:c>
      <x:c r="E278" s="146" t="str">
        <x:v>ELEMENT NO 1: SUBSTRUCTURE [ALL PROVISIONAL]</x:v>
      </x:c>
      <x:c r="F278" s="146" t="str">
        <x:v>Fillings</x:v>
      </x:c>
      <x:c r="G278" s="146" t="str">
        <x:v>M</x:v>
      </x:c>
      <x:c r="H278" s="49" t="str">
        <x:v>Ditto : under splash aprons and ramps</x:v>
      </x:c>
      <x:c r="I278" s="146" t="str">
        <x:v>m²</x:v>
      </x:c>
      <x:c r="J278" s="149" t="n">
        <x:v>46.32</x:v>
      </x:c>
      <x:c r="K278" s="146" t="str">
        <x:v>=2*(16.2+3.595+3.405+3.6+0.6*2+10.6)*0.6</x:v>
      </x:c>
      <x:c r="L278" s="149" t="n">
        <x:v>1</x:v>
      </x:c>
      <x:c r="M278" s="149" t="n">
        <x:v>1</x:v>
      </x:c>
      <x:c r="N278" s="149" t="n">
        <x:v>46.32</x:v>
      </x:c>
      <x:c r="O278" s="149" t="n">
        <x:v>46.32</x:v>
      </x:c>
      <x:c r="P278" s="149" t="n">
        <x:f>IF('입력·근거'!$B$12="HIGH",O278,N278)</x:f>
        <x:v>46.32</x:v>
      </x:c>
      <x:c r="Q278" s="158" t="str"/>
      <x:c r="R278" s="161" t="str">
        <x:f>IF(Q278="","",P278*Q278)</x:f>
      </x:c>
      <x:c r="S278" s="146" t="str">
        <x:v>formula_quantity;unpriced_source</x:v>
      </x:c>
    </x:row>
    <x:row r="279">
      <x:c r="A279" s="146" t="str">
        <x:v>ADMIN BLOCK</x:v>
      </x:c>
      <x:c r="B279" s="146" t="n">
        <x:v>22</x:v>
      </x:c>
      <x:c r="C279" s="146" t="str">
        <x:v>관리동</x:v>
      </x:c>
      <x:c r="D279" s="146" t="str">
        <x:v>창호·철물</x:v>
      </x:c>
      <x:c r="E279" s="146" t="str">
        <x:v>ELEMENT NO 1: SUBSTRUCTURE [ALL PROVISIONAL]</x:v>
      </x:c>
      <x:c r="F279" s="146" t="str">
        <x:v>In - Situ Mass Concrete class 20/20mm aggregate in;-</x:v>
      </x:c>
      <x:c r="G279" s="146" t="str">
        <x:v>N</x:v>
      </x:c>
      <x:c r="H279" s="49" t="str">
        <x:v>Foundation in trenches</x:v>
      </x:c>
      <x:c r="I279" s="146" t="str">
        <x:v>m³</x:v>
      </x:c>
      <x:c r="J279" s="149" t="n">
        <x:v>9.6</x:v>
      </x:c>
      <x:c r="K279" s="146" t="str"/>
      <x:c r="L279" s="149" t="n">
        <x:v>1</x:v>
      </x:c>
      <x:c r="M279" s="149" t="n">
        <x:v>1</x:v>
      </x:c>
      <x:c r="N279" s="149" t="n">
        <x:v>9.6</x:v>
      </x:c>
      <x:c r="O279" s="149" t="n">
        <x:v>9.6</x:v>
      </x:c>
      <x:c r="P279" s="149" t="n">
        <x:f>IF('입력·근거'!$B$12="HIGH",O279,N279)</x:f>
        <x:v>9.6</x:v>
      </x:c>
      <x:c r="Q279" s="158" t="str"/>
      <x:c r="R279" s="161" t="str">
        <x:f>IF(Q279="","",P279*Q279)</x:f>
      </x:c>
      <x:c r="S279" s="146" t="str">
        <x:v>unpriced_source</x:v>
      </x:c>
    </x:row>
    <x:row r="280">
      <x:c r="A280" s="146" t="str">
        <x:v>ADMIN BLOCK</x:v>
      </x:c>
      <x:c r="B280" s="146" t="n">
        <x:v>24</x:v>
      </x:c>
      <x:c r="C280" s="146" t="str">
        <x:v>관리동</x:v>
      </x:c>
      <x:c r="D280" s="146" t="str">
        <x:v>창호·철물</x:v>
      </x:c>
      <x:c r="E280" s="146" t="str">
        <x:v>ELEMENT NO 1: SUBSTRUCTURE [ALL PROVISIONAL]</x:v>
      </x:c>
      <x:c r="F280" s="146" t="str">
        <x:v>Reinforced in-situ concrete class 25/20mm aggregate in;-</x:v>
      </x:c>
      <x:c r="G280" s="146" t="str">
        <x:v>O</x:v>
      </x:c>
      <x:c r="H280" s="49" t="str">
        <x:v>Column bases</x:v>
      </x:c>
      <x:c r="I280" s="146" t="str">
        <x:v>m³</x:v>
      </x:c>
      <x:c r="J280" s="149" t="n">
        <x:v>0</x:v>
      </x:c>
      <x:c r="K280" s="146" t="str"/>
      <x:c r="L280" s="149" t="n">
        <x:v>1</x:v>
      </x:c>
      <x:c r="M280" s="149" t="n">
        <x:v>1</x:v>
      </x:c>
      <x:c r="N280" s="149" t="n">
        <x:v>0</x:v>
      </x:c>
      <x:c r="O280" s="149" t="n">
        <x:v>0</x:v>
      </x:c>
      <x:c r="P280" s="149" t="n">
        <x:f>IF('입력·근거'!$B$12="HIGH",O280,N280)</x:f>
        <x:v>0</x:v>
      </x:c>
      <x:c r="Q280" s="158" t="str"/>
      <x:c r="R280" s="161" t="str">
        <x:f>IF(Q280="","",P280*Q280)</x:f>
      </x:c>
      <x:c r="S280" s="146" t="str">
        <x:v>zero_quantity_check_formula_or_design;unpriced_source</x:v>
      </x:c>
    </x:row>
    <x:row r="281">
      <x:c r="A281" s="146" t="str">
        <x:v>ADMIN BLOCK</x:v>
      </x:c>
      <x:c r="B281" s="146" t="n">
        <x:v>25</x:v>
      </x:c>
      <x:c r="C281" s="146" t="str">
        <x:v>관리동</x:v>
      </x:c>
      <x:c r="D281" s="146" t="str">
        <x:v>창호·철물</x:v>
      </x:c>
      <x:c r="E281" s="146" t="str">
        <x:v>ELEMENT NO 1: SUBSTRUCTURE [ALL PROVISIONAL]</x:v>
      </x:c>
      <x:c r="F281" s="146" t="str">
        <x:v>Reinforced in-situ concrete class 25/20mm aggregate in;-</x:v>
      </x:c>
      <x:c r="G281" s="146" t="str">
        <x:v>P</x:v>
      </x:c>
      <x:c r="H281" s="49" t="str">
        <x:v>Ramp : size 3000 x 2000 x 250mm thick (average)</x:v>
      </x:c>
      <x:c r="I281" s="146" t="str">
        <x:v>m³</x:v>
      </x:c>
      <x:c r="J281" s="149" t="n">
        <x:v>3</x:v>
      </x:c>
      <x:c r="K281" s="146" t="str">
        <x:v>=3*2*0.25*2</x:v>
      </x:c>
      <x:c r="L281" s="149" t="n">
        <x:v>1</x:v>
      </x:c>
      <x:c r="M281" s="149" t="n">
        <x:v>1</x:v>
      </x:c>
      <x:c r="N281" s="149" t="n">
        <x:v>3</x:v>
      </x:c>
      <x:c r="O281" s="149" t="n">
        <x:v>3</x:v>
      </x:c>
      <x:c r="P281" s="149" t="n">
        <x:f>IF('입력·근거'!$B$12="HIGH",O281,N281)</x:f>
        <x:v>3</x:v>
      </x:c>
      <x:c r="Q281" s="158" t="str"/>
      <x:c r="R281" s="161" t="str">
        <x:f>IF(Q281="","",P281*Q281)</x:f>
      </x:c>
      <x:c r="S281" s="146" t="str">
        <x:v>formula_quantity;unpriced_source</x:v>
      </x:c>
    </x:row>
    <x:row r="282">
      <x:c r="A282" s="146" t="str">
        <x:v>ADMIN BLOCK</x:v>
      </x:c>
      <x:c r="B282" s="146" t="n">
        <x:v>26</x:v>
      </x:c>
      <x:c r="C282" s="146" t="str">
        <x:v>관리동</x:v>
      </x:c>
      <x:c r="D282" s="146" t="str">
        <x:v>창호·철물</x:v>
      </x:c>
      <x:c r="E282" s="146" t="str">
        <x:v>ELEMENT NO 1: SUBSTRUCTURE [ALL PROVISIONAL]</x:v>
      </x:c>
      <x:c r="F282" s="146" t="str">
        <x:v>Reinforced in-situ concrete class 25/20mm aggregate in;-</x:v>
      </x:c>
      <x:c r="G282" s="146" t="str">
        <x:v>Q</x:v>
      </x:c>
      <x:c r="H282" s="49" t="str">
        <x:v>100mm Floor bed</x:v>
      </x:c>
      <x:c r="I282" s="146" t="str">
        <x:v>m²</x:v>
      </x:c>
      <x:c r="J282" s="149" t="n">
        <x:v>205</x:v>
      </x:c>
      <x:c r="K282" s="146" t="str"/>
      <x:c r="L282" s="149" t="n">
        <x:v>1</x:v>
      </x:c>
      <x:c r="M282" s="149" t="n">
        <x:v>1</x:v>
      </x:c>
      <x:c r="N282" s="149" t="n">
        <x:v>205</x:v>
      </x:c>
      <x:c r="O282" s="149" t="n">
        <x:v>205</x:v>
      </x:c>
      <x:c r="P282" s="149" t="n">
        <x:f>IF('입력·근거'!$B$12="HIGH",O282,N282)</x:f>
        <x:v>205</x:v>
      </x:c>
      <x:c r="Q282" s="158" t="str"/>
      <x:c r="R282" s="161" t="str">
        <x:f>IF(Q282="","",P282*Q282)</x:f>
      </x:c>
      <x:c r="S282" s="146" t="str">
        <x:v>unpriced_source</x:v>
      </x:c>
    </x:row>
    <x:row r="283">
      <x:c r="A283" s="146" t="str">
        <x:v>ADMIN BLOCK</x:v>
      </x:c>
      <x:c r="B283" s="146" t="n">
        <x:v>27</x:v>
      </x:c>
      <x:c r="C283" s="146" t="str">
        <x:v>관리동</x:v>
      </x:c>
      <x:c r="D283" s="146" t="str">
        <x:v>창호·철물</x:v>
      </x:c>
      <x:c r="E283" s="146" t="str">
        <x:v>ELEMENT NO 1: SUBSTRUCTURE [ALL PROVISIONAL]</x:v>
      </x:c>
      <x:c r="F283" s="146" t="str">
        <x:v>Reinforced in-situ concrete class 25/20mm aggregate in;-</x:v>
      </x:c>
      <x:c r="G283" s="146" t="str">
        <x:v>R</x:v>
      </x:c>
      <x:c r="H283" s="49" t="str">
        <x:v>Column stubs</x:v>
      </x:c>
      <x:c r="I283" s="146" t="str">
        <x:v>m³</x:v>
      </x:c>
      <x:c r="J283" s="149" t="n">
        <x:v>0</x:v>
      </x:c>
      <x:c r="K283" s="146" t="str"/>
      <x:c r="L283" s="149" t="n">
        <x:v>1</x:v>
      </x:c>
      <x:c r="M283" s="149" t="n">
        <x:v>1</x:v>
      </x:c>
      <x:c r="N283" s="149" t="n">
        <x:v>0</x:v>
      </x:c>
      <x:c r="O283" s="149" t="n">
        <x:v>0</x:v>
      </x:c>
      <x:c r="P283" s="149" t="n">
        <x:f>IF('입력·근거'!$B$12="HIGH",O283,N283)</x:f>
        <x:v>0</x:v>
      </x:c>
      <x:c r="Q283" s="158" t="str"/>
      <x:c r="R283" s="161" t="str">
        <x:f>IF(Q283="","",P283*Q283)</x:f>
      </x:c>
      <x:c r="S283" s="146" t="str">
        <x:v>zero_quantity_check_formula_or_design;unpriced_source</x:v>
      </x:c>
    </x:row>
    <x:row r="284">
      <x:c r="A284" s="146" t="str">
        <x:v>ADMIN BLOCK</x:v>
      </x:c>
      <x:c r="B284" s="146" t="n">
        <x:v>28</x:v>
      </x:c>
      <x:c r="C284" s="146" t="str">
        <x:v>관리동</x:v>
      </x:c>
      <x:c r="D284" s="146" t="str">
        <x:v>창호·철물</x:v>
      </x:c>
      <x:c r="E284" s="146" t="str">
        <x:v>ELEMENT NO 1: SUBSTRUCTURE [ALL PROVISIONAL]</x:v>
      </x:c>
      <x:c r="F284" s="146" t="str">
        <x:v>Reinforced in-situ concrete class 25/20mm aggregate in;-</x:v>
      </x:c>
      <x:c r="G284" s="146" t="str">
        <x:v>S</x:v>
      </x:c>
      <x:c r="H284" s="49" t="str">
        <x:v>Ground beams</x:v>
      </x:c>
      <x:c r="I284" s="146" t="str">
        <x:v>m³</x:v>
      </x:c>
      <x:c r="J284" s="149" t="n">
        <x:v>0</x:v>
      </x:c>
      <x:c r="K284" s="146" t="str"/>
      <x:c r="L284" s="149" t="n">
        <x:v>1</x:v>
      </x:c>
      <x:c r="M284" s="149" t="n">
        <x:v>1</x:v>
      </x:c>
      <x:c r="N284" s="149" t="n">
        <x:v>0</x:v>
      </x:c>
      <x:c r="O284" s="149" t="n">
        <x:v>0</x:v>
      </x:c>
      <x:c r="P284" s="149" t="n">
        <x:f>IF('입력·근거'!$B$12="HIGH",O284,N284)</x:f>
        <x:v>0</x:v>
      </x:c>
      <x:c r="Q284" s="158" t="str"/>
      <x:c r="R284" s="161" t="str">
        <x:f>IF(Q284="","",P284*Q284)</x:f>
      </x:c>
      <x:c r="S284" s="146" t="str">
        <x:v>zero_quantity_check_formula_or_design;unpriced_source</x:v>
      </x:c>
    </x:row>
    <x:row r="285">
      <x:c r="A285" s="146" t="str">
        <x:v>ADMIN BLOCK</x:v>
      </x:c>
      <x:c r="B285" s="146" t="n">
        <x:v>31</x:v>
      </x:c>
      <x:c r="C285" s="146" t="str">
        <x:v>관리동</x:v>
      </x:c>
      <x:c r="D285" s="146" t="str">
        <x:v>창호·철물</x:v>
      </x:c>
      <x:c r="E285" s="146" t="str">
        <x:v>ELEMENT NO 1: SUBSTRUCTURE [ALL PROVISIONAL]</x:v>
      </x:c>
      <x:c r="F285" s="146" t="str">
        <x:v>Reinforced in-situ concrete class 25/20mm aggregate in;-</x:v>
      </x:c>
      <x:c r="G285" s="146" t="str">
        <x:v>A</x:v>
      </x:c>
      <x:c r="H285" s="49" t="str">
        <x:v>100 mm Thick splash apron laid onto and including 100 mm bed of hardcore(MS) 100mm thick well stabilised and compacted murram base,25mm thick Cement-Sand(1:4) screed finished smooth with steel float including all the necessary excavations,part return fill and ram,part removal of exacavated material from site and all the necessary formwork.</x:v>
      </x:c>
      <x:c r="I285" s="146" t="str">
        <x:v>m²</x:v>
      </x:c>
      <x:c r="J285" s="149" t="n">
        <x:v>38</x:v>
      </x:c>
      <x:c r="K285" s="146" t="str"/>
      <x:c r="L285" s="149" t="n">
        <x:v>1</x:v>
      </x:c>
      <x:c r="M285" s="149" t="n">
        <x:v>1</x:v>
      </x:c>
      <x:c r="N285" s="149" t="n">
        <x:v>38</x:v>
      </x:c>
      <x:c r="O285" s="149" t="n">
        <x:v>38</x:v>
      </x:c>
      <x:c r="P285" s="149" t="n">
        <x:f>IF('입력·근거'!$B$12="HIGH",O285,N285)</x:f>
        <x:v>38</x:v>
      </x:c>
      <x:c r="Q285" s="158" t="str"/>
      <x:c r="R285" s="161" t="str">
        <x:f>IF(Q285="","",P285*Q285)</x:f>
      </x:c>
      <x:c r="S285" s="146" t="str">
        <x:v>unpriced_source</x:v>
      </x:c>
    </x:row>
    <x:row r="286">
      <x:c r="A286" s="146" t="str">
        <x:v>ADMIN BLOCK</x:v>
      </x:c>
      <x:c r="B286" s="146" t="n">
        <x:v>33</x:v>
      </x:c>
      <x:c r="C286" s="146" t="str">
        <x:v>관리동</x:v>
      </x:c>
      <x:c r="D286" s="146" t="str">
        <x:v>창호·철물</x:v>
      </x:c>
      <x:c r="E286" s="146" t="str">
        <x:v>ELEMENT NO 1: SUBSTRUCTURE [ALL PROVISIONAL]</x:v>
      </x:c>
      <x:c r="F286" s="146" t="str">
        <x:v>STEEL FABRIC REINFORCEMENT TO BS 4483 as described</x:v>
      </x:c>
      <x:c r="G286" s="146" t="str">
        <x:v>B</x:v>
      </x:c>
      <x:c r="H286" s="49" t="str">
        <x:v>No. A98 Fabric Mesh reinforcement weighing 1.58 kg. per square meter fixed in slab</x:v>
      </x:c>
      <x:c r="I286" s="146" t="str">
        <x:v>m²</x:v>
      </x:c>
      <x:c r="J286" s="149" t="n">
        <x:v>205</x:v>
      </x:c>
      <x:c r="K286" s="146" t="str">
        <x:v>=D9</x:v>
      </x:c>
      <x:c r="L286" s="149" t="n">
        <x:v>1</x:v>
      </x:c>
      <x:c r="M286" s="149" t="n">
        <x:v>1</x:v>
      </x:c>
      <x:c r="N286" s="149" t="n">
        <x:v>205</x:v>
      </x:c>
      <x:c r="O286" s="149" t="n">
        <x:v>205</x:v>
      </x:c>
      <x:c r="P286" s="149" t="n">
        <x:f>IF('입력·근거'!$B$12="HIGH",O286,N286)</x:f>
        <x:v>205</x:v>
      </x:c>
      <x:c r="Q286" s="158" t="str"/>
      <x:c r="R286" s="161" t="str">
        <x:f>IF(Q286="","",P286*Q286)</x:f>
      </x:c>
      <x:c r="S286" s="146" t="str">
        <x:v>formula_quantity;unpriced_source</x:v>
      </x:c>
    </x:row>
    <x:row r="287">
      <x:c r="A287" s="146" t="str">
        <x:v>ADMIN BLOCK</x:v>
      </x:c>
      <x:c r="B287" s="146" t="n">
        <x:v>35</x:v>
      </x:c>
      <x:c r="C287" s="146" t="str">
        <x:v>관리동</x:v>
      </x:c>
      <x:c r="D287" s="146" t="str">
        <x:v>창호·철물</x:v>
      </x:c>
      <x:c r="E287" s="146" t="str">
        <x:v>ELEMENT NO 1: SUBSTRUCTURE [ALL PROVISIONAL]</x:v>
      </x:c>
      <x:c r="F287" s="146" t="str">
        <x:v>STEEL REINFORCEMENT as described including cutting to length, bending, hoisting and fixing and including all necessary tying wire and spacing blocks</x:v>
      </x:c>
      <x:c r="G287" s="146" t="str">
        <x:v>C</x:v>
      </x:c>
      <x:c r="H287" s="49" t="str">
        <x:v>12mm Diameter bars(T12); Columns, ground beams &amp; column bases</x:v>
      </x:c>
      <x:c r="I287" s="146" t="str">
        <x:v>kg</x:v>
      </x:c>
      <x:c r="J287" s="149" t="n">
        <x:v>0</x:v>
      </x:c>
      <x:c r="K287" s="146" t="str"/>
      <x:c r="L287" s="149" t="n">
        <x:v>1</x:v>
      </x:c>
      <x:c r="M287" s="149" t="n">
        <x:v>1</x:v>
      </x:c>
      <x:c r="N287" s="149" t="n">
        <x:v>0</x:v>
      </x:c>
      <x:c r="O287" s="149" t="n">
        <x:v>0</x:v>
      </x:c>
      <x:c r="P287" s="149" t="n">
        <x:f>IF('입력·근거'!$B$12="HIGH",O287,N287)</x:f>
        <x:v>0</x:v>
      </x:c>
      <x:c r="Q287" s="158" t="str"/>
      <x:c r="R287" s="161" t="str">
        <x:f>IF(Q287="","",P287*Q287)</x:f>
      </x:c>
      <x:c r="S287" s="146" t="str">
        <x:v>zero_quantity_check_formula_or_design;unpriced_source</x:v>
      </x:c>
    </x:row>
    <x:row r="288">
      <x:c r="A288" s="146" t="str">
        <x:v>ADMIN BLOCK</x:v>
      </x:c>
      <x:c r="B288" s="146" t="n">
        <x:v>37</x:v>
      </x:c>
      <x:c r="C288" s="146" t="str">
        <x:v>관리동</x:v>
      </x:c>
      <x:c r="D288" s="146" t="str">
        <x:v>창호·철물</x:v>
      </x:c>
      <x:c r="E288" s="146" t="str">
        <x:v>ELEMENT NO 1: SUBSTRUCTURE [ALL PROVISIONAL]</x:v>
      </x:c>
      <x:c r="F288" s="146" t="str">
        <x:v>Mild steel bar reinforcement to BS 4461</x:v>
      </x:c>
      <x:c r="G288" s="146" t="str">
        <x:v>D</x:v>
      </x:c>
      <x:c r="H288" s="49" t="str">
        <x:v>8mm Diameter bars</x:v>
      </x:c>
      <x:c r="I288" s="146" t="str">
        <x:v>kg</x:v>
      </x:c>
      <x:c r="J288" s="149" t="n">
        <x:v>0</x:v>
      </x:c>
      <x:c r="K288" s="146" t="str"/>
      <x:c r="L288" s="149" t="n">
        <x:v>1</x:v>
      </x:c>
      <x:c r="M288" s="149" t="n">
        <x:v>1</x:v>
      </x:c>
      <x:c r="N288" s="149" t="n">
        <x:v>0</x:v>
      </x:c>
      <x:c r="O288" s="149" t="n">
        <x:v>0</x:v>
      </x:c>
      <x:c r="P288" s="149" t="n">
        <x:f>IF('입력·근거'!$B$12="HIGH",O288,N288)</x:f>
        <x:v>0</x:v>
      </x:c>
      <x:c r="Q288" s="158" t="str"/>
      <x:c r="R288" s="161" t="str">
        <x:f>IF(Q288="","",P288*Q288)</x:f>
      </x:c>
      <x:c r="S288" s="146" t="str">
        <x:v>zero_quantity_check_formula_or_design;unpriced_source</x:v>
      </x:c>
    </x:row>
    <x:row r="289">
      <x:c r="A289" s="146" t="str">
        <x:v>ADMIN BLOCK</x:v>
      </x:c>
      <x:c r="B289" s="146" t="n">
        <x:v>39</x:v>
      </x:c>
      <x:c r="C289" s="146" t="str">
        <x:v>관리동</x:v>
      </x:c>
      <x:c r="D289" s="146" t="str">
        <x:v>창호·철물</x:v>
      </x:c>
      <x:c r="E289" s="146" t="str">
        <x:v>ELEMENT NO 1: SUBSTRUCTURE [ALL PROVISIONAL]</x:v>
      </x:c>
      <x:c r="F289" s="146" t="str">
        <x:v>Sawn formwork : to</x:v>
      </x:c>
      <x:c r="G289" s="146" t="str">
        <x:v>E</x:v>
      </x:c>
      <x:c r="H289" s="49" t="str">
        <x:v>Vertical sides : foundation bases</x:v>
      </x:c>
      <x:c r="I289" s="146" t="str">
        <x:v>m²</x:v>
      </x:c>
      <x:c r="J289" s="149" t="n">
        <x:v>0</x:v>
      </x:c>
      <x:c r="K289" s="146" t="str"/>
      <x:c r="L289" s="149" t="n">
        <x:v>1</x:v>
      </x:c>
      <x:c r="M289" s="149" t="n">
        <x:v>1</x:v>
      </x:c>
      <x:c r="N289" s="149" t="n">
        <x:v>0</x:v>
      </x:c>
      <x:c r="O289" s="149" t="n">
        <x:v>0</x:v>
      </x:c>
      <x:c r="P289" s="149" t="n">
        <x:f>IF('입력·근거'!$B$12="HIGH",O289,N289)</x:f>
        <x:v>0</x:v>
      </x:c>
      <x:c r="Q289" s="158" t="str"/>
      <x:c r="R289" s="161" t="str">
        <x:f>IF(Q289="","",P289*Q289)</x:f>
      </x:c>
      <x:c r="S289" s="146" t="str">
        <x:v>zero_quantity_check_formula_or_design;unpriced_source</x:v>
      </x:c>
    </x:row>
    <x:row r="290">
      <x:c r="A290" s="146" t="str">
        <x:v>ADMIN BLOCK</x:v>
      </x:c>
      <x:c r="B290" s="146" t="n">
        <x:v>40</x:v>
      </x:c>
      <x:c r="C290" s="146" t="str">
        <x:v>관리동</x:v>
      </x:c>
      <x:c r="D290" s="146" t="str">
        <x:v>창호·철물</x:v>
      </x:c>
      <x:c r="E290" s="146" t="str">
        <x:v>ELEMENT NO 1: SUBSTRUCTURE [ALL PROVISIONAL]</x:v>
      </x:c>
      <x:c r="F290" s="146" t="str">
        <x:v>Sawn formwork : to</x:v>
      </x:c>
      <x:c r="G290" s="146" t="str">
        <x:v>F</x:v>
      </x:c>
      <x:c r="H290" s="49" t="str">
        <x:v>Ditto: Column Stubs</x:v>
      </x:c>
      <x:c r="I290" s="146" t="str">
        <x:v>m²</x:v>
      </x:c>
      <x:c r="J290" s="149" t="n">
        <x:v>0</x:v>
      </x:c>
      <x:c r="K290" s="146" t="str"/>
      <x:c r="L290" s="149" t="n">
        <x:v>1</x:v>
      </x:c>
      <x:c r="M290" s="149" t="n">
        <x:v>1</x:v>
      </x:c>
      <x:c r="N290" s="149" t="n">
        <x:v>0</x:v>
      </x:c>
      <x:c r="O290" s="149" t="n">
        <x:v>0</x:v>
      </x:c>
      <x:c r="P290" s="149" t="n">
        <x:f>IF('입력·근거'!$B$12="HIGH",O290,N290)</x:f>
        <x:v>0</x:v>
      </x:c>
      <x:c r="Q290" s="158" t="str"/>
      <x:c r="R290" s="161" t="str">
        <x:f>IF(Q290="","",P290*Q290)</x:f>
      </x:c>
      <x:c r="S290" s="146" t="str">
        <x:v>zero_quantity_check_formula_or_design;unpriced_source</x:v>
      </x:c>
    </x:row>
    <x:row r="291">
      <x:c r="A291" s="146" t="str">
        <x:v>ADMIN BLOCK</x:v>
      </x:c>
      <x:c r="B291" s="146" t="n">
        <x:v>41</x:v>
      </x:c>
      <x:c r="C291" s="146" t="str">
        <x:v>관리동</x:v>
      </x:c>
      <x:c r="D291" s="146" t="str">
        <x:v>창호·철물</x:v>
      </x:c>
      <x:c r="E291" s="146" t="str">
        <x:v>ELEMENT NO 1: SUBSTRUCTURE [ALL PROVISIONAL]</x:v>
      </x:c>
      <x:c r="F291" s="146" t="str">
        <x:v>Sawn formwork : to</x:v>
      </x:c>
      <x:c r="G291" s="146" t="str">
        <x:v>G</x:v>
      </x:c>
      <x:c r="H291" s="49" t="str">
        <x:v>Sides of Ground beam</x:v>
      </x:c>
      <x:c r="I291" s="146" t="str">
        <x:v>m²</x:v>
      </x:c>
      <x:c r="J291" s="149" t="n">
        <x:v>0</x:v>
      </x:c>
      <x:c r="K291" s="146" t="str">
        <x:v>=I29*0.3*2</x:v>
      </x:c>
      <x:c r="L291" s="149" t="n">
        <x:v>1</x:v>
      </x:c>
      <x:c r="M291" s="149" t="n">
        <x:v>1</x:v>
      </x:c>
      <x:c r="N291" s="149" t="n">
        <x:v>0</x:v>
      </x:c>
      <x:c r="O291" s="149" t="n">
        <x:v>0</x:v>
      </x:c>
      <x:c r="P291" s="149" t="n">
        <x:f>IF('입력·근거'!$B$12="HIGH",O291,N291)</x:f>
        <x:v>0</x:v>
      </x:c>
      <x:c r="Q291" s="158" t="str"/>
      <x:c r="R291" s="161" t="str">
        <x:f>IF(Q291="","",P291*Q291)</x:f>
      </x:c>
      <x:c r="S291" s="146" t="str">
        <x:v>zero_quantity_check_formula_or_design;formula_quantity;unpriced_source</x:v>
      </x:c>
    </x:row>
    <x:row r="292">
      <x:c r="A292" s="146" t="str">
        <x:v>ADMIN BLOCK</x:v>
      </x:c>
      <x:c r="B292" s="146" t="n">
        <x:v>42</x:v>
      </x:c>
      <x:c r="C292" s="146" t="str">
        <x:v>관리동</x:v>
      </x:c>
      <x:c r="D292" s="146" t="str">
        <x:v>창호·철물</x:v>
      </x:c>
      <x:c r="E292" s="146" t="str">
        <x:v>ELEMENT NO 1: SUBSTRUCTURE [ALL PROVISIONAL]</x:v>
      </x:c>
      <x:c r="F292" s="146" t="str">
        <x:v>Sawn formwork : to</x:v>
      </x:c>
      <x:c r="G292" s="146" t="str">
        <x:v>H</x:v>
      </x:c>
      <x:c r="H292" s="49" t="str">
        <x:v>Edges of slab bed : 75 - 150mm width</x:v>
      </x:c>
      <x:c r="I292" s="146" t="str">
        <x:v>m</x:v>
      </x:c>
      <x:c r="J292" s="149" t="n">
        <x:v>64</x:v>
      </x:c>
      <x:c r="K292" s="146" t="str"/>
      <x:c r="L292" s="149" t="n">
        <x:v>1</x:v>
      </x:c>
      <x:c r="M292" s="149" t="n">
        <x:v>1</x:v>
      </x:c>
      <x:c r="N292" s="149" t="n">
        <x:v>64</x:v>
      </x:c>
      <x:c r="O292" s="149" t="n">
        <x:v>64</x:v>
      </x:c>
      <x:c r="P292" s="149" t="n">
        <x:f>IF('입력·근거'!$B$12="HIGH",O292,N292)</x:f>
        <x:v>64</x:v>
      </x:c>
      <x:c r="Q292" s="158" t="str"/>
      <x:c r="R292" s="161" t="str">
        <x:f>IF(Q292="","",P292*Q292)</x:f>
      </x:c>
      <x:c r="S292" s="146" t="str">
        <x:v>unpriced_source</x:v>
      </x:c>
    </x:row>
    <x:row r="293">
      <x:c r="A293" s="146" t="str">
        <x:v>ADMIN BLOCK</x:v>
      </x:c>
      <x:c r="B293" s="146" t="n">
        <x:v>45</x:v>
      </x:c>
      <x:c r="C293" s="146" t="str">
        <x:v>관리동</x:v>
      </x:c>
      <x:c r="D293" s="146" t="str">
        <x:v>창호·철물</x:v>
      </x:c>
      <x:c r="E293" s="146" t="str">
        <x:v>ELEMENT NO 1: SUBSTRUCTURE [ALL PROVISIONAL]</x:v>
      </x:c>
      <x:c r="F293" s="146" t="str">
        <x:v>Brickwork in burnt clay bricks in cement and sand mortar (1:3) mix; with and including 25 x 3mm hoop iron strips laid horizontally every alternate course.</x:v>
      </x:c>
      <x:c r="G293" s="146" t="str">
        <x:v>I</x:v>
      </x:c>
      <x:c r="H293" s="49" t="str">
        <x:v>200mm Wall</x:v>
      </x:c>
      <x:c r="I293" s="146" t="str">
        <x:v>m²</x:v>
      </x:c>
      <x:c r="J293" s="149" t="n">
        <x:v>60</x:v>
      </x:c>
      <x:c r="K293" s="146" t="str"/>
      <x:c r="L293" s="149" t="n">
        <x:v>1</x:v>
      </x:c>
      <x:c r="M293" s="149" t="n">
        <x:v>1</x:v>
      </x:c>
      <x:c r="N293" s="149" t="n">
        <x:v>60</x:v>
      </x:c>
      <x:c r="O293" s="149" t="n">
        <x:v>60</x:v>
      </x:c>
      <x:c r="P293" s="149" t="n">
        <x:f>IF('입력·근거'!$B$12="HIGH",O293,N293)</x:f>
        <x:v>60</x:v>
      </x:c>
      <x:c r="Q293" s="158" t="str"/>
      <x:c r="R293" s="161" t="str">
        <x:f>IF(Q293="","",P293*Q293)</x:f>
      </x:c>
      <x:c r="S293" s="146" t="str">
        <x:v>unpriced_source</x:v>
      </x:c>
    </x:row>
    <x:row r="294">
      <x:c r="A294" s="146" t="str">
        <x:v>ADMIN BLOCK</x:v>
      </x:c>
      <x:c r="B294" s="146" t="n">
        <x:v>47</x:v>
      </x:c>
      <x:c r="C294" s="146" t="str">
        <x:v>관리동</x:v>
      </x:c>
      <x:c r="D294" s="146" t="str">
        <x:v>지붕</x:v>
      </x:c>
      <x:c r="E294" s="146" t="str">
        <x:v>ELEMENT NO 1: SUBSTRUCTURE [ALL PROVISIONAL]</x:v>
      </x:c>
      <x:c r="F294" s="146" t="str">
        <x:v>DAMP PROOF COURSES</x:v>
      </x:c>
      <x:c r="G294" s="146" t="str">
        <x:v>J</x:v>
      </x:c>
      <x:c r="H294" s="49" t="str">
        <x:v>1000 Gauge polythene sheeting laid on blinded hardcore</x:v>
      </x:c>
      <x:c r="I294" s="146" t="str">
        <x:v>m²</x:v>
      </x:c>
      <x:c r="J294" s="149" t="n">
        <x:v>205</x:v>
      </x:c>
      <x:c r="K294" s="146" t="str">
        <x:v>=D19</x:v>
      </x:c>
      <x:c r="L294" s="149" t="n">
        <x:v>1</x:v>
      </x:c>
      <x:c r="M294" s="149" t="n">
        <x:v>1</x:v>
      </x:c>
      <x:c r="N294" s="149" t="n">
        <x:v>205</x:v>
      </x:c>
      <x:c r="O294" s="149" t="n">
        <x:v>205</x:v>
      </x:c>
      <x:c r="P294" s="149" t="n">
        <x:f>IF('입력·근거'!$B$12="HIGH",O294,N294)</x:f>
        <x:v>205</x:v>
      </x:c>
      <x:c r="Q294" s="158" t="str"/>
      <x:c r="R294" s="161" t="str">
        <x:f>IF(Q294="","",P294*Q294)</x:f>
      </x:c>
      <x:c r="S294" s="146" t="str">
        <x:v>formula_quantity;unpriced_source</x:v>
      </x:c>
    </x:row>
    <x:row r="295">
      <x:c r="A295" s="146" t="str">
        <x:v>ADMIN BLOCK</x:v>
      </x:c>
      <x:c r="B295" s="146" t="n">
        <x:v>49</x:v>
      </x:c>
      <x:c r="C295" s="146" t="str">
        <x:v>관리동</x:v>
      </x:c>
      <x:c r="D295" s="146" t="str">
        <x:v>지붕</x:v>
      </x:c>
      <x:c r="E295" s="146" t="str">
        <x:v>ELEMENT NO 1: SUBSTRUCTURE [ALL PROVISIONAL]</x:v>
      </x:c>
      <x:c r="F295" s="146" t="str">
        <x:v>Horizontal Damp proof course : hessian based bituminen felt lapped 150mm on ends laid on cement and sand (1:4) mortar bed</x:v>
      </x:c>
      <x:c r="G295" s="146" t="str">
        <x:v>K</x:v>
      </x:c>
      <x:c r="H295" s="49" t="str">
        <x:v>230mm Wide : laid under walls</x:v>
      </x:c>
      <x:c r="I295" s="146" t="str">
        <x:v>m</x:v>
      </x:c>
      <x:c r="J295" s="149" t="n">
        <x:v>89</x:v>
      </x:c>
      <x:c r="K295" s="146" t="str"/>
      <x:c r="L295" s="149" t="n">
        <x:v>1</x:v>
      </x:c>
      <x:c r="M295" s="149" t="n">
        <x:v>1</x:v>
      </x:c>
      <x:c r="N295" s="149" t="n">
        <x:v>89</x:v>
      </x:c>
      <x:c r="O295" s="149" t="n">
        <x:v>89</x:v>
      </x:c>
      <x:c r="P295" s="149" t="n">
        <x:f>IF('입력·근거'!$B$12="HIGH",O295,N295)</x:f>
        <x:v>89</x:v>
      </x:c>
      <x:c r="Q295" s="158" t="str"/>
      <x:c r="R295" s="161" t="str">
        <x:f>IF(Q295="","",P295*Q295)</x:f>
      </x:c>
      <x:c r="S295" s="146" t="str">
        <x:v>unpriced_source</x:v>
      </x:c>
    </x:row>
    <x:row r="296">
      <x:c r="A296" s="146" t="str">
        <x:v>ADMIN BLOCK</x:v>
      </x:c>
      <x:c r="B296" s="146" t="n">
        <x:v>51</x:v>
      </x:c>
      <x:c r="C296" s="146" t="str">
        <x:v>관리동</x:v>
      </x:c>
      <x:c r="D296" s="146" t="str">
        <x:v>창호·철물</x:v>
      </x:c>
      <x:c r="E296" s="146" t="str">
        <x:v>ELEMENT NO 1: SUBSTRUCTURE [ALL PROVISIONAL]</x:v>
      </x:c>
      <x:c r="F296" s="146" t="str">
        <x:v>Plinth finishes</x:v>
      </x:c>
      <x:c r="G296" s="146" t="str">
        <x:v>L</x:v>
      </x:c>
      <x:c r="H296" s="49" t="str">
        <x:v>15mm Cement and sand (1:4) render : steel trowelled smooth</x:v>
      </x:c>
      <x:c r="I296" s="146" t="str">
        <x:v>m²</x:v>
      </x:c>
      <x:c r="J296" s="149" t="n">
        <x:v>45</x:v>
      </x:c>
      <x:c r="K296" s="146" t="str"/>
      <x:c r="L296" s="149" t="n">
        <x:v>1</x:v>
      </x:c>
      <x:c r="M296" s="149" t="n">
        <x:v>1</x:v>
      </x:c>
      <x:c r="N296" s="149" t="n">
        <x:v>45</x:v>
      </x:c>
      <x:c r="O296" s="149" t="n">
        <x:v>45</x:v>
      </x:c>
      <x:c r="P296" s="149" t="n">
        <x:f>IF('입력·근거'!$B$12="HIGH",O296,N296)</x:f>
        <x:v>45</x:v>
      </x:c>
      <x:c r="Q296" s="158" t="str"/>
      <x:c r="R296" s="161" t="str">
        <x:f>IF(Q296="","",P296*Q296)</x:f>
      </x:c>
      <x:c r="S296" s="146" t="str">
        <x:v>unpriced_source</x:v>
      </x:c>
    </x:row>
    <x:row r="297">
      <x:c r="A297" s="146" t="str">
        <x:v>ADMIN BLOCK</x:v>
      </x:c>
      <x:c r="B297" s="146" t="n">
        <x:v>52</x:v>
      </x:c>
      <x:c r="C297" s="146" t="str">
        <x:v>관리동</x:v>
      </x:c>
      <x:c r="D297" s="146" t="str">
        <x:v>창호·철물</x:v>
      </x:c>
      <x:c r="E297" s="146" t="str">
        <x:v>ELEMENT NO 1: SUBSTRUCTURE [ALL PROVISIONAL]</x:v>
      </x:c>
      <x:c r="F297" s="146" t="str">
        <x:v>Plinth finishes</x:v>
      </x:c>
      <x:c r="G297" s="146" t="str">
        <x:v>M</x:v>
      </x:c>
      <x:c r="H297" s="49" t="str">
        <x:v>Prepare and apply three coats bituminous or other approved water resistant paint to : rendered plinth walls</x:v>
      </x:c>
      <x:c r="I297" s="146" t="str">
        <x:v>m²</x:v>
      </x:c>
      <x:c r="J297" s="149" t="n">
        <x:v>45</x:v>
      </x:c>
      <x:c r="K297" s="146" t="str">
        <x:v>=D51</x:v>
      </x:c>
      <x:c r="L297" s="149" t="n">
        <x:v>1</x:v>
      </x:c>
      <x:c r="M297" s="149" t="n">
        <x:v>1</x:v>
      </x:c>
      <x:c r="N297" s="149" t="n">
        <x:v>45</x:v>
      </x:c>
      <x:c r="O297" s="149" t="n">
        <x:v>45</x:v>
      </x:c>
      <x:c r="P297" s="149" t="n">
        <x:f>IF('입력·근거'!$B$12="HIGH",O297,N297)</x:f>
        <x:v>45</x:v>
      </x:c>
      <x:c r="Q297" s="158" t="str"/>
      <x:c r="R297" s="161" t="str">
        <x:f>IF(Q297="","",P297*Q297)</x:f>
      </x:c>
      <x:c r="S297" s="146" t="str">
        <x:v>formula_quantity;unpriced_source</x:v>
      </x:c>
    </x:row>
    <x:row r="298">
      <x:c r="A298" s="146" t="str">
        <x:v>ADMIN BLOCK</x:v>
      </x:c>
      <x:c r="B298" s="146" t="n">
        <x:v>62</x:v>
      </x:c>
      <x:c r="C298" s="146" t="str">
        <x:v>관리동</x:v>
      </x:c>
      <x:c r="D298" s="146" t="str">
        <x:v>창호·철물</x:v>
      </x:c>
      <x:c r="E298" s="146" t="str">
        <x:v>ELEMENT NO 2: BUILDING FRAME :</x:v>
      </x:c>
      <x:c r="F298" s="146" t="str">
        <x:v>Reinforced in-situ concrete class 25/20mm aggregate in;-</x:v>
      </x:c>
      <x:c r="G298" s="146" t="str">
        <x:v>A</x:v>
      </x:c>
      <x:c r="H298" s="49" t="str">
        <x:v>Ring beam</x:v>
      </x:c>
      <x:c r="I298" s="146" t="str">
        <x:v>m³</x:v>
      </x:c>
      <x:c r="J298" s="149" t="n">
        <x:v>4.02</x:v>
      </x:c>
      <x:c r="K298" s="146" t="str"/>
      <x:c r="L298" s="149" t="n">
        <x:v>1</x:v>
      </x:c>
      <x:c r="M298" s="149" t="n">
        <x:v>1</x:v>
      </x:c>
      <x:c r="N298" s="149" t="n">
        <x:v>4.02</x:v>
      </x:c>
      <x:c r="O298" s="149" t="n">
        <x:v>4.02</x:v>
      </x:c>
      <x:c r="P298" s="149" t="n">
        <x:f>IF('입력·근거'!$B$12="HIGH",O298,N298)</x:f>
        <x:v>4.02</x:v>
      </x:c>
      <x:c r="Q298" s="158" t="str"/>
      <x:c r="R298" s="161" t="str">
        <x:f>IF(Q298="","",P298*Q298)</x:f>
      </x:c>
      <x:c r="S298" s="146" t="str">
        <x:v>unpriced_source</x:v>
      </x:c>
    </x:row>
    <x:row r="299">
      <x:c r="A299" s="146" t="str">
        <x:v>ADMIN BLOCK</x:v>
      </x:c>
      <x:c r="B299" s="146" t="n">
        <x:v>63</x:v>
      </x:c>
      <x:c r="C299" s="146" t="str">
        <x:v>관리동</x:v>
      </x:c>
      <x:c r="D299" s="146" t="str">
        <x:v>창호·철물</x:v>
      </x:c>
      <x:c r="E299" s="146" t="str">
        <x:v>ELEMENT NO 2: BUILDING FRAME :</x:v>
      </x:c>
      <x:c r="F299" s="146" t="str">
        <x:v>Reinforced in-situ concrete class 25/20mm aggregate in;-</x:v>
      </x:c>
      <x:c r="G299" s="146" t="str">
        <x:v>B</x:v>
      </x:c>
      <x:c r="H299" s="49" t="str">
        <x:v>Columns</x:v>
      </x:c>
      <x:c r="I299" s="146" t="str">
        <x:v>m³</x:v>
      </x:c>
      <x:c r="J299" s="149" t="n">
        <x:v>0</x:v>
      </x:c>
      <x:c r="K299" s="146" t="str"/>
      <x:c r="L299" s="149" t="n">
        <x:v>1</x:v>
      </x:c>
      <x:c r="M299" s="149" t="n">
        <x:v>1</x:v>
      </x:c>
      <x:c r="N299" s="149" t="n">
        <x:v>0</x:v>
      </x:c>
      <x:c r="O299" s="149" t="n">
        <x:v>0</x:v>
      </x:c>
      <x:c r="P299" s="149" t="n">
        <x:f>IF('입력·근거'!$B$12="HIGH",O299,N299)</x:f>
        <x:v>0</x:v>
      </x:c>
      <x:c r="Q299" s="158" t="str"/>
      <x:c r="R299" s="161" t="str">
        <x:f>IF(Q299="","",P299*Q299)</x:f>
      </x:c>
      <x:c r="S299" s="146" t="str">
        <x:v>zero_quantity_check_formula_or_design;unpriced_source</x:v>
      </x:c>
    </x:row>
    <x:row r="300">
      <x:c r="A300" s="146" t="str">
        <x:v>ADMIN BLOCK</x:v>
      </x:c>
      <x:c r="B300" s="146" t="n">
        <x:v>65</x:v>
      </x:c>
      <x:c r="C300" s="146" t="str">
        <x:v>관리동</x:v>
      </x:c>
      <x:c r="D300" s="146" t="str">
        <x:v>창호·철물</x:v>
      </x:c>
      <x:c r="E300" s="146" t="str">
        <x:v>ELEMENT NO 2: BUILDING FRAME :</x:v>
      </x:c>
      <x:c r="F300" s="146" t="str">
        <x:v>STEEL REINFORCEMENT as described including cutting to length, bending, hoisting and fixing and including all necessary tying wire and spacing blocks</x:v>
      </x:c>
      <x:c r="G300" s="146" t="str">
        <x:v>C</x:v>
      </x:c>
      <x:c r="H300" s="49" t="str">
        <x:v>12mm Diameter bars(T12)</x:v>
      </x:c>
      <x:c r="I300" s="146" t="str">
        <x:v>kg</x:v>
      </x:c>
      <x:c r="J300" s="149" t="n">
        <x:v>285</x:v>
      </x:c>
      <x:c r="K300" s="146" t="str"/>
      <x:c r="L300" s="149" t="n">
        <x:v>1</x:v>
      </x:c>
      <x:c r="M300" s="149" t="n">
        <x:v>1</x:v>
      </x:c>
      <x:c r="N300" s="149" t="n">
        <x:v>285</x:v>
      </x:c>
      <x:c r="O300" s="149" t="n">
        <x:v>285</x:v>
      </x:c>
      <x:c r="P300" s="149" t="n">
        <x:f>IF('입력·근거'!$B$12="HIGH",O300,N300)</x:f>
        <x:v>285</x:v>
      </x:c>
      <x:c r="Q300" s="158" t="str"/>
      <x:c r="R300" s="161" t="str">
        <x:f>IF(Q300="","",P300*Q300)</x:f>
      </x:c>
      <x:c r="S300" s="146" t="str">
        <x:v>unpriced_source</x:v>
      </x:c>
    </x:row>
    <x:row r="301">
      <x:c r="A301" s="146" t="str">
        <x:v>ADMIN BLOCK</x:v>
      </x:c>
      <x:c r="B301" s="146" t="n">
        <x:v>67</x:v>
      </x:c>
      <x:c r="C301" s="146" t="str">
        <x:v>관리동</x:v>
      </x:c>
      <x:c r="D301" s="146" t="str">
        <x:v>창호·철물</x:v>
      </x:c>
      <x:c r="E301" s="146" t="str">
        <x:v>ELEMENT NO 2: BUILDING FRAME :</x:v>
      </x:c>
      <x:c r="F301" s="146" t="str">
        <x:v>Mild steel bar reinforcement to BS 4461</x:v>
      </x:c>
      <x:c r="G301" s="146" t="str">
        <x:v>D</x:v>
      </x:c>
      <x:c r="H301" s="49" t="str">
        <x:v>8mm Diameter bars</x:v>
      </x:c>
      <x:c r="I301" s="146" t="str">
        <x:v>kg</x:v>
      </x:c>
      <x:c r="J301" s="149" t="n">
        <x:v>127</x:v>
      </x:c>
      <x:c r="K301" s="146" t="str"/>
      <x:c r="L301" s="149" t="n">
        <x:v>1</x:v>
      </x:c>
      <x:c r="M301" s="149" t="n">
        <x:v>1</x:v>
      </x:c>
      <x:c r="N301" s="149" t="n">
        <x:v>127</x:v>
      </x:c>
      <x:c r="O301" s="149" t="n">
        <x:v>127</x:v>
      </x:c>
      <x:c r="P301" s="149" t="n">
        <x:f>IF('입력·근거'!$B$12="HIGH",O301,N301)</x:f>
        <x:v>127</x:v>
      </x:c>
      <x:c r="Q301" s="158" t="str"/>
      <x:c r="R301" s="161" t="str">
        <x:f>IF(Q301="","",P301*Q301)</x:f>
      </x:c>
      <x:c r="S301" s="146" t="str">
        <x:v>unpriced_source</x:v>
      </x:c>
    </x:row>
    <x:row r="302">
      <x:c r="A302" s="146" t="str">
        <x:v>ADMIN BLOCK</x:v>
      </x:c>
      <x:c r="B302" s="146" t="n">
        <x:v>69</x:v>
      </x:c>
      <x:c r="C302" s="146" t="str">
        <x:v>관리동</x:v>
      </x:c>
      <x:c r="D302" s="146" t="str">
        <x:v>창호·철물</x:v>
      </x:c>
      <x:c r="E302" s="146" t="str">
        <x:v>ELEMENT NO 2: BUILDING FRAME :</x:v>
      </x:c>
      <x:c r="F302" s="146" t="str">
        <x:v>Sawn formwork: to</x:v>
      </x:c>
      <x:c r="G302" s="146" t="str">
        <x:v>E</x:v>
      </x:c>
      <x:c r="H302" s="49" t="str">
        <x:v>Sides and soffites : beams</x:v>
      </x:c>
      <x:c r="I302" s="146" t="str">
        <x:v>m²</x:v>
      </x:c>
      <x:c r="J302" s="149" t="n">
        <x:v>49</x:v>
      </x:c>
      <x:c r="K302" s="146" t="str"/>
      <x:c r="L302" s="149" t="n">
        <x:v>1</x:v>
      </x:c>
      <x:c r="M302" s="149" t="n">
        <x:v>1</x:v>
      </x:c>
      <x:c r="N302" s="149" t="n">
        <x:v>49</x:v>
      </x:c>
      <x:c r="O302" s="149" t="n">
        <x:v>49</x:v>
      </x:c>
      <x:c r="P302" s="149" t="n">
        <x:f>IF('입력·근거'!$B$12="HIGH",O302,N302)</x:f>
        <x:v>49</x:v>
      </x:c>
      <x:c r="Q302" s="158" t="str"/>
      <x:c r="R302" s="161" t="str">
        <x:f>IF(Q302="","",P302*Q302)</x:f>
      </x:c>
      <x:c r="S302" s="146" t="str">
        <x:v>unpriced_source</x:v>
      </x:c>
    </x:row>
    <x:row r="303">
      <x:c r="A303" s="146" t="str">
        <x:v>ADMIN BLOCK</x:v>
      </x:c>
      <x:c r="B303" s="146" t="n">
        <x:v>70</x:v>
      </x:c>
      <x:c r="C303" s="146" t="str">
        <x:v>관리동</x:v>
      </x:c>
      <x:c r="D303" s="146" t="str">
        <x:v>창호·철물</x:v>
      </x:c>
      <x:c r="E303" s="146" t="str">
        <x:v>ELEMENT NO 2: BUILDING FRAME :</x:v>
      </x:c>
      <x:c r="F303" s="146" t="str">
        <x:v>Sawn formwork: to</x:v>
      </x:c>
      <x:c r="G303" s="146" t="str">
        <x:v>F</x:v>
      </x:c>
      <x:c r="H303" s="49" t="str">
        <x:v>Vertical sides : columns</x:v>
      </x:c>
      <x:c r="I303" s="146" t="str">
        <x:v>m²</x:v>
      </x:c>
      <x:c r="J303" s="149" t="n">
        <x:v>0</x:v>
      </x:c>
      <x:c r="K303" s="146" t="str"/>
      <x:c r="L303" s="149" t="n">
        <x:v>1</x:v>
      </x:c>
      <x:c r="M303" s="149" t="n">
        <x:v>1</x:v>
      </x:c>
      <x:c r="N303" s="149" t="n">
        <x:v>0</x:v>
      </x:c>
      <x:c r="O303" s="149" t="n">
        <x:v>0</x:v>
      </x:c>
      <x:c r="P303" s="149" t="n">
        <x:f>IF('입력·근거'!$B$12="HIGH",O303,N303)</x:f>
        <x:v>0</x:v>
      </x:c>
      <x:c r="Q303" s="158" t="str"/>
      <x:c r="R303" s="161" t="str">
        <x:f>IF(Q303="","",P303*Q303)</x:f>
      </x:c>
      <x:c r="S303" s="146" t="str">
        <x:v>zero_quantity_check_formula_or_design;unpriced_source</x:v>
      </x:c>
    </x:row>
    <x:row r="304">
      <x:c r="A304" s="146" t="str">
        <x:v>ADMIN BLOCK</x:v>
      </x:c>
      <x:c r="B304" s="146" t="n">
        <x:v>75</x:v>
      </x:c>
      <x:c r="C304" s="146" t="str">
        <x:v>관리동</x:v>
      </x:c>
      <x:c r="D304" s="146" t="str">
        <x:v>창호·철물</x:v>
      </x:c>
      <x:c r="E304" s="146" t="str">
        <x:v>ELEMENT NO 3 : WALLS</x:v>
      </x:c>
      <x:c r="F304" s="146" t="str">
        <x:v>PRECAST CONCRETE CLASS 25; 20mm AGGREGATE : finished fair on all exposed surfaces including bedding and jointing in cement sand (1:3) mortar</x:v>
      </x:c>
      <x:c r="G304" s="146" t="str">
        <x:v>A</x:v>
      </x:c>
      <x:c r="H304" s="49" t="str">
        <x:v>300 x 75mm Weathered and throated window cill</x:v>
      </x:c>
      <x:c r="I304" s="146" t="str">
        <x:v>m</x:v>
      </x:c>
      <x:c r="J304" s="149" t="n">
        <x:v>14</x:v>
      </x:c>
      <x:c r="K304" s="146" t="str"/>
      <x:c r="L304" s="149" t="n">
        <x:v>1</x:v>
      </x:c>
      <x:c r="M304" s="149" t="n">
        <x:v>1</x:v>
      </x:c>
      <x:c r="N304" s="149" t="n">
        <x:v>14</x:v>
      </x:c>
      <x:c r="O304" s="149" t="n">
        <x:v>14</x:v>
      </x:c>
      <x:c r="P304" s="149" t="n">
        <x:f>IF('입력·근거'!$B$12="HIGH",O304,N304)</x:f>
        <x:v>14</x:v>
      </x:c>
      <x:c r="Q304" s="158" t="str"/>
      <x:c r="R304" s="161" t="str">
        <x:f>IF(Q304="","",P304*Q304)</x:f>
      </x:c>
      <x:c r="S304" s="146" t="str">
        <x:v>unpriced_source</x:v>
      </x:c>
    </x:row>
    <x:row r="305">
      <x:c r="A305" s="146" t="str">
        <x:v>ADMIN BLOCK</x:v>
      </x:c>
      <x:c r="B305" s="146" t="n">
        <x:v>77</x:v>
      </x:c>
      <x:c r="C305" s="146" t="str">
        <x:v>관리동</x:v>
      </x:c>
      <x:c r="D305" s="146" t="str">
        <x:v>창호·철물</x:v>
      </x:c>
      <x:c r="E305" s="146" t="str">
        <x:v>ELEMENT NO 3 : WALLS</x:v>
      </x:c>
      <x:c r="F305" s="146" t="str">
        <x:v>Brickwork in burnt clay bricks in cement and sand mortar (1:3) mix; with and including 25 x 3mm hoop iron strips laid horizontally every alternate course.</x:v>
      </x:c>
      <x:c r="G305" s="146" t="str">
        <x:v>B</x:v>
      </x:c>
      <x:c r="H305" s="49" t="str">
        <x:v>200mm Wall</x:v>
      </x:c>
      <x:c r="I305" s="146" t="str">
        <x:v>m²</x:v>
      </x:c>
      <x:c r="J305" s="149" t="n">
        <x:v>242</x:v>
      </x:c>
      <x:c r="K305" s="146" t="str"/>
      <x:c r="L305" s="149" t="n">
        <x:v>1</x:v>
      </x:c>
      <x:c r="M305" s="149" t="n">
        <x:v>1</x:v>
      </x:c>
      <x:c r="N305" s="149" t="n">
        <x:v>242</x:v>
      </x:c>
      <x:c r="O305" s="149" t="n">
        <x:v>242</x:v>
      </x:c>
      <x:c r="P305" s="149" t="n">
        <x:f>IF('입력·근거'!$B$12="HIGH",O305,N305)</x:f>
        <x:v>242</x:v>
      </x:c>
      <x:c r="Q305" s="158" t="str"/>
      <x:c r="R305" s="161" t="str">
        <x:f>IF(Q305="","",P305*Q305)</x:f>
      </x:c>
      <x:c r="S305" s="146" t="str">
        <x:v>unpriced_source</x:v>
      </x:c>
    </x:row>
    <x:row r="306">
      <x:c r="A306" s="146" t="str">
        <x:v>ADMIN BLOCK</x:v>
      </x:c>
      <x:c r="B306" s="146" t="n">
        <x:v>78</x:v>
      </x:c>
      <x:c r="C306" s="146" t="str">
        <x:v>관리동</x:v>
      </x:c>
      <x:c r="D306" s="146" t="str">
        <x:v>창호·철물</x:v>
      </x:c>
      <x:c r="E306" s="146" t="str">
        <x:v>ELEMENT NO 3 : WALLS</x:v>
      </x:c>
      <x:c r="F306" s="146" t="str">
        <x:v>Brickwork in burnt clay bricks in cement and sand mortar (1:3) mix; with and including 25 x 3mm hoop iron strips laid horizontally every alternate course.</x:v>
      </x:c>
      <x:c r="G306" s="146" t="str">
        <x:v>C</x:v>
      </x:c>
      <x:c r="H306" s="49" t="str">
        <x:v>Labour and materials eaves-filling : 200mm walls average 225mm high</x:v>
      </x:c>
      <x:c r="I306" s="146" t="str">
        <x:v>m</x:v>
      </x:c>
      <x:c r="J306" s="149" t="n">
        <x:v>21</x:v>
      </x:c>
      <x:c r="K306" s="146" t="str"/>
      <x:c r="L306" s="149" t="n">
        <x:v>1</x:v>
      </x:c>
      <x:c r="M306" s="149" t="n">
        <x:v>1</x:v>
      </x:c>
      <x:c r="N306" s="149" t="n">
        <x:v>21</x:v>
      </x:c>
      <x:c r="O306" s="149" t="n">
        <x:v>21</x:v>
      </x:c>
      <x:c r="P306" s="149" t="n">
        <x:f>IF('입력·근거'!$B$12="HIGH",O306,N306)</x:f>
        <x:v>21</x:v>
      </x:c>
      <x:c r="Q306" s="158" t="str"/>
      <x:c r="R306" s="161" t="str">
        <x:f>IF(Q306="","",P306*Q306)</x:f>
      </x:c>
      <x:c r="S306" s="146" t="str">
        <x:v>unpriced_source</x:v>
      </x:c>
    </x:row>
    <x:row r="307">
      <x:c r="A307" s="146" t="str">
        <x:v>ADMIN BLOCK</x:v>
      </x:c>
      <x:c r="B307" s="146" t="n">
        <x:v>86</x:v>
      </x:c>
      <x:c r="C307" s="146" t="str">
        <x:v>관리동</x:v>
      </x:c>
      <x:c r="D307" s="146" t="str">
        <x:v>지붕</x:v>
      </x:c>
      <x:c r="E307" s="146" t="str">
        <x:v>ELEMENT NO 4 : ROOF STRUCTURE AND RAINWATER DISPOSAL</x:v>
      </x:c>
      <x:c r="F307" s="146" t="str">
        <x:v>Structural Steelwork : framed : one coat red-oxide primer;</x:v>
      </x:c>
      <x:c r="G307" s="146" t="str">
        <x:v>A</x:v>
      </x:c>
      <x:c r="H307" s="49" t="str">
        <x:v>60 x 40 x 3mm RHS Bottom chord</x:v>
      </x:c>
      <x:c r="I307" s="146" t="str">
        <x:v>kg</x:v>
      </x:c>
      <x:c r="J307" s="149" t="n">
        <x:v>345</x:v>
      </x:c>
      <x:c r="K307" s="146" t="str"/>
      <x:c r="L307" s="149" t="n">
        <x:v>1</x:v>
      </x:c>
      <x:c r="M307" s="149" t="n">
        <x:v>1</x:v>
      </x:c>
      <x:c r="N307" s="149" t="n">
        <x:v>345</x:v>
      </x:c>
      <x:c r="O307" s="149" t="n">
        <x:v>345</x:v>
      </x:c>
      <x:c r="P307" s="149" t="n">
        <x:f>IF('입력·근거'!$B$12="HIGH",O307,N307)</x:f>
        <x:v>345</x:v>
      </x:c>
      <x:c r="Q307" s="158" t="str"/>
      <x:c r="R307" s="161" t="str">
        <x:f>IF(Q307="","",P307*Q307)</x:f>
      </x:c>
      <x:c r="S307" s="146" t="str">
        <x:v>unpriced_source</x:v>
      </x:c>
    </x:row>
    <x:row r="308">
      <x:c r="A308" s="146" t="str">
        <x:v>ADMIN BLOCK</x:v>
      </x:c>
      <x:c r="B308" s="146" t="n">
        <x:v>87</x:v>
      </x:c>
      <x:c r="C308" s="146" t="str">
        <x:v>관리동</x:v>
      </x:c>
      <x:c r="D308" s="146" t="str">
        <x:v>지붕</x:v>
      </x:c>
      <x:c r="E308" s="146" t="str">
        <x:v>ELEMENT NO 4 : ROOF STRUCTURE AND RAINWATER DISPOSAL</x:v>
      </x:c>
      <x:c r="F308" s="146" t="str">
        <x:v>Structural Steelwork : framed : one coat red-oxide primer;</x:v>
      </x:c>
      <x:c r="G308" s="146" t="str">
        <x:v>B</x:v>
      </x:c>
      <x:c r="H308" s="49" t="str">
        <x:v>60 x 40 x 3mm RHS Top Chord</x:v>
      </x:c>
      <x:c r="I308" s="146" t="str">
        <x:v>kg</x:v>
      </x:c>
      <x:c r="J308" s="149" t="n">
        <x:v>386</x:v>
      </x:c>
      <x:c r="K308" s="146" t="str"/>
      <x:c r="L308" s="149" t="n">
        <x:v>1</x:v>
      </x:c>
      <x:c r="M308" s="149" t="n">
        <x:v>1</x:v>
      </x:c>
      <x:c r="N308" s="149" t="n">
        <x:v>386</x:v>
      </x:c>
      <x:c r="O308" s="149" t="n">
        <x:v>386</x:v>
      </x:c>
      <x:c r="P308" s="149" t="n">
        <x:f>IF('입력·근거'!$B$12="HIGH",O308,N308)</x:f>
        <x:v>386</x:v>
      </x:c>
      <x:c r="Q308" s="158" t="str"/>
      <x:c r="R308" s="161" t="str">
        <x:f>IF(Q308="","",P308*Q308)</x:f>
      </x:c>
      <x:c r="S308" s="146" t="str">
        <x:v>unpriced_source</x:v>
      </x:c>
    </x:row>
    <x:row r="309">
      <x:c r="A309" s="146" t="str">
        <x:v>ADMIN BLOCK</x:v>
      </x:c>
      <x:c r="B309" s="146" t="n">
        <x:v>88</x:v>
      </x:c>
      <x:c r="C309" s="146" t="str">
        <x:v>관리동</x:v>
      </x:c>
      <x:c r="D309" s="146" t="str">
        <x:v>지붕</x:v>
      </x:c>
      <x:c r="E309" s="146" t="str">
        <x:v>ELEMENT NO 4 : ROOF STRUCTURE AND RAINWATER DISPOSAL</x:v>
      </x:c>
      <x:c r="F309" s="146" t="str">
        <x:v>Structural Steelwork : framed : one coat red-oxide primer;</x:v>
      </x:c>
      <x:c r="G309" s="146" t="str">
        <x:v>C</x:v>
      </x:c>
      <x:c r="H309" s="49" t="str">
        <x:v>40 x 40 x 3mm SHS Internal Members</x:v>
      </x:c>
      <x:c r="I309" s="146" t="str">
        <x:v>kg</x:v>
      </x:c>
      <x:c r="J309" s="149" t="n">
        <x:v>486</x:v>
      </x:c>
      <x:c r="K309" s="146" t="str"/>
      <x:c r="L309" s="149" t="n">
        <x:v>1</x:v>
      </x:c>
      <x:c r="M309" s="149" t="n">
        <x:v>1</x:v>
      </x:c>
      <x:c r="N309" s="149" t="n">
        <x:v>486</x:v>
      </x:c>
      <x:c r="O309" s="149" t="n">
        <x:v>486</x:v>
      </x:c>
      <x:c r="P309" s="149" t="n">
        <x:f>IF('입력·근거'!$B$12="HIGH",O309,N309)</x:f>
        <x:v>486</x:v>
      </x:c>
      <x:c r="Q309" s="158" t="str"/>
      <x:c r="R309" s="161" t="str">
        <x:f>IF(Q309="","",P309*Q309)</x:f>
      </x:c>
      <x:c r="S309" s="146" t="str">
        <x:v>unpriced_source</x:v>
      </x:c>
    </x:row>
    <x:row r="310">
      <x:c r="A310" s="146" t="str">
        <x:v>ADMIN BLOCK</x:v>
      </x:c>
      <x:c r="B310" s="146" t="n">
        <x:v>89</x:v>
      </x:c>
      <x:c r="C310" s="146" t="str">
        <x:v>관리동</x:v>
      </x:c>
      <x:c r="D310" s="146" t="str">
        <x:v>지붕</x:v>
      </x:c>
      <x:c r="E310" s="146" t="str">
        <x:v>ELEMENT NO 4 : ROOF STRUCTURE AND RAINWATER DISPOSAL</x:v>
      </x:c>
      <x:c r="F310" s="146" t="str">
        <x:v>Structural Steelwork : framed : one coat red-oxide primer;</x:v>
      </x:c>
      <x:c r="G310" s="146" t="str">
        <x:v>D</x:v>
      </x:c>
      <x:c r="H310" s="49" t="str">
        <x:v>100 x 50 x 2mm Z - Purlins weighing 3.54 Kg. per meter: bolted</x:v>
      </x:c>
      <x:c r="I310" s="146" t="str">
        <x:v>kg</x:v>
      </x:c>
      <x:c r="J310" s="149" t="n">
        <x:v>1024</x:v>
      </x:c>
      <x:c r="K310" s="146" t="str"/>
      <x:c r="L310" s="149" t="n">
        <x:v>1</x:v>
      </x:c>
      <x:c r="M310" s="149" t="n">
        <x:v>1</x:v>
      </x:c>
      <x:c r="N310" s="149" t="n">
        <x:v>1024</x:v>
      </x:c>
      <x:c r="O310" s="149" t="n">
        <x:v>1024</x:v>
      </x:c>
      <x:c r="P310" s="149" t="n">
        <x:f>IF('입력·근거'!$B$12="HIGH",O310,N310)</x:f>
        <x:v>1024</x:v>
      </x:c>
      <x:c r="Q310" s="158" t="str"/>
      <x:c r="R310" s="161" t="str">
        <x:f>IF(Q310="","",P310*Q310)</x:f>
      </x:c>
      <x:c r="S310" s="146" t="str">
        <x:v>unpriced_source</x:v>
      </x:c>
    </x:row>
    <x:row r="311">
      <x:c r="A311" s="146" t="str">
        <x:v>ADMIN BLOCK</x:v>
      </x:c>
      <x:c r="B311" s="146" t="n">
        <x:v>91</x:v>
      </x:c>
      <x:c r="C311" s="146" t="str">
        <x:v>관리동</x:v>
      </x:c>
      <x:c r="D311" s="146" t="str">
        <x:v>지붕</x:v>
      </x:c>
      <x:c r="E311" s="146" t="str">
        <x:v>ELEMENT NO 4 : ROOF STRUCTURE AND RAINWATER DISPOSAL</x:v>
      </x:c>
      <x:c r="F311" s="146" t="str">
        <x:v>SUNDRIES</x:v>
      </x:c>
      <x:c r="G311" s="146" t="str">
        <x:v>E</x:v>
      </x:c>
      <x:c r="H311" s="49" t="str">
        <x:v>225 x 250 x 8mm Plate: 4 No holes for 16mm diameter J-bolts</x:v>
      </x:c>
      <x:c r="I311" s="146" t="str">
        <x:v>no.</x:v>
      </x:c>
      <x:c r="J311" s="149" t="n">
        <x:v>14</x:v>
      </x:c>
      <x:c r="K311" s="146" t="str"/>
      <x:c r="L311" s="149" t="n">
        <x:v>1</x:v>
      </x:c>
      <x:c r="M311" s="149" t="n">
        <x:v>1</x:v>
      </x:c>
      <x:c r="N311" s="149" t="n">
        <x:v>14</x:v>
      </x:c>
      <x:c r="O311" s="149" t="n">
        <x:v>14</x:v>
      </x:c>
      <x:c r="P311" s="149" t="n">
        <x:f>IF('입력·근거'!$B$12="HIGH",O311,N311)</x:f>
        <x:v>14</x:v>
      </x:c>
      <x:c r="Q311" s="158" t="str"/>
      <x:c r="R311" s="161" t="str">
        <x:f>IF(Q311="","",P311*Q311)</x:f>
      </x:c>
      <x:c r="S311" s="146" t="str">
        <x:v>unpriced_source</x:v>
      </x:c>
    </x:row>
    <x:row r="312">
      <x:c r="A312" s="146" t="str">
        <x:v>ADMIN BLOCK</x:v>
      </x:c>
      <x:c r="B312" s="146" t="n">
        <x:v>92</x:v>
      </x:c>
      <x:c r="C312" s="146" t="str">
        <x:v>관리동</x:v>
      </x:c>
      <x:c r="D312" s="146" t="str">
        <x:v>지붕</x:v>
      </x:c>
      <x:c r="E312" s="146" t="str">
        <x:v>ELEMENT NO 4 : ROOF STRUCTURE AND RAINWATER DISPOSAL</x:v>
      </x:c>
      <x:c r="F312" s="146" t="str">
        <x:v>SUNDRIES</x:v>
      </x:c>
      <x:c r="G312" s="146" t="str">
        <x:v>F</x:v>
      </x:c>
      <x:c r="H312" s="49" t="str">
        <x:v>40 x 40 x 3mm L-Cleat; 146mm Long: 1 No holes for 12mm diameter bolts: welded to top chord</x:v>
      </x:c>
      <x:c r="I312" s="146" t="str">
        <x:v>no.</x:v>
      </x:c>
      <x:c r="J312" s="149" t="n">
        <x:v>98</x:v>
      </x:c>
      <x:c r="K312" s="146" t="str"/>
      <x:c r="L312" s="149" t="n">
        <x:v>1</x:v>
      </x:c>
      <x:c r="M312" s="149" t="n">
        <x:v>1</x:v>
      </x:c>
      <x:c r="N312" s="149" t="n">
        <x:v>98</x:v>
      </x:c>
      <x:c r="O312" s="149" t="n">
        <x:v>98</x:v>
      </x:c>
      <x:c r="P312" s="149" t="n">
        <x:f>IF('입력·근거'!$B$12="HIGH",O312,N312)</x:f>
        <x:v>98</x:v>
      </x:c>
      <x:c r="Q312" s="158" t="str"/>
      <x:c r="R312" s="161" t="str">
        <x:f>IF(Q312="","",P312*Q312)</x:f>
      </x:c>
      <x:c r="S312" s="146" t="str">
        <x:v>unpriced_source</x:v>
      </x:c>
    </x:row>
    <x:row r="313">
      <x:c r="A313" s="146" t="str">
        <x:v>ADMIN BLOCK</x:v>
      </x:c>
      <x:c r="B313" s="146" t="n">
        <x:v>93</x:v>
      </x:c>
      <x:c r="C313" s="146" t="str">
        <x:v>관리동</x:v>
      </x:c>
      <x:c r="D313" s="146" t="str">
        <x:v>지붕</x:v>
      </x:c>
      <x:c r="E313" s="146" t="str">
        <x:v>ELEMENT NO 4 : ROOF STRUCTURE AND RAINWATER DISPOSAL</x:v>
      </x:c>
      <x:c r="F313" s="146" t="str">
        <x:v>SUNDRIES</x:v>
      </x:c>
      <x:c r="G313" s="146" t="str">
        <x:v>G</x:v>
      </x:c>
      <x:c r="H313" s="49" t="str">
        <x:v>16mm Diameter "J" bolts 710mm Long: fixed into concrete; head, nut and washers</x:v>
      </x:c>
      <x:c r="I313" s="146" t="str">
        <x:v>no.</x:v>
      </x:c>
      <x:c r="J313" s="149" t="n">
        <x:v>49</x:v>
      </x:c>
      <x:c r="K313" s="146" t="str"/>
      <x:c r="L313" s="149" t="n">
        <x:v>1</x:v>
      </x:c>
      <x:c r="M313" s="149" t="n">
        <x:v>1</x:v>
      </x:c>
      <x:c r="N313" s="149" t="n">
        <x:v>49</x:v>
      </x:c>
      <x:c r="O313" s="149" t="n">
        <x:v>49</x:v>
      </x:c>
      <x:c r="P313" s="149" t="n">
        <x:f>IF('입력·근거'!$B$12="HIGH",O313,N313)</x:f>
        <x:v>49</x:v>
      </x:c>
      <x:c r="Q313" s="158" t="str"/>
      <x:c r="R313" s="161" t="str">
        <x:f>IF(Q313="","",P313*Q313)</x:f>
      </x:c>
      <x:c r="S313" s="146" t="str">
        <x:v>unpriced_source</x:v>
      </x:c>
    </x:row>
    <x:row r="314">
      <x:c r="A314" s="146" t="str">
        <x:v>ADMIN BLOCK</x:v>
      </x:c>
      <x:c r="B314" s="146" t="n">
        <x:v>94</x:v>
      </x:c>
      <x:c r="C314" s="146" t="str">
        <x:v>관리동</x:v>
      </x:c>
      <x:c r="D314" s="146" t="str">
        <x:v>지붕</x:v>
      </x:c>
      <x:c r="E314" s="146" t="str">
        <x:v>ELEMENT NO 4 : ROOF STRUCTURE AND RAINWATER DISPOSAL</x:v>
      </x:c>
      <x:c r="F314" s="146" t="str">
        <x:v>SUNDRIES</x:v>
      </x:c>
      <x:c r="G314" s="146" t="str">
        <x:v>H</x:v>
      </x:c>
      <x:c r="H314" s="49" t="str">
        <x:v>12mm Diameter bolt; 120mm Long; head, nut and washers</x:v>
      </x:c>
      <x:c r="I314" s="146" t="str">
        <x:v>no.</x:v>
      </x:c>
      <x:c r="J314" s="149" t="n">
        <x:v>86</x:v>
      </x:c>
      <x:c r="K314" s="146" t="str"/>
      <x:c r="L314" s="149" t="n">
        <x:v>1</x:v>
      </x:c>
      <x:c r="M314" s="149" t="n">
        <x:v>1</x:v>
      </x:c>
      <x:c r="N314" s="149" t="n">
        <x:v>86</x:v>
      </x:c>
      <x:c r="O314" s="149" t="n">
        <x:v>86</x:v>
      </x:c>
      <x:c r="P314" s="149" t="n">
        <x:f>IF('입력·근거'!$B$12="HIGH",O314,N314)</x:f>
        <x:v>86</x:v>
      </x:c>
      <x:c r="Q314" s="158" t="str"/>
      <x:c r="R314" s="161" t="str">
        <x:f>IF(Q314="","",P314*Q314)</x:f>
      </x:c>
      <x:c r="S314" s="146" t="str">
        <x:v>unpriced_source</x:v>
      </x:c>
    </x:row>
    <x:row r="315">
      <x:c r="A315" s="146" t="str">
        <x:v>ADMIN BLOCK</x:v>
      </x:c>
      <x:c r="B315" s="146" t="n">
        <x:v>97</x:v>
      </x:c>
      <x:c r="C315" s="146" t="str">
        <x:v>관리동</x:v>
      </x:c>
      <x:c r="D315" s="146" t="str">
        <x:v>급배수·위생</x:v>
      </x:c>
      <x:c r="E315" s="146" t="str">
        <x:v>ELEMENT NO 4 : ROOF STRUCTURE AND RAINWATER DISPOSAL</x:v>
      </x:c>
      <x:c r="F315" s="146" t="str">
        <x:v>26 Gauge pre-painted IT5 roofing sheets : fixed to Z-purlins with self tapping screws : in</x:v>
      </x:c>
      <x:c r="G315" s="146" t="str">
        <x:v>I</x:v>
      </x:c>
      <x:c r="H315" s="49" t="str">
        <x:v>Sheet laid sloping not exceeding 45 degrees from horizontal.</x:v>
      </x:c>
      <x:c r="I315" s="146" t="str">
        <x:v>m²</x:v>
      </x:c>
      <x:c r="J315" s="149" t="n">
        <x:v>269</x:v>
      </x:c>
      <x:c r="K315" s="146" t="str"/>
      <x:c r="L315" s="149" t="n">
        <x:v>1</x:v>
      </x:c>
      <x:c r="M315" s="149" t="n">
        <x:v>1</x:v>
      </x:c>
      <x:c r="N315" s="149" t="n">
        <x:v>269</x:v>
      </x:c>
      <x:c r="O315" s="149" t="n">
        <x:v>269</x:v>
      </x:c>
      <x:c r="P315" s="149" t="n">
        <x:f>IF('입력·근거'!$B$12="HIGH",O315,N315)</x:f>
        <x:v>269</x:v>
      </x:c>
      <x:c r="Q315" s="158" t="str"/>
      <x:c r="R315" s="161" t="str">
        <x:f>IF(Q315="","",P315*Q315)</x:f>
      </x:c>
      <x:c r="S315" s="146" t="str">
        <x:v>unpriced_source</x:v>
      </x:c>
    </x:row>
    <x:row r="316">
      <x:c r="A316" s="146" t="str">
        <x:v>ADMIN BLOCK</x:v>
      </x:c>
      <x:c r="B316" s="146" t="n">
        <x:v>98</x:v>
      </x:c>
      <x:c r="C316" s="146" t="str">
        <x:v>관리동</x:v>
      </x:c>
      <x:c r="D316" s="146" t="str">
        <x:v>급배수·위생</x:v>
      </x:c>
      <x:c r="E316" s="146" t="str">
        <x:v>ELEMENT NO 4 : ROOF STRUCTURE AND RAINWATER DISPOSAL</x:v>
      </x:c>
      <x:c r="F316" s="146" t="str">
        <x:v>26 Gauge pre-painted IT5 roofing sheets : fixed to Z-purlins with self tapping screws : in</x:v>
      </x:c>
      <x:c r="G316" s="146" t="str">
        <x:v>J</x:v>
      </x:c>
      <x:c r="H316" s="49" t="str">
        <x:v>300mm Wide ridge flashing</x:v>
      </x:c>
      <x:c r="I316" s="146" t="str">
        <x:v>m</x:v>
      </x:c>
      <x:c r="J316" s="149" t="n">
        <x:v>25</x:v>
      </x:c>
      <x:c r="K316" s="146" t="str"/>
      <x:c r="L316" s="149" t="n">
        <x:v>1</x:v>
      </x:c>
      <x:c r="M316" s="149" t="n">
        <x:v>1</x:v>
      </x:c>
      <x:c r="N316" s="149" t="n">
        <x:v>25</x:v>
      </x:c>
      <x:c r="O316" s="149" t="n">
        <x:v>25</x:v>
      </x:c>
      <x:c r="P316" s="149" t="n">
        <x:f>IF('입력·근거'!$B$12="HIGH",O316,N316)</x:f>
        <x:v>25</x:v>
      </x:c>
      <x:c r="Q316" s="158" t="str"/>
      <x:c r="R316" s="161" t="str">
        <x:f>IF(Q316="","",P316*Q316)</x:f>
      </x:c>
      <x:c r="S316" s="146" t="str">
        <x:v>unpriced_source</x:v>
      </x:c>
    </x:row>
    <x:row r="317">
      <x:c r="A317" s="146" t="str">
        <x:v>ADMIN BLOCK</x:v>
      </x:c>
      <x:c r="B317" s="146" t="n">
        <x:v>99</x:v>
      </x:c>
      <x:c r="C317" s="146" t="str">
        <x:v>관리동</x:v>
      </x:c>
      <x:c r="D317" s="146" t="str">
        <x:v>급배수·위생</x:v>
      </x:c>
      <x:c r="E317" s="146" t="str">
        <x:v>ELEMENT NO 4 : ROOF STRUCTURE AND RAINWATER DISPOSAL</x:v>
      </x:c>
      <x:c r="F317" s="146" t="str">
        <x:v>26 Gauge pre-painted IT5 roofing sheets : fixed to Z-purlins with self tapping screws : in</x:v>
      </x:c>
      <x:c r="G317" s="146" t="str">
        <x:v>K</x:v>
      </x:c>
      <x:c r="H317" s="49" t="str">
        <x:v>300mm Wide hip flashing</x:v>
      </x:c>
      <x:c r="I317" s="146" t="str">
        <x:v>m</x:v>
      </x:c>
      <x:c r="J317" s="149" t="n">
        <x:v>0</x:v>
      </x:c>
      <x:c r="K317" s="146" t="str"/>
      <x:c r="L317" s="149" t="n">
        <x:v>1</x:v>
      </x:c>
      <x:c r="M317" s="149" t="n">
        <x:v>1</x:v>
      </x:c>
      <x:c r="N317" s="149" t="n">
        <x:v>0</x:v>
      </x:c>
      <x:c r="O317" s="149" t="n">
        <x:v>0</x:v>
      </x:c>
      <x:c r="P317" s="149" t="n">
        <x:f>IF('입력·근거'!$B$12="HIGH",O317,N317)</x:f>
        <x:v>0</x:v>
      </x:c>
      <x:c r="Q317" s="158" t="str"/>
      <x:c r="R317" s="161" t="str">
        <x:f>IF(Q317="","",P317*Q317)</x:f>
      </x:c>
      <x:c r="S317" s="146" t="str">
        <x:v>zero_quantity_check_formula_or_design;unpriced_source</x:v>
      </x:c>
    </x:row>
    <x:row r="318">
      <x:c r="A318" s="146" t="str">
        <x:v>ADMIN BLOCK</x:v>
      </x:c>
      <x:c r="B318" s="146" t="n">
        <x:v>101</x:v>
      </x:c>
      <x:c r="C318" s="146" t="str">
        <x:v>관리동</x:v>
      </x:c>
      <x:c r="D318" s="146" t="str">
        <x:v>지붕</x:v>
      </x:c>
      <x:c r="E318" s="146" t="str">
        <x:v>ELEMENT NO 4 : ROOF STRUCTURE AND RAINWATER DISPOSAL</x:v>
      </x:c>
      <x:c r="F318" s="146" t="str">
        <x:v>MILD STEEL, GRADE GJ</x:v>
      </x:c>
      <x:c r="G318" s="146" t="str">
        <x:v>L</x:v>
      </x:c>
      <x:c r="H318" s="49" t="str">
        <x:v>1.5mm thick m.s plate fascia; welded onto steel rafters; with and including 20 x 20 x 2mm stiffeners at 1000mm centres; one coat red oxide primer</x:v>
      </x:c>
      <x:c r="I318" s="146" t="str">
        <x:v>m²</x:v>
      </x:c>
      <x:c r="J318" s="149" t="n">
        <x:v>0</x:v>
      </x:c>
      <x:c r="K318" s="146" t="str">
        <x:v>=I29*0.3</x:v>
      </x:c>
      <x:c r="L318" s="149" t="n">
        <x:v>1</x:v>
      </x:c>
      <x:c r="M318" s="149" t="n">
        <x:v>1</x:v>
      </x:c>
      <x:c r="N318" s="149" t="n">
        <x:v>0</x:v>
      </x:c>
      <x:c r="O318" s="149" t="n">
        <x:v>0</x:v>
      </x:c>
      <x:c r="P318" s="149" t="n">
        <x:f>IF('입력·근거'!$B$12="HIGH",O318,N318)</x:f>
        <x:v>0</x:v>
      </x:c>
      <x:c r="Q318" s="158" t="str"/>
      <x:c r="R318" s="161" t="str">
        <x:f>IF(Q318="","",P318*Q318)</x:f>
      </x:c>
      <x:c r="S318" s="146" t="str">
        <x:v>zero_quantity_check_formula_or_design;formula_quantity;unpriced_source</x:v>
      </x:c>
    </x:row>
    <x:row r="319">
      <x:c r="A319" s="146" t="str">
        <x:v>ADMIN BLOCK</x:v>
      </x:c>
      <x:c r="B319" s="146" t="n">
        <x:v>103</x:v>
      </x:c>
      <x:c r="C319" s="146" t="str">
        <x:v>관리동</x:v>
      </x:c>
      <x:c r="D319" s="146" t="str">
        <x:v>지붕</x:v>
      </x:c>
      <x:c r="E319" s="146" t="str">
        <x:v>ELEMENT NO 4 : ROOF STRUCTURE AND RAINWATER DISPOSAL</x:v>
      </x:c>
      <x:c r="F319" s="146" t="str">
        <x:v>Touch-up primer : prepare and apply three coats oil paint : to</x:v>
      </x:c>
      <x:c r="G319" s="146" t="str">
        <x:v>M</x:v>
      </x:c>
      <x:c r="H319" s="49" t="str">
        <x:v>Structural steel work.</x:v>
      </x:c>
      <x:c r="I319" s="146" t="str">
        <x:v>kg</x:v>
      </x:c>
      <x:c r="J319" s="149" t="n">
        <x:v>2241</x:v>
      </x:c>
      <x:c r="K319" s="146" t="str">
        <x:v>=D89+D88+D87+D86</x:v>
      </x:c>
      <x:c r="L319" s="149" t="n">
        <x:v>1</x:v>
      </x:c>
      <x:c r="M319" s="149" t="n">
        <x:v>1</x:v>
      </x:c>
      <x:c r="N319" s="149" t="n">
        <x:v>2241</x:v>
      </x:c>
      <x:c r="O319" s="149" t="n">
        <x:v>2241</x:v>
      </x:c>
      <x:c r="P319" s="149" t="n">
        <x:f>IF('입력·근거'!$B$12="HIGH",O319,N319)</x:f>
        <x:v>2241</x:v>
      </x:c>
      <x:c r="Q319" s="158" t="str"/>
      <x:c r="R319" s="161" t="str">
        <x:f>IF(Q319="","",P319*Q319)</x:f>
      </x:c>
      <x:c r="S319" s="146" t="str">
        <x:v>formula_quantity;unpriced_source</x:v>
      </x:c>
    </x:row>
    <x:row r="320">
      <x:c r="A320" s="146" t="str">
        <x:v>ADMIN BLOCK</x:v>
      </x:c>
      <x:c r="B320" s="146" t="n">
        <x:v>104</x:v>
      </x:c>
      <x:c r="C320" s="146" t="str">
        <x:v>관리동</x:v>
      </x:c>
      <x:c r="D320" s="146" t="str">
        <x:v>지붕</x:v>
      </x:c>
      <x:c r="E320" s="146" t="str">
        <x:v>ELEMENT NO 4 : ROOF STRUCTURE AND RAINWATER DISPOSAL</x:v>
      </x:c>
      <x:c r="F320" s="146" t="str">
        <x:v>Touch-up primer : prepare and apply three coats oil paint : to</x:v>
      </x:c>
      <x:c r="G320" s="146" t="str">
        <x:v>N</x:v>
      </x:c>
      <x:c r="H320" s="49" t="str">
        <x:v>Fascia Board</x:v>
      </x:c>
      <x:c r="I320" s="146" t="str">
        <x:v>m²</x:v>
      </x:c>
      <x:c r="J320" s="149" t="n">
        <x:v>0</x:v>
      </x:c>
      <x:c r="K320" s="146" t="str">
        <x:v>=D101*2</x:v>
      </x:c>
      <x:c r="L320" s="149" t="n">
        <x:v>1</x:v>
      </x:c>
      <x:c r="M320" s="149" t="n">
        <x:v>1</x:v>
      </x:c>
      <x:c r="N320" s="149" t="n">
        <x:v>0</x:v>
      </x:c>
      <x:c r="O320" s="149" t="n">
        <x:v>0</x:v>
      </x:c>
      <x:c r="P320" s="149" t="n">
        <x:f>IF('입력·근거'!$B$12="HIGH",O320,N320)</x:f>
        <x:v>0</x:v>
      </x:c>
      <x:c r="Q320" s="158" t="str"/>
      <x:c r="R320" s="161" t="str">
        <x:f>IF(Q320="","",P320*Q320)</x:f>
      </x:c>
      <x:c r="S320" s="146" t="str">
        <x:v>zero_quantity_check_formula_or_design;formula_quantity;unpriced_source</x:v>
      </x:c>
    </x:row>
    <x:row r="321">
      <x:c r="A321" s="146" t="str">
        <x:v>ADMIN BLOCK</x:v>
      </x:c>
      <x:c r="B321" s="146" t="n">
        <x:v>107</x:v>
      </x:c>
      <x:c r="C321" s="146" t="str">
        <x:v>관리동</x:v>
      </x:c>
      <x:c r="D321" s="146" t="str">
        <x:v>지붕</x:v>
      </x:c>
      <x:c r="E321" s="146" t="str">
        <x:v>ELEMENT NO 4 : ROOF STRUCTURE AND RAINWATER DISPOSAL</x:v>
      </x:c>
      <x:c r="F321" s="146" t="str">
        <x:v>PVC Key terrain fixed in accordance with manufacturer's instructions</x:v>
      </x:c>
      <x:c r="G321" s="146" t="str">
        <x:v>O</x:v>
      </x:c>
      <x:c r="H321" s="49" t="str">
        <x:v>130mm diameter half round PVC gutter</x:v>
      </x:c>
      <x:c r="I321" s="146" t="str">
        <x:v>m</x:v>
      </x:c>
      <x:c r="J321" s="149" t="n">
        <x:v>50</x:v>
      </x:c>
      <x:c r="K321" s="146" t="str"/>
      <x:c r="L321" s="149" t="n">
        <x:v>1</x:v>
      </x:c>
      <x:c r="M321" s="149" t="n">
        <x:v>1</x:v>
      </x:c>
      <x:c r="N321" s="149" t="n">
        <x:v>50</x:v>
      </x:c>
      <x:c r="O321" s="149" t="n">
        <x:v>50</x:v>
      </x:c>
      <x:c r="P321" s="149" t="n">
        <x:f>IF('입력·근거'!$B$12="HIGH",O321,N321)</x:f>
        <x:v>50</x:v>
      </x:c>
      <x:c r="Q321" s="158" t="str"/>
      <x:c r="R321" s="161" t="str">
        <x:f>IF(Q321="","",P321*Q321)</x:f>
      </x:c>
      <x:c r="S321" s="146" t="str">
        <x:v>unpriced_source</x:v>
      </x:c>
    </x:row>
    <x:row r="322">
      <x:c r="A322" s="146" t="str">
        <x:v>ADMIN BLOCK</x:v>
      </x:c>
      <x:c r="B322" s="146" t="n">
        <x:v>108</x:v>
      </x:c>
      <x:c r="C322" s="146" t="str">
        <x:v>관리동</x:v>
      </x:c>
      <x:c r="D322" s="146" t="str">
        <x:v>급배수·위생</x:v>
      </x:c>
      <x:c r="E322" s="146" t="str">
        <x:v>ELEMENT NO 4 : ROOF STRUCTURE AND RAINWATER DISPOSAL</x:v>
      </x:c>
      <x:c r="F322" s="146" t="str">
        <x:v>PVC Key terrain fixed in accordance with manufacturer's instructions</x:v>
      </x:c>
      <x:c r="G322" s="146" t="str">
        <x:v>P</x:v>
      </x:c>
      <x:c r="H322" s="49" t="str">
        <x:v>Extra over gutter for outlet to suit 100mm diameter pipe.</x:v>
      </x:c>
      <x:c r="I322" s="146" t="str">
        <x:v>no.</x:v>
      </x:c>
      <x:c r="J322" s="149" t="n">
        <x:v>4</x:v>
      </x:c>
      <x:c r="K322" s="146" t="str"/>
      <x:c r="L322" s="149" t="n">
        <x:v>1</x:v>
      </x:c>
      <x:c r="M322" s="149" t="n">
        <x:v>1</x:v>
      </x:c>
      <x:c r="N322" s="149" t="n">
        <x:v>4</x:v>
      </x:c>
      <x:c r="O322" s="149" t="n">
        <x:v>4</x:v>
      </x:c>
      <x:c r="P322" s="149" t="n">
        <x:f>IF('입력·근거'!$B$12="HIGH",O322,N322)</x:f>
        <x:v>4</x:v>
      </x:c>
      <x:c r="Q322" s="158" t="str"/>
      <x:c r="R322" s="161" t="str">
        <x:f>IF(Q322="","",P322*Q322)</x:f>
      </x:c>
      <x:c r="S322" s="146" t="str">
        <x:v>unpriced_source</x:v>
      </x:c>
    </x:row>
    <x:row r="323">
      <x:c r="A323" s="146" t="str">
        <x:v>ADMIN BLOCK</x:v>
      </x:c>
      <x:c r="B323" s="146" t="n">
        <x:v>109</x:v>
      </x:c>
      <x:c r="C323" s="146" t="str">
        <x:v>관리동</x:v>
      </x:c>
      <x:c r="D323" s="146" t="str">
        <x:v>지붕</x:v>
      </x:c>
      <x:c r="E323" s="146" t="str">
        <x:v>ELEMENT NO 4 : ROOF STRUCTURE AND RAINWATER DISPOSAL</x:v>
      </x:c>
      <x:c r="F323" s="146" t="str">
        <x:v>PVC Key terrain fixed in accordance with manufacturer's instructions</x:v>
      </x:c>
      <x:c r="G323" s="146" t="str">
        <x:v>Q</x:v>
      </x:c>
      <x:c r="H323" s="49" t="str">
        <x:v>Extra over gutter for bends</x:v>
      </x:c>
      <x:c r="I323" s="146" t="str">
        <x:v>no.</x:v>
      </x:c>
      <x:c r="J323" s="149" t="n">
        <x:v>8</x:v>
      </x:c>
      <x:c r="K323" s="146" t="str"/>
      <x:c r="L323" s="149" t="n">
        <x:v>1</x:v>
      </x:c>
      <x:c r="M323" s="149" t="n">
        <x:v>1</x:v>
      </x:c>
      <x:c r="N323" s="149" t="n">
        <x:v>8</x:v>
      </x:c>
      <x:c r="O323" s="149" t="n">
        <x:v>8</x:v>
      </x:c>
      <x:c r="P323" s="149" t="n">
        <x:f>IF('입력·근거'!$B$12="HIGH",O323,N323)</x:f>
        <x:v>8</x:v>
      </x:c>
      <x:c r="Q323" s="158" t="str"/>
      <x:c r="R323" s="161" t="str">
        <x:f>IF(Q323="","",P323*Q323)</x:f>
      </x:c>
      <x:c r="S323" s="146" t="str">
        <x:v>unpriced_source</x:v>
      </x:c>
    </x:row>
    <x:row r="324">
      <x:c r="A324" s="146" t="str">
        <x:v>ADMIN BLOCK</x:v>
      </x:c>
      <x:c r="B324" s="146" t="n">
        <x:v>110</x:v>
      </x:c>
      <x:c r="C324" s="146" t="str">
        <x:v>관리동</x:v>
      </x:c>
      <x:c r="D324" s="146" t="str">
        <x:v>급배수·위생</x:v>
      </x:c>
      <x:c r="E324" s="146" t="str">
        <x:v>ELEMENT NO 4 : ROOF STRUCTURE AND RAINWATER DISPOSAL</x:v>
      </x:c>
      <x:c r="F324" s="146" t="str">
        <x:v>PVC Key terrain fixed in accordance with manufacturer's instructions</x:v>
      </x:c>
      <x:c r="G324" s="146" t="str">
        <x:v>R</x:v>
      </x:c>
      <x:c r="H324" s="49" t="str">
        <x:v>100mm diameter PVC down pipe</x:v>
      </x:c>
      <x:c r="I324" s="146" t="str">
        <x:v>m</x:v>
      </x:c>
      <x:c r="J324" s="149" t="n">
        <x:v>12</x:v>
      </x:c>
      <x:c r="K324" s="146" t="str"/>
      <x:c r="L324" s="149" t="n">
        <x:v>1</x:v>
      </x:c>
      <x:c r="M324" s="149" t="n">
        <x:v>1</x:v>
      </x:c>
      <x:c r="N324" s="149" t="n">
        <x:v>12</x:v>
      </x:c>
      <x:c r="O324" s="149" t="n">
        <x:v>12</x:v>
      </x:c>
      <x:c r="P324" s="149" t="n">
        <x:f>IF('입력·근거'!$B$12="HIGH",O324,N324)</x:f>
        <x:v>12</x:v>
      </x:c>
      <x:c r="Q324" s="158" t="str"/>
      <x:c r="R324" s="161" t="str">
        <x:f>IF(Q324="","",P324*Q324)</x:f>
      </x:c>
      <x:c r="S324" s="146" t="str">
        <x:v>unpriced_source</x:v>
      </x:c>
    </x:row>
    <x:row r="325">
      <x:c r="A325" s="146" t="str">
        <x:v>ADMIN BLOCK</x:v>
      </x:c>
      <x:c r="B325" s="146" t="n">
        <x:v>111</x:v>
      </x:c>
      <x:c r="C325" s="146" t="str">
        <x:v>관리동</x:v>
      </x:c>
      <x:c r="D325" s="146" t="str">
        <x:v>지붕</x:v>
      </x:c>
      <x:c r="E325" s="146" t="str">
        <x:v>ELEMENT NO 4 : ROOF STRUCTURE AND RAINWATER DISPOSAL</x:v>
      </x:c>
      <x:c r="F325" s="146" t="str">
        <x:v>PVC Key terrain fixed in accordance with manufacturer's instructions</x:v>
      </x:c>
      <x:c r="G325" s="146" t="str">
        <x:v>S</x:v>
      </x:c>
      <x:c r="H325" s="49" t="str">
        <x:v>Extra over for bends.</x:v>
      </x:c>
      <x:c r="I325" s="146" t="str">
        <x:v>no.</x:v>
      </x:c>
      <x:c r="J325" s="149" t="n">
        <x:v>4</x:v>
      </x:c>
      <x:c r="K325" s="146" t="str"/>
      <x:c r="L325" s="149" t="n">
        <x:v>1</x:v>
      </x:c>
      <x:c r="M325" s="149" t="n">
        <x:v>1</x:v>
      </x:c>
      <x:c r="N325" s="149" t="n">
        <x:v>4</x:v>
      </x:c>
      <x:c r="O325" s="149" t="n">
        <x:v>4</x:v>
      </x:c>
      <x:c r="P325" s="149" t="n">
        <x:f>IF('입력·근거'!$B$12="HIGH",O325,N325)</x:f>
        <x:v>4</x:v>
      </x:c>
      <x:c r="Q325" s="158" t="str"/>
      <x:c r="R325" s="161" t="str">
        <x:f>IF(Q325="","",P325*Q325)</x:f>
      </x:c>
      <x:c r="S325" s="146" t="str">
        <x:v>unpriced_source</x:v>
      </x:c>
    </x:row>
    <x:row r="326">
      <x:c r="A326" s="146" t="str">
        <x:v>ADMIN BLOCK</x:v>
      </x:c>
      <x:c r="B326" s="146" t="n">
        <x:v>112</x:v>
      </x:c>
      <x:c r="C326" s="146" t="str">
        <x:v>관리동</x:v>
      </x:c>
      <x:c r="D326" s="146" t="str">
        <x:v>지붕</x:v>
      </x:c>
      <x:c r="E326" s="146" t="str">
        <x:v>ELEMENT NO 4 : ROOF STRUCTURE AND RAINWATER DISPOSAL</x:v>
      </x:c>
      <x:c r="F326" s="146" t="str">
        <x:v>PVC Key terrain fixed in accordance with manufacturer's instructions</x:v>
      </x:c>
      <x:c r="G326" s="146" t="str">
        <x:v>T</x:v>
      </x:c>
      <x:c r="H326" s="49" t="str">
        <x:v>Extra over for shoe.</x:v>
      </x:c>
      <x:c r="I326" s="146" t="str">
        <x:v>no.</x:v>
      </x:c>
      <x:c r="J326" s="149" t="n">
        <x:v>4</x:v>
      </x:c>
      <x:c r="K326" s="146" t="str"/>
      <x:c r="L326" s="149" t="n">
        <x:v>1</x:v>
      </x:c>
      <x:c r="M326" s="149" t="n">
        <x:v>1</x:v>
      </x:c>
      <x:c r="N326" s="149" t="n">
        <x:v>4</x:v>
      </x:c>
      <x:c r="O326" s="149" t="n">
        <x:v>4</x:v>
      </x:c>
      <x:c r="P326" s="149" t="n">
        <x:f>IF('입력·근거'!$B$12="HIGH",O326,N326)</x:f>
        <x:v>4</x:v>
      </x:c>
      <x:c r="Q326" s="158" t="str"/>
      <x:c r="R326" s="161" t="str">
        <x:f>IF(Q326="","",P326*Q326)</x:f>
      </x:c>
      <x:c r="S326" s="146" t="str">
        <x:v>unpriced_source</x:v>
      </x:c>
    </x:row>
    <x:row r="327">
      <x:c r="A327" s="146" t="str">
        <x:v>ADMIN BLOCK</x:v>
      </x:c>
      <x:c r="B327" s="146" t="n">
        <x:v>117</x:v>
      </x:c>
      <x:c r="C327" s="146" t="str">
        <x:v>관리동</x:v>
      </x:c>
      <x:c r="D327" s="146" t="str">
        <x:v>창호·철물</x:v>
      </x:c>
      <x:c r="E327" s="146" t="str">
        <x:v>ELEMENT NO 5 : WINDOWS</x:v>
      </x:c>
      <x:c r="F327" s="146" t="str">
        <x:v>PURPOSE MADE WINDOW STANDARD Steel Section for glazing with putty, permanent ventilation comprising T-bar hood and gauze, standard transomes and mullions, heavy duty aluminium friction hinges and fasteners, one coat red oxide etching primer : including 450mm high vents at the top comprising 2mm thick mild steel sheet cranked louvers, 120mm wide bent to shape all welded to window frame; as per Architect's detail drawing.</x:v>
      </x:c>
      <x:c r="G327" s="146" t="str">
        <x:v>A</x:v>
      </x:c>
      <x:c r="H327" s="49" t="str">
        <x:v>Window W1 overall size 1200 x 1200mm high (overall)</x:v>
      </x:c>
      <x:c r="I327" s="146" t="str">
        <x:v>no.</x:v>
      </x:c>
      <x:c r="J327" s="149" t="n">
        <x:v>7</x:v>
      </x:c>
      <x:c r="K327" s="146" t="str"/>
      <x:c r="L327" s="149" t="n">
        <x:v>1</x:v>
      </x:c>
      <x:c r="M327" s="149" t="n">
        <x:v>1</x:v>
      </x:c>
      <x:c r="N327" s="149" t="n">
        <x:v>7</x:v>
      </x:c>
      <x:c r="O327" s="149" t="n">
        <x:v>7</x:v>
      </x:c>
      <x:c r="P327" s="149" t="n">
        <x:f>IF('입력·근거'!$B$12="HIGH",O327,N327)</x:f>
        <x:v>7</x:v>
      </x:c>
      <x:c r="Q327" s="158" t="str"/>
      <x:c r="R327" s="161" t="str">
        <x:f>IF(Q327="","",P327*Q327)</x:f>
      </x:c>
      <x:c r="S327" s="146" t="str">
        <x:v>unpriced_source</x:v>
      </x:c>
    </x:row>
    <x:row r="328">
      <x:c r="A328" s="146" t="str">
        <x:v>ADMIN BLOCK</x:v>
      </x:c>
      <x:c r="B328" s="146" t="n">
        <x:v>118</x:v>
      </x:c>
      <x:c r="C328" s="146" t="str">
        <x:v>관리동</x:v>
      </x:c>
      <x:c r="D328" s="146" t="str">
        <x:v>창호·철물</x:v>
      </x:c>
      <x:c r="E328" s="146" t="str">
        <x:v>ELEMENT NO 5 : WINDOWS</x:v>
      </x:c>
      <x:c r="F328" s="146" t="str">
        <x:v>PURPOSE MADE WINDOW STANDARD Steel Section for glazing with putty, permanent ventilation comprising T-bar hood and gauze, standard transomes and mullions, heavy duty aluminium friction hinges and fasteners, one coat red oxide etching primer : including 450mm high vents at the top comprising 2mm thick mild steel sheet cranked louvers, 120mm wide bent to shape all welded to window frame; as per Architect's detail drawing.</x:v>
      </x:c>
      <x:c r="G328" s="146" t="str">
        <x:v>B</x:v>
      </x:c>
      <x:c r="H328" s="49" t="str">
        <x:v>Window W2 overall size 1500 x 2000mm high (overall)</x:v>
      </x:c>
      <x:c r="I328" s="146" t="str">
        <x:v>no.</x:v>
      </x:c>
      <x:c r="J328" s="149" t="n">
        <x:v>4</x:v>
      </x:c>
      <x:c r="K328" s="146" t="str"/>
      <x:c r="L328" s="149" t="n">
        <x:v>1</x:v>
      </x:c>
      <x:c r="M328" s="149" t="n">
        <x:v>1</x:v>
      </x:c>
      <x:c r="N328" s="149" t="n">
        <x:v>4</x:v>
      </x:c>
      <x:c r="O328" s="149" t="n">
        <x:v>4</x:v>
      </x:c>
      <x:c r="P328" s="149" t="n">
        <x:f>IF('입력·근거'!$B$12="HIGH",O328,N328)</x:f>
        <x:v>4</x:v>
      </x:c>
      <x:c r="Q328" s="158" t="str"/>
      <x:c r="R328" s="161" t="str">
        <x:f>IF(Q328="","",P328*Q328)</x:f>
      </x:c>
      <x:c r="S328" s="146" t="str">
        <x:v>unpriced_source</x:v>
      </x:c>
    </x:row>
    <x:row r="329">
      <x:c r="A329" s="146" t="str">
        <x:v>ADMIN BLOCK</x:v>
      </x:c>
      <x:c r="B329" s="146" t="n">
        <x:v>120</x:v>
      </x:c>
      <x:c r="C329" s="146" t="str">
        <x:v>관리동</x:v>
      </x:c>
      <x:c r="D329" s="146" t="str">
        <x:v>지붕</x:v>
      </x:c>
      <x:c r="E329" s="146" t="str">
        <x:v>ELEMENT NO 5 : WINDOWS</x:v>
      </x:c>
      <x:c r="F329" s="146" t="str">
        <x:v>PURPOSE MADE STANDARD Steel burglar proofing made from 25 x 4mm flat bar framing and 12mm solid round mild steel bars : one coat red oxide primer as per Architect's detailed drawing</x:v>
      </x:c>
      <x:c r="G329" s="146" t="str">
        <x:v>C</x:v>
      </x:c>
      <x:c r="H329" s="49" t="str">
        <x:v>Window W1 overall size 1200 x 1200mm high (overall)</x:v>
      </x:c>
      <x:c r="I329" s="146" t="str">
        <x:v>no.</x:v>
      </x:c>
      <x:c r="J329" s="149" t="n">
        <x:v>7</x:v>
      </x:c>
      <x:c r="K329" s="146" t="str"/>
      <x:c r="L329" s="149" t="n">
        <x:v>1</x:v>
      </x:c>
      <x:c r="M329" s="149" t="n">
        <x:v>1</x:v>
      </x:c>
      <x:c r="N329" s="149" t="n">
        <x:v>7</x:v>
      </x:c>
      <x:c r="O329" s="149" t="n">
        <x:v>7</x:v>
      </x:c>
      <x:c r="P329" s="149" t="n">
        <x:f>IF('입력·근거'!$B$12="HIGH",O329,N329)</x:f>
        <x:v>7</x:v>
      </x:c>
      <x:c r="Q329" s="158" t="str"/>
      <x:c r="R329" s="161" t="str">
        <x:f>IF(Q329="","",P329*Q329)</x:f>
      </x:c>
      <x:c r="S329" s="146" t="str">
        <x:v>unpriced_source</x:v>
      </x:c>
    </x:row>
    <x:row r="330">
      <x:c r="A330" s="146" t="str">
        <x:v>ADMIN BLOCK</x:v>
      </x:c>
      <x:c r="B330" s="146" t="n">
        <x:v>121</x:v>
      </x:c>
      <x:c r="C330" s="146" t="str">
        <x:v>관리동</x:v>
      </x:c>
      <x:c r="D330" s="146" t="str">
        <x:v>지붕</x:v>
      </x:c>
      <x:c r="E330" s="146" t="str">
        <x:v>ELEMENT NO 5 : WINDOWS</x:v>
      </x:c>
      <x:c r="F330" s="146" t="str">
        <x:v>PURPOSE MADE STANDARD Steel burglar proofing made from 25 x 4mm flat bar framing and 12mm solid round mild steel bars : one coat red oxide primer as per Architect's detailed drawing</x:v>
      </x:c>
      <x:c r="G330" s="146" t="str">
        <x:v>D</x:v>
      </x:c>
      <x:c r="H330" s="49" t="str">
        <x:v>Window W2 overall size 1500 x 2000mm high (overall)</x:v>
      </x:c>
      <x:c r="I330" s="146" t="str">
        <x:v>no.</x:v>
      </x:c>
      <x:c r="J330" s="149" t="n">
        <x:v>4</x:v>
      </x:c>
      <x:c r="K330" s="146" t="str"/>
      <x:c r="L330" s="149" t="n">
        <x:v>1</x:v>
      </x:c>
      <x:c r="M330" s="149" t="n">
        <x:v>1</x:v>
      </x:c>
      <x:c r="N330" s="149" t="n">
        <x:v>4</x:v>
      </x:c>
      <x:c r="O330" s="149" t="n">
        <x:v>4</x:v>
      </x:c>
      <x:c r="P330" s="149" t="n">
        <x:f>IF('입력·근거'!$B$12="HIGH",O330,N330)</x:f>
        <x:v>4</x:v>
      </x:c>
      <x:c r="Q330" s="158" t="str"/>
      <x:c r="R330" s="161" t="str">
        <x:f>IF(Q330="","",P330*Q330)</x:f>
      </x:c>
      <x:c r="S330" s="146" t="str">
        <x:v>unpriced_source</x:v>
      </x:c>
    </x:row>
    <x:row r="331">
      <x:c r="A331" s="146" t="str">
        <x:v>ADMIN BLOCK</x:v>
      </x:c>
      <x:c r="B331" s="146" t="n">
        <x:v>123</x:v>
      </x:c>
      <x:c r="C331" s="146" t="str">
        <x:v>관리동</x:v>
      </x:c>
      <x:c r="D331" s="146" t="str">
        <x:v>창호·철물</x:v>
      </x:c>
      <x:c r="E331" s="146" t="str">
        <x:v>ELEMENT NO 5 : WINDOWS</x:v>
      </x:c>
      <x:c r="F331" s="146" t="str">
        <x:v>PREPARE SURFACE AND APPLY ETCHING PRIMER; apply one coat primer, one undercoat and two Gloss finishing coats; on metal work : to</x:v>
      </x:c>
      <x:c r="G331" s="146" t="str">
        <x:v>E</x:v>
      </x:c>
      <x:c r="H331" s="49" t="str">
        <x:v>General surfaces</x:v>
      </x:c>
      <x:c r="I331" s="146" t="str">
        <x:v>m²</x:v>
      </x:c>
      <x:c r="J331" s="149" t="n">
        <x:v>22</x:v>
      </x:c>
      <x:c r="K331" s="146" t="str"/>
      <x:c r="L331" s="149" t="n">
        <x:v>1</x:v>
      </x:c>
      <x:c r="M331" s="149" t="n">
        <x:v>1</x:v>
      </x:c>
      <x:c r="N331" s="149" t="n">
        <x:v>22</x:v>
      </x:c>
      <x:c r="O331" s="149" t="n">
        <x:v>22</x:v>
      </x:c>
      <x:c r="P331" s="149" t="n">
        <x:f>IF('입력·근거'!$B$12="HIGH",O331,N331)</x:f>
        <x:v>22</x:v>
      </x:c>
      <x:c r="Q331" s="158" t="str"/>
      <x:c r="R331" s="161" t="str">
        <x:f>IF(Q331="","",P331*Q331)</x:f>
      </x:c>
      <x:c r="S331" s="146" t="str">
        <x:v>unpriced_source</x:v>
      </x:c>
    </x:row>
    <x:row r="332">
      <x:c r="A332" s="146" t="str">
        <x:v>ADMIN BLOCK</x:v>
      </x:c>
      <x:c r="B332" s="146" t="n">
        <x:v>124</x:v>
      </x:c>
      <x:c r="C332" s="146" t="str">
        <x:v>관리동</x:v>
      </x:c>
      <x:c r="D332" s="146" t="str">
        <x:v>지붕</x:v>
      </x:c>
      <x:c r="E332" s="146" t="str">
        <x:v>ELEMENT NO 5 : WINDOWS</x:v>
      </x:c>
      <x:c r="F332" s="146" t="str">
        <x:v>PREPARE SURFACE AND APPLY ETCHING PRIMER; apply one coat primer, one undercoat and two Gloss finishing coats; on metal work : to</x:v>
      </x:c>
      <x:c r="G332" s="146" t="str">
        <x:v>F</x:v>
      </x:c>
      <x:c r="H332" s="49" t="str">
        <x:v>Burglar proofing</x:v>
      </x:c>
      <x:c r="I332" s="146" t="str">
        <x:v>m²</x:v>
      </x:c>
      <x:c r="J332" s="149" t="n">
        <x:v>22</x:v>
      </x:c>
      <x:c r="K332" s="146" t="str">
        <x:v>=D123</x:v>
      </x:c>
      <x:c r="L332" s="149" t="n">
        <x:v>1</x:v>
      </x:c>
      <x:c r="M332" s="149" t="n">
        <x:v>1</x:v>
      </x:c>
      <x:c r="N332" s="149" t="n">
        <x:v>22</x:v>
      </x:c>
      <x:c r="O332" s="149" t="n">
        <x:v>22</x:v>
      </x:c>
      <x:c r="P332" s="149" t="n">
        <x:f>IF('입력·근거'!$B$12="HIGH",O332,N332)</x:f>
        <x:v>22</x:v>
      </x:c>
      <x:c r="Q332" s="158" t="str"/>
      <x:c r="R332" s="161" t="str">
        <x:f>IF(Q332="","",P332*Q332)</x:f>
      </x:c>
      <x:c r="S332" s="146" t="str">
        <x:v>formula_quantity;unpriced_source</x:v>
      </x:c>
    </x:row>
    <x:row r="333">
      <x:c r="A333" s="146" t="str">
        <x:v>ADMIN BLOCK</x:v>
      </x:c>
      <x:c r="B333" s="146" t="n">
        <x:v>130</x:v>
      </x:c>
      <x:c r="C333" s="146" t="str">
        <x:v>관리동</x:v>
      </x:c>
      <x:c r="D333" s="146" t="str">
        <x:v>창호·철물</x:v>
      </x:c>
      <x:c r="E333" s="146" t="str">
        <x:v>ELEMENT NO 6 : DOORS</x:v>
      </x:c>
      <x:c r="F333" s="146" t="str">
        <x:v>Purpose made steel casement Doors manufactured from standard casement 2.0mm thick sections : manufacture, assemble and deliver to site: supply and fix all approved UNION or equal ironmongery : with and including door frames, fixing drilled, plugged and screwed or built into walling: one coat red oxide primer before delivery.</x:v>
      </x:c>
      <x:c r="G333" s="146" t="str">
        <x:v>A</x:v>
      </x:c>
      <x:c r="H333" s="49" t="str">
        <x:v>Door D1 overall size 1500 x 2100mm high (overall) as per Architect's detailed drawing</x:v>
      </x:c>
      <x:c r="I333" s="146" t="str">
        <x:v>no.</x:v>
      </x:c>
      <x:c r="J333" s="149" t="n">
        <x:v>2</x:v>
      </x:c>
      <x:c r="K333" s="146" t="str"/>
      <x:c r="L333" s="149" t="n">
        <x:v>1</x:v>
      </x:c>
      <x:c r="M333" s="149" t="n">
        <x:v>1</x:v>
      </x:c>
      <x:c r="N333" s="149" t="n">
        <x:v>2</x:v>
      </x:c>
      <x:c r="O333" s="149" t="n">
        <x:v>2</x:v>
      </x:c>
      <x:c r="P333" s="149" t="n">
        <x:f>IF('입력·근거'!$B$12="HIGH",O333,N333)</x:f>
        <x:v>2</x:v>
      </x:c>
      <x:c r="Q333" s="158" t="str"/>
      <x:c r="R333" s="161" t="str">
        <x:f>IF(Q333="","",P333*Q333)</x:f>
      </x:c>
      <x:c r="S333" s="146" t="str">
        <x:v>unpriced_source</x:v>
      </x:c>
    </x:row>
    <x:row r="334">
      <x:c r="A334" s="146" t="str">
        <x:v>ADMIN BLOCK</x:v>
      </x:c>
      <x:c r="B334" s="146" t="n">
        <x:v>131</x:v>
      </x:c>
      <x:c r="C334" s="146" t="str">
        <x:v>관리동</x:v>
      </x:c>
      <x:c r="D334" s="146" t="str">
        <x:v>창호·철물</x:v>
      </x:c>
      <x:c r="E334" s="146" t="str">
        <x:v>ELEMENT NO 6 : DOORS</x:v>
      </x:c>
      <x:c r="F334" s="146" t="str">
        <x:v>Purpose made steel casement Doors manufactured from standard casement 2.0mm thick sections : manufacture, assemble and deliver to site: supply and fix all approved UNION or equal ironmongery : with and including door frames, fixing drilled, plugged and screwed or built into walling: one coat red oxide primer before delivery.</x:v>
      </x:c>
      <x:c r="G334" s="146" t="str">
        <x:v>B</x:v>
      </x:c>
      <x:c r="H334" s="49" t="str">
        <x:v>Door D2 overall size 900 x 2100mm high (overall) ditto</x:v>
      </x:c>
      <x:c r="I334" s="146" t="str">
        <x:v>no.</x:v>
      </x:c>
      <x:c r="J334" s="149" t="n">
        <x:v>2</x:v>
      </x:c>
      <x:c r="K334" s="146" t="str"/>
      <x:c r="L334" s="149" t="n">
        <x:v>1</x:v>
      </x:c>
      <x:c r="M334" s="149" t="n">
        <x:v>1</x:v>
      </x:c>
      <x:c r="N334" s="149" t="n">
        <x:v>2</x:v>
      </x:c>
      <x:c r="O334" s="149" t="n">
        <x:v>2</x:v>
      </x:c>
      <x:c r="P334" s="149" t="n">
        <x:f>IF('입력·근거'!$B$12="HIGH",O334,N334)</x:f>
        <x:v>2</x:v>
      </x:c>
      <x:c r="Q334" s="158" t="str"/>
      <x:c r="R334" s="161" t="str">
        <x:f>IF(Q334="","",P334*Q334)</x:f>
      </x:c>
      <x:c r="S334" s="146" t="str">
        <x:v>unpriced_source</x:v>
      </x:c>
    </x:row>
    <x:row r="335">
      <x:c r="A335" s="146" t="str">
        <x:v>ADMIN BLOCK</x:v>
      </x:c>
      <x:c r="B335" s="146" t="n">
        <x:v>133</x:v>
      </x:c>
      <x:c r="C335" s="146" t="str">
        <x:v>관리동</x:v>
      </x:c>
      <x:c r="D335" s="146" t="str">
        <x:v>창호·철물</x:v>
      </x:c>
      <x:c r="E335" s="146" t="str">
        <x:v>ELEMENT NO 6 : DOORS</x:v>
      </x:c>
      <x:c r="F335" s="146" t="str">
        <x:v>Painting</x:v>
      </x:c>
      <x:c r="G335" s="146" t="str">
        <x:v>C</x:v>
      </x:c>
      <x:c r="H335" s="49" t="str">
        <x:v>Prepare touch up primer and apply one undercoat and two finishing coats of gloss oil paint: glazed metal doors</x:v>
      </x:c>
      <x:c r="I335" s="146" t="str">
        <x:v>m²</x:v>
      </x:c>
      <x:c r="J335" s="149" t="n">
        <x:v>13</x:v>
      </x:c>
      <x:c r="K335" s="146" t="str"/>
      <x:c r="L335" s="149" t="n">
        <x:v>1</x:v>
      </x:c>
      <x:c r="M335" s="149" t="n">
        <x:v>1</x:v>
      </x:c>
      <x:c r="N335" s="149" t="n">
        <x:v>13</x:v>
      </x:c>
      <x:c r="O335" s="149" t="n">
        <x:v>13</x:v>
      </x:c>
      <x:c r="P335" s="149" t="n">
        <x:f>IF('입력·근거'!$B$12="HIGH",O335,N335)</x:f>
        <x:v>13</x:v>
      </x:c>
      <x:c r="Q335" s="158" t="str"/>
      <x:c r="R335" s="161" t="str">
        <x:f>IF(Q335="","",P335*Q335)</x:f>
      </x:c>
      <x:c r="S335" s="146" t="str">
        <x:v>unpriced_source</x:v>
      </x:c>
    </x:row>
    <x:row r="336">
      <x:c r="A336" s="146" t="str">
        <x:v>ADMIN BLOCK</x:v>
      </x:c>
      <x:c r="B336" s="146" t="n">
        <x:v>135</x:v>
      </x:c>
      <x:c r="C336" s="146" t="str">
        <x:v>관리동</x:v>
      </x:c>
      <x:c r="D336" s="146" t="str">
        <x:v>창호·철물</x:v>
      </x:c>
      <x:c r="E336" s="146" t="str">
        <x:v>ELEMENT NO 6 : DOORS</x:v>
      </x:c>
      <x:c r="F336" s="146" t="str">
        <x:v>Wooden Doors</x:v>
      </x:c>
      <x:c r="G336" s="146" t="str">
        <x:v>D</x:v>
      </x:c>
      <x:c r="H336" s="49" t="str">
        <x:v>45mm thick solid flush door: size 900 x 2100mm high overall</x:v>
      </x:c>
      <x:c r="I336" s="146" t="str">
        <x:v>no.</x:v>
      </x:c>
      <x:c r="J336" s="149" t="n">
        <x:v>4</x:v>
      </x:c>
      <x:c r="K336" s="146" t="str"/>
      <x:c r="L336" s="149" t="n">
        <x:v>1</x:v>
      </x:c>
      <x:c r="M336" s="149" t="n">
        <x:v>1</x:v>
      </x:c>
      <x:c r="N336" s="149" t="n">
        <x:v>4</x:v>
      </x:c>
      <x:c r="O336" s="149" t="n">
        <x:v>4</x:v>
      </x:c>
      <x:c r="P336" s="149" t="n">
        <x:f>IF('입력·근거'!$B$12="HIGH",O336,N336)</x:f>
        <x:v>4</x:v>
      </x:c>
      <x:c r="Q336" s="158" t="str"/>
      <x:c r="R336" s="161" t="str">
        <x:f>IF(Q336="","",P336*Q336)</x:f>
      </x:c>
      <x:c r="S336" s="146" t="str">
        <x:v>unpriced_source</x:v>
      </x:c>
    </x:row>
    <x:row r="337">
      <x:c r="A337" s="146" t="str">
        <x:v>ADMIN BLOCK</x:v>
      </x:c>
      <x:c r="B337" s="146" t="n">
        <x:v>136</x:v>
      </x:c>
      <x:c r="C337" s="146" t="str">
        <x:v>관리동</x:v>
      </x:c>
      <x:c r="D337" s="146" t="str">
        <x:v>창호·철물</x:v>
      </x:c>
      <x:c r="E337" s="146" t="str">
        <x:v>ELEMENT NO 6 : DOORS</x:v>
      </x:c>
      <x:c r="F337" s="146" t="str">
        <x:v>Wooden Doors</x:v>
      </x:c>
      <x:c r="G337" s="146" t="str">
        <x:v>E</x:v>
      </x:c>
      <x:c r="H337" s="49" t="str">
        <x:v>Hardwood frame 50 x 150mm rebated, plugged and screwed into parking pieces</x:v>
      </x:c>
      <x:c r="I337" s="146" t="str">
        <x:v>m</x:v>
      </x:c>
      <x:c r="J337" s="149" t="n">
        <x:v>17</x:v>
      </x:c>
      <x:c r="K337" s="146" t="str"/>
      <x:c r="L337" s="149" t="n">
        <x:v>1</x:v>
      </x:c>
      <x:c r="M337" s="149" t="n">
        <x:v>1</x:v>
      </x:c>
      <x:c r="N337" s="149" t="n">
        <x:v>17</x:v>
      </x:c>
      <x:c r="O337" s="149" t="n">
        <x:v>17</x:v>
      </x:c>
      <x:c r="P337" s="149" t="n">
        <x:f>IF('입력·근거'!$B$12="HIGH",O337,N337)</x:f>
        <x:v>17</x:v>
      </x:c>
      <x:c r="Q337" s="158" t="str"/>
      <x:c r="R337" s="161" t="str">
        <x:f>IF(Q337="","",P337*Q337)</x:f>
      </x:c>
      <x:c r="S337" s="146" t="str">
        <x:v>unpriced_source</x:v>
      </x:c>
    </x:row>
    <x:row r="338">
      <x:c r="A338" s="146" t="str">
        <x:v>ADMIN BLOCK</x:v>
      </x:c>
      <x:c r="B338" s="146" t="n">
        <x:v>137</x:v>
      </x:c>
      <x:c r="C338" s="146" t="str">
        <x:v>관리동</x:v>
      </x:c>
      <x:c r="D338" s="146" t="str">
        <x:v>창호·철물</x:v>
      </x:c>
      <x:c r="E338" s="146" t="str">
        <x:v>ELEMENT NO 6 : DOORS</x:v>
      </x:c>
      <x:c r="F338" s="146" t="str">
        <x:v>Wooden Doors</x:v>
      </x:c>
      <x:c r="G338" s="146" t="str">
        <x:v>F</x:v>
      </x:c>
      <x:c r="H338" s="49" t="str">
        <x:v>Hardwood transome 50 x 150mm rebated</x:v>
      </x:c>
      <x:c r="I338" s="146" t="str">
        <x:v>m</x:v>
      </x:c>
      <x:c r="J338" s="149" t="n">
        <x:v>4</x:v>
      </x:c>
      <x:c r="K338" s="146" t="str"/>
      <x:c r="L338" s="149" t="n">
        <x:v>1</x:v>
      </x:c>
      <x:c r="M338" s="149" t="n">
        <x:v>1</x:v>
      </x:c>
      <x:c r="N338" s="149" t="n">
        <x:v>4</x:v>
      </x:c>
      <x:c r="O338" s="149" t="n">
        <x:v>4</x:v>
      </x:c>
      <x:c r="P338" s="149" t="n">
        <x:f>IF('입력·근거'!$B$12="HIGH",O338,N338)</x:f>
        <x:v>4</x:v>
      </x:c>
      <x:c r="Q338" s="158" t="str"/>
      <x:c r="R338" s="161" t="str">
        <x:f>IF(Q338="","",P338*Q338)</x:f>
      </x:c>
      <x:c r="S338" s="146" t="str">
        <x:v>unpriced_source</x:v>
      </x:c>
    </x:row>
    <x:row r="339">
      <x:c r="A339" s="146" t="str">
        <x:v>ADMIN BLOCK</x:v>
      </x:c>
      <x:c r="B339" s="146" t="n">
        <x:v>139</x:v>
      </x:c>
      <x:c r="C339" s="146" t="str">
        <x:v>관리동</x:v>
      </x:c>
      <x:c r="D339" s="146" t="str">
        <x:v>창호·철물</x:v>
      </x:c>
      <x:c r="E339" s="146" t="str">
        <x:v>ELEMENT NO 6 : DOORS</x:v>
      </x:c>
      <x:c r="F339" s="146" t="str">
        <x:v>Supply and fix: English "Union" or other equal approved ironmongery: matching screws: locks to include a set of 3 keys. (Prices of locks to be inclusive of handles);</x:v>
      </x:c>
      <x:c r="G339" s="146" t="str">
        <x:v>G</x:v>
      </x:c>
      <x:c r="H339" s="49" t="str">
        <x:v>3-Lever mortice locks</x:v>
      </x:c>
      <x:c r="I339" s="146" t="str">
        <x:v>no.</x:v>
      </x:c>
      <x:c r="J339" s="149" t="n">
        <x:v>4</x:v>
      </x:c>
      <x:c r="K339" s="146" t="str"/>
      <x:c r="L339" s="149" t="n">
        <x:v>1</x:v>
      </x:c>
      <x:c r="M339" s="149" t="n">
        <x:v>1</x:v>
      </x:c>
      <x:c r="N339" s="149" t="n">
        <x:v>4</x:v>
      </x:c>
      <x:c r="O339" s="149" t="n">
        <x:v>4</x:v>
      </x:c>
      <x:c r="P339" s="149" t="n">
        <x:f>IF('입력·근거'!$B$12="HIGH",O339,N339)</x:f>
        <x:v>4</x:v>
      </x:c>
      <x:c r="Q339" s="158" t="str"/>
      <x:c r="R339" s="161" t="str">
        <x:f>IF(Q339="","",P339*Q339)</x:f>
      </x:c>
      <x:c r="S339" s="146" t="str">
        <x:v>unpriced_source</x:v>
      </x:c>
    </x:row>
    <x:row r="340">
      <x:c r="A340" s="146" t="str">
        <x:v>ADMIN BLOCK</x:v>
      </x:c>
      <x:c r="B340" s="146" t="n">
        <x:v>140</x:v>
      </x:c>
      <x:c r="C340" s="146" t="str">
        <x:v>관리동</x:v>
      </x:c>
      <x:c r="D340" s="146" t="str">
        <x:v>창호·철물</x:v>
      </x:c>
      <x:c r="E340" s="146" t="str">
        <x:v>ELEMENT NO 6 : DOORS</x:v>
      </x:c>
      <x:c r="F340" s="146" t="str">
        <x:v>Supply and fix: English "Union" or other equal approved ironmongery: matching screws: locks to include a set of 3 keys. (Prices of locks to be inclusive of handles);</x:v>
      </x:c>
      <x:c r="G340" s="146" t="str">
        <x:v>H</x:v>
      </x:c>
      <x:c r="H340" s="49" t="str">
        <x:v>3-Lever casement lock</x:v>
      </x:c>
      <x:c r="I340" s="146" t="str">
        <x:v>no.</x:v>
      </x:c>
      <x:c r="J340" s="149" t="n">
        <x:v>2</x:v>
      </x:c>
      <x:c r="K340" s="146" t="str"/>
      <x:c r="L340" s="149" t="n">
        <x:v>1</x:v>
      </x:c>
      <x:c r="M340" s="149" t="n">
        <x:v>1</x:v>
      </x:c>
      <x:c r="N340" s="149" t="n">
        <x:v>2</x:v>
      </x:c>
      <x:c r="O340" s="149" t="n">
        <x:v>2</x:v>
      </x:c>
      <x:c r="P340" s="149" t="n">
        <x:f>IF('입력·근거'!$B$12="HIGH",O340,N340)</x:f>
        <x:v>2</x:v>
      </x:c>
      <x:c r="Q340" s="158" t="str"/>
      <x:c r="R340" s="161" t="str">
        <x:f>IF(Q340="","",P340*Q340)</x:f>
      </x:c>
      <x:c r="S340" s="146" t="str">
        <x:v>unpriced_source</x:v>
      </x:c>
    </x:row>
    <x:row r="341">
      <x:c r="A341" s="146" t="str">
        <x:v>ADMIN BLOCK</x:v>
      </x:c>
      <x:c r="B341" s="146" t="n">
        <x:v>141</x:v>
      </x:c>
      <x:c r="C341" s="146" t="str">
        <x:v>관리동</x:v>
      </x:c>
      <x:c r="D341" s="146" t="str">
        <x:v>창호·철물</x:v>
      </x:c>
      <x:c r="E341" s="146" t="str">
        <x:v>ELEMENT NO 6 : DOORS</x:v>
      </x:c>
      <x:c r="F341" s="146" t="str">
        <x:v>Supply and fix: English "Union" or other equal approved ironmongery: matching screws: locks to include a set of 3 keys. (Prices of locks to be inclusive of handles);</x:v>
      </x:c>
      <x:c r="G341" s="146" t="str">
        <x:v>I</x:v>
      </x:c>
      <x:c r="H341" s="49" t="str">
        <x:v>300mm long 25mm pad steel bolt</x:v>
      </x:c>
      <x:c r="I341" s="146" t="str">
        <x:v>no.</x:v>
      </x:c>
      <x:c r="J341" s="149" t="n">
        <x:v>2</x:v>
      </x:c>
      <x:c r="K341" s="146" t="str"/>
      <x:c r="L341" s="149" t="n">
        <x:v>1</x:v>
      </x:c>
      <x:c r="M341" s="149" t="n">
        <x:v>1</x:v>
      </x:c>
      <x:c r="N341" s="149" t="n">
        <x:v>2</x:v>
      </x:c>
      <x:c r="O341" s="149" t="n">
        <x:v>2</x:v>
      </x:c>
      <x:c r="P341" s="149" t="n">
        <x:f>IF('입력·근거'!$B$12="HIGH",O341,N341)</x:f>
        <x:v>2</x:v>
      </x:c>
      <x:c r="Q341" s="158" t="str"/>
      <x:c r="R341" s="161" t="str">
        <x:f>IF(Q341="","",P341*Q341)</x:f>
      </x:c>
      <x:c r="S341" s="146" t="str">
        <x:v>unpriced_source</x:v>
      </x:c>
    </x:row>
    <x:row r="342">
      <x:c r="A342" s="146" t="str">
        <x:v>ADMIN BLOCK</x:v>
      </x:c>
      <x:c r="B342" s="146" t="n">
        <x:v>142</x:v>
      </x:c>
      <x:c r="C342" s="146" t="str">
        <x:v>관리동</x:v>
      </x:c>
      <x:c r="D342" s="146" t="str">
        <x:v>창호·철물</x:v>
      </x:c>
      <x:c r="E342" s="146" t="str">
        <x:v>ELEMENT NO 6 : DOORS</x:v>
      </x:c>
      <x:c r="F342" s="146" t="str">
        <x:v>Supply and fix: English "Union" or other equal approved ironmongery: matching screws: locks to include a set of 3 keys. (Prices of locks to be inclusive of handles);</x:v>
      </x:c>
      <x:c r="G342" s="146" t="str">
        <x:v>J</x:v>
      </x:c>
      <x:c r="H342" s="49" t="str">
        <x:v>38mm diameter wall/floor mounted rubber door stopper.</x:v>
      </x:c>
      <x:c r="I342" s="146" t="str">
        <x:v>no.</x:v>
      </x:c>
      <x:c r="J342" s="149" t="n">
        <x:v>4</x:v>
      </x:c>
      <x:c r="K342" s="146" t="str"/>
      <x:c r="L342" s="149" t="n">
        <x:v>1</x:v>
      </x:c>
      <x:c r="M342" s="149" t="n">
        <x:v>1</x:v>
      </x:c>
      <x:c r="N342" s="149" t="n">
        <x:v>4</x:v>
      </x:c>
      <x:c r="O342" s="149" t="n">
        <x:v>4</x:v>
      </x:c>
      <x:c r="P342" s="149" t="n">
        <x:f>IF('입력·근거'!$B$12="HIGH",O342,N342)</x:f>
        <x:v>4</x:v>
      </x:c>
      <x:c r="Q342" s="158" t="str"/>
      <x:c r="R342" s="161" t="str">
        <x:f>IF(Q342="","",P342*Q342)</x:f>
      </x:c>
      <x:c r="S342" s="146" t="str">
        <x:v>unpriced_source</x:v>
      </x:c>
    </x:row>
    <x:row r="343">
      <x:c r="A343" s="146" t="str">
        <x:v>ADMIN BLOCK</x:v>
      </x:c>
      <x:c r="B343" s="146" t="n">
        <x:v>147</x:v>
      </x:c>
      <x:c r="C343" s="146" t="str">
        <x:v>관리동</x:v>
      </x:c>
      <x:c r="D343" s="146" t="str">
        <x:v>창호·철물</x:v>
      </x:c>
      <x:c r="E343" s="146" t="str">
        <x:v>ELEMENT NO 7 : FLOOR FINISHES</x:v>
      </x:c>
      <x:c r="F343" s="146" t="str">
        <x:v>Cement and sand (1:3)</x:v>
      </x:c>
      <x:c r="G343" s="146" t="str">
        <x:v>A</x:v>
      </x:c>
      <x:c r="H343" s="49" t="str">
        <x:v>25mm Screed : steel trowelled smooth</x:v>
      </x:c>
      <x:c r="I343" s="146" t="str">
        <x:v>m²</x:v>
      </x:c>
      <x:c r="J343" s="149" t="n">
        <x:v>205</x:v>
      </x:c>
      <x:c r="K343" s="146" t="str">
        <x:v>=D33</x:v>
      </x:c>
      <x:c r="L343" s="149" t="n">
        <x:v>1</x:v>
      </x:c>
      <x:c r="M343" s="149" t="n">
        <x:v>1</x:v>
      </x:c>
      <x:c r="N343" s="149" t="n">
        <x:v>205</x:v>
      </x:c>
      <x:c r="O343" s="149" t="n">
        <x:v>205</x:v>
      </x:c>
      <x:c r="P343" s="149" t="n">
        <x:f>IF('입력·근거'!$B$12="HIGH",O343,N343)</x:f>
        <x:v>205</x:v>
      </x:c>
      <x:c r="Q343" s="158" t="str"/>
      <x:c r="R343" s="161" t="str">
        <x:f>IF(Q343="","",P343*Q343)</x:f>
      </x:c>
      <x:c r="S343" s="146" t="str">
        <x:v>formula_quantity;unpriced_source</x:v>
      </x:c>
    </x:row>
    <x:row r="344">
      <x:c r="A344" s="146" t="str">
        <x:v>ADMIN BLOCK</x:v>
      </x:c>
      <x:c r="B344" s="146" t="n">
        <x:v>148</x:v>
      </x:c>
      <x:c r="C344" s="146" t="str">
        <x:v>관리동</x:v>
      </x:c>
      <x:c r="D344" s="146" t="str">
        <x:v>창호·철물</x:v>
      </x:c>
      <x:c r="E344" s="146" t="str">
        <x:v>ELEMENT NO 7 : FLOOR FINISHES</x:v>
      </x:c>
      <x:c r="F344" s="146" t="str">
        <x:v>Cement and sand (1:3)</x:v>
      </x:c>
      <x:c r="G344" s="146" t="str">
        <x:v>B</x:v>
      </x:c>
      <x:c r="H344" s="49" t="str">
        <x:v>100 x 25mm Skirt : square top and coved junction at bottom</x:v>
      </x:c>
      <x:c r="I344" s="146" t="str">
        <x:v>m</x:v>
      </x:c>
      <x:c r="J344" s="149" t="n">
        <x:v>83</x:v>
      </x:c>
      <x:c r="K344" s="146" t="str"/>
      <x:c r="L344" s="149" t="n">
        <x:v>1</x:v>
      </x:c>
      <x:c r="M344" s="149" t="n">
        <x:v>1</x:v>
      </x:c>
      <x:c r="N344" s="149" t="n">
        <x:v>83</x:v>
      </x:c>
      <x:c r="O344" s="149" t="n">
        <x:v>83</x:v>
      </x:c>
      <x:c r="P344" s="149" t="n">
        <x:f>IF('입력·근거'!$B$12="HIGH",O344,N344)</x:f>
        <x:v>83</x:v>
      </x:c>
      <x:c r="Q344" s="158" t="str"/>
      <x:c r="R344" s="161" t="str">
        <x:f>IF(Q344="","",P344*Q344)</x:f>
      </x:c>
      <x:c r="S344" s="146" t="str">
        <x:v>unpriced_source</x:v>
      </x:c>
    </x:row>
    <x:row r="345">
      <x:c r="A345" s="146" t="str">
        <x:v>ADMIN BLOCK</x:v>
      </x:c>
      <x:c r="B345" s="146" t="n">
        <x:v>150</x:v>
      </x:c>
      <x:c r="C345" s="146" t="str">
        <x:v>관리동</x:v>
      </x:c>
      <x:c r="D345" s="146" t="str">
        <x:v>창호·철물</x:v>
      </x:c>
      <x:c r="E345" s="146" t="str">
        <x:v>ELEMENT NO 7 : FLOOR FINISHES</x:v>
      </x:c>
      <x:c r="F345" s="146" t="str">
        <x:v>Prepare and apply three coats vinyl silk emulsion paint on</x:v>
      </x:c>
      <x:c r="G345" s="146" t="str">
        <x:v>C</x:v>
      </x:c>
      <x:c r="H345" s="49" t="str">
        <x:v>Plaster skirt : 75 - 150mm girth</x:v>
      </x:c>
      <x:c r="I345" s="146" t="str">
        <x:v>m</x:v>
      </x:c>
      <x:c r="J345" s="149" t="n">
        <x:v>83</x:v>
      </x:c>
      <x:c r="K345" s="146" t="str">
        <x:v>=D148</x:v>
      </x:c>
      <x:c r="L345" s="149" t="n">
        <x:v>1</x:v>
      </x:c>
      <x:c r="M345" s="149" t="n">
        <x:v>1</x:v>
      </x:c>
      <x:c r="N345" s="149" t="n">
        <x:v>83</x:v>
      </x:c>
      <x:c r="O345" s="149" t="n">
        <x:v>83</x:v>
      </x:c>
      <x:c r="P345" s="149" t="n">
        <x:f>IF('입력·근거'!$B$12="HIGH",O345,N345)</x:f>
        <x:v>83</x:v>
      </x:c>
      <x:c r="Q345" s="158" t="str"/>
      <x:c r="R345" s="161" t="str">
        <x:f>IF(Q345="","",P345*Q345)</x:f>
      </x:c>
      <x:c r="S345" s="146" t="str">
        <x:v>formula_quantity;unpriced_source</x:v>
      </x:c>
    </x:row>
    <x:row r="346">
      <x:c r="A346" s="146" t="str">
        <x:v>ADMIN BLOCK</x:v>
      </x:c>
      <x:c r="B346" s="146" t="n">
        <x:v>156</x:v>
      </x:c>
      <x:c r="C346" s="146" t="str">
        <x:v>관리동</x:v>
      </x:c>
      <x:c r="D346" s="146" t="str">
        <x:v>창호·철물</x:v>
      </x:c>
      <x:c r="E346" s="146" t="str">
        <x:v>ELEMENT NO 8 : WALL FINISHES</x:v>
      </x:c>
      <x:c r="F346" s="146" t="str">
        <x:v>Cement and sand (1:4)</x:v>
      </x:c>
      <x:c r="G346" s="146" t="str">
        <x:v>A</x:v>
      </x:c>
      <x:c r="H346" s="49" t="str">
        <x:v>15mm thick 3 layer render to walls including tyrolean cement and washed sand (1:2) sprayed onto rendered surface.</x:v>
      </x:c>
      <x:c r="I346" s="146" t="str">
        <x:v>m²</x:v>
      </x:c>
      <x:c r="J346" s="149" t="n">
        <x:v>242</x:v>
      </x:c>
      <x:c r="K346" s="146" t="str">
        <x:v>=D77</x:v>
      </x:c>
      <x:c r="L346" s="149" t="n">
        <x:v>1</x:v>
      </x:c>
      <x:c r="M346" s="149" t="n">
        <x:v>1</x:v>
      </x:c>
      <x:c r="N346" s="149" t="n">
        <x:v>242</x:v>
      </x:c>
      <x:c r="O346" s="149" t="n">
        <x:v>242</x:v>
      </x:c>
      <x:c r="P346" s="149" t="n">
        <x:f>IF('입력·근거'!$B$12="HIGH",O346,N346)</x:f>
        <x:v>242</x:v>
      </x:c>
      <x:c r="Q346" s="158" t="str"/>
      <x:c r="R346" s="161" t="str">
        <x:f>IF(Q346="","",P346*Q346)</x:f>
      </x:c>
      <x:c r="S346" s="146" t="str">
        <x:v>formula_quantity;unpriced_source</x:v>
      </x:c>
    </x:row>
    <x:row r="347">
      <x:c r="A347" s="146" t="str">
        <x:v>ADMIN BLOCK</x:v>
      </x:c>
      <x:c r="B347" s="146" t="n">
        <x:v>157</x:v>
      </x:c>
      <x:c r="C347" s="146" t="str">
        <x:v>관리동</x:v>
      </x:c>
      <x:c r="D347" s="146" t="str">
        <x:v>창호·철물</x:v>
      </x:c>
      <x:c r="E347" s="146" t="str">
        <x:v>ELEMENT NO 8 : WALL FINISHES</x:v>
      </x:c>
      <x:c r="F347" s="146" t="str">
        <x:v>Cement and sand (1:4)</x:v>
      </x:c>
      <x:c r="G347" s="146" t="str">
        <x:v>B</x:v>
      </x:c>
      <x:c r="H347" s="49" t="str">
        <x:v>300 x 25mm Rendered skirt</x:v>
      </x:c>
      <x:c r="I347" s="146" t="str">
        <x:v>m</x:v>
      </x:c>
      <x:c r="J347" s="149" t="n">
        <x:v>68</x:v>
      </x:c>
      <x:c r="K347" s="146" t="str">
        <x:v>=2*(10+24)</x:v>
      </x:c>
      <x:c r="L347" s="149" t="n">
        <x:v>1</x:v>
      </x:c>
      <x:c r="M347" s="149" t="n">
        <x:v>1</x:v>
      </x:c>
      <x:c r="N347" s="149" t="n">
        <x:v>68</x:v>
      </x:c>
      <x:c r="O347" s="149" t="n">
        <x:v>68</x:v>
      </x:c>
      <x:c r="P347" s="149" t="n">
        <x:f>IF('입력·근거'!$B$12="HIGH",O347,N347)</x:f>
        <x:v>68</x:v>
      </x:c>
      <x:c r="Q347" s="158" t="str"/>
      <x:c r="R347" s="161" t="str">
        <x:f>IF(Q347="","",P347*Q347)</x:f>
      </x:c>
      <x:c r="S347" s="146" t="str">
        <x:v>formula_quantity;unpriced_source</x:v>
      </x:c>
    </x:row>
    <x:row r="348">
      <x:c r="A348" s="146" t="str">
        <x:v>ADMIN BLOCK</x:v>
      </x:c>
      <x:c r="B348" s="146" t="n">
        <x:v>159</x:v>
      </x:c>
      <x:c r="C348" s="146" t="str">
        <x:v>관리동</x:v>
      </x:c>
      <x:c r="D348" s="146" t="str">
        <x:v>창호·철물</x:v>
      </x:c>
      <x:c r="E348" s="146" t="str">
        <x:v>ELEMENT NO 8 : WALL FINISHES</x:v>
      </x:c>
      <x:c r="F348" s="146" t="str">
        <x:v>Prepare surfaces: apply three coats weather guard emulsion paint</x:v>
      </x:c>
      <x:c r="G348" s="146" t="str">
        <x:v>C</x:v>
      </x:c>
      <x:c r="H348" s="49" t="str">
        <x:v>Rendered surfaces : walls</x:v>
      </x:c>
      <x:c r="I348" s="146" t="str">
        <x:v>m²</x:v>
      </x:c>
      <x:c r="J348" s="149" t="n">
        <x:v>242</x:v>
      </x:c>
      <x:c r="K348" s="146" t="str">
        <x:v>=D156</x:v>
      </x:c>
      <x:c r="L348" s="149" t="n">
        <x:v>1</x:v>
      </x:c>
      <x:c r="M348" s="149" t="n">
        <x:v>1</x:v>
      </x:c>
      <x:c r="N348" s="149" t="n">
        <x:v>242</x:v>
      </x:c>
      <x:c r="O348" s="149" t="n">
        <x:v>242</x:v>
      </x:c>
      <x:c r="P348" s="149" t="n">
        <x:f>IF('입력·근거'!$B$12="HIGH",O348,N348)</x:f>
        <x:v>242</x:v>
      </x:c>
      <x:c r="Q348" s="158" t="str"/>
      <x:c r="R348" s="161" t="str">
        <x:f>IF(Q348="","",P348*Q348)</x:f>
      </x:c>
      <x:c r="S348" s="146" t="str">
        <x:v>formula_quantity;unpriced_source</x:v>
      </x:c>
    </x:row>
    <x:row r="349">
      <x:c r="A349" s="146" t="str">
        <x:v>ADMIN BLOCK</x:v>
      </x:c>
      <x:c r="B349" s="146" t="n">
        <x:v>161</x:v>
      </x:c>
      <x:c r="C349" s="146" t="str">
        <x:v>관리동</x:v>
      </x:c>
      <x:c r="D349" s="146" t="str">
        <x:v>창호·철물</x:v>
      </x:c>
      <x:c r="E349" s="146" t="str">
        <x:v>ELEMENT NO 8 : WALL FINISHES</x:v>
      </x:c>
      <x:c r="F349" s="146" t="str">
        <x:v>Prepare and apply three coats bituminous paint on;-</x:v>
      </x:c>
      <x:c r="G349" s="146" t="str">
        <x:v>D</x:v>
      </x:c>
      <x:c r="H349" s="49" t="str">
        <x:v>300 x 10mm Rendered Skirt</x:v>
      </x:c>
      <x:c r="I349" s="146" t="str">
        <x:v>m</x:v>
      </x:c>
      <x:c r="J349" s="149" t="n">
        <x:v>68</x:v>
      </x:c>
      <x:c r="K349" s="146" t="str">
        <x:v>=D157</x:v>
      </x:c>
      <x:c r="L349" s="149" t="n">
        <x:v>1</x:v>
      </x:c>
      <x:c r="M349" s="149" t="n">
        <x:v>1</x:v>
      </x:c>
      <x:c r="N349" s="149" t="n">
        <x:v>68</x:v>
      </x:c>
      <x:c r="O349" s="149" t="n">
        <x:v>68</x:v>
      </x:c>
      <x:c r="P349" s="149" t="n">
        <x:f>IF('입력·근거'!$B$12="HIGH",O349,N349)</x:f>
        <x:v>68</x:v>
      </x:c>
      <x:c r="Q349" s="158" t="str"/>
      <x:c r="R349" s="161" t="str">
        <x:f>IF(Q349="","",P349*Q349)</x:f>
      </x:c>
      <x:c r="S349" s="146" t="str">
        <x:v>formula_quantity;unpriced_source</x:v>
      </x:c>
    </x:row>
    <x:row r="350">
      <x:c r="A350" s="146" t="str">
        <x:v>ADMIN BLOCK</x:v>
      </x:c>
      <x:c r="B350" s="146" t="n">
        <x:v>167</x:v>
      </x:c>
      <x:c r="C350" s="146" t="str">
        <x:v>관리동</x:v>
      </x:c>
      <x:c r="D350" s="146" t="str">
        <x:v>지붕</x:v>
      </x:c>
      <x:c r="E350" s="146" t="str">
        <x:v>ELEMENT NO 9 : ROOF FINISHES</x:v>
      </x:c>
      <x:c r="F350" s="146" t="str">
        <x:v>Ceiling Construction</x:v>
      </x:c>
      <x:c r="G350" s="146" t="str">
        <x:v>A</x:v>
      </x:c>
      <x:c r="H350" s="49" t="str">
        <x:v>50 X 100 ceiling battens at perimeter plugged.</x:v>
      </x:c>
      <x:c r="I350" s="146" t="str">
        <x:v>m</x:v>
      </x:c>
      <x:c r="J350" s="149" t="n">
        <x:v>326</x:v>
      </x:c>
      <x:c r="K350" s="146" t="str"/>
      <x:c r="L350" s="149" t="n">
        <x:v>1</x:v>
      </x:c>
      <x:c r="M350" s="149" t="n">
        <x:v>1</x:v>
      </x:c>
      <x:c r="N350" s="149" t="n">
        <x:v>326</x:v>
      </x:c>
      <x:c r="O350" s="149" t="n">
        <x:v>326</x:v>
      </x:c>
      <x:c r="P350" s="149" t="n">
        <x:f>IF('입력·근거'!$B$12="HIGH",O350,N350)</x:f>
        <x:v>326</x:v>
      </x:c>
      <x:c r="Q350" s="158" t="str"/>
      <x:c r="R350" s="161" t="str">
        <x:f>IF(Q350="","",P350*Q350)</x:f>
      </x:c>
      <x:c r="S350" s="146" t="str">
        <x:v>unpriced_source</x:v>
      </x:c>
    </x:row>
    <x:row r="351">
      <x:c r="A351" s="146" t="str">
        <x:v>ADMIN BLOCK</x:v>
      </x:c>
      <x:c r="B351" s="146" t="n">
        <x:v>168</x:v>
      </x:c>
      <x:c r="C351" s="146" t="str">
        <x:v>관리동</x:v>
      </x:c>
      <x:c r="D351" s="146" t="str">
        <x:v>지붕</x:v>
      </x:c>
      <x:c r="E351" s="146" t="str">
        <x:v>ELEMENT NO 9 : ROOF FINISHES</x:v>
      </x:c>
      <x:c r="F351" s="146" t="str">
        <x:v>Ceiling Construction</x:v>
      </x:c>
      <x:c r="G351" s="146" t="str">
        <x:v>B</x:v>
      </x:c>
      <x:c r="H351" s="49" t="str">
        <x:v>Ceiling brandering, 75 x 50 mm members one way set into timber truss and tie members and 50 x 50 mm memebers at 600 centers other way.</x:v>
      </x:c>
      <x:c r="I351" s="146" t="str">
        <x:v>m</x:v>
      </x:c>
      <x:c r="J351" s="149" t="n">
        <x:v>359</x:v>
      </x:c>
      <x:c r="K351" s="146" t="str"/>
      <x:c r="L351" s="149" t="n">
        <x:v>1</x:v>
      </x:c>
      <x:c r="M351" s="149" t="n">
        <x:v>1</x:v>
      </x:c>
      <x:c r="N351" s="149" t="n">
        <x:v>359</x:v>
      </x:c>
      <x:c r="O351" s="149" t="n">
        <x:v>359</x:v>
      </x:c>
      <x:c r="P351" s="149" t="n">
        <x:f>IF('입력·근거'!$B$12="HIGH",O351,N351)</x:f>
        <x:v>359</x:v>
      </x:c>
      <x:c r="Q351" s="158" t="str"/>
      <x:c r="R351" s="161" t="str">
        <x:f>IF(Q351="","",P351*Q351)</x:f>
      </x:c>
      <x:c r="S351" s="146" t="str">
        <x:v>unpriced_source</x:v>
      </x:c>
    </x:row>
    <x:row r="352">
      <x:c r="A352" s="146" t="str">
        <x:v>ADMIN BLOCK</x:v>
      </x:c>
      <x:c r="B352" s="146" t="n">
        <x:v>169</x:v>
      </x:c>
      <x:c r="C352" s="146" t="str">
        <x:v>관리동</x:v>
      </x:c>
      <x:c r="D352" s="146" t="str">
        <x:v>지붕</x:v>
      </x:c>
      <x:c r="E352" s="146" t="str">
        <x:v>ELEMENT NO 9 : ROOF FINISHES</x:v>
      </x:c>
      <x:c r="F352" s="146" t="str">
        <x:v>Ceiling Construction</x:v>
      </x:c>
      <x:c r="G352" s="146" t="str">
        <x:v>C</x:v>
      </x:c>
      <x:c r="H352" s="49" t="str">
        <x:v>Expanded metal lath ceiling comprising of cement-sand pricking mortar mix (1:3) 2 coats finished with steel float.</x:v>
      </x:c>
      <x:c r="I352" s="146" t="str">
        <x:v>m²</x:v>
      </x:c>
      <x:c r="J352" s="149" t="n">
        <x:v>205</x:v>
      </x:c>
      <x:c r="K352" s="146" t="str">
        <x:v>=D147</x:v>
      </x:c>
      <x:c r="L352" s="149" t="n">
        <x:v>1</x:v>
      </x:c>
      <x:c r="M352" s="149" t="n">
        <x:v>1</x:v>
      </x:c>
      <x:c r="N352" s="149" t="n">
        <x:v>205</x:v>
      </x:c>
      <x:c r="O352" s="149" t="n">
        <x:v>205</x:v>
      </x:c>
      <x:c r="P352" s="149" t="n">
        <x:f>IF('입력·근거'!$B$12="HIGH",O352,N352)</x:f>
        <x:v>205</x:v>
      </x:c>
      <x:c r="Q352" s="158" t="str"/>
      <x:c r="R352" s="161" t="str">
        <x:f>IF(Q352="","",P352*Q352)</x:f>
      </x:c>
      <x:c r="S352" s="146" t="str">
        <x:v>formula_quantity;unpriced_source</x:v>
      </x:c>
    </x:row>
    <x:row r="353">
      <x:c r="A353" s="146" t="str">
        <x:v>ADMIN BLOCK</x:v>
      </x:c>
      <x:c r="B353" s="146" t="n">
        <x:v>171</x:v>
      </x:c>
      <x:c r="C353" s="146" t="str">
        <x:v>관리동</x:v>
      </x:c>
      <x:c r="D353" s="146" t="str">
        <x:v>지붕</x:v>
      </x:c>
      <x:c r="E353" s="146" t="str">
        <x:v>ELEMENT NO 9 : ROOF FINISHES</x:v>
      </x:c>
      <x:c r="F353" s="146" t="str">
        <x:v>Cement/lime putty/sand (1:2:9):single layer;-</x:v>
      </x:c>
      <x:c r="G353" s="146" t="str">
        <x:v>D</x:v>
      </x:c>
      <x:c r="H353" s="49" t="str">
        <x:v>15mm Plaster to : Walls and Concrete surfaces : steel trowelled smooth</x:v>
      </x:c>
      <x:c r="I353" s="146" t="str">
        <x:v>m²</x:v>
      </x:c>
      <x:c r="J353" s="149" t="n">
        <x:v>268</x:v>
      </x:c>
      <x:c r="K353" s="146" t="str"/>
      <x:c r="L353" s="149" t="n">
        <x:v>1</x:v>
      </x:c>
      <x:c r="M353" s="149" t="n">
        <x:v>1</x:v>
      </x:c>
      <x:c r="N353" s="149" t="n">
        <x:v>268</x:v>
      </x:c>
      <x:c r="O353" s="149" t="n">
        <x:v>268</x:v>
      </x:c>
      <x:c r="P353" s="149" t="n">
        <x:f>IF('입력·근거'!$B$12="HIGH",O353,N353)</x:f>
        <x:v>268</x:v>
      </x:c>
      <x:c r="Q353" s="158" t="str"/>
      <x:c r="R353" s="161" t="str">
        <x:f>IF(Q353="","",P353*Q353)</x:f>
      </x:c>
      <x:c r="S353" s="146" t="str">
        <x:v>unpriced_source</x:v>
      </x:c>
    </x:row>
    <x:row r="354">
      <x:c r="A354" s="146" t="str">
        <x:v>ADMIN BLOCK</x:v>
      </x:c>
      <x:c r="B354" s="146" t="n">
        <x:v>172</x:v>
      </x:c>
      <x:c r="C354" s="146" t="str">
        <x:v>관리동</x:v>
      </x:c>
      <x:c r="D354" s="146" t="str">
        <x:v>지붕</x:v>
      </x:c>
      <x:c r="E354" s="146" t="str">
        <x:v>ELEMENT NO 9 : ROOF FINISHES</x:v>
      </x:c>
      <x:c r="F354" s="146" t="str">
        <x:v>Cement/lime putty/sand (1:2:9):single layer;-</x:v>
      </x:c>
      <x:c r="G354" s="146" t="str">
        <x:v>E</x:v>
      </x:c>
      <x:c r="H354" s="49" t="str">
        <x:v>Ditto : Conice; Cement sand mortar (mix 1:4)</x:v>
      </x:c>
      <x:c r="I354" s="146" t="str">
        <x:v>m</x:v>
      </x:c>
      <x:c r="J354" s="149" t="n">
        <x:v>83</x:v>
      </x:c>
      <x:c r="K354" s="146" t="str">
        <x:v>=D150</x:v>
      </x:c>
      <x:c r="L354" s="149" t="n">
        <x:v>1</x:v>
      </x:c>
      <x:c r="M354" s="149" t="n">
        <x:v>1</x:v>
      </x:c>
      <x:c r="N354" s="149" t="n">
        <x:v>83</x:v>
      </x:c>
      <x:c r="O354" s="149" t="n">
        <x:v>83</x:v>
      </x:c>
      <x:c r="P354" s="149" t="n">
        <x:f>IF('입력·근거'!$B$12="HIGH",O354,N354)</x:f>
        <x:v>83</x:v>
      </x:c>
      <x:c r="Q354" s="158" t="str"/>
      <x:c r="R354" s="161" t="str">
        <x:f>IF(Q354="","",P354*Q354)</x:f>
      </x:c>
      <x:c r="S354" s="146" t="str">
        <x:v>formula_quantity;unpriced_source</x:v>
      </x:c>
    </x:row>
    <x:row r="355">
      <x:c r="A355" s="146" t="str">
        <x:v>ADMIN BLOCK</x:v>
      </x:c>
      <x:c r="B355" s="146" t="n">
        <x:v>175</x:v>
      </x:c>
      <x:c r="C355" s="146" t="str">
        <x:v>관리동</x:v>
      </x:c>
      <x:c r="D355" s="146" t="str">
        <x:v>지붕</x:v>
      </x:c>
      <x:c r="E355" s="146" t="str">
        <x:v>ELEMENT NO 9 : ROOF FINISHES</x:v>
      </x:c>
      <x:c r="F355" s="146" t="str">
        <x:v>Prepare surfaces: apply three coats vinyl silk soft white emulsion paint: on steel trowelled plaster: to</x:v>
      </x:c>
      <x:c r="G355" s="146" t="str">
        <x:v>F</x:v>
      </x:c>
      <x:c r="H355" s="49" t="str">
        <x:v>Ceiling soffits</x:v>
      </x:c>
      <x:c r="I355" s="146" t="str">
        <x:v>m²</x:v>
      </x:c>
      <x:c r="J355" s="149" t="n">
        <x:v>205</x:v>
      </x:c>
      <x:c r="K355" s="146" t="str">
        <x:v>=D169</x:v>
      </x:c>
      <x:c r="L355" s="149" t="n">
        <x:v>1</x:v>
      </x:c>
      <x:c r="M355" s="149" t="n">
        <x:v>1</x:v>
      </x:c>
      <x:c r="N355" s="149" t="n">
        <x:v>205</x:v>
      </x:c>
      <x:c r="O355" s="149" t="n">
        <x:v>205</x:v>
      </x:c>
      <x:c r="P355" s="149" t="n">
        <x:f>IF('입력·근거'!$B$12="HIGH",O355,N355)</x:f>
        <x:v>205</x:v>
      </x:c>
      <x:c r="Q355" s="158" t="str"/>
      <x:c r="R355" s="161" t="str">
        <x:f>IF(Q355="","",P355*Q355)</x:f>
      </x:c>
      <x:c r="S355" s="146" t="str">
        <x:v>formula_quantity;unpriced_source</x:v>
      </x:c>
    </x:row>
    <x:row r="356">
      <x:c r="A356" s="146" t="str">
        <x:v>ADMIN BLOCK</x:v>
      </x:c>
      <x:c r="B356" s="146" t="n">
        <x:v>181</x:v>
      </x:c>
      <x:c r="C356" s="146" t="str">
        <x:v>관리동</x:v>
      </x:c>
      <x:c r="D356" s="146" t="str">
        <x:v>전기·전력인입</x:v>
      </x:c>
      <x:c r="E356" s="146" t="str">
        <x:v>ELEMENT NO.10</x:v>
      </x:c>
      <x:c r="F356" s="146" t="str">
        <x:v>Community Hall &amp; Market Administration Block</x:v>
      </x:c>
      <x:c r="G356" s="146" t="str">
        <x:v>A</x:v>
      </x:c>
      <x:c r="H356" s="49" t="str">
        <x:v>Metalcased and Lockable 100A, 12-Way Low Voltage SPN MCB-type Consumer Unit, c/w 63A DP Mains isolator, SP MCBs, Busbars, and all other accessories</x:v>
      </x:c>
      <x:c r="I356" s="146" t="str">
        <x:v>no.</x:v>
      </x:c>
      <x:c r="J356" s="149" t="n">
        <x:v>1</x:v>
      </x:c>
      <x:c r="K356" s="146" t="str"/>
      <x:c r="L356" s="149" t="n">
        <x:v>1</x:v>
      </x:c>
      <x:c r="M356" s="149" t="n">
        <x:v>1</x:v>
      </x:c>
      <x:c r="N356" s="149" t="n">
        <x:v>1</x:v>
      </x:c>
      <x:c r="O356" s="149" t="n">
        <x:v>1</x:v>
      </x:c>
      <x:c r="P356" s="149" t="n">
        <x:f>IF('입력·근거'!$B$12="HIGH",O356,N356)</x:f>
        <x:v>1</x:v>
      </x:c>
      <x:c r="Q356" s="158" t="str"/>
      <x:c r="R356" s="161" t="str">
        <x:f>IF(Q356="","",P356*Q356)</x:f>
      </x:c>
      <x:c r="S356" s="146" t="str">
        <x:v>unpriced_source</x:v>
      </x:c>
    </x:row>
    <x:row r="357">
      <x:c r="A357" s="146" t="str">
        <x:v>ADMIN BLOCK</x:v>
      </x:c>
      <x:c r="B357" s="146" t="n">
        <x:v>182</x:v>
      </x:c>
      <x:c r="C357" s="146" t="str">
        <x:v>관리동</x:v>
      </x:c>
      <x:c r="D357" s="146" t="str">
        <x:v>창호·철물</x:v>
      </x:c>
      <x:c r="E357" s="146" t="str">
        <x:v>ELEMENT NO.10</x:v>
      </x:c>
      <x:c r="F357" s="146" t="str">
        <x:v>Community Hall &amp; Market Administration Block</x:v>
      </x:c>
      <x:c r="G357" s="146" t="str">
        <x:v>B</x:v>
      </x:c>
      <x:c r="H357" s="49" t="str">
        <x:v>Meter box for UMEME Connection</x:v>
      </x:c>
      <x:c r="I357" s="146" t="str">
        <x:v>no.</x:v>
      </x:c>
      <x:c r="J357" s="149" t="n">
        <x:v>1</x:v>
      </x:c>
      <x:c r="K357" s="146" t="str"/>
      <x:c r="L357" s="149" t="n">
        <x:v>1</x:v>
      </x:c>
      <x:c r="M357" s="149" t="n">
        <x:v>1</x:v>
      </x:c>
      <x:c r="N357" s="149" t="n">
        <x:v>1</x:v>
      </x:c>
      <x:c r="O357" s="149" t="n">
        <x:v>1</x:v>
      </x:c>
      <x:c r="P357" s="149" t="n">
        <x:f>IF('입력·근거'!$B$12="HIGH",O357,N357)</x:f>
        <x:v>1</x:v>
      </x:c>
      <x:c r="Q357" s="158" t="str"/>
      <x:c r="R357" s="161" t="str">
        <x:f>IF(Q357="","",P357*Q357)</x:f>
      </x:c>
      <x:c r="S357" s="146" t="str">
        <x:v>unpriced_source</x:v>
      </x:c>
    </x:row>
    <x:row r="358">
      <x:c r="A358" s="146" t="str">
        <x:v>ADMIN BLOCK</x:v>
      </x:c>
      <x:c r="B358" s="146" t="n">
        <x:v>183</x:v>
      </x:c>
      <x:c r="C358" s="146" t="str">
        <x:v>관리동</x:v>
      </x:c>
      <x:c r="D358" s="146" t="str">
        <x:v>창호·철물</x:v>
      </x:c>
      <x:c r="E358" s="146" t="str">
        <x:v>ELEMENT NO.10</x:v>
      </x:c>
      <x:c r="F358" s="146" t="str">
        <x:v>Community Hall &amp; Market Administration Block</x:v>
      </x:c>
      <x:c r="G358" s="146" t="str">
        <x:v>C</x:v>
      </x:c>
      <x:c r="H358" s="49" t="str">
        <x:v>Allow for UMEME power connection to the Utility meter box Complete with the meter and all accessories.(PS)</x:v>
      </x:c>
      <x:c r="I358" s="146" t="str">
        <x:v>item</x:v>
      </x:c>
      <x:c r="J358" s="149" t="n">
        <x:v>1</x:v>
      </x:c>
      <x:c r="K358" s="146" t="str"/>
      <x:c r="L358" s="149" t="n">
        <x:v>1</x:v>
      </x:c>
      <x:c r="M358" s="149" t="n">
        <x:v>1</x:v>
      </x:c>
      <x:c r="N358" s="149" t="n">
        <x:v>1</x:v>
      </x:c>
      <x:c r="O358" s="149" t="n">
        <x:v>1</x:v>
      </x:c>
      <x:c r="P358" s="149" t="n">
        <x:f>IF('입력·근거'!$B$12="HIGH",O358,N358)</x:f>
        <x:v>1</x:v>
      </x:c>
      <x:c r="Q358" s="158" t="str"/>
      <x:c r="R358" s="161" t="str">
        <x:f>IF(Q358="","",P358*Q358)</x:f>
      </x:c>
      <x:c r="S358" s="146" t="str">
        <x:v>unpriced_source</x:v>
      </x:c>
    </x:row>
    <x:row r="359">
      <x:c r="A359" s="146" t="str">
        <x:v>ADMIN BLOCK</x:v>
      </x:c>
      <x:c r="B359" s="146" t="n">
        <x:v>185</x:v>
      </x:c>
      <x:c r="C359" s="146" t="str">
        <x:v>관리동</x:v>
      </x:c>
      <x:c r="D359" s="146" t="str">
        <x:v>전기·전력인입</x:v>
      </x:c>
      <x:c r="E359" s="146" t="str">
        <x:v>ELEMENT NO.10</x:v>
      </x:c>
      <x:c r="F359" s="146" t="str">
        <x:v>Lighting Fittings</x:v>
      </x:c>
      <x:c r="G359" s="146" t="str">
        <x:v>D</x:v>
      </x:c>
      <x:c r="H359" s="49" t="str">
        <x:v>High performance LED panel LED Light Square 6W</x:v>
      </x:c>
      <x:c r="I359" s="146" t="str">
        <x:v>no.</x:v>
      </x:c>
      <x:c r="J359" s="149" t="n">
        <x:v>2</x:v>
      </x:c>
      <x:c r="K359" s="146" t="str"/>
      <x:c r="L359" s="149" t="n">
        <x:v>1</x:v>
      </x:c>
      <x:c r="M359" s="149" t="n">
        <x:v>1</x:v>
      </x:c>
      <x:c r="N359" s="149" t="n">
        <x:v>2</x:v>
      </x:c>
      <x:c r="O359" s="149" t="n">
        <x:v>2</x:v>
      </x:c>
      <x:c r="P359" s="149" t="n">
        <x:f>IF('입력·근거'!$B$12="HIGH",O359,N359)</x:f>
        <x:v>2</x:v>
      </x:c>
      <x:c r="Q359" s="158" t="str"/>
      <x:c r="R359" s="161" t="str">
        <x:f>IF(Q359="","",P359*Q359)</x:f>
      </x:c>
      <x:c r="S359" s="146" t="str">
        <x:v>unpriced_source</x:v>
      </x:c>
    </x:row>
    <x:row r="360">
      <x:c r="A360" s="146" t="str">
        <x:v>ADMIN BLOCK</x:v>
      </x:c>
      <x:c r="B360" s="146" t="n">
        <x:v>186</x:v>
      </x:c>
      <x:c r="C360" s="146" t="str">
        <x:v>관리동</x:v>
      </x:c>
      <x:c r="D360" s="146" t="str">
        <x:v>전기·전력인입</x:v>
      </x:c>
      <x:c r="E360" s="146" t="str">
        <x:v>ELEMENT NO.10</x:v>
      </x:c>
      <x:c r="F360" s="146" t="str">
        <x:v>Lighting Fittings</x:v>
      </x:c>
      <x:c r="G360" s="146" t="str">
        <x:v>E</x:v>
      </x:c>
      <x:c r="H360" s="49" t="str">
        <x:v>Fresh and contemporary circular,LED panel light surface mounted round 6W</x:v>
      </x:c>
      <x:c r="I360" s="146" t="str">
        <x:v>no.</x:v>
      </x:c>
      <x:c r="J360" s="149" t="n">
        <x:v>11</x:v>
      </x:c>
      <x:c r="K360" s="146" t="str"/>
      <x:c r="L360" s="149" t="n">
        <x:v>1</x:v>
      </x:c>
      <x:c r="M360" s="149" t="n">
        <x:v>1</x:v>
      </x:c>
      <x:c r="N360" s="149" t="n">
        <x:v>11</x:v>
      </x:c>
      <x:c r="O360" s="149" t="n">
        <x:v>11</x:v>
      </x:c>
      <x:c r="P360" s="149" t="n">
        <x:f>IF('입력·근거'!$B$12="HIGH",O360,N360)</x:f>
        <x:v>11</x:v>
      </x:c>
      <x:c r="Q360" s="158" t="str"/>
      <x:c r="R360" s="161" t="str">
        <x:f>IF(Q360="","",P360*Q360)</x:f>
      </x:c>
      <x:c r="S360" s="146" t="str">
        <x:v>unpriced_source</x:v>
      </x:c>
    </x:row>
    <x:row r="361">
      <x:c r="A361" s="146" t="str">
        <x:v>ADMIN BLOCK</x:v>
      </x:c>
      <x:c r="B361" s="146" t="n">
        <x:v>187</x:v>
      </x:c>
      <x:c r="C361" s="146" t="str">
        <x:v>관리동</x:v>
      </x:c>
      <x:c r="D361" s="146" t="str">
        <x:v>전기·전력인입</x:v>
      </x:c>
      <x:c r="E361" s="146" t="str">
        <x:v>ELEMENT NO.10</x:v>
      </x:c>
      <x:c r="F361" s="146" t="str">
        <x:v>Lighting Fittings</x:v>
      </x:c>
      <x:c r="G361" s="146" t="str">
        <x:v>F</x:v>
      </x:c>
      <x:c r="H361" s="49" t="str">
        <x:v>Circular Spot Lights</x:v>
      </x:c>
      <x:c r="I361" s="146" t="str">
        <x:v>no.</x:v>
      </x:c>
      <x:c r="J361" s="149" t="n">
        <x:v>6</x:v>
      </x:c>
      <x:c r="K361" s="146" t="str"/>
      <x:c r="L361" s="149" t="n">
        <x:v>1</x:v>
      </x:c>
      <x:c r="M361" s="149" t="n">
        <x:v>1</x:v>
      </x:c>
      <x:c r="N361" s="149" t="n">
        <x:v>6</x:v>
      </x:c>
      <x:c r="O361" s="149" t="n">
        <x:v>6</x:v>
      </x:c>
      <x:c r="P361" s="149" t="n">
        <x:f>IF('입력·근거'!$B$12="HIGH",O361,N361)</x:f>
        <x:v>6</x:v>
      </x:c>
      <x:c r="Q361" s="158" t="str"/>
      <x:c r="R361" s="161" t="str">
        <x:f>IF(Q361="","",P361*Q361)</x:f>
      </x:c>
      <x:c r="S361" s="146" t="str">
        <x:v>unpriced_source</x:v>
      </x:c>
    </x:row>
    <x:row r="362">
      <x:c r="A362" s="146" t="str">
        <x:v>ADMIN BLOCK</x:v>
      </x:c>
      <x:c r="B362" s="146" t="n">
        <x:v>188</x:v>
      </x:c>
      <x:c r="C362" s="146" t="str">
        <x:v>관리동</x:v>
      </x:c>
      <x:c r="D362" s="146" t="str">
        <x:v>전기·전력인입</x:v>
      </x:c>
      <x:c r="E362" s="146" t="str">
        <x:v>ELEMENT NO.10</x:v>
      </x:c>
      <x:c r="F362" s="146" t="str">
        <x:v>Lighting Fittings</x:v>
      </x:c>
      <x:c r="G362" s="146" t="str">
        <x:v>G</x:v>
      </x:c>
      <x:c r="H362" s="49" t="str">
        <x:v>Security bulkhead with cast aluminium body with glass lens and aluminium louver with 1 x 8W LED lamp</x:v>
      </x:c>
      <x:c r="I362" s="146" t="str">
        <x:v>no.</x:v>
      </x:c>
      <x:c r="J362" s="149" t="n">
        <x:v>7</x:v>
      </x:c>
      <x:c r="K362" s="146" t="str"/>
      <x:c r="L362" s="149" t="n">
        <x:v>1</x:v>
      </x:c>
      <x:c r="M362" s="149" t="n">
        <x:v>1</x:v>
      </x:c>
      <x:c r="N362" s="149" t="n">
        <x:v>7</x:v>
      </x:c>
      <x:c r="O362" s="149" t="n">
        <x:v>7</x:v>
      </x:c>
      <x:c r="P362" s="149" t="n">
        <x:f>IF('입력·근거'!$B$12="HIGH",O362,N362)</x:f>
        <x:v>7</x:v>
      </x:c>
      <x:c r="Q362" s="158" t="str"/>
      <x:c r="R362" s="161" t="str">
        <x:f>IF(Q362="","",P362*Q362)</x:f>
      </x:c>
      <x:c r="S362" s="146" t="str">
        <x:v>unpriced_source</x:v>
      </x:c>
    </x:row>
    <x:row r="363">
      <x:c r="A363" s="146" t="str">
        <x:v>ADMIN BLOCK</x:v>
      </x:c>
      <x:c r="B363" s="146" t="n">
        <x:v>189</x:v>
      </x:c>
      <x:c r="C363" s="146" t="str">
        <x:v>관리동</x:v>
      </x:c>
      <x:c r="D363" s="146" t="str">
        <x:v>전기·전력인입</x:v>
      </x:c>
      <x:c r="E363" s="146" t="str">
        <x:v>ELEMENT NO.10</x:v>
      </x:c>
      <x:c r="F363" s="146" t="str">
        <x:v>Lighting Fittings</x:v>
      </x:c>
      <x:c r="G363" s="146" t="str">
        <x:v>H</x:v>
      </x:c>
      <x:c r="H363" s="49" t="str">
        <x:v>1 x 18W 1200mm LED single surface mounted batten and all accessories</x:v>
      </x:c>
      <x:c r="I363" s="146" t="str">
        <x:v>no.</x:v>
      </x:c>
      <x:c r="J363" s="149" t="n">
        <x:v>14</x:v>
      </x:c>
      <x:c r="K363" s="146" t="str"/>
      <x:c r="L363" s="149" t="n">
        <x:v>1</x:v>
      </x:c>
      <x:c r="M363" s="149" t="n">
        <x:v>1</x:v>
      </x:c>
      <x:c r="N363" s="149" t="n">
        <x:v>14</x:v>
      </x:c>
      <x:c r="O363" s="149" t="n">
        <x:v>14</x:v>
      </x:c>
      <x:c r="P363" s="149" t="n">
        <x:f>IF('입력·근거'!$B$12="HIGH",O363,N363)</x:f>
        <x:v>14</x:v>
      </x:c>
      <x:c r="Q363" s="158" t="str"/>
      <x:c r="R363" s="161" t="str">
        <x:f>IF(Q363="","",P363*Q363)</x:f>
      </x:c>
      <x:c r="S363" s="146" t="str">
        <x:v>unpriced_source</x:v>
      </x:c>
    </x:row>
    <x:row r="364">
      <x:c r="A364" s="146" t="str">
        <x:v>ADMIN BLOCK</x:v>
      </x:c>
      <x:c r="B364" s="146" t="n">
        <x:v>191</x:v>
      </x:c>
      <x:c r="C364" s="146" t="str">
        <x:v>관리동</x:v>
      </x:c>
      <x:c r="D364" s="146" t="str">
        <x:v>전기·전력인입</x:v>
      </x:c>
      <x:c r="E364" s="146" t="str">
        <x:v>ELEMENT NO.10</x:v>
      </x:c>
      <x:c r="F364" s="146" t="str">
        <x:v>Switches, Sockets &amp; Wiring Accessories</x:v>
      </x:c>
      <x:c r="G364" s="146" t="str">
        <x:v>I</x:v>
      </x:c>
      <x:c r="H364" s="49" t="str">
        <x:v>6A/240V 1-Gang 2-Way switches c/w flush mounting box, and accessories</x:v>
      </x:c>
      <x:c r="I364" s="146" t="str">
        <x:v>no.</x:v>
      </x:c>
      <x:c r="J364" s="149" t="n">
        <x:v>5</x:v>
      </x:c>
      <x:c r="K364" s="146" t="str"/>
      <x:c r="L364" s="149" t="n">
        <x:v>1</x:v>
      </x:c>
      <x:c r="M364" s="149" t="n">
        <x:v>1</x:v>
      </x:c>
      <x:c r="N364" s="149" t="n">
        <x:v>5</x:v>
      </x:c>
      <x:c r="O364" s="149" t="n">
        <x:v>5</x:v>
      </x:c>
      <x:c r="P364" s="149" t="n">
        <x:f>IF('입력·근거'!$B$12="HIGH",O364,N364)</x:f>
        <x:v>5</x:v>
      </x:c>
      <x:c r="Q364" s="158" t="str"/>
      <x:c r="R364" s="161" t="str">
        <x:f>IF(Q364="","",P364*Q364)</x:f>
      </x:c>
      <x:c r="S364" s="146" t="str">
        <x:v>unpriced_source</x:v>
      </x:c>
    </x:row>
    <x:row r="365">
      <x:c r="A365" s="146" t="str">
        <x:v>ADMIN BLOCK</x:v>
      </x:c>
      <x:c r="B365" s="146" t="n">
        <x:v>192</x:v>
      </x:c>
      <x:c r="C365" s="146" t="str">
        <x:v>관리동</x:v>
      </x:c>
      <x:c r="D365" s="146" t="str">
        <x:v>전기·전력인입</x:v>
      </x:c>
      <x:c r="E365" s="146" t="str">
        <x:v>ELEMENT NO.10</x:v>
      </x:c>
      <x:c r="F365" s="146" t="str">
        <x:v>Switches, Sockets &amp; Wiring Accessories</x:v>
      </x:c>
      <x:c r="G365" s="146" t="str">
        <x:v>J</x:v>
      </x:c>
      <x:c r="H365" s="49" t="str">
        <x:v>6A/240V 2-Gang 2-Way witches c/w flush mounting box, and accessories</x:v>
      </x:c>
      <x:c r="I365" s="146" t="str">
        <x:v>no.</x:v>
      </x:c>
      <x:c r="J365" s="149" t="n">
        <x:v>1</x:v>
      </x:c>
      <x:c r="K365" s="146" t="str"/>
      <x:c r="L365" s="149" t="n">
        <x:v>1</x:v>
      </x:c>
      <x:c r="M365" s="149" t="n">
        <x:v>1</x:v>
      </x:c>
      <x:c r="N365" s="149" t="n">
        <x:v>1</x:v>
      </x:c>
      <x:c r="O365" s="149" t="n">
        <x:v>1</x:v>
      </x:c>
      <x:c r="P365" s="149" t="n">
        <x:f>IF('입력·근거'!$B$12="HIGH",O365,N365)</x:f>
        <x:v>1</x:v>
      </x:c>
      <x:c r="Q365" s="158" t="str"/>
      <x:c r="R365" s="161" t="str">
        <x:f>IF(Q365="","",P365*Q365)</x:f>
      </x:c>
      <x:c r="S365" s="146" t="str">
        <x:v>unpriced_source</x:v>
      </x:c>
    </x:row>
    <x:row r="366">
      <x:c r="A366" s="146" t="str">
        <x:v>ADMIN BLOCK</x:v>
      </x:c>
      <x:c r="B366" s="146" t="n">
        <x:v>193</x:v>
      </x:c>
      <x:c r="C366" s="146" t="str">
        <x:v>관리동</x:v>
      </x:c>
      <x:c r="D366" s="146" t="str">
        <x:v>전기·전력인입</x:v>
      </x:c>
      <x:c r="E366" s="146" t="str">
        <x:v>ELEMENT NO.10</x:v>
      </x:c>
      <x:c r="F366" s="146" t="str">
        <x:v>Switches, Sockets &amp; Wiring Accessories</x:v>
      </x:c>
      <x:c r="G366" s="146" t="str">
        <x:v>K</x:v>
      </x:c>
      <x:c r="H366" s="49" t="str">
        <x:v>6A/240V 3-Gang 2 way witches c/w flush mounting box, and accessories</x:v>
      </x:c>
      <x:c r="I366" s="146" t="str">
        <x:v>no.</x:v>
      </x:c>
      <x:c r="J366" s="149" t="n">
        <x:v>1</x:v>
      </x:c>
      <x:c r="K366" s="146" t="str"/>
      <x:c r="L366" s="149" t="n">
        <x:v>1</x:v>
      </x:c>
      <x:c r="M366" s="149" t="n">
        <x:v>1</x:v>
      </x:c>
      <x:c r="N366" s="149" t="n">
        <x:v>1</x:v>
      </x:c>
      <x:c r="O366" s="149" t="n">
        <x:v>1</x:v>
      </x:c>
      <x:c r="P366" s="149" t="n">
        <x:f>IF('입력·근거'!$B$12="HIGH",O366,N366)</x:f>
        <x:v>1</x:v>
      </x:c>
      <x:c r="Q366" s="158" t="str"/>
      <x:c r="R366" s="161" t="str">
        <x:f>IF(Q366="","",P366*Q366)</x:f>
      </x:c>
      <x:c r="S366" s="146" t="str">
        <x:v>unpriced_source</x:v>
      </x:c>
    </x:row>
    <x:row r="367">
      <x:c r="A367" s="146" t="str">
        <x:v>ADMIN BLOCK</x:v>
      </x:c>
      <x:c r="B367" s="146" t="n">
        <x:v>194</x:v>
      </x:c>
      <x:c r="C367" s="146" t="str">
        <x:v>관리동</x:v>
      </x:c>
      <x:c r="D367" s="146" t="str">
        <x:v>전기·전력인입</x:v>
      </x:c>
      <x:c r="E367" s="146" t="str">
        <x:v>ELEMENT NO.10</x:v>
      </x:c>
      <x:c r="F367" s="146" t="str">
        <x:v>Switches, Sockets &amp; Wiring Accessories</x:v>
      </x:c>
      <x:c r="G367" s="146" t="str">
        <x:v>L</x:v>
      </x:c>
      <x:c r="H367" s="49" t="str">
        <x:v>13A SP 2-Gang plate switched socket outlets c/w neon indicator and flush mounting box</x:v>
      </x:c>
      <x:c r="I367" s="146" t="str">
        <x:v>no.</x:v>
      </x:c>
      <x:c r="J367" s="149" t="n">
        <x:v>20</x:v>
      </x:c>
      <x:c r="K367" s="146" t="str"/>
      <x:c r="L367" s="149" t="n">
        <x:v>1</x:v>
      </x:c>
      <x:c r="M367" s="149" t="n">
        <x:v>1</x:v>
      </x:c>
      <x:c r="N367" s="149" t="n">
        <x:v>20</x:v>
      </x:c>
      <x:c r="O367" s="149" t="n">
        <x:v>20</x:v>
      </x:c>
      <x:c r="P367" s="149" t="n">
        <x:f>IF('입력·근거'!$B$12="HIGH",O367,N367)</x:f>
        <x:v>20</x:v>
      </x:c>
      <x:c r="Q367" s="158" t="str"/>
      <x:c r="R367" s="161" t="str">
        <x:f>IF(Q367="","",P367*Q367)</x:f>
      </x:c>
      <x:c r="S367" s="146" t="str">
        <x:v>unpriced_source</x:v>
      </x:c>
    </x:row>
    <x:row r="368">
      <x:c r="A368" s="146" t="str">
        <x:v>ADMIN BLOCK</x:v>
      </x:c>
      <x:c r="B368" s="146" t="n">
        <x:v>197</x:v>
      </x:c>
      <x:c r="C368" s="146" t="str">
        <x:v>관리동</x:v>
      </x:c>
      <x:c r="D368" s="146" t="str">
        <x:v>전기·전력인입</x:v>
      </x:c>
      <x:c r="E368" s="146" t="str">
        <x:v>ELEMENT NO.10</x:v>
      </x:c>
      <x:c r="F368" s="146" t="str">
        <x:v>MAINS POWER SUPPLY AND CONNECTION</x:v>
      </x:c>
      <x:c r="G368" s="146" t="str">
        <x:v>M</x:v>
      </x:c>
      <x:c r="H368" s="49" t="str">
        <x:v>Earthing by 16mm2 stranded bare copper cable complete with all accessories</x:v>
      </x:c>
      <x:c r="I368" s="146" t="str">
        <x:v>m</x:v>
      </x:c>
      <x:c r="J368" s="149" t="n">
        <x:v>10</x:v>
      </x:c>
      <x:c r="K368" s="146" t="str"/>
      <x:c r="L368" s="149" t="n">
        <x:v>1</x:v>
      </x:c>
      <x:c r="M368" s="149" t="n">
        <x:v>1</x:v>
      </x:c>
      <x:c r="N368" s="149" t="n">
        <x:v>10</x:v>
      </x:c>
      <x:c r="O368" s="149" t="n">
        <x:v>10</x:v>
      </x:c>
      <x:c r="P368" s="149" t="n">
        <x:f>IF('입력·근거'!$B$12="HIGH",O368,N368)</x:f>
        <x:v>10</x:v>
      </x:c>
      <x:c r="Q368" s="158" t="str"/>
      <x:c r="R368" s="161" t="str">
        <x:f>IF(Q368="","",P368*Q368)</x:f>
      </x:c>
      <x:c r="S368" s="146" t="str">
        <x:v>unpriced_source</x:v>
      </x:c>
    </x:row>
    <x:row r="369">
      <x:c r="A369" s="146" t="str">
        <x:v>ADMIN BLOCK</x:v>
      </x:c>
      <x:c r="B369" s="146" t="n">
        <x:v>198</x:v>
      </x:c>
      <x:c r="C369" s="146" t="str">
        <x:v>관리동</x:v>
      </x:c>
      <x:c r="D369" s="146" t="str">
        <x:v>창호·철물</x:v>
      </x:c>
      <x:c r="E369" s="146" t="str">
        <x:v>ELEMENT NO.10</x:v>
      </x:c>
      <x:c r="F369" s="146" t="str">
        <x:v>MAINS POWER SUPPLY AND CONNECTION</x:v>
      </x:c>
      <x:c r="G369" s="146" t="str">
        <x:v>N</x:v>
      </x:c>
      <x:c r="H369" s="49" t="str">
        <x:v>Earth Electrodes made from hard drawn copper weld complete with cap earth clamp manjole and complete with all accessories</x:v>
      </x:c>
      <x:c r="I369" s="146" t="str">
        <x:v>item</x:v>
      </x:c>
      <x:c r="J369" s="149" t="n">
        <x:v>1</x:v>
      </x:c>
      <x:c r="K369" s="146" t="str"/>
      <x:c r="L369" s="149" t="n">
        <x:v>1</x:v>
      </x:c>
      <x:c r="M369" s="149" t="n">
        <x:v>1</x:v>
      </x:c>
      <x:c r="N369" s="149" t="n">
        <x:v>1</x:v>
      </x:c>
      <x:c r="O369" s="149" t="n">
        <x:v>1</x:v>
      </x:c>
      <x:c r="P369" s="149" t="n">
        <x:f>IF('입력·근거'!$B$12="HIGH",O369,N369)</x:f>
        <x:v>1</x:v>
      </x:c>
      <x:c r="Q369" s="158" t="str"/>
      <x:c r="R369" s="161" t="str">
        <x:f>IF(Q369="","",P369*Q369)</x:f>
      </x:c>
      <x:c r="S369" s="146" t="str">
        <x:v>unpriced_source</x:v>
      </x:c>
    </x:row>
    <x:row r="370">
      <x:c r="A370" s="146" t="str">
        <x:v>ADMIN BLOCK</x:v>
      </x:c>
      <x:c r="B370" s="146" t="n">
        <x:v>199</x:v>
      </x:c>
      <x:c r="C370" s="146" t="str">
        <x:v>관리동</x:v>
      </x:c>
      <x:c r="D370" s="146" t="str">
        <x:v>전기·전력인입</x:v>
      </x:c>
      <x:c r="E370" s="146" t="str">
        <x:v>ELEMENT NO.10</x:v>
      </x:c>
      <x:c r="F370" s="146" t="str">
        <x:v>MAINS POWER SUPPLY AND CONNECTION</x:v>
      </x:c>
      <x:c r="G370" s="146" t="str">
        <x:v>O</x:v>
      </x:c>
      <x:c r="H370" s="49" t="str">
        <x:v>3 x 16mm sq PVC single core cables wired from the utility meter to the consumer unit through 32mm PVC conduits</x:v>
      </x:c>
      <x:c r="I370" s="146" t="str">
        <x:v>m</x:v>
      </x:c>
      <x:c r="J370" s="149" t="n">
        <x:v>15</x:v>
      </x:c>
      <x:c r="K370" s="146" t="str"/>
      <x:c r="L370" s="149" t="n">
        <x:v>1</x:v>
      </x:c>
      <x:c r="M370" s="149" t="n">
        <x:v>1</x:v>
      </x:c>
      <x:c r="N370" s="149" t="n">
        <x:v>15</x:v>
      </x:c>
      <x:c r="O370" s="149" t="n">
        <x:v>15</x:v>
      </x:c>
      <x:c r="P370" s="149" t="n">
        <x:f>IF('입력·근거'!$B$12="HIGH",O370,N370)</x:f>
        <x:v>15</x:v>
      </x:c>
      <x:c r="Q370" s="158" t="str"/>
      <x:c r="R370" s="161" t="str">
        <x:f>IF(Q370="","",P370*Q370)</x:f>
      </x:c>
      <x:c r="S370" s="146" t="str">
        <x:v>unpriced_source</x:v>
      </x:c>
    </x:row>
    <x:row r="371">
      <x:c r="A371" s="146" t="str">
        <x:v>ADMIN BLOCK</x:v>
      </x:c>
      <x:c r="B371" s="146" t="n">
        <x:v>201</x:v>
      </x:c>
      <x:c r="C371" s="146" t="str">
        <x:v>관리동</x:v>
      </x:c>
      <x:c r="D371" s="146" t="str">
        <x:v>전기·전력인입</x:v>
      </x:c>
      <x:c r="E371" s="146" t="str">
        <x:v>ELEMENT NO.10</x:v>
      </x:c>
      <x:c r="F371" s="146" t="str">
        <x:v>Lighting points</x:v>
      </x:c>
      <x:c r="G371" s="146" t="str">
        <x:v>P</x:v>
      </x:c>
      <x:c r="H371" s="49" t="str">
        <x:v>All wiring of lighting points are to be connected complete and ready from 10A SP miniature circuit breakers on Consumer unit, using 1.5mm sq. PVC-Insulated single core copper cables drawn in PVC flush installed conduits, through switches, and as per drawings</x:v>
      </x:c>
      <x:c r="I371" s="146" t="str">
        <x:v>no.</x:v>
      </x:c>
      <x:c r="J371" s="149" t="n">
        <x:v>18</x:v>
      </x:c>
      <x:c r="K371" s="146" t="str"/>
      <x:c r="L371" s="149" t="n">
        <x:v>1</x:v>
      </x:c>
      <x:c r="M371" s="149" t="n">
        <x:v>1</x:v>
      </x:c>
      <x:c r="N371" s="149" t="n">
        <x:v>18</x:v>
      </x:c>
      <x:c r="O371" s="149" t="n">
        <x:v>18</x:v>
      </x:c>
      <x:c r="P371" s="149" t="n">
        <x:f>IF('입력·근거'!$B$12="HIGH",O371,N371)</x:f>
        <x:v>18</x:v>
      </x:c>
      <x:c r="Q371" s="158" t="str"/>
      <x:c r="R371" s="161" t="str">
        <x:f>IF(Q371="","",P371*Q371)</x:f>
      </x:c>
      <x:c r="S371" s="146" t="str">
        <x:v>unpriced_source</x:v>
      </x:c>
    </x:row>
    <x:row r="372">
      <x:c r="A372" s="146" t="str">
        <x:v>ADMIN BLOCK</x:v>
      </x:c>
      <x:c r="B372" s="146" t="n">
        <x:v>203</x:v>
      </x:c>
      <x:c r="C372" s="146" t="str">
        <x:v>관리동</x:v>
      </x:c>
      <x:c r="D372" s="146" t="str">
        <x:v>전기·전력인입</x:v>
      </x:c>
      <x:c r="E372" s="146" t="str">
        <x:v>ELEMENT NO.10</x:v>
      </x:c>
      <x:c r="F372" s="146" t="str">
        <x:v>Power points</x:v>
      </x:c>
      <x:c r="G372" s="146" t="str">
        <x:v>Q</x:v>
      </x:c>
      <x:c r="H372" s="49" t="str">
        <x:v>All wiring of all power points are to be connected complete and ready from 32A SP miniature circuit breakers of the respective Consumer Unit using 2.5mm sq. PVC-Insulated single core copper cables in ring circuit, drawn in PVC flush installed conduits, as per drawings</x:v>
      </x:c>
      <x:c r="I372" s="146" t="str">
        <x:v>no.</x:v>
      </x:c>
      <x:c r="J372" s="149" t="n">
        <x:v>15</x:v>
      </x:c>
      <x:c r="K372" s="146" t="str"/>
      <x:c r="L372" s="149" t="n">
        <x:v>1</x:v>
      </x:c>
      <x:c r="M372" s="149" t="n">
        <x:v>1</x:v>
      </x:c>
      <x:c r="N372" s="149" t="n">
        <x:v>15</x:v>
      </x:c>
      <x:c r="O372" s="149" t="n">
        <x:v>15</x:v>
      </x:c>
      <x:c r="P372" s="149" t="n">
        <x:f>IF('입력·근거'!$B$12="HIGH",O372,N372)</x:f>
        <x:v>15</x:v>
      </x:c>
      <x:c r="Q372" s="158" t="str"/>
      <x:c r="R372" s="161" t="str">
        <x:f>IF(Q372="","",P372*Q372)</x:f>
      </x:c>
      <x:c r="S372" s="146" t="str">
        <x:v>unpriced_source</x:v>
      </x:c>
    </x:row>
    <x:row r="373">
      <x:c r="A373" s="146" t="str">
        <x:v>ADMIN BLOCK</x:v>
      </x:c>
      <x:c r="B373" s="146" t="n">
        <x:v>204</x:v>
      </x:c>
      <x:c r="C373" s="146" t="str">
        <x:v>관리동</x:v>
      </x:c>
      <x:c r="D373" s="146" t="str">
        <x:v>전기·전력인입</x:v>
      </x:c>
      <x:c r="E373" s="146" t="str">
        <x:v>ELEMENT NO.10</x:v>
      </x:c>
      <x:c r="F373" s="146" t="str">
        <x:v>Power points</x:v>
      </x:c>
      <x:c r="G373" s="146" t="str">
        <x:v>R</x:v>
      </x:c>
      <x:c r="H373" s="49" t="str">
        <x:v>24-Hour photocell for Security Lights, as to Zodion</x:v>
      </x:c>
      <x:c r="I373" s="146" t="str">
        <x:v>no.</x:v>
      </x:c>
      <x:c r="J373" s="149" t="n">
        <x:v>1</x:v>
      </x:c>
      <x:c r="K373" s="146" t="str"/>
      <x:c r="L373" s="149" t="n">
        <x:v>1</x:v>
      </x:c>
      <x:c r="M373" s="149" t="n">
        <x:v>1</x:v>
      </x:c>
      <x:c r="N373" s="149" t="n">
        <x:v>1</x:v>
      </x:c>
      <x:c r="O373" s="149" t="n">
        <x:v>1</x:v>
      </x:c>
      <x:c r="P373" s="149" t="n">
        <x:f>IF('입력·근거'!$B$12="HIGH",O373,N373)</x:f>
        <x:v>1</x:v>
      </x:c>
      <x:c r="Q373" s="158" t="str"/>
      <x:c r="R373" s="161" t="str">
        <x:f>IF(Q373="","",P373*Q373)</x:f>
      </x:c>
      <x:c r="S373" s="146" t="str">
        <x:v>unpriced_source</x:v>
      </x:c>
    </x:row>
    <x:row r="374">
      <x:c r="A374" s="146" t="str">
        <x:v>ADMIN BLOCK</x:v>
      </x:c>
      <x:c r="B374" s="146" t="n">
        <x:v>206</x:v>
      </x:c>
      <x:c r="C374" s="146" t="str">
        <x:v>관리동</x:v>
      </x:c>
      <x:c r="D374" s="146" t="str">
        <x:v>창호·철물</x:v>
      </x:c>
      <x:c r="E374" s="146" t="str">
        <x:v>ELEMENT NO.10</x:v>
      </x:c>
      <x:c r="F374" s="146" t="str">
        <x:v>Low Voltage System Earthing</x:v>
      </x:c>
      <x:c r="G374" s="146" t="str">
        <x:v>S</x:v>
      </x:c>
      <x:c r="H374" s="49" t="str">
        <x:v>Earth the Low Voltage System so as to achieve a final earth resistance value of not more than 1.0 Ohm and as per IEE Regulations and Code of Practice</x:v>
      </x:c>
      <x:c r="I374" s="146" t="str">
        <x:v>item</x:v>
      </x:c>
      <x:c r="J374" s="149" t="n">
        <x:v>1</x:v>
      </x:c>
      <x:c r="K374" s="146" t="str"/>
      <x:c r="L374" s="149" t="n">
        <x:v>1</x:v>
      </x:c>
      <x:c r="M374" s="149" t="n">
        <x:v>1</x:v>
      </x:c>
      <x:c r="N374" s="149" t="n">
        <x:v>1</x:v>
      </x:c>
      <x:c r="O374" s="149" t="n">
        <x:v>1</x:v>
      </x:c>
      <x:c r="P374" s="149" t="n">
        <x:f>IF('입력·근거'!$B$12="HIGH",O374,N374)</x:f>
        <x:v>1</x:v>
      </x:c>
      <x:c r="Q374" s="158" t="str"/>
      <x:c r="R374" s="161" t="str">
        <x:f>IF(Q374="","",P374*Q374)</x:f>
      </x:c>
      <x:c r="S374" s="146" t="str">
        <x:v>unpriced_source</x:v>
      </x:c>
    </x:row>
    <x:row r="375">
      <x:c r="A375" s="146" t="str">
        <x:v>ADMIN BLOCK</x:v>
      </x:c>
      <x:c r="B375" s="146" t="n">
        <x:v>207</x:v>
      </x:c>
      <x:c r="C375" s="146" t="str">
        <x:v>관리동</x:v>
      </x:c>
      <x:c r="D375" s="146" t="str">
        <x:v>창호·철물</x:v>
      </x:c>
      <x:c r="E375" s="146" t="str">
        <x:v>ELEMENT NO.10</x:v>
      </x:c>
      <x:c r="F375" s="146" t="str">
        <x:v>Low Voltage System Earthing</x:v>
      </x:c>
      <x:c r="G375" s="146" t="str">
        <x:v>T</x:v>
      </x:c>
      <x:c r="H375" s="49" t="str">
        <x:v>Supply and Install a 8x8 Adaptable Box for Power extension</x:v>
      </x:c>
      <x:c r="I375" s="146" t="str">
        <x:v>no.</x:v>
      </x:c>
      <x:c r="J375" s="149" t="n">
        <x:v>1</x:v>
      </x:c>
      <x:c r="K375" s="146" t="str"/>
      <x:c r="L375" s="149" t="n">
        <x:v>1</x:v>
      </x:c>
      <x:c r="M375" s="149" t="n">
        <x:v>1</x:v>
      </x:c>
      <x:c r="N375" s="149" t="n">
        <x:v>1</x:v>
      </x:c>
      <x:c r="O375" s="149" t="n">
        <x:v>1</x:v>
      </x:c>
      <x:c r="P375" s="149" t="n">
        <x:f>IF('입력·근거'!$B$12="HIGH",O375,N375)</x:f>
        <x:v>1</x:v>
      </x:c>
      <x:c r="Q375" s="158" t="str"/>
      <x:c r="R375" s="161" t="str">
        <x:f>IF(Q375="","",P375*Q375)</x:f>
      </x:c>
      <x:c r="S375" s="146" t="str">
        <x:v>unpriced_source</x:v>
      </x:c>
    </x:row>
    <x:row r="376">
      <x:c r="A376" s="146" t="str">
        <x:v>ADMIN BLOCK</x:v>
      </x:c>
      <x:c r="B376" s="146" t="n">
        <x:v>211</x:v>
      </x:c>
      <x:c r="C376" s="146" t="str">
        <x:v>관리동</x:v>
      </x:c>
      <x:c r="D376" s="146" t="str">
        <x:v>전기·전력인입</x:v>
      </x:c>
      <x:c r="E376" s="146" t="str">
        <x:v>ELEMENT NO.10</x:v>
      </x:c>
      <x:c r="F376" s="146" t="str">
        <x:v>All items are to be supplied and installed complete with all the required mounting, fixing, clipping, testing, connecting accessories, connected, tested and commissioned to the satisfaction of the Electrical Engineer.</x:v>
      </x:c>
      <x:c r="G376" s="146" t="str">
        <x:v>U</x:v>
      </x:c>
      <x:c r="H376" s="49" t="str">
        <x:v>25mm x 3mm copper tape as to FURSE manufacture, or approved equivalent.</x:v>
      </x:c>
      <x:c r="I376" s="146" t="str">
        <x:v>m</x:v>
      </x:c>
      <x:c r="J376" s="149" t="n">
        <x:v>24</x:v>
      </x:c>
      <x:c r="K376" s="146" t="str"/>
      <x:c r="L376" s="149" t="n">
        <x:v>1</x:v>
      </x:c>
      <x:c r="M376" s="149" t="n">
        <x:v>1</x:v>
      </x:c>
      <x:c r="N376" s="149" t="n">
        <x:v>24</x:v>
      </x:c>
      <x:c r="O376" s="149" t="n">
        <x:v>24</x:v>
      </x:c>
      <x:c r="P376" s="149" t="n">
        <x:f>IF('입력·근거'!$B$12="HIGH",O376,N376)</x:f>
        <x:v>24</x:v>
      </x:c>
      <x:c r="Q376" s="158" t="str"/>
      <x:c r="R376" s="161" t="str">
        <x:f>IF(Q376="","",P376*Q376)</x:f>
      </x:c>
      <x:c r="S376" s="146" t="str">
        <x:v>unpriced_source</x:v>
      </x:c>
    </x:row>
    <x:row r="377">
      <x:c r="A377" s="146" t="str">
        <x:v>ADMIN BLOCK</x:v>
      </x:c>
      <x:c r="B377" s="146" t="n">
        <x:v>212</x:v>
      </x:c>
      <x:c r="C377" s="146" t="str">
        <x:v>관리동</x:v>
      </x:c>
      <x:c r="D377" s="146" t="str">
        <x:v>전기·전력인입</x:v>
      </x:c>
      <x:c r="E377" s="146" t="str">
        <x:v>ELEMENT NO.10</x:v>
      </x:c>
      <x:c r="F377" s="146" t="str">
        <x:v>All items are to be supplied and installed complete with all the required mounting, fixing, clipping, testing, connecting accessories, connected, tested and commissioned to the satisfaction of the Electrical Engineer.</x:v>
      </x:c>
      <x:c r="G377" s="146" t="str">
        <x:v>V</x:v>
      </x:c>
      <x:c r="H377" s="49" t="str">
        <x:v>25mm x 3mm copper square test clamp, as to FURSE Cat.No. CT 105, or approved equivalent.</x:v>
      </x:c>
      <x:c r="I377" s="146" t="str">
        <x:v>no.</x:v>
      </x:c>
      <x:c r="J377" s="149" t="n">
        <x:v>2</x:v>
      </x:c>
      <x:c r="K377" s="146" t="str"/>
      <x:c r="L377" s="149" t="n">
        <x:v>1</x:v>
      </x:c>
      <x:c r="M377" s="149" t="n">
        <x:v>1</x:v>
      </x:c>
      <x:c r="N377" s="149" t="n">
        <x:v>2</x:v>
      </x:c>
      <x:c r="O377" s="149" t="n">
        <x:v>2</x:v>
      </x:c>
      <x:c r="P377" s="149" t="n">
        <x:f>IF('입력·근거'!$B$12="HIGH",O377,N377)</x:f>
        <x:v>2</x:v>
      </x:c>
      <x:c r="Q377" s="158" t="str"/>
      <x:c r="R377" s="161" t="str">
        <x:f>IF(Q377="","",P377*Q377)</x:f>
      </x:c>
      <x:c r="S377" s="146" t="str">
        <x:v>unpriced_source</x:v>
      </x:c>
    </x:row>
    <x:row r="378">
      <x:c r="A378" s="146" t="str">
        <x:v>ADMIN BLOCK</x:v>
      </x:c>
      <x:c r="B378" s="146" t="n">
        <x:v>213</x:v>
      </x:c>
      <x:c r="C378" s="146" t="str">
        <x:v>관리동</x:v>
      </x:c>
      <x:c r="D378" s="146" t="str">
        <x:v>전기·전력인입</x:v>
      </x:c>
      <x:c r="E378" s="146" t="str">
        <x:v>ELEMENT NO.10</x:v>
      </x:c>
      <x:c r="F378" s="146" t="str">
        <x:v>All items are to be supplied and installed complete with all the required mounting, fixing, clipping, testing, connecting accessories, connected, tested and commissioned to the satisfaction of the Electrical Engineer.</x:v>
      </x:c>
      <x:c r="G378" s="146" t="str">
        <x:v>W</x:v>
      </x:c>
      <x:c r="H378" s="49" t="str">
        <x:v>2000mm x 15mm air rod, as to FURSE Cat. No. RA 240 c/w multiple point, as to FURSE Cat. No. RA 600, air terminal base, as to FURSE Cat. No. SD 105, and ridge saddle, as to FURSE Cat. No. SD 115, or approved equivalent.</x:v>
      </x:c>
      <x:c r="I378" s="146" t="str">
        <x:v>no.</x:v>
      </x:c>
      <x:c r="J378" s="149" t="n">
        <x:v>1</x:v>
      </x:c>
      <x:c r="K378" s="146" t="str"/>
      <x:c r="L378" s="149" t="n">
        <x:v>1</x:v>
      </x:c>
      <x:c r="M378" s="149" t="n">
        <x:v>1</x:v>
      </x:c>
      <x:c r="N378" s="149" t="n">
        <x:v>1</x:v>
      </x:c>
      <x:c r="O378" s="149" t="n">
        <x:v>1</x:v>
      </x:c>
      <x:c r="P378" s="149" t="n">
        <x:f>IF('입력·근거'!$B$12="HIGH",O378,N378)</x:f>
        <x:v>1</x:v>
      </x:c>
      <x:c r="Q378" s="158" t="str"/>
      <x:c r="R378" s="161" t="str">
        <x:f>IF(Q378="","",P378*Q378)</x:f>
      </x:c>
      <x:c r="S378" s="146" t="str">
        <x:v>unpriced_source</x:v>
      </x:c>
    </x:row>
    <x:row r="379">
      <x:c r="A379" s="146" t="str">
        <x:v>ADMIN BLOCK</x:v>
      </x:c>
      <x:c r="B379" s="146" t="n">
        <x:v>214</x:v>
      </x:c>
      <x:c r="C379" s="146" t="str">
        <x:v>관리동</x:v>
      </x:c>
      <x:c r="D379" s="146" t="str">
        <x:v>전기·전력인입</x:v>
      </x:c>
      <x:c r="E379" s="146" t="str">
        <x:v>ELEMENT NO.10</x:v>
      </x:c>
      <x:c r="F379" s="146" t="str">
        <x:v>All items are to be supplied and installed complete with all the required mounting, fixing, clipping, testing, connecting accessories, connected, tested and commissioned to the satisfaction of the Electrical Engineer.</x:v>
      </x:c>
      <x:c r="G379" s="146" t="str">
        <x:v>X</x:v>
      </x:c>
      <x:c r="H379" s="49" t="str">
        <x:v>25mm x 3mm tape clip as FURSE cat CP210</x:v>
      </x:c>
      <x:c r="I379" s="146" t="str">
        <x:v>pkt</x:v>
      </x:c>
      <x:c r="J379" s="149" t="n">
        <x:v>8</x:v>
      </x:c>
      <x:c r="K379" s="146" t="str"/>
      <x:c r="L379" s="149" t="n">
        <x:v>1</x:v>
      </x:c>
      <x:c r="M379" s="149" t="n">
        <x:v>1</x:v>
      </x:c>
      <x:c r="N379" s="149" t="n">
        <x:v>8</x:v>
      </x:c>
      <x:c r="O379" s="149" t="n">
        <x:v>8</x:v>
      </x:c>
      <x:c r="P379" s="149" t="n">
        <x:f>IF('입력·근거'!$B$12="HIGH",O379,N379)</x:f>
        <x:v>8</x:v>
      </x:c>
      <x:c r="Q379" s="158" t="str"/>
      <x:c r="R379" s="161" t="str">
        <x:f>IF(Q379="","",P379*Q379)</x:f>
      </x:c>
      <x:c r="S379" s="146" t="str">
        <x:v>unpriced_source</x:v>
      </x:c>
    </x:row>
    <x:row r="380">
      <x:c r="A380" s="146" t="str">
        <x:v>ADMIN BLOCK</x:v>
      </x:c>
      <x:c r="B380" s="146" t="n">
        <x:v>215</x:v>
      </x:c>
      <x:c r="C380" s="146" t="str">
        <x:v>관리동</x:v>
      </x:c>
      <x:c r="D380" s="146" t="str">
        <x:v>전기·전력인입</x:v>
      </x:c>
      <x:c r="E380" s="146" t="str">
        <x:v>ELEMENT NO.10</x:v>
      </x:c>
      <x:c r="F380" s="146" t="str">
        <x:v>All items are to be supplied and installed complete with all the required mounting, fixing, clipping, testing, connecting accessories, connected, tested and commissioned to the satisfaction of the Electrical Engineer.</x:v>
      </x:c>
      <x:c r="G380" s="146" t="str">
        <x:v>Y</x:v>
      </x:c>
      <x:c r="H380" s="49" t="str">
        <x:v>1200mm x 20mm solid copper earth rod, as to FURSE Cat.No. RC 015, and 600x600 earth mat complete with driving stud and coupler, and accessories.</x:v>
      </x:c>
      <x:c r="I380" s="146" t="str">
        <x:v>no.</x:v>
      </x:c>
      <x:c r="J380" s="149" t="n">
        <x:v>1</x:v>
      </x:c>
      <x:c r="K380" s="146" t="str"/>
      <x:c r="L380" s="149" t="n">
        <x:v>1</x:v>
      </x:c>
      <x:c r="M380" s="149" t="n">
        <x:v>1</x:v>
      </x:c>
      <x:c r="N380" s="149" t="n">
        <x:v>1</x:v>
      </x:c>
      <x:c r="O380" s="149" t="n">
        <x:v>1</x:v>
      </x:c>
      <x:c r="P380" s="149" t="n">
        <x:f>IF('입력·근거'!$B$12="HIGH",O380,N380)</x:f>
        <x:v>1</x:v>
      </x:c>
      <x:c r="Q380" s="158" t="str"/>
      <x:c r="R380" s="161" t="str">
        <x:f>IF(Q380="","",P380*Q380)</x:f>
      </x:c>
      <x:c r="S380" s="146" t="str">
        <x:v>unpriced_source</x:v>
      </x:c>
    </x:row>
    <x:row r="381">
      <x:c r="A381" s="146" t="str">
        <x:v>ADMIN BLOCK</x:v>
      </x:c>
      <x:c r="B381" s="146" t="n">
        <x:v>216</x:v>
      </x:c>
      <x:c r="C381" s="146" t="str">
        <x:v>관리동</x:v>
      </x:c>
      <x:c r="D381" s="146" t="str">
        <x:v>전기·전력인입</x:v>
      </x:c>
      <x:c r="E381" s="146" t="str">
        <x:v>ELEMENT NO.10</x:v>
      </x:c>
      <x:c r="F381" s="146" t="str">
        <x:v>All items are to be supplied and installed complete with all the required mounting, fixing, clipping, testing, connecting accessories, connected, tested and commissioned to the satisfaction of the Electrical Engineer.</x:v>
      </x:c>
      <x:c r="G381" s="146" t="str">
        <x:v>Z</x:v>
      </x:c>
      <x:c r="H381" s="49" t="str">
        <x:v>Concrete inspection chamber, as to FURSE Cat. No. PT005 or approved equivalent.</x:v>
      </x:c>
      <x:c r="I381" s="146" t="str">
        <x:v>no.</x:v>
      </x:c>
      <x:c r="J381" s="149" t="n">
        <x:v>2</x:v>
      </x:c>
      <x:c r="K381" s="146" t="str"/>
      <x:c r="L381" s="149" t="n">
        <x:v>1</x:v>
      </x:c>
      <x:c r="M381" s="149" t="n">
        <x:v>1</x:v>
      </x:c>
      <x:c r="N381" s="149" t="n">
        <x:v>2</x:v>
      </x:c>
      <x:c r="O381" s="149" t="n">
        <x:v>2</x:v>
      </x:c>
      <x:c r="P381" s="149" t="n">
        <x:f>IF('입력·근거'!$B$12="HIGH",O381,N381)</x:f>
        <x:v>2</x:v>
      </x:c>
      <x:c r="Q381" s="158" t="str"/>
      <x:c r="R381" s="161" t="str">
        <x:f>IF(Q381="","",P381*Q381)</x:f>
      </x:c>
      <x:c r="S381" s="146" t="str">
        <x:v>unpriced_source</x:v>
      </x:c>
    </x:row>
    <x:row r="382">
      <x:c r="A382" s="146" t="str">
        <x:v>ADMIN BLOCK</x:v>
      </x:c>
      <x:c r="B382" s="146" t="n">
        <x:v>217</x:v>
      </x:c>
      <x:c r="C382" s="146" t="str">
        <x:v>관리동</x:v>
      </x:c>
      <x:c r="D382" s="146" t="str">
        <x:v>전기·전력인입</x:v>
      </x:c>
      <x:c r="E382" s="146" t="str">
        <x:v>ELEMENT NO.10</x:v>
      </x:c>
      <x:c r="F382" s="146" t="str">
        <x:v>All items are to be supplied and installed complete with all the required mounting, fixing, clipping, testing, connecting accessories, connected, tested and commissioned to the satisfaction of the Electrical Engineer.</x:v>
      </x:c>
      <x:c r="G382" s="146" t="str">
        <x:v>AA</x:v>
      </x:c>
      <x:c r="H382" s="49" t="str">
        <x:v>Allow for testing and improving of earth resistance like charcoal, and all accessories required to achieve an earth resistance of 5 Ohms</x:v>
      </x:c>
      <x:c r="I382" s="146" t="str">
        <x:v>item</x:v>
      </x:c>
      <x:c r="J382" s="149" t="n">
        <x:v>1</x:v>
      </x:c>
      <x:c r="K382" s="146" t="str"/>
      <x:c r="L382" s="149" t="n">
        <x:v>1</x:v>
      </x:c>
      <x:c r="M382" s="149" t="n">
        <x:v>1</x:v>
      </x:c>
      <x:c r="N382" s="149" t="n">
        <x:v>1</x:v>
      </x:c>
      <x:c r="O382" s="149" t="n">
        <x:v>1</x:v>
      </x:c>
      <x:c r="P382" s="149" t="n">
        <x:f>IF('입력·근거'!$B$12="HIGH",O382,N382)</x:f>
        <x:v>1</x:v>
      </x:c>
      <x:c r="Q382" s="158" t="str"/>
      <x:c r="R382" s="161" t="str">
        <x:f>IF(Q382="","",P382*Q382)</x:f>
      </x:c>
      <x:c r="S382" s="146" t="str">
        <x:v>unpriced_source</x:v>
      </x:c>
    </x:row>
    <x:row r="383">
      <x:c r="A383" s="146" t="str">
        <x:v>ADMIN BLOCK</x:v>
      </x:c>
      <x:c r="B383" s="146" t="n">
        <x:v>223</x:v>
      </x:c>
      <x:c r="C383" s="146" t="str">
        <x:v>관리동</x:v>
      </x:c>
      <x:c r="D383" s="146" t="str">
        <x:v>급배수·위생</x:v>
      </x:c>
      <x:c r="E383" s="146" t="str">
        <x:v>ELEMENT NO.11</x:v>
      </x:c>
      <x:c r="F383" s="146" t="str">
        <x:v>Drainage</x:v>
      </x:c>
      <x:c r="G383" s="146" t="str">
        <x:v>A</x:v>
      </x:c>
      <x:c r="H383" s="49" t="str">
        <x:v>PVC Gully Trap</x:v>
      </x:c>
      <x:c r="I383" s="146" t="str">
        <x:v>no.</x:v>
      </x:c>
      <x:c r="J383" s="149" t="n">
        <x:v>1</x:v>
      </x:c>
      <x:c r="K383" s="146" t="str"/>
      <x:c r="L383" s="149" t="n">
        <x:v>1</x:v>
      </x:c>
      <x:c r="M383" s="149" t="n">
        <x:v>1</x:v>
      </x:c>
      <x:c r="N383" s="149" t="n">
        <x:v>1</x:v>
      </x:c>
      <x:c r="O383" s="149" t="n">
        <x:v>1</x:v>
      </x:c>
      <x:c r="P383" s="149" t="n">
        <x:f>IF('입력·근거'!$B$12="HIGH",O383,N383)</x:f>
        <x:v>1</x:v>
      </x:c>
      <x:c r="Q383" s="158" t="str"/>
      <x:c r="R383" s="161" t="str">
        <x:f>IF(Q383="","",P383*Q383)</x:f>
      </x:c>
      <x:c r="S383" s="146" t="str">
        <x:v>unpriced_source</x:v>
      </x:c>
    </x:row>
    <x:row r="384">
      <x:c r="A384" s="146" t="str">
        <x:v>ADMIN BLOCK</x:v>
      </x:c>
      <x:c r="B384" s="146" t="n">
        <x:v>224</x:v>
      </x:c>
      <x:c r="C384" s="146" t="str">
        <x:v>관리동</x:v>
      </x:c>
      <x:c r="D384" s="146" t="str">
        <x:v>급배수·위생</x:v>
      </x:c>
      <x:c r="E384" s="146" t="str">
        <x:v>ELEMENT NO.11</x:v>
      </x:c>
      <x:c r="F384" s="146" t="str">
        <x:v>Drainage</x:v>
      </x:c>
      <x:c r="G384" s="146" t="str">
        <x:v>B</x:v>
      </x:c>
      <x:c r="H384" s="49" t="str">
        <x:v>Floor Trap as ARMITAGE SHANKS complete with all accessories</x:v>
      </x:c>
      <x:c r="I384" s="146" t="str">
        <x:v>no.</x:v>
      </x:c>
      <x:c r="J384" s="149" t="n">
        <x:v>1</x:v>
      </x:c>
      <x:c r="K384" s="146" t="str"/>
      <x:c r="L384" s="149" t="n">
        <x:v>1</x:v>
      </x:c>
      <x:c r="M384" s="149" t="n">
        <x:v>1</x:v>
      </x:c>
      <x:c r="N384" s="149" t="n">
        <x:v>1</x:v>
      </x:c>
      <x:c r="O384" s="149" t="n">
        <x:v>1</x:v>
      </x:c>
      <x:c r="P384" s="149" t="n">
        <x:f>IF('입력·근거'!$B$12="HIGH",O384,N384)</x:f>
        <x:v>1</x:v>
      </x:c>
      <x:c r="Q384" s="158" t="str"/>
      <x:c r="R384" s="161" t="str">
        <x:f>IF(Q384="","",P384*Q384)</x:f>
      </x:c>
      <x:c r="S384" s="146" t="str">
        <x:v>unpriced_source</x:v>
      </x:c>
    </x:row>
    <x:row r="385">
      <x:c r="A385" s="146" t="str">
        <x:v>ADMIN BLOCK</x:v>
      </x:c>
      <x:c r="B385" s="146" t="n">
        <x:v>225</x:v>
      </x:c>
      <x:c r="C385" s="146" t="str">
        <x:v>관리동</x:v>
      </x:c>
      <x:c r="D385" s="146" t="str">
        <x:v>급배수·위생</x:v>
      </x:c>
      <x:c r="E385" s="146" t="str">
        <x:v>ELEMENT NO.11</x:v>
      </x:c>
      <x:c r="F385" s="146" t="str">
        <x:v>Drainage</x:v>
      </x:c>
      <x:c r="G385" s="146" t="str">
        <x:v>C</x:v>
      </x:c>
      <x:c r="H385" s="49" t="str">
        <x:v>Manhole 450 x 600mm in masonry brickwork, rendered smooth inside complete with benching, heavy duty manhole cover made out of concrete and angles and all accessories.</x:v>
      </x:c>
      <x:c r="I385" s="146" t="str">
        <x:v>no.</x:v>
      </x:c>
      <x:c r="J385" s="149" t="n">
        <x:v>2</x:v>
      </x:c>
      <x:c r="K385" s="146" t="str"/>
      <x:c r="L385" s="149" t="n">
        <x:v>1</x:v>
      </x:c>
      <x:c r="M385" s="149" t="n">
        <x:v>1</x:v>
      </x:c>
      <x:c r="N385" s="149" t="n">
        <x:v>2</x:v>
      </x:c>
      <x:c r="O385" s="149" t="n">
        <x:v>2</x:v>
      </x:c>
      <x:c r="P385" s="149" t="n">
        <x:f>IF('입력·근거'!$B$12="HIGH",O385,N385)</x:f>
        <x:v>2</x:v>
      </x:c>
      <x:c r="Q385" s="158" t="str"/>
      <x:c r="R385" s="161" t="str">
        <x:f>IF(Q385="","",P385*Q385)</x:f>
      </x:c>
      <x:c r="S385" s="146" t="str">
        <x:v>unpriced_source</x:v>
      </x:c>
    </x:row>
    <x:row r="386">
      <x:c r="A386" s="146" t="str">
        <x:v>ADMIN BLOCK</x:v>
      </x:c>
      <x:c r="B386" s="146" t="n">
        <x:v>226</x:v>
      </x:c>
      <x:c r="C386" s="146" t="str">
        <x:v>관리동</x:v>
      </x:c>
      <x:c r="D386" s="146" t="str">
        <x:v>급배수·위생</x:v>
      </x:c>
      <x:c r="E386" s="146" t="str">
        <x:v>ELEMENT NO.11</x:v>
      </x:c>
      <x:c r="F386" s="146" t="str">
        <x:v>Drainage</x:v>
      </x:c>
      <x:c r="G386" s="146" t="str">
        <x:v>D</x:v>
      </x:c>
      <x:c r="H386" s="49" t="str">
        <x:v>110mm PVC heavy gauge pipework buried in the ground to a fall of 1:60 complete with excavations, bedding, backfilling and all accessories.</x:v>
      </x:c>
      <x:c r="I386" s="146" t="str">
        <x:v>m</x:v>
      </x:c>
      <x:c r="J386" s="149" t="n">
        <x:v>10</x:v>
      </x:c>
      <x:c r="K386" s="146" t="str"/>
      <x:c r="L386" s="149" t="n">
        <x:v>1</x:v>
      </x:c>
      <x:c r="M386" s="149" t="n">
        <x:v>1</x:v>
      </x:c>
      <x:c r="N386" s="149" t="n">
        <x:v>10</x:v>
      </x:c>
      <x:c r="O386" s="149" t="n">
        <x:v>10</x:v>
      </x:c>
      <x:c r="P386" s="149" t="n">
        <x:f>IF('입력·근거'!$B$12="HIGH",O386,N386)</x:f>
        <x:v>10</x:v>
      </x:c>
      <x:c r="Q386" s="158" t="str"/>
      <x:c r="R386" s="161" t="str">
        <x:f>IF(Q386="","",P386*Q386)</x:f>
      </x:c>
      <x:c r="S386" s="146" t="str">
        <x:v>unpriced_source</x:v>
      </x:c>
    </x:row>
    <x:row r="387">
      <x:c r="A387" s="146" t="str">
        <x:v>ADMIN BLOCK</x:v>
      </x:c>
      <x:c r="B387" s="146" t="n">
        <x:v>227</x:v>
      </x:c>
      <x:c r="C387" s="146" t="str">
        <x:v>관리동</x:v>
      </x:c>
      <x:c r="D387" s="146" t="str">
        <x:v>급배수·위생</x:v>
      </x:c>
      <x:c r="E387" s="146" t="str">
        <x:v>ELEMENT NO.11</x:v>
      </x:c>
      <x:c r="F387" s="146" t="str">
        <x:v>Drainage</x:v>
      </x:c>
      <x:c r="G387" s="146" t="str">
        <x:v>E</x:v>
      </x:c>
      <x:c r="H387" s="49" t="str">
        <x:v>Wash hand basin with half pedestal complete with one center tap hole, white in color, wall bolts&amp; brackets, Flexible tube 450mm long complete, 32mm chrome plated bottle trap, wall bolts, and 1/2" Lever action pillar tap with chrome plated handles, 11/4" chrome plated waste.</x:v>
      </x:c>
      <x:c r="I387" s="146" t="str">
        <x:v>no.</x:v>
      </x:c>
      <x:c r="J387" s="149" t="n">
        <x:v>1</x:v>
      </x:c>
      <x:c r="K387" s="146" t="str"/>
      <x:c r="L387" s="149" t="n">
        <x:v>1</x:v>
      </x:c>
      <x:c r="M387" s="149" t="n">
        <x:v>1</x:v>
      </x:c>
      <x:c r="N387" s="149" t="n">
        <x:v>1</x:v>
      </x:c>
      <x:c r="O387" s="149" t="n">
        <x:v>1</x:v>
      </x:c>
      <x:c r="P387" s="149" t="n">
        <x:f>IF('입력·근거'!$B$12="HIGH",O387,N387)</x:f>
        <x:v>1</x:v>
      </x:c>
      <x:c r="Q387" s="158" t="str"/>
      <x:c r="R387" s="161" t="str">
        <x:f>IF(Q387="","",P387*Q387)</x:f>
      </x:c>
      <x:c r="S387" s="146" t="str">
        <x:v>unpriced_source</x:v>
      </x:c>
    </x:row>
    <x:row r="388">
      <x:c r="A388" s="146" t="str">
        <x:v>ADMIN BLOCK</x:v>
      </x:c>
      <x:c r="B388" s="146" t="n">
        <x:v>228</x:v>
      </x:c>
      <x:c r="C388" s="146" t="str">
        <x:v>관리동</x:v>
      </x:c>
      <x:c r="D388" s="146" t="str">
        <x:v>급배수·위생</x:v>
      </x:c>
      <x:c r="E388" s="146" t="str">
        <x:v>ELEMENT NO.11</x:v>
      </x:c>
      <x:c r="F388" s="146" t="str">
        <x:v>Drainage</x:v>
      </x:c>
      <x:c r="G388" s="146" t="str">
        <x:v>F</x:v>
      </x:c>
      <x:c r="H388" s="49" t="str">
        <x:v>Wall mounted stainless steel toilet roll holder</x:v>
      </x:c>
      <x:c r="I388" s="146" t="str">
        <x:v>no.</x:v>
      </x:c>
      <x:c r="J388" s="149" t="n">
        <x:v>1</x:v>
      </x:c>
      <x:c r="K388" s="146" t="str"/>
      <x:c r="L388" s="149" t="n">
        <x:v>1</x:v>
      </x:c>
      <x:c r="M388" s="149" t="n">
        <x:v>1</x:v>
      </x:c>
      <x:c r="N388" s="149" t="n">
        <x:v>1</x:v>
      </x:c>
      <x:c r="O388" s="149" t="n">
        <x:v>1</x:v>
      </x:c>
      <x:c r="P388" s="149" t="n">
        <x:f>IF('입력·근거'!$B$12="HIGH",O388,N388)</x:f>
        <x:v>1</x:v>
      </x:c>
      <x:c r="Q388" s="158" t="str"/>
      <x:c r="R388" s="161" t="str">
        <x:f>IF(Q388="","",P388*Q388)</x:f>
      </x:c>
      <x:c r="S388" s="146" t="str">
        <x:v>unpriced_source</x:v>
      </x:c>
    </x:row>
    <x:row r="389">
      <x:c r="A389" s="146" t="str">
        <x:v>ADMIN BLOCK</x:v>
      </x:c>
      <x:c r="B389" s="146" t="n">
        <x:v>229</x:v>
      </x:c>
      <x:c r="C389" s="146" t="str">
        <x:v>관리동</x:v>
      </x:c>
      <x:c r="D389" s="146" t="str">
        <x:v>급배수·위생</x:v>
      </x:c>
      <x:c r="E389" s="146" t="str">
        <x:v>ELEMENT NO.11</x:v>
      </x:c>
      <x:c r="F389" s="146" t="str">
        <x:v>Drainage</x:v>
      </x:c>
      <x:c r="G389" s="146" t="str">
        <x:v>G</x:v>
      </x:c>
      <x:c r="H389" s="49" t="str">
        <x:v>Stainless steel double coat Hooks</x:v>
      </x:c>
      <x:c r="I389" s="146" t="str">
        <x:v>no.</x:v>
      </x:c>
      <x:c r="J389" s="149" t="n">
        <x:v>1</x:v>
      </x:c>
      <x:c r="K389" s="146" t="str"/>
      <x:c r="L389" s="149" t="n">
        <x:v>1</x:v>
      </x:c>
      <x:c r="M389" s="149" t="n">
        <x:v>1</x:v>
      </x:c>
      <x:c r="N389" s="149" t="n">
        <x:v>1</x:v>
      </x:c>
      <x:c r="O389" s="149" t="n">
        <x:v>1</x:v>
      </x:c>
      <x:c r="P389" s="149" t="n">
        <x:f>IF('입력·근거'!$B$12="HIGH",O389,N389)</x:f>
        <x:v>1</x:v>
      </x:c>
      <x:c r="Q389" s="158" t="str"/>
      <x:c r="R389" s="161" t="str">
        <x:f>IF(Q389="","",P389*Q389)</x:f>
      </x:c>
      <x:c r="S389" s="146" t="str">
        <x:v>unpriced_source</x:v>
      </x:c>
    </x:row>
    <x:row r="390">
      <x:c r="A390" s="146" t="str">
        <x:v>ADMIN BLOCK</x:v>
      </x:c>
      <x:c r="B390" s="146" t="n">
        <x:v>230</x:v>
      </x:c>
      <x:c r="C390" s="146" t="str">
        <x:v>관리동</x:v>
      </x:c>
      <x:c r="D390" s="146" t="str">
        <x:v>급배수·위생</x:v>
      </x:c>
      <x:c r="E390" s="146" t="str">
        <x:v>ELEMENT NO.11</x:v>
      </x:c>
      <x:c r="F390" s="146" t="str">
        <x:v>Drainage</x:v>
      </x:c>
      <x:c r="G390" s="146" t="str">
        <x:v>H</x:v>
      </x:c>
      <x:c r="H390" s="49" t="str">
        <x:v>White glazed vitreous china back to wall, top inlet, 'P' or 'S' trap WC bowl to BS 3402 complete with heavy duty seat and cover with steel hinges</x:v>
      </x:c>
      <x:c r="I390" s="146" t="str">
        <x:v>no.</x:v>
      </x:c>
      <x:c r="J390" s="149" t="n">
        <x:v>1</x:v>
      </x:c>
      <x:c r="K390" s="146" t="str"/>
      <x:c r="L390" s="149" t="n">
        <x:v>1</x:v>
      </x:c>
      <x:c r="M390" s="149" t="n">
        <x:v>1</x:v>
      </x:c>
      <x:c r="N390" s="149" t="n">
        <x:v>1</x:v>
      </x:c>
      <x:c r="O390" s="149" t="n">
        <x:v>1</x:v>
      </x:c>
      <x:c r="P390" s="149" t="n">
        <x:f>IF('입력·근거'!$B$12="HIGH",O390,N390)</x:f>
        <x:v>1</x:v>
      </x:c>
      <x:c r="Q390" s="158" t="str"/>
      <x:c r="R390" s="161" t="str">
        <x:f>IF(Q390="","",P390*Q390)</x:f>
      </x:c>
      <x:c r="S390" s="146" t="str">
        <x:v>unpriced_source</x:v>
      </x:c>
    </x:row>
    <x:row r="391">
      <x:c r="A391" s="146" t="str">
        <x:v>ADMIN BLOCK</x:v>
      </x:c>
      <x:c r="B391" s="146" t="n">
        <x:v>231</x:v>
      </x:c>
      <x:c r="C391" s="146" t="str">
        <x:v>관리동</x:v>
      </x:c>
      <x:c r="D391" s="146" t="str">
        <x:v>급배수·위생</x:v>
      </x:c>
      <x:c r="E391" s="146" t="str">
        <x:v>ELEMENT NO.11</x:v>
      </x:c>
      <x:c r="F391" s="146" t="str">
        <x:v>Drainage</x:v>
      </x:c>
      <x:c r="G391" s="146" t="str">
        <x:v>I</x:v>
      </x:c>
      <x:c r="H391" s="49" t="str">
        <x:v>Wall mirrors 600 x 400mm with bevelled edges polished with chrome plated dome shaped screws</x:v>
      </x:c>
      <x:c r="I391" s="146" t="str">
        <x:v>no.</x:v>
      </x:c>
      <x:c r="J391" s="149" t="n">
        <x:v>1</x:v>
      </x:c>
      <x:c r="K391" s="146" t="str"/>
      <x:c r="L391" s="149" t="n">
        <x:v>1</x:v>
      </x:c>
      <x:c r="M391" s="149" t="n">
        <x:v>1</x:v>
      </x:c>
      <x:c r="N391" s="149" t="n">
        <x:v>1</x:v>
      </x:c>
      <x:c r="O391" s="149" t="n">
        <x:v>1</x:v>
      </x:c>
      <x:c r="P391" s="149" t="n">
        <x:f>IF('입력·근거'!$B$12="HIGH",O391,N391)</x:f>
        <x:v>1</x:v>
      </x:c>
      <x:c r="Q391" s="158" t="str"/>
      <x:c r="R391" s="161" t="str">
        <x:f>IF(Q391="","",P391*Q391)</x:f>
      </x:c>
      <x:c r="S391" s="146" t="str">
        <x:v>unpriced_source</x:v>
      </x:c>
    </x:row>
    <x:row r="392">
      <x:c r="A392" s="146" t="str">
        <x:v>ADMIN BLOCK</x:v>
      </x:c>
      <x:c r="B392" s="146" t="n">
        <x:v>234</x:v>
      </x:c>
      <x:c r="C392" s="146" t="str">
        <x:v>관리동</x:v>
      </x:c>
      <x:c r="D392" s="146" t="str">
        <x:v>급배수·위생</x:v>
      </x:c>
      <x:c r="E392" s="146" t="str">
        <x:v>ELEMENT NO.11</x:v>
      </x:c>
      <x:c r="F392" s="146" t="str">
        <x:v>PIPE WORK</x:v>
      </x:c>
      <x:c r="G392" s="146" t="str">
        <x:v>J</x:v>
      </x:c>
      <x:c r="H392" s="49" t="str">
        <x:v>25mm PPR cold water Pipe work complete.</x:v>
      </x:c>
      <x:c r="I392" s="146" t="str">
        <x:v>m</x:v>
      </x:c>
      <x:c r="J392" s="149" t="n">
        <x:v>12</x:v>
      </x:c>
      <x:c r="K392" s="146" t="str"/>
      <x:c r="L392" s="149" t="n">
        <x:v>1</x:v>
      </x:c>
      <x:c r="M392" s="149" t="n">
        <x:v>1</x:v>
      </x:c>
      <x:c r="N392" s="149" t="n">
        <x:v>12</x:v>
      </x:c>
      <x:c r="O392" s="149" t="n">
        <x:v>12</x:v>
      </x:c>
      <x:c r="P392" s="149" t="n">
        <x:f>IF('입력·근거'!$B$12="HIGH",O392,N392)</x:f>
        <x:v>12</x:v>
      </x:c>
      <x:c r="Q392" s="158" t="str"/>
      <x:c r="R392" s="161" t="str">
        <x:f>IF(Q392="","",P392*Q392)</x:f>
      </x:c>
      <x:c r="S392" s="146" t="str">
        <x:v>unpriced_source</x:v>
      </x:c>
    </x:row>
    <x:row r="393">
      <x:c r="A393" s="146" t="str">
        <x:v>ADMIN BLOCK</x:v>
      </x:c>
      <x:c r="B393" s="146" t="n">
        <x:v>235</x:v>
      </x:c>
      <x:c r="C393" s="146" t="str">
        <x:v>관리동</x:v>
      </x:c>
      <x:c r="D393" s="146" t="str">
        <x:v>급배수·위생</x:v>
      </x:c>
      <x:c r="E393" s="146" t="str">
        <x:v>ELEMENT NO.11</x:v>
      </x:c>
      <x:c r="F393" s="146" t="str">
        <x:v>PIPE WORK</x:v>
      </x:c>
      <x:c r="G393" s="146" t="str">
        <x:v>K</x:v>
      </x:c>
      <x:c r="H393" s="49" t="str">
        <x:v>20mm PPR cold water Pipe work complete.</x:v>
      </x:c>
      <x:c r="I393" s="146" t="str">
        <x:v>m</x:v>
      </x:c>
      <x:c r="J393" s="149" t="n">
        <x:v>3</x:v>
      </x:c>
      <x:c r="K393" s="146" t="str"/>
      <x:c r="L393" s="149" t="n">
        <x:v>1</x:v>
      </x:c>
      <x:c r="M393" s="149" t="n">
        <x:v>1</x:v>
      </x:c>
      <x:c r="N393" s="149" t="n">
        <x:v>3</x:v>
      </x:c>
      <x:c r="O393" s="149" t="n">
        <x:v>3</x:v>
      </x:c>
      <x:c r="P393" s="149" t="n">
        <x:f>IF('입력·근거'!$B$12="HIGH",O393,N393)</x:f>
        <x:v>3</x:v>
      </x:c>
      <x:c r="Q393" s="158" t="str"/>
      <x:c r="R393" s="161" t="str">
        <x:f>IF(Q393="","",P393*Q393)</x:f>
      </x:c>
      <x:c r="S393" s="146" t="str">
        <x:v>unpriced_source</x:v>
      </x:c>
    </x:row>
    <x:row r="394">
      <x:c r="A394" s="146" t="str">
        <x:v>ADMIN BLOCK</x:v>
      </x:c>
      <x:c r="B394" s="146" t="n">
        <x:v>236</x:v>
      </x:c>
      <x:c r="C394" s="146" t="str">
        <x:v>관리동</x:v>
      </x:c>
      <x:c r="D394" s="146" t="str">
        <x:v>급배수·위생</x:v>
      </x:c>
      <x:c r="E394" s="146" t="str">
        <x:v>ELEMENT NO.11</x:v>
      </x:c>
      <x:c r="F394" s="146" t="str">
        <x:v>PIPE WORK</x:v>
      </x:c>
      <x:c r="G394" s="146" t="str">
        <x:v>L</x:v>
      </x:c>
      <x:c r="H394" s="49" t="str">
        <x:v>25mm gate valves</x:v>
      </x:c>
      <x:c r="I394" s="146" t="str">
        <x:v>m</x:v>
      </x:c>
      <x:c r="J394" s="149" t="n">
        <x:v>1</x:v>
      </x:c>
      <x:c r="K394" s="146" t="str"/>
      <x:c r="L394" s="149" t="n">
        <x:v>1</x:v>
      </x:c>
      <x:c r="M394" s="149" t="n">
        <x:v>1</x:v>
      </x:c>
      <x:c r="N394" s="149" t="n">
        <x:v>1</x:v>
      </x:c>
      <x:c r="O394" s="149" t="n">
        <x:v>1</x:v>
      </x:c>
      <x:c r="P394" s="149" t="n">
        <x:f>IF('입력·근거'!$B$12="HIGH",O394,N394)</x:f>
        <x:v>1</x:v>
      </x:c>
      <x:c r="Q394" s="158" t="str"/>
      <x:c r="R394" s="161" t="str">
        <x:f>IF(Q394="","",P394*Q394)</x:f>
      </x:c>
      <x:c r="S394" s="146" t="str">
        <x:v>unpriced_source</x:v>
      </x:c>
    </x:row>
    <x:row r="395">
      <x:c r="A395" s="146" t="str">
        <x:v>ADMIN BLOCK</x:v>
      </x:c>
      <x:c r="B395" s="146" t="n">
        <x:v>237</x:v>
      </x:c>
      <x:c r="C395" s="146" t="str">
        <x:v>관리동</x:v>
      </x:c>
      <x:c r="D395" s="146" t="str">
        <x:v>급배수·위생</x:v>
      </x:c>
      <x:c r="E395" s="146" t="str">
        <x:v>ELEMENT NO.11</x:v>
      </x:c>
      <x:c r="F395" s="146" t="str">
        <x:v>PIPE WORK</x:v>
      </x:c>
      <x:c r="G395" s="146" t="str">
        <x:v>M</x:v>
      </x:c>
      <x:c r="H395" s="49" t="str">
        <x:v>20mm angle valves</x:v>
      </x:c>
      <x:c r="I395" s="146" t="str">
        <x:v>m</x:v>
      </x:c>
      <x:c r="J395" s="149" t="n">
        <x:v>1</x:v>
      </x:c>
      <x:c r="K395" s="146" t="str"/>
      <x:c r="L395" s="149" t="n">
        <x:v>1</x:v>
      </x:c>
      <x:c r="M395" s="149" t="n">
        <x:v>1</x:v>
      </x:c>
      <x:c r="N395" s="149" t="n">
        <x:v>1</x:v>
      </x:c>
      <x:c r="O395" s="149" t="n">
        <x:v>1</x:v>
      </x:c>
      <x:c r="P395" s="149" t="n">
        <x:f>IF('입력·근거'!$B$12="HIGH",O395,N395)</x:f>
        <x:v>1</x:v>
      </x:c>
      <x:c r="Q395" s="158" t="str"/>
      <x:c r="R395" s="161" t="str">
        <x:f>IF(Q395="","",P395*Q395)</x:f>
      </x:c>
      <x:c r="S395" s="146" t="str">
        <x:v>unpriced_source</x:v>
      </x:c>
    </x:row>
    <x:row r="396">
      <x:c r="A396" s="146" t="str">
        <x:v>MARKET SHED.</x:v>
      </x:c>
      <x:c r="B396" s="146" t="n">
        <x:v>6</x:v>
      </x:c>
      <x:c r="C396" s="146" t="str">
        <x:v>여성친화형 시장 쉼터</x:v>
      </x:c>
      <x:c r="D396" s="146" t="str">
        <x:v>토공·기초</x:v>
      </x:c>
      <x:c r="E396" s="146" t="str">
        <x:v>ELEMENT NO.1</x:v>
      </x:c>
      <x:c r="F396" s="146" t="str">
        <x:v>SUBSTRUCTURE</x:v>
      </x:c>
      <x:c r="G396" s="146" t="str">
        <x:v>A</x:v>
      </x:c>
      <x:c r="H396" s="49" t="str">
        <x:v>Excavate oversite average 200mm deep to remove vegetable top soil; spread and level on site as directed</x:v>
      </x:c>
      <x:c r="I396" s="146" t="str">
        <x:v>m²</x:v>
      </x:c>
      <x:c r="J396" s="149" t="n">
        <x:v>0</x:v>
      </x:c>
      <x:c r="K396" s="146" t="str"/>
      <x:c r="L396" s="149" t="n">
        <x:v>5</x:v>
      </x:c>
      <x:c r="M396" s="149" t="n">
        <x:v>6</x:v>
      </x:c>
      <x:c r="N396" s="149" t="n">
        <x:v>0</x:v>
      </x:c>
      <x:c r="O396" s="149" t="n">
        <x:v>0</x:v>
      </x:c>
      <x:c r="P396" s="149" t="n">
        <x:f>IF('입력·근거'!$B$12="HIGH",O396,N396)</x:f>
        <x:v>0</x:v>
      </x:c>
      <x:c r="Q396" s="158" t="str"/>
      <x:c r="R396" s="161" t="str">
        <x:f>IF(Q396="","",P396*Q396)</x:f>
      </x:c>
      <x:c r="S396" s="146" t="str">
        <x:v>zero_quantity_check_formula_or_design;scope_multiplier_applied_for_scenario;scope_multiplier_conflict;unpriced_source</x:v>
      </x:c>
    </x:row>
    <x:row r="397">
      <x:c r="A397" s="146" t="str">
        <x:v>MARKET SHED.</x:v>
      </x:c>
      <x:c r="B397" s="146" t="n">
        <x:v>7</x:v>
      </x:c>
      <x:c r="C397" s="146" t="str">
        <x:v>여성친화형 시장 쉼터</x:v>
      </x:c>
      <x:c r="D397" s="146" t="str">
        <x:v>토공·기초</x:v>
      </x:c>
      <x:c r="E397" s="146" t="str">
        <x:v>ELEMENT NO.1</x:v>
      </x:c>
      <x:c r="F397" s="146" t="str">
        <x:v>SUBSTRUCTURE</x:v>
      </x:c>
      <x:c r="G397" s="146" t="str">
        <x:v>B</x:v>
      </x:c>
      <x:c r="H397" s="49" t="str">
        <x:v>Mass excavation to reduce levels commencing from stripped level</x:v>
      </x:c>
      <x:c r="I397" s="146" t="str">
        <x:v>m³</x:v>
      </x:c>
      <x:c r="J397" s="149" t="n">
        <x:v>0</x:v>
      </x:c>
      <x:c r="K397" s="146" t="str"/>
      <x:c r="L397" s="149" t="n">
        <x:v>5</x:v>
      </x:c>
      <x:c r="M397" s="149" t="n">
        <x:v>6</x:v>
      </x:c>
      <x:c r="N397" s="149" t="n">
        <x:v>0</x:v>
      </x:c>
      <x:c r="O397" s="149" t="n">
        <x:v>0</x:v>
      </x:c>
      <x:c r="P397" s="149" t="n">
        <x:f>IF('입력·근거'!$B$12="HIGH",O397,N397)</x:f>
        <x:v>0</x:v>
      </x:c>
      <x:c r="Q397" s="158" t="str"/>
      <x:c r="R397" s="161" t="str">
        <x:f>IF(Q397="","",P397*Q397)</x:f>
      </x:c>
      <x:c r="S397" s="146" t="str">
        <x:v>zero_quantity_check_formula_or_design;scope_multiplier_applied_for_scenario;scope_multiplier_conflict;unpriced_source</x:v>
      </x:c>
    </x:row>
    <x:row r="398">
      <x:c r="A398" s="146" t="str">
        <x:v>MARKET SHED.</x:v>
      </x:c>
      <x:c r="B398" s="146" t="n">
        <x:v>8</x:v>
      </x:c>
      <x:c r="C398" s="146" t="str">
        <x:v>여성친화형 시장 쉼터</x:v>
      </x:c>
      <x:c r="D398" s="146" t="str">
        <x:v>토공·기초</x:v>
      </x:c>
      <x:c r="E398" s="146" t="str">
        <x:v>ELEMENT NO.1</x:v>
      </x:c>
      <x:c r="F398" s="146" t="str">
        <x:v>SUBSTRUCTURE</x:v>
      </x:c>
      <x:c r="G398" s="146" t="str">
        <x:v>C</x:v>
      </x:c>
      <x:c r="H398" s="49" t="str">
        <x:v>Excavate for foundation trench not exceeding 1.5 meters deep from reduced level.</x:v>
      </x:c>
      <x:c r="I398" s="146" t="str">
        <x:v>m³</x:v>
      </x:c>
      <x:c r="J398" s="149" t="n">
        <x:v>8.19</x:v>
      </x:c>
      <x:c r="K398" s="146" t="str">
        <x:v>=1.3*0.6*1.5*7</x:v>
      </x:c>
      <x:c r="L398" s="149" t="n">
        <x:v>5</x:v>
      </x:c>
      <x:c r="M398" s="149" t="n">
        <x:v>6</x:v>
      </x:c>
      <x:c r="N398" s="149" t="n">
        <x:v>40.949999999999996</x:v>
      </x:c>
      <x:c r="O398" s="149" t="n">
        <x:v>49.14</x:v>
      </x:c>
      <x:c r="P398" s="149" t="n">
        <x:f>IF('입력·근거'!$B$12="HIGH",O398,N398)</x:f>
        <x:v>40.949999999999996</x:v>
      </x:c>
      <x:c r="Q398" s="158" t="str"/>
      <x:c r="R398" s="161" t="str">
        <x:f>IF(Q398="","",P398*Q398)</x:f>
      </x:c>
      <x:c r="S398" s="146" t="str">
        <x:v>formula_quantity;scope_multiplier_applied_for_scenario;scope_multiplier_conflict;unpriced_source</x:v>
      </x:c>
    </x:row>
    <x:row r="399">
      <x:c r="A399" s="146" t="str">
        <x:v>MARKET SHED.</x:v>
      </x:c>
      <x:c r="B399" s="146" t="n">
        <x:v>9</x:v>
      </x:c>
      <x:c r="C399" s="146" t="str">
        <x:v>여성친화형 시장 쉼터</x:v>
      </x:c>
      <x:c r="D399" s="146" t="str">
        <x:v>토공·기초</x:v>
      </x:c>
      <x:c r="E399" s="146" t="str">
        <x:v>ELEMENT NO.1</x:v>
      </x:c>
      <x:c r="F399" s="146" t="str">
        <x:v>SUBSTRUCTURE</x:v>
      </x:c>
      <x:c r="G399" s="146" t="str">
        <x:v>D</x:v>
      </x:c>
      <x:c r="H399" s="49" t="str">
        <x:v>Return fill and ram selected excavated material around foundations.</x:v>
      </x:c>
      <x:c r="I399" s="146" t="str">
        <x:v>m³</x:v>
      </x:c>
      <x:c r="J399" s="149" t="n">
        <x:v>1.1899999999999995</x:v>
      </x:c>
      <x:c r="K399" s="146" t="str">
        <x:v>=D8-D18-D29*0.2</x:v>
      </x:c>
      <x:c r="L399" s="149" t="n">
        <x:v>5</x:v>
      </x:c>
      <x:c r="M399" s="149" t="n">
        <x:v>6</x:v>
      </x:c>
      <x:c r="N399" s="149" t="n">
        <x:v>5.9499999999999975</x:v>
      </x:c>
      <x:c r="O399" s="149" t="n">
        <x:v>7.139999999999997</x:v>
      </x:c>
      <x:c r="P399" s="149" t="n">
        <x:f>IF('입력·근거'!$B$12="HIGH",O399,N399)</x:f>
        <x:v>5.9499999999999975</x:v>
      </x:c>
      <x:c r="Q399" s="158" t="str"/>
      <x:c r="R399" s="161" t="str">
        <x:f>IF(Q399="","",P399*Q399)</x:f>
      </x:c>
      <x:c r="S399" s="146" t="str">
        <x:v>formula_quantity;scope_multiplier_applied_for_scenario;scope_multiplier_conflict;unpriced_source</x:v>
      </x:c>
    </x:row>
    <x:row r="400">
      <x:c r="A400" s="146" t="str">
        <x:v>MARKET SHED.</x:v>
      </x:c>
      <x:c r="B400" s="146" t="n">
        <x:v>10</x:v>
      </x:c>
      <x:c r="C400" s="146" t="str">
        <x:v>여성친화형 시장 쉼터</x:v>
      </x:c>
      <x:c r="D400" s="146" t="str">
        <x:v>토공·기초</x:v>
      </x:c>
      <x:c r="E400" s="146" t="str">
        <x:v>ELEMENT NO.1</x:v>
      </x:c>
      <x:c r="F400" s="146" t="str">
        <x:v>SUBSTRUCTURE</x:v>
      </x:c>
      <x:c r="G400" s="146" t="str">
        <x:v>E</x:v>
      </x:c>
      <x:c r="H400" s="49" t="str">
        <x:v>Load and cart away surplus excavated material from site.</x:v>
      </x:c>
      <x:c r="I400" s="146" t="str">
        <x:v>m³</x:v>
      </x:c>
      <x:c r="J400" s="149" t="n">
        <x:v>13</x:v>
      </x:c>
      <x:c r="K400" s="146" t="str"/>
      <x:c r="L400" s="149" t="n">
        <x:v>5</x:v>
      </x:c>
      <x:c r="M400" s="149" t="n">
        <x:v>6</x:v>
      </x:c>
      <x:c r="N400" s="149" t="n">
        <x:v>65</x:v>
      </x:c>
      <x:c r="O400" s="149" t="n">
        <x:v>78</x:v>
      </x:c>
      <x:c r="P400" s="149" t="n">
        <x:f>IF('입력·근거'!$B$12="HIGH",O400,N400)</x:f>
        <x:v>65</x:v>
      </x:c>
      <x:c r="Q400" s="158" t="str"/>
      <x:c r="R400" s="161" t="str">
        <x:f>IF(Q400="","",P400*Q400)</x:f>
      </x:c>
      <x:c r="S400" s="146" t="str">
        <x:v>scope_multiplier_applied_for_scenario;scope_multiplier_conflict;unpriced_source</x:v>
      </x:c>
    </x:row>
    <x:row r="401">
      <x:c r="A401" s="146" t="str">
        <x:v>MARKET SHED.</x:v>
      </x:c>
      <x:c r="B401" s="146" t="n">
        <x:v>11</x:v>
      </x:c>
      <x:c r="C401" s="146" t="str">
        <x:v>여성친화형 시장 쉼터</x:v>
      </x:c>
      <x:c r="D401" s="146" t="str">
        <x:v>토공·기초</x:v>
      </x:c>
      <x:c r="E401" s="146" t="str">
        <x:v>ELEMENT NO.1</x:v>
      </x:c>
      <x:c r="F401" s="146" t="str">
        <x:v>SUBSTRUCTURE</x:v>
      </x:c>
      <x:c r="G401" s="146" t="str">
        <x:v>F</x:v>
      </x:c>
      <x:c r="H401" s="49" t="str">
        <x:v>Approved marrum fill to make up levels; well rolled and compacted to 95% MDD to Engineer's approval</x:v>
      </x:c>
      <x:c r="I401" s="146" t="str">
        <x:v>m³</x:v>
      </x:c>
      <x:c r="J401" s="149" t="n">
        <x:v>13</x:v>
      </x:c>
      <x:c r="K401" s="146" t="str"/>
      <x:c r="L401" s="149" t="n">
        <x:v>5</x:v>
      </x:c>
      <x:c r="M401" s="149" t="n">
        <x:v>6</x:v>
      </x:c>
      <x:c r="N401" s="149" t="n">
        <x:v>65</x:v>
      </x:c>
      <x:c r="O401" s="149" t="n">
        <x:v>78</x:v>
      </x:c>
      <x:c r="P401" s="149" t="n">
        <x:f>IF('입력·근거'!$B$12="HIGH",O401,N401)</x:f>
        <x:v>65</x:v>
      </x:c>
      <x:c r="Q401" s="158" t="str"/>
      <x:c r="R401" s="161" t="str">
        <x:f>IF(Q401="","",P401*Q401)</x:f>
      </x:c>
      <x:c r="S401" s="146" t="str">
        <x:v>scope_multiplier_applied_for_scenario;scope_multiplier_conflict;unpriced_source</x:v>
      </x:c>
    </x:row>
    <x:row r="402">
      <x:c r="A402" s="146" t="str">
        <x:v>MARKET SHED.</x:v>
      </x:c>
      <x:c r="B402" s="146" t="n">
        <x:v>12</x:v>
      </x:c>
      <x:c r="C402" s="146" t="str">
        <x:v>여성친화형 시장 쉼터</x:v>
      </x:c>
      <x:c r="D402" s="146" t="str">
        <x:v>토공·기초</x:v>
      </x:c>
      <x:c r="E402" s="146" t="str">
        <x:v>ELEMENT NO.1</x:v>
      </x:c>
      <x:c r="F402" s="146" t="str">
        <x:v>SUBSTRUCTURE</x:v>
      </x:c>
      <x:c r="G402" s="146" t="str">
        <x:v>G</x:v>
      </x:c>
      <x:c r="H402" s="49" t="str">
        <x:v>200mm Thick bed of hand packed stone base, well rolled and compacted.</x:v>
      </x:c>
      <x:c r="I402" s="146" t="str">
        <x:v>m²</x:v>
      </x:c>
      <x:c r="J402" s="149" t="n">
        <x:v>40.8</x:v>
      </x:c>
      <x:c r="K402" s="146" t="str">
        <x:v>=3.4*2*6</x:v>
      </x:c>
      <x:c r="L402" s="149" t="n">
        <x:v>5</x:v>
      </x:c>
      <x:c r="M402" s="149" t="n">
        <x:v>6</x:v>
      </x:c>
      <x:c r="N402" s="149" t="n">
        <x:v>204</x:v>
      </x:c>
      <x:c r="O402" s="149" t="n">
        <x:v>244.79999999999998</x:v>
      </x:c>
      <x:c r="P402" s="149" t="n">
        <x:f>IF('입력·근거'!$B$12="HIGH",O402,N402)</x:f>
        <x:v>204</x:v>
      </x:c>
      <x:c r="Q402" s="158" t="str"/>
      <x:c r="R402" s="161" t="str">
        <x:f>IF(Q402="","",P402*Q402)</x:f>
      </x:c>
      <x:c r="S402" s="146" t="str">
        <x:v>formula_quantity;scope_multiplier_applied_for_scenario;scope_multiplier_conflict;unpriced_source</x:v>
      </x:c>
    </x:row>
    <x:row r="403">
      <x:c r="A403" s="146" t="str">
        <x:v>MARKET SHED.</x:v>
      </x:c>
      <x:c r="B403" s="146" t="n">
        <x:v>13</x:v>
      </x:c>
      <x:c r="C403" s="146" t="str">
        <x:v>여성친화형 시장 쉼터</x:v>
      </x:c>
      <x:c r="D403" s="146" t="str">
        <x:v>조적</x:v>
      </x:c>
      <x:c r="E403" s="146" t="str">
        <x:v>ELEMENT NO.1</x:v>
      </x:c>
      <x:c r="F403" s="146" t="str">
        <x:v>SUBSTRUCTURE</x:v>
      </x:c>
      <x:c r="G403" s="146" t="str">
        <x:v>H</x:v>
      </x:c>
      <x:c r="H403" s="49" t="str">
        <x:v>Insecticide treatment to surfaces of hardcore, top of foundation walling, bottom and sides of excavation.</x:v>
      </x:c>
      <x:c r="I403" s="146" t="str">
        <x:v>m²</x:v>
      </x:c>
      <x:c r="J403" s="149" t="n">
        <x:v>73.56</x:v>
      </x:c>
      <x:c r="K403" s="146" t="str">
        <x:v>=1.3*3.6*7+D12</x:v>
      </x:c>
      <x:c r="L403" s="149" t="n">
        <x:v>5</x:v>
      </x:c>
      <x:c r="M403" s="149" t="n">
        <x:v>6</x:v>
      </x:c>
      <x:c r="N403" s="149" t="n">
        <x:v>367.8</x:v>
      </x:c>
      <x:c r="O403" s="149" t="n">
        <x:v>441.36</x:v>
      </x:c>
      <x:c r="P403" s="149" t="n">
        <x:f>IF('입력·근거'!$B$12="HIGH",O403,N403)</x:f>
        <x:v>367.8</x:v>
      </x:c>
      <x:c r="Q403" s="158" t="str"/>
      <x:c r="R403" s="161" t="str">
        <x:f>IF(Q403="","",P403*Q403)</x:f>
      </x:c>
      <x:c r="S403" s="146" t="str">
        <x:v>formula_quantity;scope_multiplier_applied_for_scenario;scope_multiplier_conflict;unpriced_source</x:v>
      </x:c>
    </x:row>
    <x:row r="404">
      <x:c r="A404" s="146" t="str">
        <x:v>MARKET SHED.</x:v>
      </x:c>
      <x:c r="B404" s="146" t="n">
        <x:v>15</x:v>
      </x:c>
      <x:c r="C404" s="146" t="str">
        <x:v>여성친화형 시장 쉼터</x:v>
      </x:c>
      <x:c r="D404" s="146" t="str">
        <x:v>토공·기초</x:v>
      </x:c>
      <x:c r="E404" s="146" t="str">
        <x:v>ELEMENT NO.1</x:v>
      </x:c>
      <x:c r="F404" s="146" t="str">
        <x:v>COARSE SAND: in</x:v>
      </x:c>
      <x:c r="G404" s="146" t="str">
        <x:v>I</x:v>
      </x:c>
      <x:c r="H404" s="49" t="str">
        <x:v>50mm thick blinding over surfaces of hardcore</x:v>
      </x:c>
      <x:c r="I404" s="146" t="str">
        <x:v>m²</x:v>
      </x:c>
      <x:c r="J404" s="149" t="n">
        <x:v>40.8</x:v>
      </x:c>
      <x:c r="K404" s="146" t="str">
        <x:v>=D12</x:v>
      </x:c>
      <x:c r="L404" s="149" t="n">
        <x:v>5</x:v>
      </x:c>
      <x:c r="M404" s="149" t="n">
        <x:v>6</x:v>
      </x:c>
      <x:c r="N404" s="149" t="n">
        <x:v>204</x:v>
      </x:c>
      <x:c r="O404" s="149" t="n">
        <x:v>244.79999999999998</x:v>
      </x:c>
      <x:c r="P404" s="149" t="n">
        <x:f>IF('입력·근거'!$B$12="HIGH",O404,N404)</x:f>
        <x:v>204</x:v>
      </x:c>
      <x:c r="Q404" s="158" t="str"/>
      <x:c r="R404" s="161" t="str">
        <x:f>IF(Q404="","",P404*Q404)</x:f>
      </x:c>
      <x:c r="S404" s="146" t="str">
        <x:v>formula_quantity;scope_multiplier_applied_for_scenario;scope_multiplier_conflict;unpriced_source</x:v>
      </x:c>
    </x:row>
    <x:row r="405">
      <x:c r="A405" s="146" t="str">
        <x:v>MARKET SHED.</x:v>
      </x:c>
      <x:c r="B405" s="146" t="n">
        <x:v>18</x:v>
      </x:c>
      <x:c r="C405" s="146" t="str">
        <x:v>여성친화형 시장 쉼터</x:v>
      </x:c>
      <x:c r="D405" s="146" t="str">
        <x:v>콘크리트·철근·거푸집</x:v>
      </x:c>
      <x:c r="E405" s="146" t="str">
        <x:v>ELEMENT NO.1</x:v>
      </x:c>
      <x:c r="F405" s="146" t="str">
        <x:v>VIBRATED MASS CONCRETE CLASS 20; 20mm AGGREGATE : in</x:v>
      </x:c>
      <x:c r="G405" s="146" t="str">
        <x:v>J</x:v>
      </x:c>
      <x:c r="H405" s="49" t="str">
        <x:v>Strip foundations</x:v>
      </x:c>
      <x:c r="I405" s="146" t="str">
        <x:v>m³</x:v>
      </x:c>
      <x:c r="J405" s="149" t="n">
        <x:v>1</x:v>
      </x:c>
      <x:c r="K405" s="146" t="str"/>
      <x:c r="L405" s="149" t="n">
        <x:v>5</x:v>
      </x:c>
      <x:c r="M405" s="149" t="n">
        <x:v>6</x:v>
      </x:c>
      <x:c r="N405" s="149" t="n">
        <x:v>5</x:v>
      </x:c>
      <x:c r="O405" s="149" t="n">
        <x:v>6</x:v>
      </x:c>
      <x:c r="P405" s="149" t="n">
        <x:f>IF('입력·근거'!$B$12="HIGH",O405,N405)</x:f>
        <x:v>5</x:v>
      </x:c>
      <x:c r="Q405" s="158" t="str"/>
      <x:c r="R405" s="161" t="str">
        <x:f>IF(Q405="","",P405*Q405)</x:f>
      </x:c>
      <x:c r="S405" s="146" t="str">
        <x:v>scope_multiplier_applied_for_scenario;scope_multiplier_conflict;unpriced_source</x:v>
      </x:c>
    </x:row>
    <x:row r="406">
      <x:c r="A406" s="146" t="str">
        <x:v>MARKET SHED.</x:v>
      </x:c>
      <x:c r="B406" s="146" t="n">
        <x:v>20</x:v>
      </x:c>
      <x:c r="C406" s="146" t="str">
        <x:v>여성친화형 시장 쉼터</x:v>
      </x:c>
      <x:c r="D406" s="146" t="str">
        <x:v>콘크리트·철근·거푸집</x:v>
      </x:c>
      <x:c r="E406" s="146" t="str">
        <x:v>ELEMENT NO.1</x:v>
      </x:c>
      <x:c r="F406" s="146" t="str">
        <x:v>VIBRATED REINFORCED CONCRETE CLASS 30; 20mm AGGREGATE : in</x:v>
      </x:c>
      <x:c r="G406" s="146" t="str">
        <x:v>K</x:v>
      </x:c>
      <x:c r="H406" s="49" t="str">
        <x:v>100mm thick ground floor slab</x:v>
      </x:c>
      <x:c r="I406" s="146" t="str">
        <x:v>m²</x:v>
      </x:c>
      <x:c r="J406" s="149" t="n">
        <x:v>40.8</x:v>
      </x:c>
      <x:c r="K406" s="146" t="str">
        <x:v>=D12</x:v>
      </x:c>
      <x:c r="L406" s="149" t="n">
        <x:v>5</x:v>
      </x:c>
      <x:c r="M406" s="149" t="n">
        <x:v>6</x:v>
      </x:c>
      <x:c r="N406" s="149" t="n">
        <x:v>204</x:v>
      </x:c>
      <x:c r="O406" s="149" t="n">
        <x:v>244.79999999999998</x:v>
      </x:c>
      <x:c r="P406" s="149" t="n">
        <x:f>IF('입력·근거'!$B$12="HIGH",O406,N406)</x:f>
        <x:v>204</x:v>
      </x:c>
      <x:c r="Q406" s="158" t="str"/>
      <x:c r="R406" s="161" t="str">
        <x:f>IF(Q406="","",P406*Q406)</x:f>
      </x:c>
      <x:c r="S406" s="146" t="str">
        <x:v>formula_quantity;scope_multiplier_applied_for_scenario;scope_multiplier_conflict;unpriced_source</x:v>
      </x:c>
    </x:row>
    <x:row r="407">
      <x:c r="A407" s="146" t="str">
        <x:v>MARKET SHED.</x:v>
      </x:c>
      <x:c r="B407" s="146" t="n">
        <x:v>22</x:v>
      </x:c>
      <x:c r="C407" s="146" t="str">
        <x:v>여성친화형 시장 쉼터</x:v>
      </x:c>
      <x:c r="D407" s="146" t="str">
        <x:v>콘크리트·철근·거푸집</x:v>
      </x:c>
      <x:c r="E407" s="146" t="str">
        <x:v>ELEMENT NO.1</x:v>
      </x:c>
      <x:c r="F407" s="146" t="str">
        <x:v>STEEL FABRIC REINFORCEMENT TO BS 4483 as described</x:v>
      </x:c>
      <x:c r="G407" s="146" t="str">
        <x:v>L</x:v>
      </x:c>
      <x:c r="H407" s="49" t="str">
        <x:v>No. A98 Fabric Mesh reinforcement weighing 1.58kg. per square meter fixed in slab</x:v>
      </x:c>
      <x:c r="I407" s="146" t="str">
        <x:v>m²</x:v>
      </x:c>
      <x:c r="J407" s="149" t="n">
        <x:v>40.8</x:v>
      </x:c>
      <x:c r="K407" s="146" t="str">
        <x:v>=D20</x:v>
      </x:c>
      <x:c r="L407" s="149" t="n">
        <x:v>5</x:v>
      </x:c>
      <x:c r="M407" s="149" t="n">
        <x:v>6</x:v>
      </x:c>
      <x:c r="N407" s="149" t="n">
        <x:v>204</x:v>
      </x:c>
      <x:c r="O407" s="149" t="n">
        <x:v>244.79999999999998</x:v>
      </x:c>
      <x:c r="P407" s="149" t="n">
        <x:f>IF('입력·근거'!$B$12="HIGH",O407,N407)</x:f>
        <x:v>204</x:v>
      </x:c>
      <x:c r="Q407" s="158" t="str"/>
      <x:c r="R407" s="161" t="str">
        <x:f>IF(Q407="","",P407*Q407)</x:f>
      </x:c>
      <x:c r="S407" s="146" t="str">
        <x:v>formula_quantity;scope_multiplier_applied_for_scenario;scope_multiplier_conflict;unpriced_source</x:v>
      </x:c>
    </x:row>
    <x:row r="408">
      <x:c r="A408" s="146" t="str">
        <x:v>MARKET SHED.</x:v>
      </x:c>
      <x:c r="B408" s="146" t="n">
        <x:v>24</x:v>
      </x:c>
      <x:c r="C408" s="146" t="str">
        <x:v>여성친화형 시장 쉼터</x:v>
      </x:c>
      <x:c r="D408" s="146" t="str">
        <x:v>콘크리트·철근·거푸집</x:v>
      </x:c>
      <x:c r="E408" s="146" t="str">
        <x:v>ELEMENT NO.1</x:v>
      </x:c>
      <x:c r="F408" s="146" t="str">
        <x:v>FORMWORK TO</x:v>
      </x:c>
      <x:c r="G408" s="146" t="str">
        <x:v>M</x:v>
      </x:c>
      <x:c r="H408" s="49" t="str">
        <x:v>Edges of slabs 75 to 150mm high</x:v>
      </x:c>
      <x:c r="I408" s="146" t="str">
        <x:v>m</x:v>
      </x:c>
      <x:c r="J408" s="149" t="n">
        <x:v>31.5</x:v>
      </x:c>
      <x:c r="K408" s="146" t="str">
        <x:v>=2*(12.15+3.6)</x:v>
      </x:c>
      <x:c r="L408" s="149" t="n">
        <x:v>5</x:v>
      </x:c>
      <x:c r="M408" s="149" t="n">
        <x:v>6</x:v>
      </x:c>
      <x:c r="N408" s="149" t="n">
        <x:v>157.5</x:v>
      </x:c>
      <x:c r="O408" s="149" t="n">
        <x:v>189</x:v>
      </x:c>
      <x:c r="P408" s="149" t="n">
        <x:f>IF('입력·근거'!$B$12="HIGH",O408,N408)</x:f>
        <x:v>157.5</x:v>
      </x:c>
      <x:c r="Q408" s="158" t="str"/>
      <x:c r="R408" s="161" t="str">
        <x:f>IF(Q408="","",P408*Q408)</x:f>
      </x:c>
      <x:c r="S408" s="146" t="str">
        <x:v>formula_quantity;scope_multiplier_applied_for_scenario;scope_multiplier_conflict;unpriced_source</x:v>
      </x:c>
    </x:row>
    <x:row r="409">
      <x:c r="A409" s="146" t="str">
        <x:v>MARKET SHED.</x:v>
      </x:c>
      <x:c r="B409" s="146" t="n">
        <x:v>26</x:v>
      </x:c>
      <x:c r="C409" s="146" t="str">
        <x:v>여성친화형 시장 쉼터</x:v>
      </x:c>
      <x:c r="D409" s="146" t="str">
        <x:v>지붕</x:v>
      </x:c>
      <x:c r="E409" s="146" t="str">
        <x:v>ELEMENT NO.1</x:v>
      </x:c>
      <x:c r="F409" s="146" t="str">
        <x:v>DAMP PROOF COURSES</x:v>
      </x:c>
      <x:c r="G409" s="146" t="str">
        <x:v>N</x:v>
      </x:c>
      <x:c r="H409" s="49" t="str">
        <x:v>1000 Gauge polythene sheeting laid on blinded hardcore</x:v>
      </x:c>
      <x:c r="I409" s="146" t="str">
        <x:v>m²</x:v>
      </x:c>
      <x:c r="J409" s="149" t="n">
        <x:v>40.8</x:v>
      </x:c>
      <x:c r="K409" s="146" t="str">
        <x:v>=D22</x:v>
      </x:c>
      <x:c r="L409" s="149" t="n">
        <x:v>5</x:v>
      </x:c>
      <x:c r="M409" s="149" t="n">
        <x:v>6</x:v>
      </x:c>
      <x:c r="N409" s="149" t="n">
        <x:v>204</x:v>
      </x:c>
      <x:c r="O409" s="149" t="n">
        <x:v>244.79999999999998</x:v>
      </x:c>
      <x:c r="P409" s="149" t="n">
        <x:f>IF('입력·근거'!$B$12="HIGH",O409,N409)</x:f>
        <x:v>204</x:v>
      </x:c>
      <x:c r="Q409" s="158" t="str"/>
      <x:c r="R409" s="161" t="str">
        <x:f>IF(Q409="","",P409*Q409)</x:f>
      </x:c>
      <x:c r="S409" s="146" t="str">
        <x:v>formula_quantity;scope_multiplier_applied_for_scenario;scope_multiplier_conflict;unpriced_source</x:v>
      </x:c>
    </x:row>
    <x:row r="410">
      <x:c r="A410" s="146" t="str">
        <x:v>MARKET SHED.</x:v>
      </x:c>
      <x:c r="B410" s="146" t="n">
        <x:v>29</x:v>
      </x:c>
      <x:c r="C410" s="146" t="str">
        <x:v>여성친화형 시장 쉼터</x:v>
      </x:c>
      <x:c r="D410" s="146" t="str">
        <x:v>조적</x:v>
      </x:c>
      <x:c r="E410" s="146" t="str">
        <x:v>ELEMENT NO.1</x:v>
      </x:c>
      <x:c r="F410" s="146" t="str">
        <x:v>Brickwork in burnt clay bricks in cement and sand mortar (1:3) mix; with and including 25 x 3mm hoop iron strips laid horizontally every alternate course.</x:v>
      </x:c>
      <x:c r="G410" s="146" t="str">
        <x:v>O</x:v>
      </x:c>
      <x:c r="H410" s="49" t="str">
        <x:v>200mm Thick walls</x:v>
      </x:c>
      <x:c r="I410" s="146" t="str">
        <x:v>m²</x:v>
      </x:c>
      <x:c r="J410" s="149" t="n">
        <x:v>30</x:v>
      </x:c>
      <x:c r="K410" s="146" t="str"/>
      <x:c r="L410" s="149" t="n">
        <x:v>5</x:v>
      </x:c>
      <x:c r="M410" s="149" t="n">
        <x:v>6</x:v>
      </x:c>
      <x:c r="N410" s="149" t="n">
        <x:v>150</x:v>
      </x:c>
      <x:c r="O410" s="149" t="n">
        <x:v>180</x:v>
      </x:c>
      <x:c r="P410" s="149" t="n">
        <x:f>IF('입력·근거'!$B$12="HIGH",O410,N410)</x:f>
        <x:v>150</x:v>
      </x:c>
      <x:c r="Q410" s="158" t="str"/>
      <x:c r="R410" s="161" t="str">
        <x:f>IF(Q410="","",P410*Q410)</x:f>
      </x:c>
      <x:c r="S410" s="146" t="str">
        <x:v>scope_multiplier_applied_for_scenario;scope_multiplier_conflict;unpriced_source</x:v>
      </x:c>
    </x:row>
    <x:row r="411">
      <x:c r="A411" s="146" t="str">
        <x:v>MARKET SHED.</x:v>
      </x:c>
      <x:c r="B411" s="146" t="n">
        <x:v>30</x:v>
      </x:c>
      <x:c r="C411" s="146" t="str">
        <x:v>여성친화형 시장 쉼터</x:v>
      </x:c>
      <x:c r="D411" s="146" t="str">
        <x:v>급배수·위생</x:v>
      </x:c>
      <x:c r="E411" s="146" t="str">
        <x:v>ELEMENT NO.1</x:v>
      </x:c>
      <x:c r="F411" s="146" t="str">
        <x:v>Brickwork in burnt clay bricks in cement and sand mortar (1:3) mix; with and including 25 x 3mm hoop iron strips laid horizontally every alternate course.</x:v>
      </x:c>
      <x:c r="G411" s="146" t="str">
        <x:v>P</x:v>
      </x:c>
      <x:c r="H411" s="49" t="str">
        <x:v>75mm diameter x 6mm thick x 3200mm high galvanised iron class B pipe support with bottom end welded to 110 x 110 x 6mm thick plate set in and including concrete (1:3:6) base size 200 x 200 x 300mm deep and 100 x 80 x 6mm U-plate welded on top end and general painting.</x:v>
      </x:c>
      <x:c r="I411" s="146" t="str">
        <x:v>no.</x:v>
      </x:c>
      <x:c r="J411" s="149" t="n">
        <x:v>14</x:v>
      </x:c>
      <x:c r="K411" s="146" t="str"/>
      <x:c r="L411" s="149" t="n">
        <x:v>5</x:v>
      </x:c>
      <x:c r="M411" s="149" t="n">
        <x:v>6</x:v>
      </x:c>
      <x:c r="N411" s="149" t="n">
        <x:v>70</x:v>
      </x:c>
      <x:c r="O411" s="149" t="n">
        <x:v>84</x:v>
      </x:c>
      <x:c r="P411" s="149" t="n">
        <x:f>IF('입력·근거'!$B$12="HIGH",O411,N411)</x:f>
        <x:v>70</x:v>
      </x:c>
      <x:c r="Q411" s="158" t="str"/>
      <x:c r="R411" s="161" t="str">
        <x:f>IF(Q411="","",P411*Q411)</x:f>
      </x:c>
      <x:c r="S411" s="146" t="str">
        <x:v>scope_multiplier_applied_for_scenario;scope_multiplier_conflict;unpriced_source</x:v>
      </x:c>
    </x:row>
    <x:row r="412">
      <x:c r="A412" s="146" t="str">
        <x:v>MARKET SHED.</x:v>
      </x:c>
      <x:c r="B412" s="146" t="n">
        <x:v>37</x:v>
      </x:c>
      <x:c r="C412" s="146" t="str">
        <x:v>여성친화형 시장 쉼터</x:v>
      </x:c>
      <x:c r="D412" s="146" t="str">
        <x:v>조적</x:v>
      </x:c>
      <x:c r="E412" s="146" t="str">
        <x:v>ELEMENT NO.2</x:v>
      </x:c>
      <x:c r="F412" s="146" t="str">
        <x:v>Brickwork in burnt clay bricks in cement and sand mortar (1:3) mix; with and including 25 x 3mm hoop iron strips laid horizontally every alternate course.</x:v>
      </x:c>
      <x:c r="G412" s="146" t="str">
        <x:v>A</x:v>
      </x:c>
      <x:c r="H412" s="49" t="str">
        <x:v>200mm Thick walls</x:v>
      </x:c>
      <x:c r="I412" s="146" t="str">
        <x:v>m²</x:v>
      </x:c>
      <x:c r="J412" s="149" t="n">
        <x:v>29</x:v>
      </x:c>
      <x:c r="K412" s="146" t="str"/>
      <x:c r="L412" s="149" t="n">
        <x:v>5</x:v>
      </x:c>
      <x:c r="M412" s="149" t="n">
        <x:v>6</x:v>
      </x:c>
      <x:c r="N412" s="149" t="n">
        <x:v>145</x:v>
      </x:c>
      <x:c r="O412" s="149" t="n">
        <x:v>174</x:v>
      </x:c>
      <x:c r="P412" s="149" t="n">
        <x:f>IF('입력·근거'!$B$12="HIGH",O412,N412)</x:f>
        <x:v>145</x:v>
      </x:c>
      <x:c r="Q412" s="158" t="str"/>
      <x:c r="R412" s="161" t="str">
        <x:f>IF(Q412="","",P412*Q412)</x:f>
      </x:c>
      <x:c r="S412" s="146" t="str">
        <x:v>scope_multiplier_applied_for_scenario;scope_multiplier_conflict;unpriced_source</x:v>
      </x:c>
    </x:row>
    <x:row r="413">
      <x:c r="A413" s="146" t="str">
        <x:v>MARKET SHED.</x:v>
      </x:c>
      <x:c r="B413" s="146" t="n">
        <x:v>39</x:v>
      </x:c>
      <x:c r="C413" s="146" t="str">
        <x:v>여성친화형 시장 쉼터</x:v>
      </x:c>
      <x:c r="D413" s="146" t="str">
        <x:v>지붕</x:v>
      </x:c>
      <x:c r="E413" s="146" t="str">
        <x:v>ELEMENT NO.2</x:v>
      </x:c>
      <x:c r="F413" s="146" t="str">
        <x:v>DAMP PROOF COURSE OF BITUMEN FELT TO B.S 743 Type A with 150mm laps including cement and sand (1:3) levelling bed</x:v>
      </x:c>
      <x:c r="G413" s="146" t="str">
        <x:v>B</x:v>
      </x:c>
      <x:c r="H413" s="49" t="str">
        <x:v>200mm Wide</x:v>
      </x:c>
      <x:c r="I413" s="146" t="str">
        <x:v>m</x:v>
      </x:c>
      <x:c r="J413" s="149" t="n">
        <x:v>23</x:v>
      </x:c>
      <x:c r="K413" s="146" t="str"/>
      <x:c r="L413" s="149" t="n">
        <x:v>5</x:v>
      </x:c>
      <x:c r="M413" s="149" t="n">
        <x:v>6</x:v>
      </x:c>
      <x:c r="N413" s="149" t="n">
        <x:v>115</x:v>
      </x:c>
      <x:c r="O413" s="149" t="n">
        <x:v>138</x:v>
      </x:c>
      <x:c r="P413" s="149" t="n">
        <x:f>IF('입력·근거'!$B$12="HIGH",O413,N413)</x:f>
        <x:v>115</x:v>
      </x:c>
      <x:c r="Q413" s="158" t="str"/>
      <x:c r="R413" s="161" t="str">
        <x:f>IF(Q413="","",P413*Q413)</x:f>
      </x:c>
      <x:c r="S413" s="146" t="str">
        <x:v>scope_multiplier_applied_for_scenario;scope_multiplier_conflict;unpriced_source</x:v>
      </x:c>
    </x:row>
    <x:row r="414">
      <x:c r="A414" s="146" t="str">
        <x:v>MARKET SHED.</x:v>
      </x:c>
      <x:c r="B414" s="146" t="n">
        <x:v>40</x:v>
      </x:c>
      <x:c r="C414" s="146" t="str">
        <x:v>여성친화형 시장 쉼터</x:v>
      </x:c>
      <x:c r="D414" s="146" t="str">
        <x:v>지붕</x:v>
      </x:c>
      <x:c r="E414" s="146" t="str">
        <x:v>ELEMENT NO.2</x:v>
      </x:c>
      <x:c r="F414" s="146" t="str">
        <x:v>DAMP PROOF COURSE OF BITUMEN FELT TO B.S 743 Type A with 150mm laps including cement and sand (1:3) levelling bed</x:v>
      </x:c>
      <x:c r="G414" s="146" t="str">
        <x:v>C</x:v>
      </x:c>
      <x:c r="H414" s="49" t="str">
        <x:v>75mm thick concrete class 20/20mm aggregate slab on top of lockups with and including fabric mesh reinforcement ref A98 as before described; finished smooth with 10mm thick cement sand screed (1:3) steel trowelled smooth; including all necessary formwork.</x:v>
      </x:c>
      <x:c r="I414" s="146" t="str">
        <x:v>m²</x:v>
      </x:c>
      <x:c r="J414" s="149" t="n">
        <x:v>9.72</x:v>
      </x:c>
      <x:c r="K414" s="146" t="str">
        <x:v>=0.8*12.15</x:v>
      </x:c>
      <x:c r="L414" s="149" t="n">
        <x:v>5</x:v>
      </x:c>
      <x:c r="M414" s="149" t="n">
        <x:v>6</x:v>
      </x:c>
      <x:c r="N414" s="149" t="n">
        <x:v>48.6</x:v>
      </x:c>
      <x:c r="O414" s="149" t="n">
        <x:v>58.32000000000001</x:v>
      </x:c>
      <x:c r="P414" s="149" t="n">
        <x:f>IF('입력·근거'!$B$12="HIGH",O414,N414)</x:f>
        <x:v>48.6</x:v>
      </x:c>
      <x:c r="Q414" s="158" t="str"/>
      <x:c r="R414" s="161" t="str">
        <x:f>IF(Q414="","",P414*Q414)</x:f>
      </x:c>
      <x:c r="S414" s="146" t="str">
        <x:v>formula_quantity;scope_multiplier_applied_for_scenario;scope_multiplier_conflict;unpriced_source</x:v>
      </x:c>
    </x:row>
    <x:row r="415">
      <x:c r="A415" s="146" t="str">
        <x:v>MARKET SHED.</x:v>
      </x:c>
      <x:c r="B415" s="146" t="n">
        <x:v>47</x:v>
      </x:c>
      <x:c r="C415" s="146" t="str">
        <x:v>여성친화형 시장 쉼터</x:v>
      </x:c>
      <x:c r="D415" s="146" t="str">
        <x:v>콘크리트·철근·거푸집</x:v>
      </x:c>
      <x:c r="E415" s="146" t="str">
        <x:v>ELEMENT NO.4</x:v>
      </x:c>
      <x:c r="F415" s="146" t="str">
        <x:v>Sawn cypress pressure impregnated with preservative:-</x:v>
      </x:c>
      <x:c r="G415" s="146" t="str">
        <x:v>A</x:v>
      </x:c>
      <x:c r="H415" s="49" t="str">
        <x:v>75x100mm Tie beam</x:v>
      </x:c>
      <x:c r="I415" s="146" t="str">
        <x:v>m</x:v>
      </x:c>
      <x:c r="J415" s="149" t="n">
        <x:v>32.199999999999996</x:v>
      </x:c>
      <x:c r="K415" s="146" t="str">
        <x:v>=4.6*7</x:v>
      </x:c>
      <x:c r="L415" s="149" t="n">
        <x:v>5</x:v>
      </x:c>
      <x:c r="M415" s="149" t="n">
        <x:v>6</x:v>
      </x:c>
      <x:c r="N415" s="149" t="n">
        <x:v>160.99999999999997</x:v>
      </x:c>
      <x:c r="O415" s="149" t="n">
        <x:v>193.2</x:v>
      </x:c>
      <x:c r="P415" s="149" t="n">
        <x:f>IF('입력·근거'!$B$12="HIGH",O415,N415)</x:f>
        <x:v>160.99999999999997</x:v>
      </x:c>
      <x:c r="Q415" s="158" t="str"/>
      <x:c r="R415" s="161" t="str">
        <x:f>IF(Q415="","",P415*Q415)</x:f>
      </x:c>
      <x:c r="S415" s="146" t="str">
        <x:v>formula_quantity;scope_multiplier_applied_for_scenario;scope_multiplier_conflict;unpriced_source</x:v>
      </x:c>
    </x:row>
    <x:row r="416">
      <x:c r="A416" s="146" t="str">
        <x:v>MARKET SHED.</x:v>
      </x:c>
      <x:c r="B416" s="146" t="n">
        <x:v>48</x:v>
      </x:c>
      <x:c r="C416" s="146" t="str">
        <x:v>여성친화형 시장 쉼터</x:v>
      </x:c>
      <x:c r="D416" s="146" t="str">
        <x:v>지붕</x:v>
      </x:c>
      <x:c r="E416" s="146" t="str">
        <x:v>ELEMENT NO.4</x:v>
      </x:c>
      <x:c r="F416" s="146" t="str">
        <x:v>Sawn cypress pressure impregnated with preservative:-</x:v>
      </x:c>
      <x:c r="G416" s="146" t="str">
        <x:v>B</x:v>
      </x:c>
      <x:c r="H416" s="49" t="str">
        <x:v>75x100mm Rafters</x:v>
      </x:c>
      <x:c r="I416" s="146" t="str">
        <x:v>m</x:v>
      </x:c>
      <x:c r="J416" s="149" t="n">
        <x:v>39.199999999999996</x:v>
      </x:c>
      <x:c r="K416" s="146" t="str">
        <x:v>=2.8*2*7</x:v>
      </x:c>
      <x:c r="L416" s="149" t="n">
        <x:v>5</x:v>
      </x:c>
      <x:c r="M416" s="149" t="n">
        <x:v>6</x:v>
      </x:c>
      <x:c r="N416" s="149" t="n">
        <x:v>195.99999999999997</x:v>
      </x:c>
      <x:c r="O416" s="149" t="n">
        <x:v>235.2</x:v>
      </x:c>
      <x:c r="P416" s="149" t="n">
        <x:f>IF('입력·근거'!$B$12="HIGH",O416,N416)</x:f>
        <x:v>195.99999999999997</x:v>
      </x:c>
      <x:c r="Q416" s="158" t="str"/>
      <x:c r="R416" s="161" t="str">
        <x:f>IF(Q416="","",P416*Q416)</x:f>
      </x:c>
      <x:c r="S416" s="146" t="str">
        <x:v>formula_quantity;scope_multiplier_applied_for_scenario;scope_multiplier_conflict;unpriced_source</x:v>
      </x:c>
    </x:row>
    <x:row r="417">
      <x:c r="A417" s="146" t="str">
        <x:v>MARKET SHED.</x:v>
      </x:c>
      <x:c r="B417" s="146" t="n">
        <x:v>49</x:v>
      </x:c>
      <x:c r="C417" s="146" t="str">
        <x:v>여성친화형 시장 쉼터</x:v>
      </x:c>
      <x:c r="D417" s="146" t="str">
        <x:v>기타</x:v>
      </x:c>
      <x:c r="E417" s="146" t="str">
        <x:v>ELEMENT NO.4</x:v>
      </x:c>
      <x:c r="F417" s="146" t="str">
        <x:v>Sawn cypress pressure impregnated with preservative:-</x:v>
      </x:c>
      <x:c r="G417" s="146" t="str">
        <x:v>C</x:v>
      </x:c>
      <x:c r="H417" s="49" t="str">
        <x:v>75x100mm wall plate</x:v>
      </x:c>
      <x:c r="I417" s="146" t="str">
        <x:v>m</x:v>
      </x:c>
      <x:c r="J417" s="149" t="n">
        <x:v>24.3</x:v>
      </x:c>
      <x:c r="K417" s="146" t="str">
        <x:v>=12.15*2</x:v>
      </x:c>
      <x:c r="L417" s="149" t="n">
        <x:v>5</x:v>
      </x:c>
      <x:c r="M417" s="149" t="n">
        <x:v>6</x:v>
      </x:c>
      <x:c r="N417" s="149" t="n">
        <x:v>121.5</x:v>
      </x:c>
      <x:c r="O417" s="149" t="n">
        <x:v>145.8</x:v>
      </x:c>
      <x:c r="P417" s="149" t="n">
        <x:f>IF('입력·근거'!$B$12="HIGH",O417,N417)</x:f>
        <x:v>121.5</x:v>
      </x:c>
      <x:c r="Q417" s="158" t="str"/>
      <x:c r="R417" s="161" t="str">
        <x:f>IF(Q417="","",P417*Q417)</x:f>
      </x:c>
      <x:c r="S417" s="146" t="str">
        <x:v>formula_quantity;scope_multiplier_applied_for_scenario;scope_multiplier_conflict;unpriced_source</x:v>
      </x:c>
    </x:row>
    <x:row r="418">
      <x:c r="A418" s="146" t="str">
        <x:v>MARKET SHED.</x:v>
      </x:c>
      <x:c r="B418" s="146" t="n">
        <x:v>50</x:v>
      </x:c>
      <x:c r="C418" s="146" t="str">
        <x:v>여성친화형 시장 쉼터</x:v>
      </x:c>
      <x:c r="D418" s="146" t="str">
        <x:v>기타</x:v>
      </x:c>
      <x:c r="E418" s="146" t="str">
        <x:v>ELEMENT NO.4</x:v>
      </x:c>
      <x:c r="F418" s="146" t="str">
        <x:v>Sawn cypress pressure impregnated with preservative:-</x:v>
      </x:c>
      <x:c r="G418" s="146" t="str">
        <x:v>D</x:v>
      </x:c>
      <x:c r="H418" s="49" t="str">
        <x:v>50x100mm struts and Ties</x:v>
      </x:c>
      <x:c r="I418" s="146" t="str">
        <x:v>m</x:v>
      </x:c>
      <x:c r="J418" s="149" t="n">
        <x:v>55</x:v>
      </x:c>
      <x:c r="K418" s="146" t="str"/>
      <x:c r="L418" s="149" t="n">
        <x:v>5</x:v>
      </x:c>
      <x:c r="M418" s="149" t="n">
        <x:v>6</x:v>
      </x:c>
      <x:c r="N418" s="149" t="n">
        <x:v>275</x:v>
      </x:c>
      <x:c r="O418" s="149" t="n">
        <x:v>330</x:v>
      </x:c>
      <x:c r="P418" s="149" t="n">
        <x:f>IF('입력·근거'!$B$12="HIGH",O418,N418)</x:f>
        <x:v>275</x:v>
      </x:c>
      <x:c r="Q418" s="158" t="str"/>
      <x:c r="R418" s="161" t="str">
        <x:f>IF(Q418="","",P418*Q418)</x:f>
      </x:c>
      <x:c r="S418" s="146" t="str">
        <x:v>scope_multiplier_applied_for_scenario;scope_multiplier_conflict;unpriced_source</x:v>
      </x:c>
    </x:row>
    <x:row r="419">
      <x:c r="A419" s="146" t="str">
        <x:v>MARKET SHED.</x:v>
      </x:c>
      <x:c r="B419" s="146" t="n">
        <x:v>51</x:v>
      </x:c>
      <x:c r="C419" s="146" t="str">
        <x:v>여성친화형 시장 쉼터</x:v>
      </x:c>
      <x:c r="D419" s="146" t="str">
        <x:v>지붕</x:v>
      </x:c>
      <x:c r="E419" s="146" t="str">
        <x:v>ELEMENT NO.4</x:v>
      </x:c>
      <x:c r="F419" s="146" t="str">
        <x:v>Sawn cypress pressure impregnated with preservative:-</x:v>
      </x:c>
      <x:c r="G419" s="146" t="str">
        <x:v>E</x:v>
      </x:c>
      <x:c r="H419" s="49" t="str">
        <x:v>50x100mm purlins</x:v>
      </x:c>
      <x:c r="I419" s="146" t="str">
        <x:v>m</x:v>
      </x:c>
      <x:c r="J419" s="149" t="n">
        <x:v>105.2</x:v>
      </x:c>
      <x:c r="K419" s="146" t="str">
        <x:v>=13.15*4*2</x:v>
      </x:c>
      <x:c r="L419" s="149" t="n">
        <x:v>5</x:v>
      </x:c>
      <x:c r="M419" s="149" t="n">
        <x:v>6</x:v>
      </x:c>
      <x:c r="N419" s="149" t="n">
        <x:v>526</x:v>
      </x:c>
      <x:c r="O419" s="149" t="n">
        <x:v>631.2</x:v>
      </x:c>
      <x:c r="P419" s="149" t="n">
        <x:f>IF('입력·근거'!$B$12="HIGH",O419,N419)</x:f>
        <x:v>526</x:v>
      </x:c>
      <x:c r="Q419" s="158" t="str"/>
      <x:c r="R419" s="161" t="str">
        <x:f>IF(Q419="","",P419*Q419)</x:f>
      </x:c>
      <x:c r="S419" s="146" t="str">
        <x:v>formula_quantity;scope_multiplier_applied_for_scenario;scope_multiplier_conflict;unpriced_source</x:v>
      </x:c>
    </x:row>
    <x:row r="420">
      <x:c r="A420" s="146" t="str">
        <x:v>MARKET SHED.</x:v>
      </x:c>
      <x:c r="B420" s="146" t="n">
        <x:v>52</x:v>
      </x:c>
      <x:c r="C420" s="146" t="str">
        <x:v>여성친화형 시장 쉼터</x:v>
      </x:c>
      <x:c r="D420" s="146" t="str">
        <x:v>지붕</x:v>
      </x:c>
      <x:c r="E420" s="146" t="str">
        <x:v>ELEMENT NO.4</x:v>
      </x:c>
      <x:c r="F420" s="146" t="str">
        <x:v>Sawn cypress pressure impregnated with preservative:-</x:v>
      </x:c>
      <x:c r="G420" s="146" t="str">
        <x:v>F</x:v>
      </x:c>
      <x:c r="H420" s="49" t="str">
        <x:v>225mm facia board well treated and painted with pproved paint</x:v>
      </x:c>
      <x:c r="I420" s="146" t="str">
        <x:v>m</x:v>
      </x:c>
      <x:c r="J420" s="149" t="n">
        <x:v>37.5</x:v>
      </x:c>
      <x:c r="K420" s="146" t="str">
        <x:v>=2.8*4+13.15*2</x:v>
      </x:c>
      <x:c r="L420" s="149" t="n">
        <x:v>5</x:v>
      </x:c>
      <x:c r="M420" s="149" t="n">
        <x:v>6</x:v>
      </x:c>
      <x:c r="N420" s="149" t="n">
        <x:v>187.5</x:v>
      </x:c>
      <x:c r="O420" s="149" t="n">
        <x:v>225</x:v>
      </x:c>
      <x:c r="P420" s="149" t="n">
        <x:f>IF('입력·근거'!$B$12="HIGH",O420,N420)</x:f>
        <x:v>187.5</x:v>
      </x:c>
      <x:c r="Q420" s="158" t="str"/>
      <x:c r="R420" s="161" t="str">
        <x:f>IF(Q420="","",P420*Q420)</x:f>
      </x:c>
      <x:c r="S420" s="146" t="str">
        <x:v>formula_quantity;scope_multiplier_applied_for_scenario;scope_multiplier_conflict;unpriced_source</x:v>
      </x:c>
    </x:row>
    <x:row r="421">
      <x:c r="A421" s="146" t="str">
        <x:v>MARKET SHED.</x:v>
      </x:c>
      <x:c r="B421" s="146" t="n">
        <x:v>53</x:v>
      </x:c>
      <x:c r="C421" s="146" t="str">
        <x:v>여성친화형 시장 쉼터</x:v>
      </x:c>
      <x:c r="D421" s="146" t="str">
        <x:v>지붕</x:v>
      </x:c>
      <x:c r="E421" s="146" t="str">
        <x:v>ELEMENT NO.4</x:v>
      </x:c>
      <x:c r="F421" s="146" t="str">
        <x:v>Sawn cypress pressure impregnated with preservative:-</x:v>
      </x:c>
      <x:c r="G421" s="146" t="str">
        <x:v>G</x:v>
      </x:c>
      <x:c r="H421" s="49" t="str">
        <x:v>Roof Covering: Guage 26 pre-painted iron roofing sheets fixed with 2 side overlaps and 150mm end laps with and including approved roofing nails or galvanized steel drive screws with plastic washers to manufacturer's instructions.</x:v>
      </x:c>
      <x:c r="I421" s="146" t="str">
        <x:v>m²</x:v>
      </x:c>
      <x:c r="J421" s="149" t="n">
        <x:v>60.489999999999995</x:v>
      </x:c>
      <x:c r="K421" s="146" t="str">
        <x:v>=(12.15+0.5*2)*(3.6+0.5*2)</x:v>
      </x:c>
      <x:c r="L421" s="149" t="n">
        <x:v>5</x:v>
      </x:c>
      <x:c r="M421" s="149" t="n">
        <x:v>6</x:v>
      </x:c>
      <x:c r="N421" s="149" t="n">
        <x:v>302.45</x:v>
      </x:c>
      <x:c r="O421" s="149" t="n">
        <x:v>362.93999999999994</x:v>
      </x:c>
      <x:c r="P421" s="149" t="n">
        <x:f>IF('입력·근거'!$B$12="HIGH",O421,N421)</x:f>
        <x:v>302.45</x:v>
      </x:c>
      <x:c r="Q421" s="158" t="str"/>
      <x:c r="R421" s="161" t="str">
        <x:f>IF(Q421="","",P421*Q421)</x:f>
      </x:c>
      <x:c r="S421" s="146" t="str">
        <x:v>formula_quantity;scope_multiplier_applied_for_scenario;scope_multiplier_conflict;unpriced_source</x:v>
      </x:c>
    </x:row>
    <x:row r="422">
      <x:c r="A422" s="146" t="str">
        <x:v>MARKET SHED.</x:v>
      </x:c>
      <x:c r="B422" s="146" t="n">
        <x:v>54</x:v>
      </x:c>
      <x:c r="C422" s="146" t="str">
        <x:v>여성친화형 시장 쉼터</x:v>
      </x:c>
      <x:c r="D422" s="146" t="str">
        <x:v>지붕</x:v>
      </x:c>
      <x:c r="E422" s="146" t="str">
        <x:v>ELEMENT NO.4</x:v>
      </x:c>
      <x:c r="F422" s="146" t="str">
        <x:v>Sawn cypress pressure impregnated with preservative:-</x:v>
      </x:c>
      <x:c r="G422" s="146" t="str">
        <x:v>H</x:v>
      </x:c>
      <x:c r="H422" s="49" t="str">
        <x:v>Super V translucent sheets fixed on to roof structure without welded mesh underneath</x:v>
      </x:c>
      <x:c r="I422" s="146" t="str">
        <x:v>no.</x:v>
      </x:c>
      <x:c r="J422" s="149" t="n">
        <x:v>6</x:v>
      </x:c>
      <x:c r="K422" s="146" t="str"/>
      <x:c r="L422" s="149" t="n">
        <x:v>5</x:v>
      </x:c>
      <x:c r="M422" s="149" t="n">
        <x:v>6</x:v>
      </x:c>
      <x:c r="N422" s="149" t="n">
        <x:v>30</x:v>
      </x:c>
      <x:c r="O422" s="149" t="n">
        <x:v>36</x:v>
      </x:c>
      <x:c r="P422" s="149" t="n">
        <x:f>IF('입력·근거'!$B$12="HIGH",O422,N422)</x:f>
        <x:v>30</x:v>
      </x:c>
      <x:c r="Q422" s="158" t="str"/>
      <x:c r="R422" s="161" t="str">
        <x:f>IF(Q422="","",P422*Q422)</x:f>
      </x:c>
      <x:c r="S422" s="146" t="str">
        <x:v>scope_multiplier_applied_for_scenario;scope_multiplier_conflict;unpriced_source</x:v>
      </x:c>
    </x:row>
    <x:row r="423">
      <x:c r="A423" s="146" t="str">
        <x:v>MARKET SHED.</x:v>
      </x:c>
      <x:c r="B423" s="146" t="n">
        <x:v>55</x:v>
      </x:c>
      <x:c r="C423" s="146" t="str">
        <x:v>여성친화형 시장 쉼터</x:v>
      </x:c>
      <x:c r="D423" s="146" t="str">
        <x:v>기타</x:v>
      </x:c>
      <x:c r="E423" s="146" t="str">
        <x:v>ELEMENT NO.4</x:v>
      </x:c>
      <x:c r="F423" s="146" t="str">
        <x:v>Sawn cypress pressure impregnated with preservative:-</x:v>
      </x:c>
      <x:c r="G423" s="146" t="str">
        <x:v>I</x:v>
      </x:c>
      <x:c r="H423" s="49" t="str">
        <x:v>300mm Wide ridge flashing</x:v>
      </x:c>
      <x:c r="I423" s="146" t="str">
        <x:v>m</x:v>
      </x:c>
      <x:c r="J423" s="149" t="n">
        <x:v>13.15</x:v>
      </x:c>
      <x:c r="K423" s="146" t="str">
        <x:v>=12.15+0.5*2</x:v>
      </x:c>
      <x:c r="L423" s="149" t="n">
        <x:v>5</x:v>
      </x:c>
      <x:c r="M423" s="149" t="n">
        <x:v>6</x:v>
      </x:c>
      <x:c r="N423" s="149" t="n">
        <x:v>65.75</x:v>
      </x:c>
      <x:c r="O423" s="149" t="n">
        <x:v>78.9</x:v>
      </x:c>
      <x:c r="P423" s="149" t="n">
        <x:f>IF('입력·근거'!$B$12="HIGH",O423,N423)</x:f>
        <x:v>65.75</x:v>
      </x:c>
      <x:c r="Q423" s="158" t="str"/>
      <x:c r="R423" s="161" t="str">
        <x:f>IF(Q423="","",P423*Q423)</x:f>
      </x:c>
      <x:c r="S423" s="146" t="str">
        <x:v>formula_quantity;scope_multiplier_applied_for_scenario;scope_multiplier_conflict;unpriced_source</x:v>
      </x:c>
    </x:row>
    <x:row r="424">
      <x:c r="A424" s="146" t="str">
        <x:v>MARKET SHED.</x:v>
      </x:c>
      <x:c r="B424" s="146" t="n">
        <x:v>62</x:v>
      </x:c>
      <x:c r="C424" s="146" t="str">
        <x:v>여성친화형 시장 쉼터</x:v>
      </x:c>
      <x:c r="D424" s="146" t="str">
        <x:v>창호·철물</x:v>
      </x:c>
      <x:c r="E424" s="146" t="str">
        <x:v>ELEMENT NO. 5</x:v>
      </x:c>
      <x:c r="F424" s="146" t="str">
        <x:v>Purpose made steel casement Doors manufactured from standard casement 2.0mm thick sections : manufacture, assemble and deliver to site: supply and fix all approved UNION or equal ironmongery : with and including door frames, fixing drilled, plugged and screwed or built into walling: one coat red oxide primer before delivery.</x:v>
      </x:c>
      <x:c r="G424" s="146" t="str">
        <x:v>A</x:v>
      </x:c>
      <x:c r="H424" s="49" t="str">
        <x:v>Door overall size 1525 x 1300mm high comprising of; 1.5mm thick pre-formed mild steel panels</x:v>
      </x:c>
      <x:c r="I424" s="146" t="str">
        <x:v>no.</x:v>
      </x:c>
      <x:c r="J424" s="149" t="n">
        <x:v>6</x:v>
      </x:c>
      <x:c r="K424" s="146" t="str"/>
      <x:c r="L424" s="149" t="n">
        <x:v>5</x:v>
      </x:c>
      <x:c r="M424" s="149" t="n">
        <x:v>6</x:v>
      </x:c>
      <x:c r="N424" s="149" t="n">
        <x:v>30</x:v>
      </x:c>
      <x:c r="O424" s="149" t="n">
        <x:v>36</x:v>
      </x:c>
      <x:c r="P424" s="149" t="n">
        <x:f>IF('입력·근거'!$B$12="HIGH",O424,N424)</x:f>
        <x:v>30</x:v>
      </x:c>
      <x:c r="Q424" s="158" t="str"/>
      <x:c r="R424" s="161" t="str">
        <x:f>IF(Q424="","",P424*Q424)</x:f>
      </x:c>
      <x:c r="S424" s="146" t="str">
        <x:v>scope_multiplier_applied_for_scenario;scope_multiplier_conflict;unpriced_source</x:v>
      </x:c>
    </x:row>
    <x:row r="425">
      <x:c r="A425" s="146" t="str">
        <x:v>MARKET SHED.</x:v>
      </x:c>
      <x:c r="B425" s="146" t="n">
        <x:v>64</x:v>
      </x:c>
      <x:c r="C425" s="146" t="str">
        <x:v>여성친화형 시장 쉼터</x:v>
      </x:c>
      <x:c r="D425" s="146" t="str">
        <x:v>창호·철물</x:v>
      </x:c>
      <x:c r="E425" s="146" t="str">
        <x:v>ELEMENT NO. 5</x:v>
      </x:c>
      <x:c r="F425" s="146" t="str">
        <x:v>PREPARE SURFACE AND APPLY ETCHING PRIMER; apply one coat primer, one undercoat and two Gloss finishing coats; on metal work : to</x:v>
      </x:c>
      <x:c r="G425" s="146" t="str">
        <x:v>B</x:v>
      </x:c>
      <x:c r="H425" s="49" t="str">
        <x:v>Steel door surfaces</x:v>
      </x:c>
      <x:c r="I425" s="146" t="str">
        <x:v>m²</x:v>
      </x:c>
      <x:c r="J425" s="149" t="n">
        <x:v>11.895</x:v>
      </x:c>
      <x:c r="K425" s="146" t="str">
        <x:v>=1.525*1.3*6</x:v>
      </x:c>
      <x:c r="L425" s="149" t="n">
        <x:v>5</x:v>
      </x:c>
      <x:c r="M425" s="149" t="n">
        <x:v>6</x:v>
      </x:c>
      <x:c r="N425" s="149" t="n">
        <x:v>59.474999999999994</x:v>
      </x:c>
      <x:c r="O425" s="149" t="n">
        <x:v>71.37</x:v>
      </x:c>
      <x:c r="P425" s="149" t="n">
        <x:f>IF('입력·근거'!$B$12="HIGH",O425,N425)</x:f>
        <x:v>59.474999999999994</x:v>
      </x:c>
      <x:c r="Q425" s="158" t="str"/>
      <x:c r="R425" s="161" t="str">
        <x:f>IF(Q425="","",P425*Q425)</x:f>
      </x:c>
      <x:c r="S425" s="146" t="str">
        <x:v>formula_quantity;scope_multiplier_applied_for_scenario;scope_multiplier_conflict;unpriced_source</x:v>
      </x:c>
    </x:row>
    <x:row r="426">
      <x:c r="A426" s="146" t="str">
        <x:v>MARKET SHED.</x:v>
      </x:c>
      <x:c r="B426" s="146" t="n">
        <x:v>71</x:v>
      </x:c>
      <x:c r="C426" s="146" t="str">
        <x:v>여성친화형 시장 쉼터</x:v>
      </x:c>
      <x:c r="D426" s="146" t="str">
        <x:v>마감</x:v>
      </x:c>
      <x:c r="E426" s="146" t="str">
        <x:v>ELEMENT NO.6</x:v>
      </x:c>
      <x:c r="F426" s="146" t="str">
        <x:v>CEMENT AND WASHED SAND (1:3) RENDER trowelled smooth</x:v>
      </x:c>
      <x:c r="G426" s="146" t="str">
        <x:v>A</x:v>
      </x:c>
      <x:c r="H426" s="49" t="str">
        <x:v>12mm Thick to walls.</x:v>
      </x:c>
      <x:c r="I426" s="146" t="str">
        <x:v>m²</x:v>
      </x:c>
      <x:c r="J426" s="149" t="n">
        <x:v>58</x:v>
      </x:c>
      <x:c r="K426" s="146" t="str">
        <x:v>=D37*2</x:v>
      </x:c>
      <x:c r="L426" s="149" t="n">
        <x:v>5</x:v>
      </x:c>
      <x:c r="M426" s="149" t="n">
        <x:v>6</x:v>
      </x:c>
      <x:c r="N426" s="149" t="n">
        <x:v>290</x:v>
      </x:c>
      <x:c r="O426" s="149" t="n">
        <x:v>348</x:v>
      </x:c>
      <x:c r="P426" s="149" t="n">
        <x:f>IF('입력·근거'!$B$12="HIGH",O426,N426)</x:f>
        <x:v>290</x:v>
      </x:c>
      <x:c r="Q426" s="158" t="str"/>
      <x:c r="R426" s="161" t="str">
        <x:f>IF(Q426="","",P426*Q426)</x:f>
      </x:c>
      <x:c r="S426" s="146" t="str">
        <x:v>formula_quantity;scope_multiplier_applied_for_scenario;scope_multiplier_conflict;unpriced_source</x:v>
      </x:c>
    </x:row>
    <x:row r="427">
      <x:c r="A427" s="146" t="str">
        <x:v>MARKET SHED.</x:v>
      </x:c>
      <x:c r="B427" s="146" t="n">
        <x:v>74</x:v>
      </x:c>
      <x:c r="C427" s="146" t="str">
        <x:v>여성친화형 시장 쉼터</x:v>
      </x:c>
      <x:c r="D427" s="146" t="str">
        <x:v>마감</x:v>
      </x:c>
      <x:c r="E427" s="146" t="str">
        <x:v>ELEMENT NO.6</x:v>
      </x:c>
      <x:c r="F427" s="146" t="str">
        <x:v>Prepare and apply three coats of silk vinyl paint to plastered walls internally</x:v>
      </x:c>
      <x:c r="G427" s="146" t="str">
        <x:v>B</x:v>
      </x:c>
      <x:c r="H427" s="49" t="str">
        <x:v>Rendered surfaces</x:v>
      </x:c>
      <x:c r="I427" s="146" t="str">
        <x:v>m²</x:v>
      </x:c>
      <x:c r="J427" s="149" t="n">
        <x:v>58</x:v>
      </x:c>
      <x:c r="K427" s="146" t="str">
        <x:v>=D71</x:v>
      </x:c>
      <x:c r="L427" s="149" t="n">
        <x:v>5</x:v>
      </x:c>
      <x:c r="M427" s="149" t="n">
        <x:v>6</x:v>
      </x:c>
      <x:c r="N427" s="149" t="n">
        <x:v>290</x:v>
      </x:c>
      <x:c r="O427" s="149" t="n">
        <x:v>348</x:v>
      </x:c>
      <x:c r="P427" s="149" t="n">
        <x:f>IF('입력·근거'!$B$12="HIGH",O427,N427)</x:f>
        <x:v>290</x:v>
      </x:c>
      <x:c r="Q427" s="158" t="str"/>
      <x:c r="R427" s="161" t="str">
        <x:f>IF(Q427="","",P427*Q427)</x:f>
      </x:c>
      <x:c r="S427" s="146" t="str">
        <x:v>formula_quantity;scope_multiplier_applied_for_scenario;scope_multiplier_conflict;unpriced_source</x:v>
      </x:c>
    </x:row>
    <x:row r="428">
      <x:c r="A428" s="146" t="str">
        <x:v>MARKET SHED.</x:v>
      </x:c>
      <x:c r="B428" s="146" t="n">
        <x:v>76</x:v>
      </x:c>
      <x:c r="C428" s="146" t="str">
        <x:v>여성친화형 시장 쉼터</x:v>
      </x:c>
      <x:c r="D428" s="146" t="str">
        <x:v>마감</x:v>
      </x:c>
      <x:c r="E428" s="146" t="str">
        <x:v>ELEMENT NO.6</x:v>
      </x:c>
      <x:c r="F428" s="146" t="str">
        <x:v>SPLASH APRON</x:v>
      </x:c>
      <x:c r="G428" s="146" t="str">
        <x:v>C</x:v>
      </x:c>
      <x:c r="H428" s="49" t="str">
        <x:v>75mm thick concrete class 20/20mm aggregate splash laid in bays reinforced with and including fabric mesh reinforcement ref A98 as before described; on and including 30mm sand blinding on 100mm thick hardcore; finished smooth with 10mm thick cement sand screed (1:3) steel trowelled smooth; including all necessary formwork.</x:v>
      </x:c>
      <x:c r="I428" s="146" t="str">
        <x:v>m²</x:v>
      </x:c>
      <x:c r="J428" s="149" t="n">
        <x:v>35.5</x:v>
      </x:c>
      <x:c r="K428" s="146" t="str">
        <x:v>=2*(4.6+13.15)</x:v>
      </x:c>
      <x:c r="L428" s="149" t="n">
        <x:v>5</x:v>
      </x:c>
      <x:c r="M428" s="149" t="n">
        <x:v>6</x:v>
      </x:c>
      <x:c r="N428" s="149" t="n">
        <x:v>177.5</x:v>
      </x:c>
      <x:c r="O428" s="149" t="n">
        <x:v>213</x:v>
      </x:c>
      <x:c r="P428" s="149" t="n">
        <x:f>IF('입력·근거'!$B$12="HIGH",O428,N428)</x:f>
        <x:v>177.5</x:v>
      </x:c>
      <x:c r="Q428" s="158" t="str"/>
      <x:c r="R428" s="161" t="str">
        <x:f>IF(Q428="","",P428*Q428)</x:f>
      </x:c>
      <x:c r="S428" s="146" t="str">
        <x:v>formula_quantity;scope_multiplier_applied_for_scenario;scope_multiplier_conflict;unpriced_source</x:v>
      </x:c>
    </x:row>
    <x:row r="429">
      <x:c r="A429" s="146" t="str">
        <x:v>MARKET SHED.</x:v>
      </x:c>
      <x:c r="B429" s="146" t="n">
        <x:v>77</x:v>
      </x:c>
      <x:c r="C429" s="146" t="str">
        <x:v>여성친화형 시장 쉼터</x:v>
      </x:c>
      <x:c r="D429" s="146" t="str">
        <x:v>창호·철물</x:v>
      </x:c>
      <x:c r="E429" s="146" t="str">
        <x:v>ELEMENT NO.6</x:v>
      </x:c>
      <x:c r="F429" s="146" t="str">
        <x:v>SPLASH APRON</x:v>
      </x:c>
      <x:c r="G429" s="146" t="str">
        <x:v>D</x:v>
      </x:c>
      <x:c r="H429" s="49" t="str">
        <x:v>100mm thick block walling to sides of splash Apron 400mm deep below reduced level with and including 400mm wide x 200mm thick block footing; plastering and painting to exposed surfaces; necessary excavation and disposal of surplus soil</x:v>
      </x:c>
      <x:c r="I429" s="146" t="str">
        <x:v>m</x:v>
      </x:c>
      <x:c r="J429" s="149" t="n">
        <x:v>35.5</x:v>
      </x:c>
      <x:c r="K429" s="146" t="str">
        <x:v>=D76</x:v>
      </x:c>
      <x:c r="L429" s="149" t="n">
        <x:v>5</x:v>
      </x:c>
      <x:c r="M429" s="149" t="n">
        <x:v>6</x:v>
      </x:c>
      <x:c r="N429" s="149" t="n">
        <x:v>177.5</x:v>
      </x:c>
      <x:c r="O429" s="149" t="n">
        <x:v>213</x:v>
      </x:c>
      <x:c r="P429" s="149" t="n">
        <x:f>IF('입력·근거'!$B$12="HIGH",O429,N429)</x:f>
        <x:v>177.5</x:v>
      </x:c>
      <x:c r="Q429" s="158" t="str"/>
      <x:c r="R429" s="161" t="str">
        <x:f>IF(Q429="","",P429*Q429)</x:f>
      </x:c>
      <x:c r="S429" s="146" t="str">
        <x:v>formula_quantity;scope_multiplier_applied_for_scenario;scope_multiplier_conflict;unpriced_source</x:v>
      </x:c>
    </x:row>
    <x:row r="430">
      <x:c r="A430" s="146" t="str">
        <x:v>MARKET SHED.</x:v>
      </x:c>
      <x:c r="B430" s="146" t="n">
        <x:v>83</x:v>
      </x:c>
      <x:c r="C430" s="146" t="str">
        <x:v>여성친화형 시장 쉼터</x:v>
      </x:c>
      <x:c r="D430" s="146" t="str">
        <x:v>전기·전력인입</x:v>
      </x:c>
      <x:c r="E430" s="146" t="str">
        <x:v>ELEMENT NO.9</x:v>
      </x:c>
      <x:c r="F430" s="146" t="str">
        <x:v>Lighting Fittings</x:v>
      </x:c>
      <x:c r="G430" s="146" t="str"/>
      <x:c r="H430" s="49" t="str">
        <x:v>Security bulkhead with cast aluminium body with glass lens and aluminium louver with 1 x 8W LED lamp</x:v>
      </x:c>
      <x:c r="I430" s="146" t="str">
        <x:v>no.</x:v>
      </x:c>
      <x:c r="J430" s="149" t="n">
        <x:v>10</x:v>
      </x:c>
      <x:c r="K430" s="146" t="str"/>
      <x:c r="L430" s="149" t="n">
        <x:v>5</x:v>
      </x:c>
      <x:c r="M430" s="149" t="n">
        <x:v>6</x:v>
      </x:c>
      <x:c r="N430" s="149" t="n">
        <x:v>50</x:v>
      </x:c>
      <x:c r="O430" s="149" t="n">
        <x:v>60</x:v>
      </x:c>
      <x:c r="P430" s="149" t="n">
        <x:f>IF('입력·근거'!$B$12="HIGH",O430,N430)</x:f>
        <x:v>50</x:v>
      </x:c>
      <x:c r="Q430" s="158" t="str"/>
      <x:c r="R430" s="161" t="str">
        <x:f>IF(Q430="","",P430*Q430)</x:f>
      </x:c>
      <x:c r="S430" s="146" t="str">
        <x:v>scope_multiplier_applied_for_scenario;scope_multiplier_conflict;unpriced_source</x:v>
      </x:c>
    </x:row>
    <x:row r="431">
      <x:c r="A431" s="146" t="str">
        <x:v>MARKET SHED.</x:v>
      </x:c>
      <x:c r="B431" s="146" t="n">
        <x:v>84</x:v>
      </x:c>
      <x:c r="C431" s="146" t="str">
        <x:v>여성친화형 시장 쉼터</x:v>
      </x:c>
      <x:c r="D431" s="146" t="str">
        <x:v>전기·전력인입</x:v>
      </x:c>
      <x:c r="E431" s="146" t="str">
        <x:v>ELEMENT NO.9</x:v>
      </x:c>
      <x:c r="F431" s="146" t="str">
        <x:v>Lighting Fittings</x:v>
      </x:c>
      <x:c r="G431" s="146" t="str"/>
      <x:c r="H431" s="49" t="str">
        <x:v>1 x 18W 1200mm LED single surface mounted batten and all accessories</x:v>
      </x:c>
      <x:c r="I431" s="146" t="str">
        <x:v>no.</x:v>
      </x:c>
      <x:c r="J431" s="149" t="n">
        <x:v>30</x:v>
      </x:c>
      <x:c r="K431" s="146" t="str"/>
      <x:c r="L431" s="149" t="n">
        <x:v>5</x:v>
      </x:c>
      <x:c r="M431" s="149" t="n">
        <x:v>6</x:v>
      </x:c>
      <x:c r="N431" s="149" t="n">
        <x:v>150</x:v>
      </x:c>
      <x:c r="O431" s="149" t="n">
        <x:v>180</x:v>
      </x:c>
      <x:c r="P431" s="149" t="n">
        <x:f>IF('입력·근거'!$B$12="HIGH",O431,N431)</x:f>
        <x:v>150</x:v>
      </x:c>
      <x:c r="Q431" s="158" t="str"/>
      <x:c r="R431" s="161" t="str">
        <x:f>IF(Q431="","",P431*Q431)</x:f>
      </x:c>
      <x:c r="S431" s="146" t="str">
        <x:v>scope_multiplier_applied_for_scenario;scope_multiplier_conflict;unpriced_source</x:v>
      </x:c>
    </x:row>
    <x:row r="432">
      <x:c r="A432" s="146" t="str">
        <x:v>MARKET SHED.</x:v>
      </x:c>
      <x:c r="B432" s="146" t="n">
        <x:v>86</x:v>
      </x:c>
      <x:c r="C432" s="146" t="str">
        <x:v>여성친화형 시장 쉼터</x:v>
      </x:c>
      <x:c r="D432" s="146" t="str">
        <x:v>전기·전력인입</x:v>
      </x:c>
      <x:c r="E432" s="146" t="str">
        <x:v>ELEMENT NO.9</x:v>
      </x:c>
      <x:c r="F432" s="146" t="str">
        <x:v>Switches, Sockets &amp; Wiring Accessories</x:v>
      </x:c>
      <x:c r="G432" s="146" t="str"/>
      <x:c r="H432" s="49" t="str">
        <x:v>6A/240V 1-Gang 2-Way switches c/w flush mounting box, and accessories</x:v>
      </x:c>
      <x:c r="I432" s="146" t="str">
        <x:v>no.</x:v>
      </x:c>
      <x:c r="J432" s="149" t="n">
        <x:v>0</x:v>
      </x:c>
      <x:c r="K432" s="146" t="str"/>
      <x:c r="L432" s="149" t="n">
        <x:v>5</x:v>
      </x:c>
      <x:c r="M432" s="149" t="n">
        <x:v>6</x:v>
      </x:c>
      <x:c r="N432" s="149" t="n">
        <x:v>0</x:v>
      </x:c>
      <x:c r="O432" s="149" t="n">
        <x:v>0</x:v>
      </x:c>
      <x:c r="P432" s="149" t="n">
        <x:f>IF('입력·근거'!$B$12="HIGH",O432,N432)</x:f>
        <x:v>0</x:v>
      </x:c>
      <x:c r="Q432" s="158" t="str"/>
      <x:c r="R432" s="161" t="str">
        <x:f>IF(Q432="","",P432*Q432)</x:f>
      </x:c>
      <x:c r="S432" s="146" t="str">
        <x:v>zero_quantity_check_formula_or_design;scope_multiplier_applied_for_scenario;scope_multiplier_conflict;unpriced_source</x:v>
      </x:c>
    </x:row>
    <x:row r="433">
      <x:c r="A433" s="146" t="str">
        <x:v>MARKET SHED.</x:v>
      </x:c>
      <x:c r="B433" s="146" t="n">
        <x:v>87</x:v>
      </x:c>
      <x:c r="C433" s="146" t="str">
        <x:v>여성친화형 시장 쉼터</x:v>
      </x:c>
      <x:c r="D433" s="146" t="str">
        <x:v>전기·전력인입</x:v>
      </x:c>
      <x:c r="E433" s="146" t="str">
        <x:v>ELEMENT NO.9</x:v>
      </x:c>
      <x:c r="F433" s="146" t="str">
        <x:v>Switches, Sockets &amp; Wiring Accessories</x:v>
      </x:c>
      <x:c r="G433" s="146" t="str"/>
      <x:c r="H433" s="49" t="str">
        <x:v>6A/240V 2-Gang 2-Way witches c/w flush mounting box, and accessories</x:v>
      </x:c>
      <x:c r="I433" s="146" t="str">
        <x:v>no.</x:v>
      </x:c>
      <x:c r="J433" s="149" t="n">
        <x:v>5</x:v>
      </x:c>
      <x:c r="K433" s="146" t="str"/>
      <x:c r="L433" s="149" t="n">
        <x:v>5</x:v>
      </x:c>
      <x:c r="M433" s="149" t="n">
        <x:v>6</x:v>
      </x:c>
      <x:c r="N433" s="149" t="n">
        <x:v>25</x:v>
      </x:c>
      <x:c r="O433" s="149" t="n">
        <x:v>30</x:v>
      </x:c>
      <x:c r="P433" s="149" t="n">
        <x:f>IF('입력·근거'!$B$12="HIGH",O433,N433)</x:f>
        <x:v>25</x:v>
      </x:c>
      <x:c r="Q433" s="158" t="str"/>
      <x:c r="R433" s="161" t="str">
        <x:f>IF(Q433="","",P433*Q433)</x:f>
      </x:c>
      <x:c r="S433" s="146" t="str">
        <x:v>scope_multiplier_applied_for_scenario;scope_multiplier_conflict;unpriced_source</x:v>
      </x:c>
    </x:row>
    <x:row r="434">
      <x:c r="A434" s="146" t="str">
        <x:v>MARKET SHED.</x:v>
      </x:c>
      <x:c r="B434" s="146" t="n">
        <x:v>88</x:v>
      </x:c>
      <x:c r="C434" s="146" t="str">
        <x:v>여성친화형 시장 쉼터</x:v>
      </x:c>
      <x:c r="D434" s="146" t="str">
        <x:v>전기·전력인입</x:v>
      </x:c>
      <x:c r="E434" s="146" t="str">
        <x:v>ELEMENT NO.9</x:v>
      </x:c>
      <x:c r="F434" s="146" t="str">
        <x:v>Switches, Sockets &amp; Wiring Accessories</x:v>
      </x:c>
      <x:c r="G434" s="146" t="str"/>
      <x:c r="H434" s="49" t="str">
        <x:v>6A/240V 3-Gang 2 way witches c/w flush mounting box, and accessories</x:v>
      </x:c>
      <x:c r="I434" s="146" t="str">
        <x:v>no.</x:v>
      </x:c>
      <x:c r="J434" s="149" t="n">
        <x:v>0</x:v>
      </x:c>
      <x:c r="K434" s="146" t="str"/>
      <x:c r="L434" s="149" t="n">
        <x:v>5</x:v>
      </x:c>
      <x:c r="M434" s="149" t="n">
        <x:v>6</x:v>
      </x:c>
      <x:c r="N434" s="149" t="n">
        <x:v>0</x:v>
      </x:c>
      <x:c r="O434" s="149" t="n">
        <x:v>0</x:v>
      </x:c>
      <x:c r="P434" s="149" t="n">
        <x:f>IF('입력·근거'!$B$12="HIGH",O434,N434)</x:f>
        <x:v>0</x:v>
      </x:c>
      <x:c r="Q434" s="158" t="str"/>
      <x:c r="R434" s="161" t="str">
        <x:f>IF(Q434="","",P434*Q434)</x:f>
      </x:c>
      <x:c r="S434" s="146" t="str">
        <x:v>zero_quantity_check_formula_or_design;scope_multiplier_applied_for_scenario;scope_multiplier_conflict;unpriced_source</x:v>
      </x:c>
    </x:row>
    <x:row r="435">
      <x:c r="A435" s="146" t="str">
        <x:v>MARKET SHED.</x:v>
      </x:c>
      <x:c r="B435" s="146" t="n">
        <x:v>89</x:v>
      </x:c>
      <x:c r="C435" s="146" t="str">
        <x:v>여성친화형 시장 쉼터</x:v>
      </x:c>
      <x:c r="D435" s="146" t="str">
        <x:v>전기·전력인입</x:v>
      </x:c>
      <x:c r="E435" s="146" t="str">
        <x:v>ELEMENT NO.9</x:v>
      </x:c>
      <x:c r="F435" s="146" t="str">
        <x:v>Switches, Sockets &amp; Wiring Accessories</x:v>
      </x:c>
      <x:c r="G435" s="146" t="str"/>
      <x:c r="H435" s="49" t="str">
        <x:v>13A SP 2-Gang plate switched socket outlets c/w neon indicator and flush mounting box</x:v>
      </x:c>
      <x:c r="I435" s="146" t="str">
        <x:v>no.</x:v>
      </x:c>
      <x:c r="J435" s="149" t="n">
        <x:v>0</x:v>
      </x:c>
      <x:c r="K435" s="146" t="str"/>
      <x:c r="L435" s="149" t="n">
        <x:v>5</x:v>
      </x:c>
      <x:c r="M435" s="149" t="n">
        <x:v>6</x:v>
      </x:c>
      <x:c r="N435" s="149" t="n">
        <x:v>0</x:v>
      </x:c>
      <x:c r="O435" s="149" t="n">
        <x:v>0</x:v>
      </x:c>
      <x:c r="P435" s="149" t="n">
        <x:f>IF('입력·근거'!$B$12="HIGH",O435,N435)</x:f>
        <x:v>0</x:v>
      </x:c>
      <x:c r="Q435" s="158" t="str"/>
      <x:c r="R435" s="161" t="str">
        <x:f>IF(Q435="","",P435*Q435)</x:f>
      </x:c>
      <x:c r="S435" s="146" t="str">
        <x:v>zero_quantity_check_formula_or_design;scope_multiplier_applied_for_scenario;scope_multiplier_conflict;unpriced_source</x:v>
      </x:c>
    </x:row>
    <x:row r="436">
      <x:c r="A436" s="146" t="str">
        <x:v>MARKET SHED.</x:v>
      </x:c>
      <x:c r="B436" s="146" t="n">
        <x:v>92</x:v>
      </x:c>
      <x:c r="C436" s="146" t="str">
        <x:v>여성친화형 시장 쉼터</x:v>
      </x:c>
      <x:c r="D436" s="146" t="str">
        <x:v>전기·전력인입</x:v>
      </x:c>
      <x:c r="E436" s="146" t="str">
        <x:v>ELEMENT NO.9</x:v>
      </x:c>
      <x:c r="F436" s="146" t="str">
        <x:v>MAINS POWER SUPPLY AND CONNECTION</x:v>
      </x:c>
      <x:c r="G436" s="146" t="str"/>
      <x:c r="H436" s="49" t="str">
        <x:v>Earthing by 16mm2 stranded bare copper cable complete with all accessories</x:v>
      </x:c>
      <x:c r="I436" s="146" t="str">
        <x:v>m</x:v>
      </x:c>
      <x:c r="J436" s="149" t="n">
        <x:v>10</x:v>
      </x:c>
      <x:c r="K436" s="146" t="str"/>
      <x:c r="L436" s="149" t="n">
        <x:v>5</x:v>
      </x:c>
      <x:c r="M436" s="149" t="n">
        <x:v>6</x:v>
      </x:c>
      <x:c r="N436" s="149" t="n">
        <x:v>50</x:v>
      </x:c>
      <x:c r="O436" s="149" t="n">
        <x:v>60</x:v>
      </x:c>
      <x:c r="P436" s="149" t="n">
        <x:f>IF('입력·근거'!$B$12="HIGH",O436,N436)</x:f>
        <x:v>50</x:v>
      </x:c>
      <x:c r="Q436" s="158" t="str"/>
      <x:c r="R436" s="161" t="str">
        <x:f>IF(Q436="","",P436*Q436)</x:f>
      </x:c>
      <x:c r="S436" s="146" t="str">
        <x:v>scope_multiplier_applied_for_scenario;scope_multiplier_conflict;unpriced_source</x:v>
      </x:c>
    </x:row>
    <x:row r="437">
      <x:c r="A437" s="146" t="str">
        <x:v>MARKET SHED.</x:v>
      </x:c>
      <x:c r="B437" s="146" t="n">
        <x:v>93</x:v>
      </x:c>
      <x:c r="C437" s="146" t="str">
        <x:v>여성친화형 시장 쉼터</x:v>
      </x:c>
      <x:c r="D437" s="146" t="str">
        <x:v>기타</x:v>
      </x:c>
      <x:c r="E437" s="146" t="str">
        <x:v>ELEMENT NO.9</x:v>
      </x:c>
      <x:c r="F437" s="146" t="str">
        <x:v>MAINS POWER SUPPLY AND CONNECTION</x:v>
      </x:c>
      <x:c r="G437" s="146" t="str"/>
      <x:c r="H437" s="49" t="str">
        <x:v>Earth Electrodes made from hard drawn copper weld complete with cap earth clamp manjole and complete with all accessories</x:v>
      </x:c>
      <x:c r="I437" s="146" t="str">
        <x:v>item</x:v>
      </x:c>
      <x:c r="J437" s="149" t="n">
        <x:v>1</x:v>
      </x:c>
      <x:c r="K437" s="146" t="str"/>
      <x:c r="L437" s="149" t="n">
        <x:v>5</x:v>
      </x:c>
      <x:c r="M437" s="149" t="n">
        <x:v>6</x:v>
      </x:c>
      <x:c r="N437" s="149" t="n">
        <x:v>5</x:v>
      </x:c>
      <x:c r="O437" s="149" t="n">
        <x:v>6</x:v>
      </x:c>
      <x:c r="P437" s="149" t="n">
        <x:f>IF('입력·근거'!$B$12="HIGH",O437,N437)</x:f>
        <x:v>5</x:v>
      </x:c>
      <x:c r="Q437" s="158" t="str"/>
      <x:c r="R437" s="161" t="str">
        <x:f>IF(Q437="","",P437*Q437)</x:f>
      </x:c>
      <x:c r="S437" s="146" t="str">
        <x:v>scope_multiplier_applied_for_scenario;scope_multiplier_conflict;unpriced_source</x:v>
      </x:c>
    </x:row>
    <x:row r="438">
      <x:c r="A438" s="146" t="str">
        <x:v>MARKET SHED.</x:v>
      </x:c>
      <x:c r="B438" s="146" t="n">
        <x:v>95</x:v>
      </x:c>
      <x:c r="C438" s="146" t="str">
        <x:v>여성친화형 시장 쉼터</x:v>
      </x:c>
      <x:c r="D438" s="146" t="str">
        <x:v>전기·전력인입</x:v>
      </x:c>
      <x:c r="E438" s="146" t="str">
        <x:v>ELEMENT NO.9</x:v>
      </x:c>
      <x:c r="F438" s="146" t="str">
        <x:v>Lighting points</x:v>
      </x:c>
      <x:c r="G438" s="146" t="str"/>
      <x:c r="H438" s="49" t="str">
        <x:v>All wiring of lighting points are to be connected complete and ready from 10A SP miniature circuit breakers on Consumer unit, using 1.5mm sq. PVC-Insulated single core copper cables drawn in PVC flush installed conduits, through switches, and as per drawings</x:v>
      </x:c>
      <x:c r="I438" s="146" t="str">
        <x:v>no.</x:v>
      </x:c>
      <x:c r="J438" s="149" t="n">
        <x:v>30</x:v>
      </x:c>
      <x:c r="K438" s="146" t="str"/>
      <x:c r="L438" s="149" t="n">
        <x:v>5</x:v>
      </x:c>
      <x:c r="M438" s="149" t="n">
        <x:v>6</x:v>
      </x:c>
      <x:c r="N438" s="149" t="n">
        <x:v>150</x:v>
      </x:c>
      <x:c r="O438" s="149" t="n">
        <x:v>180</x:v>
      </x:c>
      <x:c r="P438" s="149" t="n">
        <x:f>IF('입력·근거'!$B$12="HIGH",O438,N438)</x:f>
        <x:v>150</x:v>
      </x:c>
      <x:c r="Q438" s="158" t="str"/>
      <x:c r="R438" s="161" t="str">
        <x:f>IF(Q438="","",P438*Q438)</x:f>
      </x:c>
      <x:c r="S438" s="146" t="str">
        <x:v>scope_multiplier_applied_for_scenario;scope_multiplier_conflict;unpriced_source</x:v>
      </x:c>
    </x:row>
    <x:row r="439">
      <x:c r="A439" s="146" t="str">
        <x:v>MARKET SHED.</x:v>
      </x:c>
      <x:c r="B439" s="146" t="n">
        <x:v>97</x:v>
      </x:c>
      <x:c r="C439" s="146" t="str">
        <x:v>여성친화형 시장 쉼터</x:v>
      </x:c>
      <x:c r="D439" s="146" t="str">
        <x:v>전기·전력인입</x:v>
      </x:c>
      <x:c r="E439" s="146" t="str">
        <x:v>ELEMENT NO.9</x:v>
      </x:c>
      <x:c r="F439" s="146" t="str">
        <x:v>Power points</x:v>
      </x:c>
      <x:c r="G439" s="146" t="str"/>
      <x:c r="H439" s="49" t="str">
        <x:v>All wiring of all power points are to be connected complete and ready from 32A SP miniature circuit breakers of the respective Consumer Unit using 2.5mm sq. PVC-Insulated single core copper cables in ring circuit, drawn in PVC flush installed conduits, as per drawings</x:v>
      </x:c>
      <x:c r="I439" s="146" t="str">
        <x:v>no.</x:v>
      </x:c>
      <x:c r="J439" s="149" t="n">
        <x:v>0</x:v>
      </x:c>
      <x:c r="K439" s="146" t="str"/>
      <x:c r="L439" s="149" t="n">
        <x:v>5</x:v>
      </x:c>
      <x:c r="M439" s="149" t="n">
        <x:v>6</x:v>
      </x:c>
      <x:c r="N439" s="149" t="n">
        <x:v>0</x:v>
      </x:c>
      <x:c r="O439" s="149" t="n">
        <x:v>0</x:v>
      </x:c>
      <x:c r="P439" s="149" t="n">
        <x:f>IF('입력·근거'!$B$12="HIGH",O439,N439)</x:f>
        <x:v>0</x:v>
      </x:c>
      <x:c r="Q439" s="158" t="str"/>
      <x:c r="R439" s="161" t="str">
        <x:f>IF(Q439="","",P439*Q439)</x:f>
      </x:c>
      <x:c r="S439" s="146" t="str">
        <x:v>zero_quantity_check_formula_or_design;scope_multiplier_applied_for_scenario;scope_multiplier_conflict;unpriced_source</x:v>
      </x:c>
    </x:row>
    <x:row r="440">
      <x:c r="A440" s="146" t="str">
        <x:v>MARKET SHED.</x:v>
      </x:c>
      <x:c r="B440" s="146" t="n">
        <x:v>99</x:v>
      </x:c>
      <x:c r="C440" s="146" t="str">
        <x:v>여성친화형 시장 쉼터</x:v>
      </x:c>
      <x:c r="D440" s="146" t="str">
        <x:v>기타</x:v>
      </x:c>
      <x:c r="E440" s="146" t="str">
        <x:v>ELEMENT NO.9</x:v>
      </x:c>
      <x:c r="F440" s="146" t="str">
        <x:v>Low Voltage System Earthing</x:v>
      </x:c>
      <x:c r="G440" s="146" t="str"/>
      <x:c r="H440" s="49" t="str">
        <x:v>Earth the Low Voltage System so as to achieve a final earth resistance value of not more than 1.0 Ohm and as per IEE Regulations and Code of Practice</x:v>
      </x:c>
      <x:c r="I440" s="146" t="str">
        <x:v>item</x:v>
      </x:c>
      <x:c r="J440" s="149" t="n">
        <x:v>1</x:v>
      </x:c>
      <x:c r="K440" s="146" t="str"/>
      <x:c r="L440" s="149" t="n">
        <x:v>5</x:v>
      </x:c>
      <x:c r="M440" s="149" t="n">
        <x:v>6</x:v>
      </x:c>
      <x:c r="N440" s="149" t="n">
        <x:v>5</x:v>
      </x:c>
      <x:c r="O440" s="149" t="n">
        <x:v>6</x:v>
      </x:c>
      <x:c r="P440" s="149" t="n">
        <x:f>IF('입력·근거'!$B$12="HIGH",O440,N440)</x:f>
        <x:v>5</x:v>
      </x:c>
      <x:c r="Q440" s="158" t="str"/>
      <x:c r="R440" s="161" t="str">
        <x:f>IF(Q440="","",P440*Q440)</x:f>
      </x:c>
      <x:c r="S440" s="146" t="str">
        <x:v>scope_multiplier_applied_for_scenario;scope_multiplier_conflict;unpriced_source</x:v>
      </x:c>
    </x:row>
    <x:row r="441">
      <x:c r="A441" s="146" t="str">
        <x:v>MARKET SHED.</x:v>
      </x:c>
      <x:c r="B441" s="146" t="n">
        <x:v>100</x:v>
      </x:c>
      <x:c r="C441" s="146" t="str">
        <x:v>여성친화형 시장 쉼터</x:v>
      </x:c>
      <x:c r="D441" s="146" t="str">
        <x:v>기타</x:v>
      </x:c>
      <x:c r="E441" s="146" t="str">
        <x:v>ELEMENT NO.9</x:v>
      </x:c>
      <x:c r="F441" s="146" t="str">
        <x:v>Low Voltage System Earthing</x:v>
      </x:c>
      <x:c r="G441" s="146" t="str"/>
      <x:c r="H441" s="49" t="str">
        <x:v>Supply and Install a 8x8 Adaptable Box for Connection from Main source</x:v>
      </x:c>
      <x:c r="I441" s="146" t="str">
        <x:v>no.</x:v>
      </x:c>
      <x:c r="J441" s="149" t="n">
        <x:v>1</x:v>
      </x:c>
      <x:c r="K441" s="146" t="str"/>
      <x:c r="L441" s="149" t="n">
        <x:v>5</x:v>
      </x:c>
      <x:c r="M441" s="149" t="n">
        <x:v>6</x:v>
      </x:c>
      <x:c r="N441" s="149" t="n">
        <x:v>5</x:v>
      </x:c>
      <x:c r="O441" s="149" t="n">
        <x:v>6</x:v>
      </x:c>
      <x:c r="P441" s="149" t="n">
        <x:f>IF('입력·근거'!$B$12="HIGH",O441,N441)</x:f>
        <x:v>5</x:v>
      </x:c>
      <x:c r="Q441" s="158" t="str"/>
      <x:c r="R441" s="161" t="str">
        <x:f>IF(Q441="","",P441*Q441)</x:f>
      </x:c>
      <x:c r="S441" s="146" t="str">
        <x:v>scope_multiplier_applied_for_scenario;scope_multiplier_conflict;unpriced_source</x:v>
      </x:c>
    </x:row>
    <x:row r="442">
      <x:c r="A442" s="146" t="str">
        <x:v>MARKET SHED.</x:v>
      </x:c>
      <x:c r="B442" s="146" t="n">
        <x:v>103</x:v>
      </x:c>
      <x:c r="C442" s="146" t="str">
        <x:v>여성친화형 시장 쉼터</x:v>
      </x:c>
      <x:c r="D442" s="146" t="str">
        <x:v>전기·전력인입</x:v>
      </x:c>
      <x:c r="E442" s="146" t="str">
        <x:v>ELEMENT NO.9</x:v>
      </x:c>
      <x:c r="F442" s="146" t="str">
        <x:v>All items are to be supplied and installed complete with all the required mounting, fixing, clipping, testing, connecting accessories, connected, tested and commissioned to the satisfaction of the Electrical Engineer.</x:v>
      </x:c>
      <x:c r="G442" s="146" t="str"/>
      <x:c r="H442" s="49" t="str">
        <x:v>25mm x 3mm copper tape as to FURSE manufacture, or approved equivalent.</x:v>
      </x:c>
      <x:c r="I442" s="146" t="str">
        <x:v>m</x:v>
      </x:c>
      <x:c r="J442" s="149" t="n">
        <x:v>40</x:v>
      </x:c>
      <x:c r="K442" s="146" t="str"/>
      <x:c r="L442" s="149" t="n">
        <x:v>5</x:v>
      </x:c>
      <x:c r="M442" s="149" t="n">
        <x:v>6</x:v>
      </x:c>
      <x:c r="N442" s="149" t="n">
        <x:v>200</x:v>
      </x:c>
      <x:c r="O442" s="149" t="n">
        <x:v>240</x:v>
      </x:c>
      <x:c r="P442" s="149" t="n">
        <x:f>IF('입력·근거'!$B$12="HIGH",O442,N442)</x:f>
        <x:v>200</x:v>
      </x:c>
      <x:c r="Q442" s="158" t="str"/>
      <x:c r="R442" s="161" t="str">
        <x:f>IF(Q442="","",P442*Q442)</x:f>
      </x:c>
      <x:c r="S442" s="146" t="str">
        <x:v>scope_multiplier_applied_for_scenario;scope_multiplier_conflict;unpriced_source</x:v>
      </x:c>
    </x:row>
    <x:row r="443">
      <x:c r="A443" s="146" t="str">
        <x:v>MARKET SHED.</x:v>
      </x:c>
      <x:c r="B443" s="146" t="n">
        <x:v>104</x:v>
      </x:c>
      <x:c r="C443" s="146" t="str">
        <x:v>여성친화형 시장 쉼터</x:v>
      </x:c>
      <x:c r="D443" s="146" t="str">
        <x:v>전기·전력인입</x:v>
      </x:c>
      <x:c r="E443" s="146" t="str">
        <x:v>ELEMENT NO.9</x:v>
      </x:c>
      <x:c r="F443" s="146" t="str">
        <x:v>All items are to be supplied and installed complete with all the required mounting, fixing, clipping, testing, connecting accessories, connected, tested and commissioned to the satisfaction of the Electrical Engineer.</x:v>
      </x:c>
      <x:c r="G443" s="146" t="str"/>
      <x:c r="H443" s="49" t="str">
        <x:v>25mm x 3mm copper square test clamp, as to FURSE Cat.No. CT 105, or approved equivalent.</x:v>
      </x:c>
      <x:c r="I443" s="146" t="str">
        <x:v>no.</x:v>
      </x:c>
      <x:c r="J443" s="149" t="n">
        <x:v>2</x:v>
      </x:c>
      <x:c r="K443" s="146" t="str"/>
      <x:c r="L443" s="149" t="n">
        <x:v>5</x:v>
      </x:c>
      <x:c r="M443" s="149" t="n">
        <x:v>6</x:v>
      </x:c>
      <x:c r="N443" s="149" t="n">
        <x:v>10</x:v>
      </x:c>
      <x:c r="O443" s="149" t="n">
        <x:v>12</x:v>
      </x:c>
      <x:c r="P443" s="149" t="n">
        <x:f>IF('입력·근거'!$B$12="HIGH",O443,N443)</x:f>
        <x:v>10</x:v>
      </x:c>
      <x:c r="Q443" s="158" t="str"/>
      <x:c r="R443" s="161" t="str">
        <x:f>IF(Q443="","",P443*Q443)</x:f>
      </x:c>
      <x:c r="S443" s="146" t="str">
        <x:v>scope_multiplier_applied_for_scenario;scope_multiplier_conflict;unpriced_source</x:v>
      </x:c>
    </x:row>
    <x:row r="444">
      <x:c r="A444" s="146" t="str">
        <x:v>MARKET SHED.</x:v>
      </x:c>
      <x:c r="B444" s="146" t="n">
        <x:v>105</x:v>
      </x:c>
      <x:c r="C444" s="146" t="str">
        <x:v>여성친화형 시장 쉼터</x:v>
      </x:c>
      <x:c r="D444" s="146" t="str">
        <x:v>전기·전력인입</x:v>
      </x:c>
      <x:c r="E444" s="146" t="str">
        <x:v>ELEMENT NO.9</x:v>
      </x:c>
      <x:c r="F444" s="146" t="str">
        <x:v>All items are to be supplied and installed complete with all the required mounting, fixing, clipping, testing, connecting accessories, connected, tested and commissioned to the satisfaction of the Electrical Engineer.</x:v>
      </x:c>
      <x:c r="G444" s="146" t="str"/>
      <x:c r="H444" s="49" t="str">
        <x:v>2000mm x 15mm air rod, as to FURSE Cat. No. RA 240 c/w multiple point, as to FURSE Cat. No. RA 600, air terminal base, as to FURSE Cat. No. SD 105, and ridge saddle, as to FURSE Cat. No. SD 115, or approved equivalent.</x:v>
      </x:c>
      <x:c r="I444" s="146" t="str">
        <x:v>no.</x:v>
      </x:c>
      <x:c r="J444" s="149" t="n">
        <x:v>1</x:v>
      </x:c>
      <x:c r="K444" s="146" t="str"/>
      <x:c r="L444" s="149" t="n">
        <x:v>5</x:v>
      </x:c>
      <x:c r="M444" s="149" t="n">
        <x:v>6</x:v>
      </x:c>
      <x:c r="N444" s="149" t="n">
        <x:v>5</x:v>
      </x:c>
      <x:c r="O444" s="149" t="n">
        <x:v>6</x:v>
      </x:c>
      <x:c r="P444" s="149" t="n">
        <x:f>IF('입력·근거'!$B$12="HIGH",O444,N444)</x:f>
        <x:v>5</x:v>
      </x:c>
      <x:c r="Q444" s="158" t="str"/>
      <x:c r="R444" s="161" t="str">
        <x:f>IF(Q444="","",P444*Q444)</x:f>
      </x:c>
      <x:c r="S444" s="146" t="str">
        <x:v>scope_multiplier_applied_for_scenario;scope_multiplier_conflict;unpriced_source</x:v>
      </x:c>
    </x:row>
    <x:row r="445">
      <x:c r="A445" s="146" t="str">
        <x:v>MARKET SHED.</x:v>
      </x:c>
      <x:c r="B445" s="146" t="n">
        <x:v>106</x:v>
      </x:c>
      <x:c r="C445" s="146" t="str">
        <x:v>여성친화형 시장 쉼터</x:v>
      </x:c>
      <x:c r="D445" s="146" t="str">
        <x:v>전기·전력인입</x:v>
      </x:c>
      <x:c r="E445" s="146" t="str">
        <x:v>ELEMENT NO.9</x:v>
      </x:c>
      <x:c r="F445" s="146" t="str">
        <x:v>All items are to be supplied and installed complete with all the required mounting, fixing, clipping, testing, connecting accessories, connected, tested and commissioned to the satisfaction of the Electrical Engineer.</x:v>
      </x:c>
      <x:c r="G445" s="146" t="str"/>
      <x:c r="H445" s="49" t="str">
        <x:v>25mm x 3mm Tape Clips</x:v>
      </x:c>
      <x:c r="I445" s="146" t="str">
        <x:v>pkt</x:v>
      </x:c>
      <x:c r="J445" s="149" t="n">
        <x:v>8</x:v>
      </x:c>
      <x:c r="K445" s="146" t="str"/>
      <x:c r="L445" s="149" t="n">
        <x:v>5</x:v>
      </x:c>
      <x:c r="M445" s="149" t="n">
        <x:v>6</x:v>
      </x:c>
      <x:c r="N445" s="149" t="n">
        <x:v>40</x:v>
      </x:c>
      <x:c r="O445" s="149" t="n">
        <x:v>48</x:v>
      </x:c>
      <x:c r="P445" s="149" t="n">
        <x:f>IF('입력·근거'!$B$12="HIGH",O445,N445)</x:f>
        <x:v>40</x:v>
      </x:c>
      <x:c r="Q445" s="158" t="str"/>
      <x:c r="R445" s="161" t="str">
        <x:f>IF(Q445="","",P445*Q445)</x:f>
      </x:c>
      <x:c r="S445" s="146" t="str">
        <x:v>scope_multiplier_applied_for_scenario;scope_multiplier_conflict;unpriced_source</x:v>
      </x:c>
    </x:row>
    <x:row r="446">
      <x:c r="A446" s="146" t="str">
        <x:v>MARKET SHED.</x:v>
      </x:c>
      <x:c r="B446" s="146" t="n">
        <x:v>107</x:v>
      </x:c>
      <x:c r="C446" s="146" t="str">
        <x:v>여성친화형 시장 쉼터</x:v>
      </x:c>
      <x:c r="D446" s="146" t="str">
        <x:v>전기·전력인입</x:v>
      </x:c>
      <x:c r="E446" s="146" t="str">
        <x:v>ELEMENT NO.9</x:v>
      </x:c>
      <x:c r="F446" s="146" t="str">
        <x:v>All items are to be supplied and installed complete with all the required mounting, fixing, clipping, testing, connecting accessories, connected, tested and commissioned to the satisfaction of the Electrical Engineer.</x:v>
      </x:c>
      <x:c r="G446" s="146" t="str"/>
      <x:c r="H446" s="49" t="str">
        <x:v>1200mm x 20mm solid copper earth rod, as to FURSE Cat.No. RC 015, and 600x600 earth mat complete with driving stud and coupler, and accessories.</x:v>
      </x:c>
      <x:c r="I446" s="146" t="str">
        <x:v>no.</x:v>
      </x:c>
      <x:c r="J446" s="149" t="n">
        <x:v>1</x:v>
      </x:c>
      <x:c r="K446" s="146" t="str"/>
      <x:c r="L446" s="149" t="n">
        <x:v>5</x:v>
      </x:c>
      <x:c r="M446" s="149" t="n">
        <x:v>6</x:v>
      </x:c>
      <x:c r="N446" s="149" t="n">
        <x:v>5</x:v>
      </x:c>
      <x:c r="O446" s="149" t="n">
        <x:v>6</x:v>
      </x:c>
      <x:c r="P446" s="149" t="n">
        <x:f>IF('입력·근거'!$B$12="HIGH",O446,N446)</x:f>
        <x:v>5</x:v>
      </x:c>
      <x:c r="Q446" s="158" t="str"/>
      <x:c r="R446" s="161" t="str">
        <x:f>IF(Q446="","",P446*Q446)</x:f>
      </x:c>
      <x:c r="S446" s="146" t="str">
        <x:v>scope_multiplier_applied_for_scenario;scope_multiplier_conflict;unpriced_source</x:v>
      </x:c>
    </x:row>
    <x:row r="447">
      <x:c r="A447" s="146" t="str">
        <x:v>MARKET SHED.</x:v>
      </x:c>
      <x:c r="B447" s="146" t="n">
        <x:v>108</x:v>
      </x:c>
      <x:c r="C447" s="146" t="str">
        <x:v>여성친화형 시장 쉼터</x:v>
      </x:c>
      <x:c r="D447" s="146" t="str">
        <x:v>전기·전력인입</x:v>
      </x:c>
      <x:c r="E447" s="146" t="str">
        <x:v>ELEMENT NO.9</x:v>
      </x:c>
      <x:c r="F447" s="146" t="str">
        <x:v>All items are to be supplied and installed complete with all the required mounting, fixing, clipping, testing, connecting accessories, connected, tested and commissioned to the satisfaction of the Electrical Engineer.</x:v>
      </x:c>
      <x:c r="G447" s="146" t="str"/>
      <x:c r="H447" s="49" t="str">
        <x:v>Concrete inspection chamber, as to FURSE Cat. No. PT005 or approved equivalent.</x:v>
      </x:c>
      <x:c r="I447" s="146" t="str">
        <x:v>no.</x:v>
      </x:c>
      <x:c r="J447" s="149" t="n">
        <x:v>1</x:v>
      </x:c>
      <x:c r="K447" s="146" t="str"/>
      <x:c r="L447" s="149" t="n">
        <x:v>5</x:v>
      </x:c>
      <x:c r="M447" s="149" t="n">
        <x:v>6</x:v>
      </x:c>
      <x:c r="N447" s="149" t="n">
        <x:v>5</x:v>
      </x:c>
      <x:c r="O447" s="149" t="n">
        <x:v>6</x:v>
      </x:c>
      <x:c r="P447" s="149" t="n">
        <x:f>IF('입력·근거'!$B$12="HIGH",O447,N447)</x:f>
        <x:v>5</x:v>
      </x:c>
      <x:c r="Q447" s="158" t="str"/>
      <x:c r="R447" s="161" t="str">
        <x:f>IF(Q447="","",P447*Q447)</x:f>
      </x:c>
      <x:c r="S447" s="146" t="str">
        <x:v>scope_multiplier_applied_for_scenario;scope_multiplier_conflict;unpriced_source</x:v>
      </x:c>
    </x:row>
    <x:row r="448">
      <x:c r="A448" s="146" t="str">
        <x:v>MARKET SHED.</x:v>
      </x:c>
      <x:c r="B448" s="146" t="n">
        <x:v>109</x:v>
      </x:c>
      <x:c r="C448" s="146" t="str">
        <x:v>여성친화형 시장 쉼터</x:v>
      </x:c>
      <x:c r="D448" s="146" t="str">
        <x:v>전기·전력인입</x:v>
      </x:c>
      <x:c r="E448" s="146" t="str">
        <x:v>ELEMENT NO.9</x:v>
      </x:c>
      <x:c r="F448" s="146" t="str">
        <x:v>All items are to be supplied and installed complete with all the required mounting, fixing, clipping, testing, connecting accessories, connected, tested and commissioned to the satisfaction of the Electrical Engineer.</x:v>
      </x:c>
      <x:c r="G448" s="146" t="str"/>
      <x:c r="H448" s="49" t="str">
        <x:v>Allow for testing and improving of earth resistance like charcoal, and all accessories required to achieve an earth resistance of 5 Ohms</x:v>
      </x:c>
      <x:c r="I448" s="146" t="str">
        <x:v>item</x:v>
      </x:c>
      <x:c r="J448" s="149" t="n">
        <x:v>1</x:v>
      </x:c>
      <x:c r="K448" s="146" t="str"/>
      <x:c r="L448" s="149" t="n">
        <x:v>5</x:v>
      </x:c>
      <x:c r="M448" s="149" t="n">
        <x:v>6</x:v>
      </x:c>
      <x:c r="N448" s="149" t="n">
        <x:v>5</x:v>
      </x:c>
      <x:c r="O448" s="149" t="n">
        <x:v>6</x:v>
      </x:c>
      <x:c r="P448" s="149" t="n">
        <x:f>IF('입력·근거'!$B$12="HIGH",O448,N448)</x:f>
        <x:v>5</x:v>
      </x:c>
      <x:c r="Q448" s="158" t="str"/>
      <x:c r="R448" s="161" t="str">
        <x:f>IF(Q448="","",P448*Q448)</x:f>
      </x:c>
      <x:c r="S448" s="146" t="str">
        <x:v>scope_multiplier_applied_for_scenario;scope_multiplier_conflict;unpriced_source</x:v>
      </x:c>
    </x:row>
    <x:row r="449">
      <x:c r="A449" s="146" t="str">
        <x:v>RAINWATER HARVESTING</x:v>
      </x:c>
      <x:c r="B449" s="146" t="n">
        <x:v>3</x:v>
      </x:c>
      <x:c r="C449" s="146" t="str">
        <x:v>빗물저장시설 10,000L</x:v>
      </x:c>
      <x:c r="D449" s="146" t="str">
        <x:v>급배수·빗물이용</x:v>
      </x:c>
      <x:c r="E449" s="146" t="str"/>
      <x:c r="F449" s="146" t="str">
        <x:v>The following in 1No. 10,000L Rainwater storage tank including tank base</x:v>
      </x:c>
      <x:c r="G449" s="146" t="str">
        <x:v>A</x:v>
      </x:c>
      <x:c r="H449" s="49" t="str">
        <x:v>Excavation (150mm deep)</x:v>
      </x:c>
      <x:c r="I449" s="146" t="str">
        <x:v>m²</x:v>
      </x:c>
      <x:c r="J449" s="149" t="n">
        <x:v>9</x:v>
      </x:c>
      <x:c r="K449" s="146" t="str"/>
      <x:c r="L449" s="149" t="n">
        <x:v>2</x:v>
      </x:c>
      <x:c r="M449" s="149" t="n">
        <x:v>2</x:v>
      </x:c>
      <x:c r="N449" s="149" t="n">
        <x:v>18</x:v>
      </x:c>
      <x:c r="O449" s="149" t="n">
        <x:v>18</x:v>
      </x:c>
      <x:c r="P449" s="149" t="n">
        <x:f>IF('입력·근거'!$B$12="HIGH",O449,N449)</x:f>
        <x:v>18</x:v>
      </x:c>
      <x:c r="Q449" s="158" t="str"/>
      <x:c r="R449" s="161" t="str">
        <x:f>IF(Q449="","",P449*Q449)</x:f>
      </x:c>
      <x:c r="S449" s="146" t="str">
        <x:v>scope_multiplier_applied_for_scenario;unpriced_source</x:v>
      </x:c>
    </x:row>
    <x:row r="450">
      <x:c r="A450" s="146" t="str">
        <x:v>RAINWATER HARVESTING</x:v>
      </x:c>
      <x:c r="B450" s="146" t="n">
        <x:v>4</x:v>
      </x:c>
      <x:c r="C450" s="146" t="str">
        <x:v>빗물저장시설 10,000L</x:v>
      </x:c>
      <x:c r="D450" s="146" t="str">
        <x:v>급배수·빗물이용</x:v>
      </x:c>
      <x:c r="E450" s="146" t="str"/>
      <x:c r="F450" s="146" t="str">
        <x:v>The following in 1No. 10,000L Rainwater storage tank including tank base</x:v>
      </x:c>
      <x:c r="G450" s="146" t="str">
        <x:v>B</x:v>
      </x:c>
      <x:c r="H450" s="49" t="str">
        <x:v>Anti-termite treatment: sides and bottoms of foundations</x:v>
      </x:c>
      <x:c r="I450" s="146" t="str">
        <x:v>m²</x:v>
      </x:c>
      <x:c r="J450" s="149" t="n">
        <x:v>14</x:v>
      </x:c>
      <x:c r="K450" s="146" t="str"/>
      <x:c r="L450" s="149" t="n">
        <x:v>2</x:v>
      </x:c>
      <x:c r="M450" s="149" t="n">
        <x:v>2</x:v>
      </x:c>
      <x:c r="N450" s="149" t="n">
        <x:v>28</x:v>
      </x:c>
      <x:c r="O450" s="149" t="n">
        <x:v>28</x:v>
      </x:c>
      <x:c r="P450" s="149" t="n">
        <x:f>IF('입력·근거'!$B$12="HIGH",O450,N450)</x:f>
        <x:v>28</x:v>
      </x:c>
      <x:c r="Q450" s="158" t="str"/>
      <x:c r="R450" s="161" t="str">
        <x:f>IF(Q450="","",P450*Q450)</x:f>
      </x:c>
      <x:c r="S450" s="146" t="str">
        <x:v>scope_multiplier_applied_for_scenario;unpriced_source</x:v>
      </x:c>
    </x:row>
    <x:row r="451">
      <x:c r="A451" s="146" t="str">
        <x:v>RAINWATER HARVESTING</x:v>
      </x:c>
      <x:c r="B451" s="146" t="n">
        <x:v>5</x:v>
      </x:c>
      <x:c r="C451" s="146" t="str">
        <x:v>빗물저장시설 10,000L</x:v>
      </x:c>
      <x:c r="D451" s="146" t="str">
        <x:v>급배수·빗물이용</x:v>
      </x:c>
      <x:c r="E451" s="146" t="str"/>
      <x:c r="F451" s="146" t="str">
        <x:v>The following in 1No. 10,000L Rainwater storage tank including tank base</x:v>
      </x:c>
      <x:c r="G451" s="146" t="str">
        <x:v>C</x:v>
      </x:c>
      <x:c r="H451" s="49" t="str">
        <x:v>Ditto: blinded surfaces of hardcore</x:v>
      </x:c>
      <x:c r="I451" s="146" t="str">
        <x:v>m²</x:v>
      </x:c>
      <x:c r="J451" s="149" t="n">
        <x:v>6</x:v>
      </x:c>
      <x:c r="K451" s="146" t="str"/>
      <x:c r="L451" s="149" t="n">
        <x:v>2</x:v>
      </x:c>
      <x:c r="M451" s="149" t="n">
        <x:v>2</x:v>
      </x:c>
      <x:c r="N451" s="149" t="n">
        <x:v>12</x:v>
      </x:c>
      <x:c r="O451" s="149" t="n">
        <x:v>12</x:v>
      </x:c>
      <x:c r="P451" s="149" t="n">
        <x:f>IF('입력·근거'!$B$12="HIGH",O451,N451)</x:f>
        <x:v>12</x:v>
      </x:c>
      <x:c r="Q451" s="158" t="str"/>
      <x:c r="R451" s="161" t="str">
        <x:f>IF(Q451="","",P451*Q451)</x:f>
      </x:c>
      <x:c r="S451" s="146" t="str">
        <x:v>scope_multiplier_applied_for_scenario;unpriced_source</x:v>
      </x:c>
    </x:row>
    <x:row r="452">
      <x:c r="A452" s="146" t="str">
        <x:v>RAINWATER HARVESTING</x:v>
      </x:c>
      <x:c r="B452" s="146" t="n">
        <x:v>6</x:v>
      </x:c>
      <x:c r="C452" s="146" t="str">
        <x:v>빗물저장시설 10,000L</x:v>
      </x:c>
      <x:c r="D452" s="146" t="str">
        <x:v>급배수·빗물이용</x:v>
      </x:c>
      <x:c r="E452" s="146" t="str"/>
      <x:c r="F452" s="146" t="str">
        <x:v>The following in 1No. 10,000L Rainwater storage tank including tank base</x:v>
      </x:c>
      <x:c r="G452" s="146" t="str">
        <x:v>D</x:v>
      </x:c>
      <x:c r="H452" s="49" t="str">
        <x:v>Excavation (n.e. 1.50m deep)</x:v>
      </x:c>
      <x:c r="I452" s="146" t="str">
        <x:v>m³</x:v>
      </x:c>
      <x:c r="J452" s="149" t="n">
        <x:v>3</x:v>
      </x:c>
      <x:c r="K452" s="146" t="str"/>
      <x:c r="L452" s="149" t="n">
        <x:v>2</x:v>
      </x:c>
      <x:c r="M452" s="149" t="n">
        <x:v>2</x:v>
      </x:c>
      <x:c r="N452" s="149" t="n">
        <x:v>6</x:v>
      </x:c>
      <x:c r="O452" s="149" t="n">
        <x:v>6</x:v>
      </x:c>
      <x:c r="P452" s="149" t="n">
        <x:f>IF('입력·근거'!$B$12="HIGH",O452,N452)</x:f>
        <x:v>6</x:v>
      </x:c>
      <x:c r="Q452" s="158" t="str"/>
      <x:c r="R452" s="161" t="str">
        <x:f>IF(Q452="","",P452*Q452)</x:f>
      </x:c>
      <x:c r="S452" s="146" t="str">
        <x:v>scope_multiplier_applied_for_scenario;unpriced_source</x:v>
      </x:c>
    </x:row>
    <x:row r="453">
      <x:c r="A453" s="146" t="str">
        <x:v>RAINWATER HARVESTING</x:v>
      </x:c>
      <x:c r="B453" s="146" t="n">
        <x:v>7</x:v>
      </x:c>
      <x:c r="C453" s="146" t="str">
        <x:v>빗물저장시설 10,000L</x:v>
      </x:c>
      <x:c r="D453" s="146" t="str">
        <x:v>급배수·빗물이용</x:v>
      </x:c>
      <x:c r="E453" s="146" t="str"/>
      <x:c r="F453" s="146" t="str">
        <x:v>The following in 1No. 10,000L Rainwater storage tank including tank base</x:v>
      </x:c>
      <x:c r="G453" s="146" t="str">
        <x:v>E</x:v>
      </x:c>
      <x:c r="H453" s="49" t="str">
        <x:v>Return, fill and ram</x:v>
      </x:c>
      <x:c r="I453" s="146" t="str">
        <x:v>m³</x:v>
      </x:c>
      <x:c r="J453" s="149" t="n">
        <x:v>1</x:v>
      </x:c>
      <x:c r="K453" s="146" t="str"/>
      <x:c r="L453" s="149" t="n">
        <x:v>2</x:v>
      </x:c>
      <x:c r="M453" s="149" t="n">
        <x:v>2</x:v>
      </x:c>
      <x:c r="N453" s="149" t="n">
        <x:v>2</x:v>
      </x:c>
      <x:c r="O453" s="149" t="n">
        <x:v>2</x:v>
      </x:c>
      <x:c r="P453" s="149" t="n">
        <x:f>IF('입력·근거'!$B$12="HIGH",O453,N453)</x:f>
        <x:v>2</x:v>
      </x:c>
      <x:c r="Q453" s="158" t="str"/>
      <x:c r="R453" s="161" t="str">
        <x:f>IF(Q453="","",P453*Q453)</x:f>
      </x:c>
      <x:c r="S453" s="146" t="str">
        <x:v>scope_multiplier_applied_for_scenario;unpriced_source</x:v>
      </x:c>
    </x:row>
    <x:row r="454">
      <x:c r="A454" s="146" t="str">
        <x:v>RAINWATER HARVESTING</x:v>
      </x:c>
      <x:c r="B454" s="146" t="n">
        <x:v>8</x:v>
      </x:c>
      <x:c r="C454" s="146" t="str">
        <x:v>빗물저장시설 10,000L</x:v>
      </x:c>
      <x:c r="D454" s="146" t="str">
        <x:v>급배수·빗물이용</x:v>
      </x:c>
      <x:c r="E454" s="146" t="str"/>
      <x:c r="F454" s="146" t="str">
        <x:v>The following in 1No. 10,000L Rainwater storage tank including tank base</x:v>
      </x:c>
      <x:c r="G454" s="146" t="str">
        <x:v>F</x:v>
      </x:c>
      <x:c r="H454" s="49" t="str">
        <x:v>Surplus excavated material</x:v>
      </x:c>
      <x:c r="I454" s="146" t="str">
        <x:v>m³</x:v>
      </x:c>
      <x:c r="J454" s="149" t="n">
        <x:v>2</x:v>
      </x:c>
      <x:c r="K454" s="146" t="str"/>
      <x:c r="L454" s="149" t="n">
        <x:v>2</x:v>
      </x:c>
      <x:c r="M454" s="149" t="n">
        <x:v>2</x:v>
      </x:c>
      <x:c r="N454" s="149" t="n">
        <x:v>4</x:v>
      </x:c>
      <x:c r="O454" s="149" t="n">
        <x:v>4</x:v>
      </x:c>
      <x:c r="P454" s="149" t="n">
        <x:f>IF('입력·근거'!$B$12="HIGH",O454,N454)</x:f>
        <x:v>4</x:v>
      </x:c>
      <x:c r="Q454" s="158" t="str"/>
      <x:c r="R454" s="161" t="str">
        <x:f>IF(Q454="","",P454*Q454)</x:f>
      </x:c>
      <x:c r="S454" s="146" t="str">
        <x:v>scope_multiplier_applied_for_scenario;unpriced_source</x:v>
      </x:c>
    </x:row>
    <x:row r="455">
      <x:c r="A455" s="146" t="str">
        <x:v>RAINWATER HARVESTING</x:v>
      </x:c>
      <x:c r="B455" s="146" t="n">
        <x:v>9</x:v>
      </x:c>
      <x:c r="C455" s="146" t="str">
        <x:v>빗물저장시설 10,000L</x:v>
      </x:c>
      <x:c r="D455" s="146" t="str">
        <x:v>급배수·빗물이용</x:v>
      </x:c>
      <x:c r="E455" s="146" t="str"/>
      <x:c r="F455" s="146" t="str">
        <x:v>The following in 1No. 10,000L Rainwater storage tank including tank base</x:v>
      </x:c>
      <x:c r="G455" s="146" t="str">
        <x:v>G</x:v>
      </x:c>
      <x:c r="H455" s="49" t="str">
        <x:v>125mm Murrum filling</x:v>
      </x:c>
      <x:c r="I455" s="146" t="str">
        <x:v>m²</x:v>
      </x:c>
      <x:c r="J455" s="149" t="n">
        <x:v>6</x:v>
      </x:c>
      <x:c r="K455" s="146" t="str"/>
      <x:c r="L455" s="149" t="n">
        <x:v>2</x:v>
      </x:c>
      <x:c r="M455" s="149" t="n">
        <x:v>2</x:v>
      </x:c>
      <x:c r="N455" s="149" t="n">
        <x:v>12</x:v>
      </x:c>
      <x:c r="O455" s="149" t="n">
        <x:v>12</x:v>
      </x:c>
      <x:c r="P455" s="149" t="n">
        <x:f>IF('입력·근거'!$B$12="HIGH",O455,N455)</x:f>
        <x:v>12</x:v>
      </x:c>
      <x:c r="Q455" s="158" t="str"/>
      <x:c r="R455" s="161" t="str">
        <x:f>IF(Q455="","",P455*Q455)</x:f>
      </x:c>
      <x:c r="S455" s="146" t="str">
        <x:v>scope_multiplier_applied_for_scenario;unpriced_source</x:v>
      </x:c>
    </x:row>
    <x:row r="456">
      <x:c r="A456" s="146" t="str">
        <x:v>RAINWATER HARVESTING</x:v>
      </x:c>
      <x:c r="B456" s="146" t="n">
        <x:v>10</x:v>
      </x:c>
      <x:c r="C456" s="146" t="str">
        <x:v>빗물저장시설 10,000L</x:v>
      </x:c>
      <x:c r="D456" s="146" t="str">
        <x:v>급배수·빗물이용</x:v>
      </x:c>
      <x:c r="E456" s="146" t="str"/>
      <x:c r="F456" s="146" t="str">
        <x:v>The following in 1No. 10,000L Rainwater storage tank including tank base</x:v>
      </x:c>
      <x:c r="G456" s="146" t="str">
        <x:v>H</x:v>
      </x:c>
      <x:c r="H456" s="49" t="str">
        <x:v>150mm Hardcore bed</x:v>
      </x:c>
      <x:c r="I456" s="146" t="str">
        <x:v>m²</x:v>
      </x:c>
      <x:c r="J456" s="149" t="n">
        <x:v>6</x:v>
      </x:c>
      <x:c r="K456" s="146" t="str"/>
      <x:c r="L456" s="149" t="n">
        <x:v>2</x:v>
      </x:c>
      <x:c r="M456" s="149" t="n">
        <x:v>2</x:v>
      </x:c>
      <x:c r="N456" s="149" t="n">
        <x:v>12</x:v>
      </x:c>
      <x:c r="O456" s="149" t="n">
        <x:v>12</x:v>
      </x:c>
      <x:c r="P456" s="149" t="n">
        <x:f>IF('입력·근거'!$B$12="HIGH",O456,N456)</x:f>
        <x:v>12</x:v>
      </x:c>
      <x:c r="Q456" s="158" t="str"/>
      <x:c r="R456" s="161" t="str">
        <x:f>IF(Q456="","",P456*Q456)</x:f>
      </x:c>
      <x:c r="S456" s="146" t="str">
        <x:v>scope_multiplier_applied_for_scenario;unpriced_source</x:v>
      </x:c>
    </x:row>
    <x:row r="457">
      <x:c r="A457" s="146" t="str">
        <x:v>RAINWATER HARVESTING</x:v>
      </x:c>
      <x:c r="B457" s="146" t="n">
        <x:v>11</x:v>
      </x:c>
      <x:c r="C457" s="146" t="str">
        <x:v>빗물저장시설 10,000L</x:v>
      </x:c>
      <x:c r="D457" s="146" t="str">
        <x:v>급배수·빗물이용</x:v>
      </x:c>
      <x:c r="E457" s="146" t="str"/>
      <x:c r="F457" s="146" t="str">
        <x:v>The following in 1No. 10,000L Rainwater storage tank including tank base</x:v>
      </x:c>
      <x:c r="G457" s="146" t="str">
        <x:v>I</x:v>
      </x:c>
      <x:c r="H457" s="49" t="str">
        <x:v>Plain concrete class 15/20mm aggregates (mix 1:3:6) in: foundation trenches</x:v>
      </x:c>
      <x:c r="I457" s="146" t="str">
        <x:v>m³</x:v>
      </x:c>
      <x:c r="J457" s="149" t="n">
        <x:v>1</x:v>
      </x:c>
      <x:c r="K457" s="146" t="str"/>
      <x:c r="L457" s="149" t="n">
        <x:v>2</x:v>
      </x:c>
      <x:c r="M457" s="149" t="n">
        <x:v>2</x:v>
      </x:c>
      <x:c r="N457" s="149" t="n">
        <x:v>2</x:v>
      </x:c>
      <x:c r="O457" s="149" t="n">
        <x:v>2</x:v>
      </x:c>
      <x:c r="P457" s="149" t="n">
        <x:f>IF('입력·근거'!$B$12="HIGH",O457,N457)</x:f>
        <x:v>2</x:v>
      </x:c>
      <x:c r="Q457" s="158" t="str"/>
      <x:c r="R457" s="161" t="str">
        <x:f>IF(Q457="","",P457*Q457)</x:f>
      </x:c>
      <x:c r="S457" s="146" t="str">
        <x:v>scope_multiplier_applied_for_scenario;unpriced_source</x:v>
      </x:c>
    </x:row>
    <x:row r="458">
      <x:c r="A458" s="146" t="str">
        <x:v>RAINWATER HARVESTING</x:v>
      </x:c>
      <x:c r="B458" s="146" t="n">
        <x:v>12</x:v>
      </x:c>
      <x:c r="C458" s="146" t="str">
        <x:v>빗물저장시설 10,000L</x:v>
      </x:c>
      <x:c r="D458" s="146" t="str">
        <x:v>급배수·빗물이용</x:v>
      </x:c>
      <x:c r="E458" s="146" t="str"/>
      <x:c r="F458" s="146" t="str">
        <x:v>The following in 1No. 10,000L Rainwater storage tank including tank base</x:v>
      </x:c>
      <x:c r="G458" s="146" t="str">
        <x:v>J</x:v>
      </x:c>
      <x:c r="H458" s="49" t="str">
        <x:v>Ditto: 100mm Floor bed</x:v>
      </x:c>
      <x:c r="I458" s="146" t="str">
        <x:v>m²</x:v>
      </x:c>
      <x:c r="J458" s="149" t="n">
        <x:v>9</x:v>
      </x:c>
      <x:c r="K458" s="146" t="str"/>
      <x:c r="L458" s="149" t="n">
        <x:v>2</x:v>
      </x:c>
      <x:c r="M458" s="149" t="n">
        <x:v>2</x:v>
      </x:c>
      <x:c r="N458" s="149" t="n">
        <x:v>18</x:v>
      </x:c>
      <x:c r="O458" s="149" t="n">
        <x:v>18</x:v>
      </x:c>
      <x:c r="P458" s="149" t="n">
        <x:f>IF('입력·근거'!$B$12="HIGH",O458,N458)</x:f>
        <x:v>18</x:v>
      </x:c>
      <x:c r="Q458" s="158" t="str"/>
      <x:c r="R458" s="161" t="str">
        <x:f>IF(Q458="","",P458*Q458)</x:f>
      </x:c>
      <x:c r="S458" s="146" t="str">
        <x:v>scope_multiplier_applied_for_scenario;unpriced_source</x:v>
      </x:c>
    </x:row>
    <x:row r="459">
      <x:c r="A459" s="146" t="str">
        <x:v>RAINWATER HARVESTING</x:v>
      </x:c>
      <x:c r="B459" s="146" t="n">
        <x:v>13</x:v>
      </x:c>
      <x:c r="C459" s="146" t="str">
        <x:v>빗물저장시설 10,000L</x:v>
      </x:c>
      <x:c r="D459" s="146" t="str">
        <x:v>급배수·빗물이용</x:v>
      </x:c>
      <x:c r="E459" s="146" t="str"/>
      <x:c r="F459" s="146" t="str">
        <x:v>The following in 1No. 10,000L Rainwater storage tank including tank base</x:v>
      </x:c>
      <x:c r="G459" s="146" t="str">
        <x:v>K</x:v>
      </x:c>
      <x:c r="H459" s="49" t="str">
        <x:v>Formwork</x:v>
      </x:c>
      <x:c r="I459" s="146" t="str">
        <x:v>m</x:v>
      </x:c>
      <x:c r="J459" s="149" t="n">
        <x:v>7</x:v>
      </x:c>
      <x:c r="K459" s="146" t="str"/>
      <x:c r="L459" s="149" t="n">
        <x:v>2</x:v>
      </x:c>
      <x:c r="M459" s="149" t="n">
        <x:v>2</x:v>
      </x:c>
      <x:c r="N459" s="149" t="n">
        <x:v>14</x:v>
      </x:c>
      <x:c r="O459" s="149" t="n">
        <x:v>14</x:v>
      </x:c>
      <x:c r="P459" s="149" t="n">
        <x:f>IF('입력·근거'!$B$12="HIGH",O459,N459)</x:f>
        <x:v>14</x:v>
      </x:c>
      <x:c r="Q459" s="158" t="str"/>
      <x:c r="R459" s="161" t="str">
        <x:f>IF(Q459="","",P459*Q459)</x:f>
      </x:c>
      <x:c r="S459" s="146" t="str">
        <x:v>scope_multiplier_applied_for_scenario;unpriced_source</x:v>
      </x:c>
    </x:row>
    <x:row r="460">
      <x:c r="A460" s="146" t="str">
        <x:v>RAINWATER HARVESTING</x:v>
      </x:c>
      <x:c r="B460" s="146" t="n">
        <x:v>14</x:v>
      </x:c>
      <x:c r="C460" s="146" t="str">
        <x:v>빗물저장시설 10,000L</x:v>
      </x:c>
      <x:c r="D460" s="146" t="str">
        <x:v>급배수·빗물이용</x:v>
      </x:c>
      <x:c r="E460" s="146" t="str"/>
      <x:c r="F460" s="146" t="str">
        <x:v>The following in 1No. 10,000L Rainwater storage tank including tank base</x:v>
      </x:c>
      <x:c r="G460" s="146" t="str">
        <x:v>L</x:v>
      </x:c>
      <x:c r="H460" s="49" t="str">
        <x:v>200mm brick wall</x:v>
      </x:c>
      <x:c r="I460" s="146" t="str">
        <x:v>m²</x:v>
      </x:c>
      <x:c r="J460" s="149" t="n">
        <x:v>4</x:v>
      </x:c>
      <x:c r="K460" s="146" t="str"/>
      <x:c r="L460" s="149" t="n">
        <x:v>2</x:v>
      </x:c>
      <x:c r="M460" s="149" t="n">
        <x:v>2</x:v>
      </x:c>
      <x:c r="N460" s="149" t="n">
        <x:v>8</x:v>
      </x:c>
      <x:c r="O460" s="149" t="n">
        <x:v>8</x:v>
      </x:c>
      <x:c r="P460" s="149" t="n">
        <x:f>IF('입력·근거'!$B$12="HIGH",O460,N460)</x:f>
        <x:v>8</x:v>
      </x:c>
      <x:c r="Q460" s="158" t="str"/>
      <x:c r="R460" s="161" t="str">
        <x:f>IF(Q460="","",P460*Q460)</x:f>
      </x:c>
      <x:c r="S460" s="146" t="str">
        <x:v>scope_multiplier_applied_for_scenario;unpriced_source</x:v>
      </x:c>
    </x:row>
    <x:row r="461">
      <x:c r="A461" s="146" t="str">
        <x:v>RAINWATER HARVESTING</x:v>
      </x:c>
      <x:c r="B461" s="146" t="n">
        <x:v>15</x:v>
      </x:c>
      <x:c r="C461" s="146" t="str">
        <x:v>빗물저장시설 10,000L</x:v>
      </x:c>
      <x:c r="D461" s="146" t="str">
        <x:v>급배수·빗물이용</x:v>
      </x:c>
      <x:c r="E461" s="146" t="str"/>
      <x:c r="F461" s="146" t="str">
        <x:v>The following in 1No. 10,000L Rainwater storage tank including tank base</x:v>
      </x:c>
      <x:c r="G461" s="146" t="str">
        <x:v>M</x:v>
      </x:c>
      <x:c r="H461" s="49" t="str">
        <x:v>15mm cement and sand (1:4) mortar</x:v>
      </x:c>
      <x:c r="I461" s="146" t="str">
        <x:v>m²</x:v>
      </x:c>
      <x:c r="J461" s="149" t="n">
        <x:v>4</x:v>
      </x:c>
      <x:c r="K461" s="146" t="str"/>
      <x:c r="L461" s="149" t="n">
        <x:v>2</x:v>
      </x:c>
      <x:c r="M461" s="149" t="n">
        <x:v>2</x:v>
      </x:c>
      <x:c r="N461" s="149" t="n">
        <x:v>8</x:v>
      </x:c>
      <x:c r="O461" s="149" t="n">
        <x:v>8</x:v>
      </x:c>
      <x:c r="P461" s="149" t="n">
        <x:f>IF('입력·근거'!$B$12="HIGH",O461,N461)</x:f>
        <x:v>8</x:v>
      </x:c>
      <x:c r="Q461" s="158" t="str"/>
      <x:c r="R461" s="161" t="str">
        <x:f>IF(Q461="","",P461*Q461)</x:f>
      </x:c>
      <x:c r="S461" s="146" t="str">
        <x:v>scope_multiplier_applied_for_scenario;unpriced_source</x:v>
      </x:c>
    </x:row>
    <x:row r="462">
      <x:c r="A462" s="146" t="str">
        <x:v>RAINWATER HARVESTING</x:v>
      </x:c>
      <x:c r="B462" s="146" t="n">
        <x:v>16</x:v>
      </x:c>
      <x:c r="C462" s="146" t="str">
        <x:v>빗물저장시설 10,000L</x:v>
      </x:c>
      <x:c r="D462" s="146" t="str">
        <x:v>급배수·빗물이용</x:v>
      </x:c>
      <x:c r="E462" s="146" t="str"/>
      <x:c r="F462" s="146" t="str">
        <x:v>The following in 1No. 10,000L Rainwater storage tank including tank base</x:v>
      </x:c>
      <x:c r="G462" s="146" t="str">
        <x:v>N</x:v>
      </x:c>
      <x:c r="H462" s="49" t="str">
        <x:v>10,000L PVC tanks as Crestank or approved equal, complete with 20mm washout and 20mm overflow pipe.</x:v>
      </x:c>
      <x:c r="I462" s="146" t="str">
        <x:v>no.</x:v>
      </x:c>
      <x:c r="J462" s="149" t="n">
        <x:v>1</x:v>
      </x:c>
      <x:c r="K462" s="146" t="str"/>
      <x:c r="L462" s="149" t="n">
        <x:v>2</x:v>
      </x:c>
      <x:c r="M462" s="149" t="n">
        <x:v>2</x:v>
      </x:c>
      <x:c r="N462" s="149" t="n">
        <x:v>2</x:v>
      </x:c>
      <x:c r="O462" s="149" t="n">
        <x:v>2</x:v>
      </x:c>
      <x:c r="P462" s="149" t="n">
        <x:f>IF('입력·근거'!$B$12="HIGH",O462,N462)</x:f>
        <x:v>2</x:v>
      </x:c>
      <x:c r="Q462" s="158" t="str"/>
      <x:c r="R462" s="161" t="str">
        <x:f>IF(Q462="","",P462*Q462)</x:f>
      </x:c>
      <x:c r="S462" s="146" t="str">
        <x:v>scope_multiplier_applied_for_scenario;unpriced_source</x:v>
      </x:c>
    </x:row>
    <x:row r="463">
      <x:c r="A463" s="146" t="str">
        <x:v>RAINWATER HARVESTING</x:v>
      </x:c>
      <x:c r="B463" s="146" t="n">
        <x:v>17</x:v>
      </x:c>
      <x:c r="C463" s="146" t="str">
        <x:v>빗물저장시설 10,000L</x:v>
      </x:c>
      <x:c r="D463" s="146" t="str">
        <x:v>급배수·빗물이용</x:v>
      </x:c>
      <x:c r="E463" s="146" t="str"/>
      <x:c r="F463" s="146" t="str">
        <x:v>The following in 1No. 10,000L Rainwater storage tank including tank base</x:v>
      </x:c>
      <x:c r="G463" s="146" t="str">
        <x:v>O</x:v>
      </x:c>
      <x:c r="H463" s="49" t="str">
        <x:v>12mm Bip tap</x:v>
      </x:c>
      <x:c r="I463" s="146" t="str">
        <x:v>no.</x:v>
      </x:c>
      <x:c r="J463" s="149" t="n">
        <x:v>1</x:v>
      </x:c>
      <x:c r="K463" s="146" t="str"/>
      <x:c r="L463" s="149" t="n">
        <x:v>2</x:v>
      </x:c>
      <x:c r="M463" s="149" t="n">
        <x:v>2</x:v>
      </x:c>
      <x:c r="N463" s="149" t="n">
        <x:v>2</x:v>
      </x:c>
      <x:c r="O463" s="149" t="n">
        <x:v>2</x:v>
      </x:c>
      <x:c r="P463" s="149" t="n">
        <x:f>IF('입력·근거'!$B$12="HIGH",O463,N463)</x:f>
        <x:v>2</x:v>
      </x:c>
      <x:c r="Q463" s="158" t="str"/>
      <x:c r="R463" s="161" t="str">
        <x:f>IF(Q463="","",P463*Q463)</x:f>
      </x:c>
      <x:c r="S463" s="146" t="str">
        <x:v>scope_multiplier_applied_for_scenario;unpriced_source</x:v>
      </x:c>
    </x:row>
    <x:row r="464">
      <x:c r="A464" s="146" t="str">
        <x:v>RAINWATER HARVESTING</x:v>
      </x:c>
      <x:c r="B464" s="146" t="n">
        <x:v>18</x:v>
      </x:c>
      <x:c r="C464" s="146" t="str">
        <x:v>빗물저장시설 10,000L</x:v>
      </x:c>
      <x:c r="D464" s="146" t="str">
        <x:v>급배수·빗물이용</x:v>
      </x:c>
      <x:c r="E464" s="146" t="str"/>
      <x:c r="F464" s="146" t="str">
        <x:v>The following in 1No. 10,000L Rainwater storage tank including tank base</x:v>
      </x:c>
      <x:c r="G464" s="146" t="str">
        <x:v>P</x:v>
      </x:c>
      <x:c r="H464" s="49" t="str">
        <x:v>Allow for drain-off pipe for first rains</x:v>
      </x:c>
      <x:c r="I464" s="146" t="str">
        <x:v>item</x:v>
      </x:c>
      <x:c r="J464" s="149" t="n">
        <x:v>1</x:v>
      </x:c>
      <x:c r="K464" s="146" t="str"/>
      <x:c r="L464" s="149" t="n">
        <x:v>2</x:v>
      </x:c>
      <x:c r="M464" s="149" t="n">
        <x:v>2</x:v>
      </x:c>
      <x:c r="N464" s="149" t="n">
        <x:v>2</x:v>
      </x:c>
      <x:c r="O464" s="149" t="n">
        <x:v>2</x:v>
      </x:c>
      <x:c r="P464" s="149" t="n">
        <x:f>IF('입력·근거'!$B$12="HIGH",O464,N464)</x:f>
        <x:v>2</x:v>
      </x:c>
      <x:c r="Q464" s="158" t="str"/>
      <x:c r="R464" s="161" t="str">
        <x:f>IF(Q464="","",P464*Q464)</x:f>
      </x:c>
      <x:c r="S464" s="146" t="str">
        <x:v>scope_multiplier_applied_for_scenario;unpriced_source</x:v>
      </x:c>
    </x:row>
    <x:row r="465">
      <x:c r="A465" s="146" t="str">
        <x:v>RAINWATER HARVESTING</x:v>
      </x:c>
      <x:c r="B465" s="146" t="n">
        <x:v>19</x:v>
      </x:c>
      <x:c r="C465" s="146" t="str">
        <x:v>빗물저장시설 10,000L</x:v>
      </x:c>
      <x:c r="D465" s="146" t="str">
        <x:v>급배수·빗물이용</x:v>
      </x:c>
      <x:c r="E465" s="146" t="str"/>
      <x:c r="F465" s="146" t="str">
        <x:v>The following in 1No. 10,000L Rainwater storage tank including tank base</x:v>
      </x:c>
      <x:c r="G465" s="146" t="str">
        <x:v>Q</x:v>
      </x:c>
      <x:c r="H465" s="49" t="str">
        <x:v>200mm protective brick wall</x:v>
      </x:c>
      <x:c r="I465" s="146" t="str">
        <x:v>m²</x:v>
      </x:c>
      <x:c r="J465" s="149" t="n">
        <x:v>8</x:v>
      </x:c>
      <x:c r="K465" s="146" t="str"/>
      <x:c r="L465" s="149" t="n">
        <x:v>2</x:v>
      </x:c>
      <x:c r="M465" s="149" t="n">
        <x:v>2</x:v>
      </x:c>
      <x:c r="N465" s="149" t="n">
        <x:v>16</x:v>
      </x:c>
      <x:c r="O465" s="149" t="n">
        <x:v>16</x:v>
      </x:c>
      <x:c r="P465" s="149" t="n">
        <x:f>IF('입력·근거'!$B$12="HIGH",O465,N465)</x:f>
        <x:v>16</x:v>
      </x:c>
      <x:c r="Q465" s="158" t="str"/>
      <x:c r="R465" s="161" t="str">
        <x:f>IF(Q465="","",P465*Q465)</x:f>
      </x:c>
      <x:c r="S465" s="146" t="str">
        <x:v>scope_multiplier_applied_for_scenario;unpriced_source</x:v>
      </x:c>
    </x:row>
    <x:row r="466">
      <x:c r="A466" s="146" t="str">
        <x:v>RAINWATER HARVESTING</x:v>
      </x:c>
      <x:c r="B466" s="146" t="n">
        <x:v>20</x:v>
      </x:c>
      <x:c r="C466" s="146" t="str">
        <x:v>빗물저장시설 10,000L</x:v>
      </x:c>
      <x:c r="D466" s="146" t="str">
        <x:v>급배수·빗물이용</x:v>
      </x:c>
      <x:c r="E466" s="146" t="str"/>
      <x:c r="F466" s="146" t="str">
        <x:v>The following in 1No. 10,000L Rainwater storage tank including tank base</x:v>
      </x:c>
      <x:c r="G466" s="146" t="str">
        <x:v>R</x:v>
      </x:c>
      <x:c r="H466" s="49" t="str">
        <x:v>15mm cement and sand (1:4) render</x:v>
      </x:c>
      <x:c r="I466" s="146" t="str">
        <x:v>m²</x:v>
      </x:c>
      <x:c r="J466" s="149" t="n">
        <x:v>8</x:v>
      </x:c>
      <x:c r="K466" s="146" t="str"/>
      <x:c r="L466" s="149" t="n">
        <x:v>2</x:v>
      </x:c>
      <x:c r="M466" s="149" t="n">
        <x:v>2</x:v>
      </x:c>
      <x:c r="N466" s="149" t="n">
        <x:v>16</x:v>
      </x:c>
      <x:c r="O466" s="149" t="n">
        <x:v>16</x:v>
      </x:c>
      <x:c r="P466" s="149" t="n">
        <x:f>IF('입력·근거'!$B$12="HIGH",O466,N466)</x:f>
        <x:v>16</x:v>
      </x:c>
      <x:c r="Q466" s="158" t="str"/>
      <x:c r="R466" s="161" t="str">
        <x:f>IF(Q466="","",P466*Q466)</x:f>
      </x:c>
      <x:c r="S466" s="146" t="str">
        <x:v>scope_multiplier_applied_for_scenario;unpriced_source</x:v>
      </x:c>
    </x:row>
    <x:row r="467">
      <x:c r="A467" s="146" t="str">
        <x:v>RAINWATER HARVESTING</x:v>
      </x:c>
      <x:c r="B467" s="146" t="n">
        <x:v>21</x:v>
      </x:c>
      <x:c r="C467" s="146" t="str">
        <x:v>빗물저장시설 10,000L</x:v>
      </x:c>
      <x:c r="D467" s="146" t="str">
        <x:v>급배수·빗물이용</x:v>
      </x:c>
      <x:c r="E467" s="146" t="str"/>
      <x:c r="F467" s="146" t="str">
        <x:v>The following in 1No. 10,000L Rainwater storage tank including tank base</x:v>
      </x:c>
      <x:c r="G467" s="146" t="str">
        <x:v>S</x:v>
      </x:c>
      <x:c r="H467" s="49" t="str">
        <x:v>50mm uPVC pipe embedded in brickwork</x:v>
      </x:c>
      <x:c r="I467" s="146" t="str">
        <x:v>item</x:v>
      </x:c>
      <x:c r="J467" s="149" t="n">
        <x:v>1</x:v>
      </x:c>
      <x:c r="K467" s="146" t="str"/>
      <x:c r="L467" s="149" t="n">
        <x:v>2</x:v>
      </x:c>
      <x:c r="M467" s="149" t="n">
        <x:v>2</x:v>
      </x:c>
      <x:c r="N467" s="149" t="n">
        <x:v>2</x:v>
      </x:c>
      <x:c r="O467" s="149" t="n">
        <x:v>2</x:v>
      </x:c>
      <x:c r="P467" s="149" t="n">
        <x:f>IF('입력·근거'!$B$12="HIGH",O467,N467)</x:f>
        <x:v>2</x:v>
      </x:c>
      <x:c r="Q467" s="158" t="str"/>
      <x:c r="R467" s="161" t="str">
        <x:f>IF(Q467="","",P467*Q467)</x:f>
      </x:c>
      <x:c r="S467" s="146" t="str">
        <x:v>scope_multiplier_applied_for_scenario;unpriced_source</x:v>
      </x:c>
    </x:row>
    <x:row r="468">
      <x:c r="A468" s="146" t="str">
        <x:v>RAINWATER HARVESTING</x:v>
      </x:c>
      <x:c r="B468" s="146" t="n">
        <x:v>22</x:v>
      </x:c>
      <x:c r="C468" s="146" t="str">
        <x:v>빗물저장시설 10,000L</x:v>
      </x:c>
      <x:c r="D468" s="146" t="str">
        <x:v>급배수·빗물이용</x:v>
      </x:c>
      <x:c r="E468" s="146" t="str"/>
      <x:c r="F468" s="146" t="str">
        <x:v>The following in 1No. 10,000L Rainwater storage tank including tank base</x:v>
      </x:c>
      <x:c r="G468" s="146" t="str">
        <x:v>T</x:v>
      </x:c>
      <x:c r="H468" s="49" t="str">
        <x:v>230mm Concrete copping (mix 1:1.5:3)</x:v>
      </x:c>
      <x:c r="I468" s="146" t="str">
        <x:v>m</x:v>
      </x:c>
      <x:c r="J468" s="149" t="n">
        <x:v>14</x:v>
      </x:c>
      <x:c r="K468" s="146" t="str"/>
      <x:c r="L468" s="149" t="n">
        <x:v>2</x:v>
      </x:c>
      <x:c r="M468" s="149" t="n">
        <x:v>2</x:v>
      </x:c>
      <x:c r="N468" s="149" t="n">
        <x:v>28</x:v>
      </x:c>
      <x:c r="O468" s="149" t="n">
        <x:v>28</x:v>
      </x:c>
      <x:c r="P468" s="149" t="n">
        <x:f>IF('입력·근거'!$B$12="HIGH",O468,N468)</x:f>
        <x:v>28</x:v>
      </x:c>
      <x:c r="Q468" s="158" t="str"/>
      <x:c r="R468" s="161" t="str">
        <x:f>IF(Q468="","",P468*Q468)</x:f>
      </x:c>
      <x:c r="S468" s="146" t="str">
        <x:v>scope_multiplier_applied_for_scenario;unpriced_source</x:v>
      </x:c>
    </x:row>
    <x:row r="469">
      <x:c r="A469" s="146" t="str">
        <x:v>RAINWATER HARVESTING</x:v>
      </x:c>
      <x:c r="B469" s="146" t="n">
        <x:v>23</x:v>
      </x:c>
      <x:c r="C469" s="146" t="str">
        <x:v>빗물저장시설 10,000L</x:v>
      </x:c>
      <x:c r="D469" s="146" t="str">
        <x:v>급배수·빗물이용</x:v>
      </x:c>
      <x:c r="E469" s="146" t="str"/>
      <x:c r="F469" s="146" t="str">
        <x:v>The following in 1No. 10,000L Rainwater storage tank including tank base</x:v>
      </x:c>
      <x:c r="G469" s="146" t="str">
        <x:v>U</x:v>
      </x:c>
      <x:c r="H469" s="49" t="str">
        <x:v>Supply and install 160mm pvc rain water gutter including all fittings</x:v>
      </x:c>
      <x:c r="I469" s="146" t="str">
        <x:v>m</x:v>
      </x:c>
      <x:c r="J469" s="149" t="n">
        <x:v>30</x:v>
      </x:c>
      <x:c r="K469" s="146" t="str"/>
      <x:c r="L469" s="149" t="n">
        <x:v>2</x:v>
      </x:c>
      <x:c r="M469" s="149" t="n">
        <x:v>2</x:v>
      </x:c>
      <x:c r="N469" s="149" t="n">
        <x:v>60</x:v>
      </x:c>
      <x:c r="O469" s="149" t="n">
        <x:v>60</x:v>
      </x:c>
      <x:c r="P469" s="149" t="n">
        <x:f>IF('입력·근거'!$B$12="HIGH",O469,N469)</x:f>
        <x:v>60</x:v>
      </x:c>
      <x:c r="Q469" s="158" t="str"/>
      <x:c r="R469" s="161" t="str">
        <x:f>IF(Q469="","",P469*Q469)</x:f>
      </x:c>
      <x:c r="S469" s="146" t="str">
        <x:v>scope_multiplier_applied_for_scenario;unpriced_source</x:v>
      </x:c>
    </x:row>
    <x:row r="470">
      <x:c r="A470" s="146" t="str">
        <x:v>RAINWATER HARVESTING</x:v>
      </x:c>
      <x:c r="B470" s="146" t="n">
        <x:v>25</x:v>
      </x:c>
      <x:c r="C470" s="146" t="str">
        <x:v>빗물저장시설 10,000L</x:v>
      </x:c>
      <x:c r="D470" s="146" t="str">
        <x:v>급배수·빗물이용</x:v>
      </x:c>
      <x:c r="E470" s="146" t="str"/>
      <x:c r="F470" s="146" t="str">
        <x:v>Single Phase Water pump</x:v>
      </x:c>
      <x:c r="G470" s="146" t="str">
        <x:v>V</x:v>
      </x:c>
      <x:c r="H470" s="49" t="str">
        <x:v>Pump, Pedrollo, type PKm 60 - 1, 0.37KW (to be supplied by Davis &amp; Shirtliff (Int) Ltd.)</x:v>
      </x:c>
      <x:c r="I470" s="146" t="str">
        <x:v>no.</x:v>
      </x:c>
      <x:c r="J470" s="149" t="n">
        <x:v>1</x:v>
      </x:c>
      <x:c r="K470" s="146" t="str"/>
      <x:c r="L470" s="149" t="n">
        <x:v>2</x:v>
      </x:c>
      <x:c r="M470" s="149" t="n">
        <x:v>2</x:v>
      </x:c>
      <x:c r="N470" s="149" t="n">
        <x:v>2</x:v>
      </x:c>
      <x:c r="O470" s="149" t="n">
        <x:v>2</x:v>
      </x:c>
      <x:c r="P470" s="149" t="n">
        <x:f>IF('입력·근거'!$B$12="HIGH",O470,N470)</x:f>
        <x:v>2</x:v>
      </x:c>
      <x:c r="Q470" s="158" t="str"/>
      <x:c r="R470" s="161" t="str">
        <x:f>IF(Q470="","",P470*Q470)</x:f>
      </x:c>
      <x:c r="S470" s="146" t="str">
        <x:v>scope_multiplier_applied_for_scenario;unpriced_source</x:v>
      </x:c>
    </x:row>
    <x:row r="471">
      <x:c r="A471" s="146" t="str">
        <x:v>FIRE SUPRESSION SYSTEM</x:v>
      </x:c>
      <x:c r="B471" s="146" t="n">
        <x:v>5</x:v>
      </x:c>
      <x:c r="C471" s="146" t="str">
        <x:v>소화설비</x:v>
      </x:c>
      <x:c r="D471" s="146" t="str">
        <x:v>소방</x:v>
      </x:c>
      <x:c r="E471" s="146" t="str"/>
      <x:c r="F471" s="146" t="str">
        <x:v>Fire Supression System( Extinguishers)</x:v>
      </x:c>
      <x:c r="G471" s="146" t="str">
        <x:v>A</x:v>
      </x:c>
      <x:c r="H471" s="49" t="str">
        <x:v>9kg powder type wall mounted fire extinguisher as Nafco or equal approved.</x:v>
      </x:c>
      <x:c r="I471" s="146" t="str">
        <x:v>no.</x:v>
      </x:c>
      <x:c r="J471" s="149" t="n">
        <x:v>8</x:v>
      </x:c>
      <x:c r="K471" s="146" t="str"/>
      <x:c r="L471" s="149" t="n">
        <x:v>1</x:v>
      </x:c>
      <x:c r="M471" s="149" t="n">
        <x:v>1</x:v>
      </x:c>
      <x:c r="N471" s="149" t="n">
        <x:v>8</x:v>
      </x:c>
      <x:c r="O471" s="149" t="n">
        <x:v>8</x:v>
      </x:c>
      <x:c r="P471" s="149" t="n">
        <x:f>IF('입력·근거'!$B$12="HIGH",O471,N471)</x:f>
        <x:v>8</x:v>
      </x:c>
      <x:c r="Q471" s="158" t="str"/>
      <x:c r="R471" s="161" t="str">
        <x:f>IF(Q471="","",P471*Q471)</x:f>
      </x:c>
      <x:c r="S471" s="146" t="str">
        <x:v>unpriced_source</x:v>
      </x:c>
    </x:row>
    <x:row r="472">
      <x:c r="A472" s="146" t="str">
        <x:v>EXTERNAL WORKS</x:v>
      </x:c>
      <x:c r="B472" s="146" t="n">
        <x:v>5</x:v>
      </x:c>
      <x:c r="C472" s="146" t="str">
        <x:v>외부공사</x:v>
      </x:c>
      <x:c r="D472" s="146" t="str">
        <x:v>외부공사</x:v>
      </x:c>
      <x:c r="E472" s="146" t="str"/>
      <x:c r="F472" s="146" t="str">
        <x:v>Chain link fencing: 50 x 50 X 4mm Mild Steel Angle posts: excavate 300x300x600mm deep post holes and dispose off surplus spoil: concrete grade 15 concrete filling 300mm deep . Including 200 x 300mm grade 15 Concrete Haunching</x:v>
      </x:c>
      <x:c r="G472" s="146" t="str">
        <x:v>A</x:v>
      </x:c>
      <x:c r="H472" s="49" t="str">
        <x:v>1800mm High fencing: 10 gauge chain link mesh wired to 3No. 2.5mm diameter galvanized steel line wire: wires threaded through posts: 1900mm long 50 x 50 X 4mm Mild Steel Angle posts: with cranked top :1800mm high above ground level at 3.0 meter centers with 300x300x 500mm deep concrete C20 base: three lines of 2.5mm diameter barbed wire (Posts, Chain link, barbed wire, etc measured together)</x:v>
      </x:c>
      <x:c r="I472" s="146" t="str">
        <x:v>m</x:v>
      </x:c>
      <x:c r="J472" s="149" t="n">
        <x:v>308</x:v>
      </x:c>
      <x:c r="K472" s="146" t="str"/>
      <x:c r="L472" s="149" t="n">
        <x:v>1</x:v>
      </x:c>
      <x:c r="M472" s="149" t="n">
        <x:v>1</x:v>
      </x:c>
      <x:c r="N472" s="149" t="n">
        <x:v>308</x:v>
      </x:c>
      <x:c r="O472" s="149" t="n">
        <x:v>308</x:v>
      </x:c>
      <x:c r="P472" s="149" t="n">
        <x:f>IF('입력·근거'!$B$12="HIGH",O472,N472)</x:f>
        <x:v>308</x:v>
      </x:c>
      <x:c r="Q472" s="158" t="str"/>
      <x:c r="R472" s="161" t="str">
        <x:f>IF(Q472="","",P472*Q472)</x:f>
      </x:c>
      <x:c r="S472" s="146" t="str">
        <x:v>unpriced_source</x:v>
      </x:c>
    </x:row>
    <x:row r="473">
      <x:c r="A473" s="146" t="str">
        <x:v>EXTERNAL WORKS</x:v>
      </x:c>
      <x:c r="B473" s="146" t="n">
        <x:v>6</x:v>
      </x:c>
      <x:c r="C473" s="146" t="str">
        <x:v>외부공사</x:v>
      </x:c>
      <x:c r="D473" s="146" t="str">
        <x:v>외부공사</x:v>
      </x:c>
      <x:c r="E473" s="146" t="str"/>
      <x:c r="F473" s="146" t="str">
        <x:v>Chain link fencing: 50 x 50 X 4mm Mild Steel Angle posts: excavate 300x300x600mm deep post holes and dispose off surplus spoil: concrete grade 15 concrete filling 300mm deep . Including 200 x 300mm grade 15 Concrete Haunching</x:v>
      </x:c>
      <x:c r="G473" s="146" t="str">
        <x:v>B</x:v>
      </x:c>
      <x:c r="H473" s="49" t="str">
        <x:v>Extra for corner/intermediate post: 2No. 75 x 75 X 4mm Mild Steel Angle posts fixed with concrete class C20.</x:v>
      </x:c>
      <x:c r="I473" s="146" t="str">
        <x:v>no.</x:v>
      </x:c>
      <x:c r="J473" s="149" t="n">
        <x:v>38</x:v>
      </x:c>
      <x:c r="K473" s="146" t="str"/>
      <x:c r="L473" s="149" t="n">
        <x:v>1</x:v>
      </x:c>
      <x:c r="M473" s="149" t="n">
        <x:v>1</x:v>
      </x:c>
      <x:c r="N473" s="149" t="n">
        <x:v>38</x:v>
      </x:c>
      <x:c r="O473" s="149" t="n">
        <x:v>38</x:v>
      </x:c>
      <x:c r="P473" s="149" t="n">
        <x:f>IF('입력·근거'!$B$12="HIGH",O473,N473)</x:f>
        <x:v>38</x:v>
      </x:c>
      <x:c r="Q473" s="158" t="str"/>
      <x:c r="R473" s="161" t="str">
        <x:f>IF(Q473="","",P473*Q473)</x:f>
      </x:c>
      <x:c r="S473" s="146" t="str">
        <x:v>unpriced_source</x:v>
      </x:c>
    </x:row>
    <x:row r="474">
      <x:c r="A474" s="146" t="str">
        <x:v>EXTERNAL WORKS</x:v>
      </x:c>
      <x:c r="B474" s="146" t="n">
        <x:v>7</x:v>
      </x:c>
      <x:c r="C474" s="146" t="str">
        <x:v>외부공사</x:v>
      </x:c>
      <x:c r="D474" s="146" t="str">
        <x:v>외부공사</x:v>
      </x:c>
      <x:c r="E474" s="146" t="str"/>
      <x:c r="F474" s="146" t="str">
        <x:v>Chain link fencing: 50 x 50 X 4mm Mild Steel Angle posts: excavate 300x300x600mm deep post holes and dispose off surplus spoil: concrete grade 15 concrete filling 300mm deep . Including 200 x 300mm grade 15 Concrete Haunching</x:v>
      </x:c>
      <x:c r="G474" s="146" t="str">
        <x:v>C</x:v>
      </x:c>
      <x:c r="H474" s="49" t="str">
        <x:v>Formwork surported to to receive 100mm haunching concrete</x:v>
      </x:c>
      <x:c r="I474" s="146" t="str">
        <x:v>m</x:v>
      </x:c>
      <x:c r="J474" s="149" t="n">
        <x:v>618</x:v>
      </x:c>
      <x:c r="K474" s="146" t="str"/>
      <x:c r="L474" s="149" t="n">
        <x:v>1</x:v>
      </x:c>
      <x:c r="M474" s="149" t="n">
        <x:v>1</x:v>
      </x:c>
      <x:c r="N474" s="149" t="n">
        <x:v>618</x:v>
      </x:c>
      <x:c r="O474" s="149" t="n">
        <x:v>618</x:v>
      </x:c>
      <x:c r="P474" s="149" t="n">
        <x:f>IF('입력·근거'!$B$12="HIGH",O474,N474)</x:f>
        <x:v>618</x:v>
      </x:c>
      <x:c r="Q474" s="158" t="str"/>
      <x:c r="R474" s="161" t="str">
        <x:f>IF(Q474="","",P474*Q474)</x:f>
      </x:c>
      <x:c r="S474" s="146" t="str">
        <x:v>unpriced_source</x:v>
      </x:c>
    </x:row>
    <x:row r="475">
      <x:c r="A475" s="146" t="str">
        <x:v>EXTERNAL WORKS</x:v>
      </x:c>
      <x:c r="B475" s="146" t="n">
        <x:v>8</x:v>
      </x:c>
      <x:c r="C475" s="146" t="str">
        <x:v>외부공사</x:v>
      </x:c>
      <x:c r="D475" s="146" t="str">
        <x:v>외부공사</x:v>
      </x:c>
      <x:c r="E475" s="146" t="str"/>
      <x:c r="F475" s="146" t="str">
        <x:v>Chain link fencing: 50 x 50 X 4mm Mild Steel Angle posts: excavate 300x300x600mm deep post holes and dispose off surplus spoil: concrete grade 15 concrete filling 300mm deep . Including 200 x 300mm grade 15 Concrete Haunching</x:v>
      </x:c>
      <x:c r="G475" s="146" t="str">
        <x:v>D</x:v>
      </x:c>
      <x:c r="H475" s="49" t="str">
        <x:v>Extra grade 15 concrete 100 mm thick 200mm wide for concrete hauching</x:v>
      </x:c>
      <x:c r="I475" s="146" t="str">
        <x:v>m</x:v>
      </x:c>
      <x:c r="J475" s="149" t="n">
        <x:v>308</x:v>
      </x:c>
      <x:c r="K475" s="146" t="str"/>
      <x:c r="L475" s="149" t="n">
        <x:v>1</x:v>
      </x:c>
      <x:c r="M475" s="149" t="n">
        <x:v>1</x:v>
      </x:c>
      <x:c r="N475" s="149" t="n">
        <x:v>308</x:v>
      </x:c>
      <x:c r="O475" s="149" t="n">
        <x:v>308</x:v>
      </x:c>
      <x:c r="P475" s="149" t="n">
        <x:f>IF('입력·근거'!$B$12="HIGH",O475,N475)</x:f>
        <x:v>308</x:v>
      </x:c>
      <x:c r="Q475" s="158" t="str"/>
      <x:c r="R475" s="161" t="str">
        <x:f>IF(Q475="","",P475*Q475)</x:f>
      </x:c>
      <x:c r="S475" s="146" t="str">
        <x:v>unpriced_source</x:v>
      </x:c>
    </x:row>
    <x:row r="476">
      <x:c r="A476" s="146" t="str">
        <x:v>EXTERNAL WORKS</x:v>
      </x:c>
      <x:c r="B476" s="146" t="n">
        <x:v>10</x:v>
      </x:c>
      <x:c r="C476" s="146" t="str">
        <x:v>외부공사</x:v>
      </x:c>
      <x:c r="D476" s="146" t="str">
        <x:v>외부공사</x:v>
      </x:c>
      <x:c r="E476" s="146" t="str"/>
      <x:c r="F476" s="146" t="str">
        <x:v>Metallic grille Gates</x:v>
      </x:c>
      <x:c r="G476" s="146" t="str">
        <x:v>E</x:v>
      </x:c>
      <x:c r="H476" s="49" t="str">
        <x:v>Fabricate and install metallic grillesgates made of 50mm x 3mm SHS welded at 100mm centre onto 100mm x 50mm x 3mm RHS framework - size 4000mm wide x 2000mm height</x:v>
      </x:c>
      <x:c r="I476" s="146" t="str">
        <x:v>no.</x:v>
      </x:c>
      <x:c r="J476" s="149" t="n">
        <x:v>1</x:v>
      </x:c>
      <x:c r="K476" s="146" t="str"/>
      <x:c r="L476" s="149" t="n">
        <x:v>1</x:v>
      </x:c>
      <x:c r="M476" s="149" t="n">
        <x:v>1</x:v>
      </x:c>
      <x:c r="N476" s="149" t="n">
        <x:v>1</x:v>
      </x:c>
      <x:c r="O476" s="149" t="n">
        <x:v>1</x:v>
      </x:c>
      <x:c r="P476" s="149" t="n">
        <x:f>IF('입력·근거'!$B$12="HIGH",O476,N476)</x:f>
        <x:v>1</x:v>
      </x:c>
      <x:c r="Q476" s="158" t="str"/>
      <x:c r="R476" s="161" t="str">
        <x:f>IF(Q476="","",P476*Q476)</x:f>
      </x:c>
      <x:c r="S476" s="146" t="str">
        <x:v>unpriced_source</x:v>
      </x:c>
    </x:row>
    <x:row r="477">
      <x:c r="A477" s="146" t="str">
        <x:v>EXTERNAL WORKS</x:v>
      </x:c>
      <x:c r="B477" s="146" t="n">
        <x:v>12</x:v>
      </x:c>
      <x:c r="C477" s="146" t="str">
        <x:v>외부공사</x:v>
      </x:c>
      <x:c r="D477" s="146" t="str">
        <x:v>외부공사</x:v>
      </x:c>
      <x:c r="E477" s="146" t="str"/>
      <x:c r="F477" s="146" t="str">
        <x:v>STORMWATER DRAINAGE INFRONT OF THE MARKET</x:v>
      </x:c>
      <x:c r="G477" s="146" t="str">
        <x:v>F</x:v>
      </x:c>
      <x:c r="H477" s="49" t="str">
        <x:v>Construction of stormwater Channel comprising of stone slates bound together with cement sand mortar(1:4), 200mm thick base 600mm wide, 200mm thick sloping sides to form 400mm deep channel 300mm wide at the bottom and 600mm wide on top.</x:v>
      </x:c>
      <x:c r="I477" s="146" t="str">
        <x:v>m</x:v>
      </x:c>
      <x:c r="J477" s="149" t="n">
        <x:v>0</x:v>
      </x:c>
      <x:c r="K477" s="146" t="str"/>
      <x:c r="L477" s="149" t="n">
        <x:v>1</x:v>
      </x:c>
      <x:c r="M477" s="149" t="n">
        <x:v>1</x:v>
      </x:c>
      <x:c r="N477" s="149" t="n">
        <x:v>0</x:v>
      </x:c>
      <x:c r="O477" s="149" t="n">
        <x:v>0</x:v>
      </x:c>
      <x:c r="P477" s="149" t="n">
        <x:f>IF('입력·근거'!$B$12="HIGH",O477,N477)</x:f>
        <x:v>0</x:v>
      </x:c>
      <x:c r="Q477" s="158" t="str"/>
      <x:c r="R477" s="161" t="str">
        <x:f>IF(Q477="","",P477*Q477)</x:f>
      </x:c>
      <x:c r="S477" s="146" t="str">
        <x:v>zero_quantity_check_formula_or_design;unpriced_source</x:v>
      </x:c>
    </x:row>
    <x:row r="478">
      <x:c r="A478" s="146" t="str">
        <x:v>EXTERNAL WORKS</x:v>
      </x:c>
      <x:c r="B478" s="146" t="n">
        <x:v>14</x:v>
      </x:c>
      <x:c r="C478" s="146" t="str">
        <x:v>외부공사</x:v>
      </x:c>
      <x:c r="D478" s="146" t="str">
        <x:v>외부공사</x:v>
      </x:c>
      <x:c r="E478" s="146" t="str"/>
      <x:c r="F478" s="146" t="str">
        <x:v>ENTRANCE AND EXIT TO THE MARKET; ACCESS TO MILLING FACILITY</x:v>
      </x:c>
      <x:c r="G478" s="146" t="str">
        <x:v>G</x:v>
      </x:c>
      <x:c r="H478" s="49" t="str">
        <x:v>Construct 4m wide access to the facility comprising of 600mm diameter culverts laid on 150mm C15 Concrete base,with 300mm compacted granular materials surrounding and 150mm C25 thick Concrete wearing course reinforced with BRC A98 1500mm long balanced on either side of the culverts.</x:v>
      </x:c>
      <x:c r="I478" s="146" t="str">
        <x:v>no.</x:v>
      </x:c>
      <x:c r="J478" s="149" t="n">
        <x:v>3</x:v>
      </x:c>
      <x:c r="K478" s="146" t="str"/>
      <x:c r="L478" s="149" t="n">
        <x:v>1</x:v>
      </x:c>
      <x:c r="M478" s="149" t="n">
        <x:v>1</x:v>
      </x:c>
      <x:c r="N478" s="149" t="n">
        <x:v>3</x:v>
      </x:c>
      <x:c r="O478" s="149" t="n">
        <x:v>3</x:v>
      </x:c>
      <x:c r="P478" s="149" t="n">
        <x:f>IF('입력·근거'!$B$12="HIGH",O478,N478)</x:f>
        <x:v>3</x:v>
      </x:c>
      <x:c r="Q478" s="158" t="str"/>
      <x:c r="R478" s="161" t="str">
        <x:f>IF(Q478="","",P478*Q478)</x:f>
      </x:c>
      <x:c r="S478" s="146" t="str">
        <x:v>unpriced_source</x:v>
      </x:c>
    </x:row>
    <x:row r="479">
      <x:c r="A479" s="146" t="str">
        <x:v>EXTERNAL WORKS</x:v>
      </x:c>
      <x:c r="B479" s="146" t="n">
        <x:v>15</x:v>
      </x:c>
      <x:c r="C479" s="146" t="str">
        <x:v>외부공사</x:v>
      </x:c>
      <x:c r="D479" s="146" t="str">
        <x:v>외부공사</x:v>
      </x:c>
      <x:c r="E479" s="146" t="str"/>
      <x:c r="F479" s="146" t="str">
        <x:v>ENTRANCE AND EXIT TO THE MARKET; ACCESS TO MILLING FACILITY</x:v>
      </x:c>
      <x:c r="G479" s="146" t="str">
        <x:v>H</x:v>
      </x:c>
      <x:c r="H479" s="49" t="str">
        <x:v>Construct 200mm thick Stone Pitched Head walls up to 300mm above the wearing course</x:v>
      </x:c>
      <x:c r="I479" s="146" t="str">
        <x:v>m²</x:v>
      </x:c>
      <x:c r="J479" s="149" t="n">
        <x:v>12</x:v>
      </x:c>
      <x:c r="K479" s="146" t="str"/>
      <x:c r="L479" s="149" t="n">
        <x:v>1</x:v>
      </x:c>
      <x:c r="M479" s="149" t="n">
        <x:v>1</x:v>
      </x:c>
      <x:c r="N479" s="149" t="n">
        <x:v>12</x:v>
      </x:c>
      <x:c r="O479" s="149" t="n">
        <x:v>12</x:v>
      </x:c>
      <x:c r="P479" s="149" t="n">
        <x:f>IF('입력·근거'!$B$12="HIGH",O479,N479)</x:f>
        <x:v>12</x:v>
      </x:c>
      <x:c r="Q479" s="158" t="str"/>
      <x:c r="R479" s="161" t="str">
        <x:f>IF(Q479="","",P479*Q479)</x:f>
      </x:c>
      <x:c r="S479" s="146" t="str">
        <x:v>unpriced_source</x:v>
      </x:c>
    </x:row>
    <x:row r="480">
      <x:c r="A480" s="146" t="str">
        <x:v>EXTERNAL WORKS</x:v>
      </x:c>
      <x:c r="B480" s="146" t="n">
        <x:v>17</x:v>
      </x:c>
      <x:c r="C480" s="146" t="str">
        <x:v>외부공사</x:v>
      </x:c>
      <x:c r="D480" s="146" t="str">
        <x:v>외부공사</x:v>
      </x:c>
      <x:c r="E480" s="146" t="str"/>
      <x:c r="F480" s="146" t="str">
        <x:v>Driveways, pathways and Parking including Cabro-paving</x:v>
      </x:c>
      <x:c r="G480" s="146" t="str">
        <x:v>I</x:v>
      </x:c>
      <x:c r="H480" s="49" t="str">
        <x:v>Provide granular materials, mixed with murram, spread water and compact in layers not exceeding 150mm to at least 95% MOD, AASHATO.</x:v>
      </x:c>
      <x:c r="I480" s="146" t="str">
        <x:v>m²</x:v>
      </x:c>
      <x:c r="J480" s="149" t="n">
        <x:v>4490</x:v>
      </x:c>
      <x:c r="K480" s="146" t="str"/>
      <x:c r="L480" s="149" t="n">
        <x:v>1</x:v>
      </x:c>
      <x:c r="M480" s="149" t="n">
        <x:v>1</x:v>
      </x:c>
      <x:c r="N480" s="149" t="n">
        <x:v>4490</x:v>
      </x:c>
      <x:c r="O480" s="149" t="n">
        <x:v>4490</x:v>
      </x:c>
      <x:c r="P480" s="149" t="n">
        <x:f>IF('입력·근거'!$B$12="HIGH",O480,N480)</x:f>
        <x:v>4490</x:v>
      </x:c>
      <x:c r="Q480" s="158" t="str"/>
      <x:c r="R480" s="161" t="str">
        <x:f>IF(Q480="","",P480*Q480)</x:f>
      </x:c>
      <x:c r="S480" s="146" t="str">
        <x:v>unpriced_source</x:v>
      </x:c>
    </x:row>
    <x:row r="481">
      <x:c r="A481" s="146" t="str">
        <x:v>EXTERNAL WORKS</x:v>
      </x:c>
      <x:c r="B481" s="146" t="n">
        <x:v>19</x:v>
      </x:c>
      <x:c r="C481" s="146" t="str">
        <x:v>외부공사</x:v>
      </x:c>
      <x:c r="D481" s="146" t="str">
        <x:v>외부공사</x:v>
      </x:c>
      <x:c r="E481" s="146" t="str"/>
      <x:c r="F481" s="146" t="str">
        <x:v>Cabro-Paving</x:v>
      </x:c>
      <x:c r="G481" s="146" t="str">
        <x:v>J</x:v>
      </x:c>
      <x:c r="H481" s="49" t="str">
        <x:v>Supply and lay 50mm bed of coarse aggregate sand sub-base</x:v>
      </x:c>
      <x:c r="I481" s="146" t="str">
        <x:v>m²</x:v>
      </x:c>
      <x:c r="J481" s="149" t="n">
        <x:v>0</x:v>
      </x:c>
      <x:c r="K481" s="146" t="str"/>
      <x:c r="L481" s="149" t="n">
        <x:v>1</x:v>
      </x:c>
      <x:c r="M481" s="149" t="n">
        <x:v>1</x:v>
      </x:c>
      <x:c r="N481" s="149" t="n">
        <x:v>0</x:v>
      </x:c>
      <x:c r="O481" s="149" t="n">
        <x:v>0</x:v>
      </x:c>
      <x:c r="P481" s="149" t="n">
        <x:f>IF('입력·근거'!$B$12="HIGH",O481,N481)</x:f>
        <x:v>0</x:v>
      </x:c>
      <x:c r="Q481" s="158" t="str"/>
      <x:c r="R481" s="161" t="str">
        <x:f>IF(Q481="","",P481*Q481)</x:f>
      </x:c>
      <x:c r="S481" s="146" t="str">
        <x:v>zero_quantity_check_formula_or_design;unpriced_source</x:v>
      </x:c>
    </x:row>
    <x:row r="482">
      <x:c r="A482" s="146" t="str">
        <x:v>EXTERNAL WORKS</x:v>
      </x:c>
      <x:c r="B482" s="146" t="n">
        <x:v>24</x:v>
      </x:c>
      <x:c r="C482" s="146" t="str">
        <x:v>외부공사</x:v>
      </x:c>
      <x:c r="D482" s="146" t="str">
        <x:v>외부공사</x:v>
      </x:c>
      <x:c r="E482" s="146" t="str"/>
      <x:c r="F482" s="146" t="str">
        <x:v>sub-base blinding (measured separately above). The contractor will</x:v>
      </x:c>
      <x:c r="G482" s="146" t="str"/>
      <x:c r="H482" s="49" t="str">
        <x:v>provider samples of pavers to the client for selecting the suitable</x:v>
      </x:c>
      <x:c r="I482" s="146" t="str">
        <x:v>m²</x:v>
      </x:c>
      <x:c r="J482" s="149" t="n">
        <x:v>0</x:v>
      </x:c>
      <x:c r="K482" s="146" t="str"/>
      <x:c r="L482" s="149" t="n">
        <x:v>1</x:v>
      </x:c>
      <x:c r="M482" s="149" t="n">
        <x:v>1</x:v>
      </x:c>
      <x:c r="N482" s="149" t="n">
        <x:v>0</x:v>
      </x:c>
      <x:c r="O482" s="149" t="n">
        <x:v>0</x:v>
      </x:c>
      <x:c r="P482" s="149" t="n">
        <x:f>IF('입력·근거'!$B$12="HIGH",O482,N482)</x:f>
        <x:v>0</x:v>
      </x:c>
      <x:c r="Q482" s="158" t="str"/>
      <x:c r="R482" s="161" t="str">
        <x:f>IF(Q482="","",P482*Q482)</x:f>
      </x:c>
      <x:c r="S482" s="146" t="str">
        <x:v>zero_quantity_check_formula_or_design;unpriced_source</x:v>
      </x:c>
    </x:row>
    <x:row r="483">
      <x:c r="A483" s="146" t="str">
        <x:v>EXTERNAL WORKS</x:v>
      </x:c>
      <x:c r="B483" s="146" t="n">
        <x:v>27</x:v>
      </x:c>
      <x:c r="C483" s="146" t="str">
        <x:v>외부공사</x:v>
      </x:c>
      <x:c r="D483" s="146" t="str">
        <x:v>외부공사</x:v>
      </x:c>
      <x:c r="E483" s="146" t="str"/>
      <x:c r="F483" s="146" t="str">
        <x:v>Limiting access around Market Sheds by un authorised people</x:v>
      </x:c>
      <x:c r="G483" s="146" t="str">
        <x:v>L</x:v>
      </x:c>
      <x:c r="H483" s="49" t="str">
        <x:v>Fabricate and install metallic illes gates made of 25mm x 3mm SHS welded at 100mm center onto 100mm x 50mm x 3mm RHS framework - size 4000mm wide x 2000mm height</x:v>
      </x:c>
      <x:c r="I483" s="146" t="str">
        <x:v>no.</x:v>
      </x:c>
      <x:c r="J483" s="149" t="n">
        <x:v>4</x:v>
      </x:c>
      <x:c r="K483" s="146" t="str"/>
      <x:c r="L483" s="149" t="n">
        <x:v>1</x:v>
      </x:c>
      <x:c r="M483" s="149" t="n">
        <x:v>1</x:v>
      </x:c>
      <x:c r="N483" s="149" t="n">
        <x:v>4</x:v>
      </x:c>
      <x:c r="O483" s="149" t="n">
        <x:v>4</x:v>
      </x:c>
      <x:c r="P483" s="149" t="n">
        <x:f>IF('입력·근거'!$B$12="HIGH",O483,N483)</x:f>
        <x:v>4</x:v>
      </x:c>
      <x:c r="Q483" s="158" t="str"/>
      <x:c r="R483" s="161" t="str">
        <x:f>IF(Q483="","",P483*Q483)</x:f>
      </x:c>
      <x:c r="S483" s="146" t="str">
        <x:v>unpriced_source</x:v>
      </x:c>
    </x:row>
    <x:row r="484">
      <x:c r="A484" s="146" t="str">
        <x:v>EXTERNAL WORKS</x:v>
      </x:c>
      <x:c r="B484" s="146" t="n">
        <x:v>29</x:v>
      </x:c>
      <x:c r="C484" s="146" t="str">
        <x:v>외부공사</x:v>
      </x:c>
      <x:c r="D484" s="146" t="str">
        <x:v>외부공사</x:v>
      </x:c>
      <x:c r="E484" s="146" t="str"/>
      <x:c r="F484" s="146" t="str">
        <x:v>BUILT-UP GARBAGE BUNKERS</x:v>
      </x:c>
      <x:c r="G484" s="146" t="str"/>
      <x:c r="H484" s="49" t="str">
        <x:v>Allow for construction of fixed segregated garbage bunkers in ordinary clay brick work walling well plastered and painted to the engineer's details</x:v>
      </x:c>
      <x:c r="I484" s="146" t="str">
        <x:v>item</x:v>
      </x:c>
      <x:c r="J484" s="149" t="n">
        <x:v>1</x:v>
      </x:c>
      <x:c r="K484" s="146" t="str"/>
      <x:c r="L484" s="149" t="n">
        <x:v>1</x:v>
      </x:c>
      <x:c r="M484" s="149" t="n">
        <x:v>1</x:v>
      </x:c>
      <x:c r="N484" s="149" t="n">
        <x:v>1</x:v>
      </x:c>
      <x:c r="O484" s="149" t="n">
        <x:v>1</x:v>
      </x:c>
      <x:c r="P484" s="149" t="n">
        <x:f>IF('입력·근거'!$B$12="HIGH",O484,N484)</x:f>
        <x:v>1</x:v>
      </x:c>
      <x:c r="Q484" s="158" t="str"/>
      <x:c r="R484" s="161" t="str">
        <x:f>IF(Q484="","",P484*Q484)</x:f>
      </x:c>
      <x:c r="S484" s="146" t="str">
        <x:v>unpriced_source</x:v>
      </x:c>
    </x:row>
    <x:row r="485">
      <x:c r="A485" s="146" t="str">
        <x:v>EXTERNAL WORKS</x:v>
      </x:c>
      <x:c r="B485" s="146" t="n">
        <x:v>30</x:v>
      </x:c>
      <x:c r="C485" s="146" t="str">
        <x:v>외부공사</x:v>
      </x:c>
      <x:c r="D485" s="146" t="str">
        <x:v>외부공사</x:v>
      </x:c>
      <x:c r="E485" s="146" t="str"/>
      <x:c r="F485" s="146" t="str">
        <x:v>BUILT-UP GARBAGE BUNKERS</x:v>
      </x:c>
      <x:c r="G485" s="146" t="str">
        <x:v>M</x:v>
      </x:c>
      <x:c r="H485" s="49" t="str">
        <x:v>Excavate for foundation trench not exceeding 0.5 meters deep from reduced level.</x:v>
      </x:c>
      <x:c r="I485" s="146" t="str">
        <x:v>m³</x:v>
      </x:c>
      <x:c r="J485" s="149" t="n">
        <x:v>7.5</x:v>
      </x:c>
      <x:c r="K485" s="146" t="str"/>
      <x:c r="L485" s="149" t="n">
        <x:v>1</x:v>
      </x:c>
      <x:c r="M485" s="149" t="n">
        <x:v>1</x:v>
      </x:c>
      <x:c r="N485" s="149" t="n">
        <x:v>7.5</x:v>
      </x:c>
      <x:c r="O485" s="149" t="n">
        <x:v>7.5</x:v>
      </x:c>
      <x:c r="P485" s="149" t="n">
        <x:f>IF('입력·근거'!$B$12="HIGH",O485,N485)</x:f>
        <x:v>7.5</x:v>
      </x:c>
      <x:c r="Q485" s="158" t="str"/>
      <x:c r="R485" s="161" t="str">
        <x:f>IF(Q485="","",P485*Q485)</x:f>
      </x:c>
      <x:c r="S485" s="146" t="str">
        <x:v>unpriced_source</x:v>
      </x:c>
    </x:row>
    <x:row r="486">
      <x:c r="A486" s="146" t="str">
        <x:v>EXTERNAL WORKS</x:v>
      </x:c>
      <x:c r="B486" s="146" t="n">
        <x:v>31</x:v>
      </x:c>
      <x:c r="C486" s="146" t="str">
        <x:v>외부공사</x:v>
      </x:c>
      <x:c r="D486" s="146" t="str">
        <x:v>외부공사</x:v>
      </x:c>
      <x:c r="E486" s="146" t="str"/>
      <x:c r="F486" s="146" t="str">
        <x:v>BUILT-UP GARBAGE BUNKERS</x:v>
      </x:c>
      <x:c r="G486" s="146" t="str">
        <x:v>N</x:v>
      </x:c>
      <x:c r="H486" s="49" t="str">
        <x:v>Return fill and ram selected excavated material around foundations.</x:v>
      </x:c>
      <x:c r="I486" s="146" t="str">
        <x:v>m³</x:v>
      </x:c>
      <x:c r="J486" s="149" t="n">
        <x:v>5.2</x:v>
      </x:c>
      <x:c r="K486" s="146" t="str"/>
      <x:c r="L486" s="149" t="n">
        <x:v>1</x:v>
      </x:c>
      <x:c r="M486" s="149" t="n">
        <x:v>1</x:v>
      </x:c>
      <x:c r="N486" s="149" t="n">
        <x:v>5.2</x:v>
      </x:c>
      <x:c r="O486" s="149" t="n">
        <x:v>5.2</x:v>
      </x:c>
      <x:c r="P486" s="149" t="n">
        <x:f>IF('입력·근거'!$B$12="HIGH",O486,N486)</x:f>
        <x:v>5.2</x:v>
      </x:c>
      <x:c r="Q486" s="158" t="str"/>
      <x:c r="R486" s="161" t="str">
        <x:f>IF(Q486="","",P486*Q486)</x:f>
      </x:c>
      <x:c r="S486" s="146" t="str">
        <x:v>unpriced_source</x:v>
      </x:c>
    </x:row>
    <x:row r="487">
      <x:c r="A487" s="146" t="str">
        <x:v>EXTERNAL WORKS</x:v>
      </x:c>
      <x:c r="B487" s="146" t="n">
        <x:v>32</x:v>
      </x:c>
      <x:c r="C487" s="146" t="str">
        <x:v>외부공사</x:v>
      </x:c>
      <x:c r="D487" s="146" t="str">
        <x:v>외부공사</x:v>
      </x:c>
      <x:c r="E487" s="146" t="str"/>
      <x:c r="F487" s="146" t="str">
        <x:v>BUILT-UP GARBAGE BUNKERS</x:v>
      </x:c>
      <x:c r="G487" s="146" t="str">
        <x:v>O</x:v>
      </x:c>
      <x:c r="H487" s="49" t="str">
        <x:v>Load and cart away surplus excavated material from site.</x:v>
      </x:c>
      <x:c r="I487" s="146" t="str">
        <x:v>m³</x:v>
      </x:c>
      <x:c r="J487" s="149" t="n">
        <x:v>2.3</x:v>
      </x:c>
      <x:c r="K487" s="146" t="str"/>
      <x:c r="L487" s="149" t="n">
        <x:v>1</x:v>
      </x:c>
      <x:c r="M487" s="149" t="n">
        <x:v>1</x:v>
      </x:c>
      <x:c r="N487" s="149" t="n">
        <x:v>2.3</x:v>
      </x:c>
      <x:c r="O487" s="149" t="n">
        <x:v>2.3</x:v>
      </x:c>
      <x:c r="P487" s="149" t="n">
        <x:f>IF('입력·근거'!$B$12="HIGH",O487,N487)</x:f>
        <x:v>2.3</x:v>
      </x:c>
      <x:c r="Q487" s="158" t="str"/>
      <x:c r="R487" s="161" t="str">
        <x:f>IF(Q487="","",P487*Q487)</x:f>
      </x:c>
      <x:c r="S487" s="146" t="str">
        <x:v>unpriced_source</x:v>
      </x:c>
    </x:row>
    <x:row r="488">
      <x:c r="A488" s="146" t="str">
        <x:v>EXTERNAL WORKS</x:v>
      </x:c>
      <x:c r="B488" s="146" t="n">
        <x:v>33</x:v>
      </x:c>
      <x:c r="C488" s="146" t="str">
        <x:v>외부공사</x:v>
      </x:c>
      <x:c r="D488" s="146" t="str">
        <x:v>외부공사</x:v>
      </x:c>
      <x:c r="E488" s="146" t="str"/>
      <x:c r="F488" s="146" t="str">
        <x:v>BUILT-UP GARBAGE BUNKERS</x:v>
      </x:c>
      <x:c r="G488" s="146" t="str">
        <x:v>P</x:v>
      </x:c>
      <x:c r="H488" s="49" t="str">
        <x:v>Approved marrum fill to make up levels; well rolled and compacted to 95% MDD to Engineer's approval</x:v>
      </x:c>
      <x:c r="I488" s="146" t="str">
        <x:v>m³</x:v>
      </x:c>
      <x:c r="J488" s="149" t="n">
        <x:v>1</x:v>
      </x:c>
      <x:c r="K488" s="146" t="str"/>
      <x:c r="L488" s="149" t="n">
        <x:v>1</x:v>
      </x:c>
      <x:c r="M488" s="149" t="n">
        <x:v>1</x:v>
      </x:c>
      <x:c r="N488" s="149" t="n">
        <x:v>1</x:v>
      </x:c>
      <x:c r="O488" s="149" t="n">
        <x:v>1</x:v>
      </x:c>
      <x:c r="P488" s="149" t="n">
        <x:f>IF('입력·근거'!$B$12="HIGH",O488,N488)</x:f>
        <x:v>1</x:v>
      </x:c>
      <x:c r="Q488" s="158" t="str"/>
      <x:c r="R488" s="161" t="str">
        <x:f>IF(Q488="","",P488*Q488)</x:f>
      </x:c>
      <x:c r="S488" s="146" t="str">
        <x:v>unpriced_source</x:v>
      </x:c>
    </x:row>
    <x:row r="489">
      <x:c r="A489" s="146" t="str">
        <x:v>EXTERNAL WORKS</x:v>
      </x:c>
      <x:c r="B489" s="146" t="n">
        <x:v>34</x:v>
      </x:c>
      <x:c r="C489" s="146" t="str">
        <x:v>외부공사</x:v>
      </x:c>
      <x:c r="D489" s="146" t="str">
        <x:v>외부공사</x:v>
      </x:c>
      <x:c r="E489" s="146" t="str"/>
      <x:c r="F489" s="146" t="str">
        <x:v>BUILT-UP GARBAGE BUNKERS</x:v>
      </x:c>
      <x:c r="G489" s="146" t="str">
        <x:v>Q</x:v>
      </x:c>
      <x:c r="H489" s="49" t="str">
        <x:v>200mm Thick bed of hand packed stone base, well rolled and compacted.</x:v>
      </x:c>
      <x:c r="I489" s="146" t="str">
        <x:v>m²</x:v>
      </x:c>
      <x:c r="J489" s="149" t="n">
        <x:v>18</x:v>
      </x:c>
      <x:c r="K489" s="146" t="str"/>
      <x:c r="L489" s="149" t="n">
        <x:v>1</x:v>
      </x:c>
      <x:c r="M489" s="149" t="n">
        <x:v>1</x:v>
      </x:c>
      <x:c r="N489" s="149" t="n">
        <x:v>18</x:v>
      </x:c>
      <x:c r="O489" s="149" t="n">
        <x:v>18</x:v>
      </x:c>
      <x:c r="P489" s="149" t="n">
        <x:f>IF('입력·근거'!$B$12="HIGH",O489,N489)</x:f>
        <x:v>18</x:v>
      </x:c>
      <x:c r="Q489" s="158" t="str"/>
      <x:c r="R489" s="161" t="str">
        <x:f>IF(Q489="","",P489*Q489)</x:f>
      </x:c>
      <x:c r="S489" s="146" t="str">
        <x:v>unpriced_source</x:v>
      </x:c>
    </x:row>
    <x:row r="490">
      <x:c r="A490" s="146" t="str">
        <x:v>EXTERNAL WORKS</x:v>
      </x:c>
      <x:c r="B490" s="146" t="n">
        <x:v>35</x:v>
      </x:c>
      <x:c r="C490" s="146" t="str">
        <x:v>외부공사</x:v>
      </x:c>
      <x:c r="D490" s="146" t="str">
        <x:v>외부공사</x:v>
      </x:c>
      <x:c r="E490" s="146" t="str"/>
      <x:c r="F490" s="146" t="str">
        <x:v>BUILT-UP GARBAGE BUNKERS</x:v>
      </x:c>
      <x:c r="G490" s="146" t="str">
        <x:v>R</x:v>
      </x:c>
      <x:c r="H490" s="49" t="str">
        <x:v>Insecticide treatment to surfaces of hardcore, top of foundation walling, bottom and sides of excavation.</x:v>
      </x:c>
      <x:c r="I490" s="146" t="str">
        <x:v>m²</x:v>
      </x:c>
      <x:c r="J490" s="149" t="n">
        <x:v>44</x:v>
      </x:c>
      <x:c r="K490" s="146" t="str"/>
      <x:c r="L490" s="149" t="n">
        <x:v>1</x:v>
      </x:c>
      <x:c r="M490" s="149" t="n">
        <x:v>1</x:v>
      </x:c>
      <x:c r="N490" s="149" t="n">
        <x:v>44</x:v>
      </x:c>
      <x:c r="O490" s="149" t="n">
        <x:v>44</x:v>
      </x:c>
      <x:c r="P490" s="149" t="n">
        <x:f>IF('입력·근거'!$B$12="HIGH",O490,N490)</x:f>
        <x:v>44</x:v>
      </x:c>
      <x:c r="Q490" s="158" t="str"/>
      <x:c r="R490" s="161" t="str">
        <x:f>IF(Q490="","",P490*Q490)</x:f>
      </x:c>
      <x:c r="S490" s="146" t="str">
        <x:v>unpriced_source</x:v>
      </x:c>
    </x:row>
    <x:row r="491">
      <x:c r="A491" s="146" t="str">
        <x:v>EXTERNAL WORKS</x:v>
      </x:c>
      <x:c r="B491" s="146" t="n">
        <x:v>37</x:v>
      </x:c>
      <x:c r="C491" s="146" t="str">
        <x:v>외부공사</x:v>
      </x:c>
      <x:c r="D491" s="146" t="str">
        <x:v>외부공사</x:v>
      </x:c>
      <x:c r="E491" s="146" t="str"/>
      <x:c r="F491" s="146" t="str">
        <x:v>COARSE SAND: in</x:v>
      </x:c>
      <x:c r="G491" s="146" t="str">
        <x:v>S</x:v>
      </x:c>
      <x:c r="H491" s="49" t="str">
        <x:v>50mm thick blinding over surfaces of hardcore</x:v>
      </x:c>
      <x:c r="I491" s="146" t="str">
        <x:v>m²</x:v>
      </x:c>
      <x:c r="J491" s="149" t="n">
        <x:v>18</x:v>
      </x:c>
      <x:c r="K491" s="146" t="str">
        <x:v>=D34</x:v>
      </x:c>
      <x:c r="L491" s="149" t="n">
        <x:v>1</x:v>
      </x:c>
      <x:c r="M491" s="149" t="n">
        <x:v>1</x:v>
      </x:c>
      <x:c r="N491" s="149" t="n">
        <x:v>18</x:v>
      </x:c>
      <x:c r="O491" s="149" t="n">
        <x:v>18</x:v>
      </x:c>
      <x:c r="P491" s="149" t="n">
        <x:f>IF('입력·근거'!$B$12="HIGH",O491,N491)</x:f>
        <x:v>18</x:v>
      </x:c>
      <x:c r="Q491" s="158" t="str"/>
      <x:c r="R491" s="161" t="str">
        <x:f>IF(Q491="","",P491*Q491)</x:f>
      </x:c>
      <x:c r="S491" s="146" t="str">
        <x:v>formula_quantity;unpriced_source</x:v>
      </x:c>
    </x:row>
    <x:row r="492">
      <x:c r="A492" s="146" t="str">
        <x:v>EXTERNAL WORKS</x:v>
      </x:c>
      <x:c r="B492" s="146" t="n">
        <x:v>40</x:v>
      </x:c>
      <x:c r="C492" s="146" t="str">
        <x:v>외부공사</x:v>
      </x:c>
      <x:c r="D492" s="146" t="str">
        <x:v>외부공사</x:v>
      </x:c>
      <x:c r="E492" s="146" t="str"/>
      <x:c r="F492" s="146" t="str">
        <x:v>VIBRATED MASS CONCRETE CLASS 20; 20mm AGGREGATE : in</x:v>
      </x:c>
      <x:c r="G492" s="146" t="str">
        <x:v>T</x:v>
      </x:c>
      <x:c r="H492" s="49" t="str">
        <x:v>Strip foundations</x:v>
      </x:c>
      <x:c r="I492" s="146" t="str">
        <x:v>m³</x:v>
      </x:c>
      <x:c r="J492" s="149" t="n">
        <x:v>2.34</x:v>
      </x:c>
      <x:c r="K492" s="146" t="str"/>
      <x:c r="L492" s="149" t="n">
        <x:v>1</x:v>
      </x:c>
      <x:c r="M492" s="149" t="n">
        <x:v>1</x:v>
      </x:c>
      <x:c r="N492" s="149" t="n">
        <x:v>2.34</x:v>
      </x:c>
      <x:c r="O492" s="149" t="n">
        <x:v>2.34</x:v>
      </x:c>
      <x:c r="P492" s="149" t="n">
        <x:f>IF('입력·근거'!$B$12="HIGH",O492,N492)</x:f>
        <x:v>2.34</x:v>
      </x:c>
      <x:c r="Q492" s="158" t="str"/>
      <x:c r="R492" s="161" t="str">
        <x:f>IF(Q492="","",P492*Q492)</x:f>
      </x:c>
      <x:c r="S492" s="146" t="str">
        <x:v>unpriced_source</x:v>
      </x:c>
    </x:row>
    <x:row r="493">
      <x:c r="A493" s="146" t="str">
        <x:v>EXTERNAL WORKS</x:v>
      </x:c>
      <x:c r="B493" s="146" t="n">
        <x:v>42</x:v>
      </x:c>
      <x:c r="C493" s="146" t="str">
        <x:v>외부공사</x:v>
      </x:c>
      <x:c r="D493" s="146" t="str">
        <x:v>외부공사</x:v>
      </x:c>
      <x:c r="E493" s="146" t="str"/>
      <x:c r="F493" s="146" t="str">
        <x:v>VIBRATED REINFORCED CONCRETE CLASS 25; 20mm AGGREGATE : in</x:v>
      </x:c>
      <x:c r="G493" s="146" t="str">
        <x:v>U</x:v>
      </x:c>
      <x:c r="H493" s="49" t="str">
        <x:v>150mm thick ground floor slab</x:v>
      </x:c>
      <x:c r="I493" s="146" t="str">
        <x:v>m²</x:v>
      </x:c>
      <x:c r="J493" s="149" t="n">
        <x:v>18</x:v>
      </x:c>
      <x:c r="K493" s="146" t="str">
        <x:v>=D34</x:v>
      </x:c>
      <x:c r="L493" s="149" t="n">
        <x:v>1</x:v>
      </x:c>
      <x:c r="M493" s="149" t="n">
        <x:v>1</x:v>
      </x:c>
      <x:c r="N493" s="149" t="n">
        <x:v>18</x:v>
      </x:c>
      <x:c r="O493" s="149" t="n">
        <x:v>18</x:v>
      </x:c>
      <x:c r="P493" s="149" t="n">
        <x:f>IF('입력·근거'!$B$12="HIGH",O493,N493)</x:f>
        <x:v>18</x:v>
      </x:c>
      <x:c r="Q493" s="158" t="str"/>
      <x:c r="R493" s="161" t="str">
        <x:f>IF(Q493="","",P493*Q493)</x:f>
      </x:c>
      <x:c r="S493" s="146" t="str">
        <x:v>formula_quantity;unpriced_source</x:v>
      </x:c>
    </x:row>
    <x:row r="494">
      <x:c r="A494" s="146" t="str">
        <x:v>EXTERNAL WORKS</x:v>
      </x:c>
      <x:c r="B494" s="146" t="n">
        <x:v>44</x:v>
      </x:c>
      <x:c r="C494" s="146" t="str">
        <x:v>외부공사</x:v>
      </x:c>
      <x:c r="D494" s="146" t="str">
        <x:v>외부공사</x:v>
      </x:c>
      <x:c r="E494" s="146" t="str"/>
      <x:c r="F494" s="146" t="str">
        <x:v>STEEL FABRIC REINFORCEMENT TO BS 4483 as described</x:v>
      </x:c>
      <x:c r="G494" s="146" t="str">
        <x:v>V</x:v>
      </x:c>
      <x:c r="H494" s="49" t="str">
        <x:v>No. A142 Fabric Mesh reinforcement weighing 2.22 kg. per square meter fixed in slab</x:v>
      </x:c>
      <x:c r="I494" s="146" t="str">
        <x:v>m²</x:v>
      </x:c>
      <x:c r="J494" s="149" t="n">
        <x:v>18</x:v>
      </x:c>
      <x:c r="K494" s="146" t="str">
        <x:v>=D42</x:v>
      </x:c>
      <x:c r="L494" s="149" t="n">
        <x:v>1</x:v>
      </x:c>
      <x:c r="M494" s="149" t="n">
        <x:v>1</x:v>
      </x:c>
      <x:c r="N494" s="149" t="n">
        <x:v>18</x:v>
      </x:c>
      <x:c r="O494" s="149" t="n">
        <x:v>18</x:v>
      </x:c>
      <x:c r="P494" s="149" t="n">
        <x:f>IF('입력·근거'!$B$12="HIGH",O494,N494)</x:f>
        <x:v>18</x:v>
      </x:c>
      <x:c r="Q494" s="158" t="str"/>
      <x:c r="R494" s="161" t="str">
        <x:f>IF(Q494="","",P494*Q494)</x:f>
      </x:c>
      <x:c r="S494" s="146" t="str">
        <x:v>formula_quantity;unpriced_source</x:v>
      </x:c>
    </x:row>
    <x:row r="495">
      <x:c r="A495" s="146" t="str">
        <x:v>EXTERNAL WORKS</x:v>
      </x:c>
      <x:c r="B495" s="146" t="n">
        <x:v>46</x:v>
      </x:c>
      <x:c r="C495" s="146" t="str">
        <x:v>외부공사</x:v>
      </x:c>
      <x:c r="D495" s="146" t="str">
        <x:v>외부공사</x:v>
      </x:c>
      <x:c r="E495" s="146" t="str"/>
      <x:c r="F495" s="146" t="str">
        <x:v>FORMWORK TO</x:v>
      </x:c>
      <x:c r="G495" s="146" t="str">
        <x:v>W</x:v>
      </x:c>
      <x:c r="H495" s="49" t="str">
        <x:v>Edges of slabs 75 to 150mm high</x:v>
      </x:c>
      <x:c r="I495" s="146" t="str">
        <x:v>m</x:v>
      </x:c>
      <x:c r="J495" s="149" t="n">
        <x:v>10.4</x:v>
      </x:c>
      <x:c r="K495" s="146" t="str"/>
      <x:c r="L495" s="149" t="n">
        <x:v>1</x:v>
      </x:c>
      <x:c r="M495" s="149" t="n">
        <x:v>1</x:v>
      </x:c>
      <x:c r="N495" s="149" t="n">
        <x:v>10.4</x:v>
      </x:c>
      <x:c r="O495" s="149" t="n">
        <x:v>10.4</x:v>
      </x:c>
      <x:c r="P495" s="149" t="n">
        <x:f>IF('입력·근거'!$B$12="HIGH",O495,N495)</x:f>
        <x:v>10.4</x:v>
      </x:c>
      <x:c r="Q495" s="158" t="str"/>
      <x:c r="R495" s="161" t="str">
        <x:f>IF(Q495="","",P495*Q495)</x:f>
      </x:c>
      <x:c r="S495" s="146" t="str">
        <x:v>unpriced_source</x:v>
      </x:c>
    </x:row>
    <x:row r="496">
      <x:c r="A496" s="146" t="str">
        <x:v>EXTERNAL WORKS</x:v>
      </x:c>
      <x:c r="B496" s="146" t="n">
        <x:v>48</x:v>
      </x:c>
      <x:c r="C496" s="146" t="str">
        <x:v>외부공사</x:v>
      </x:c>
      <x:c r="D496" s="146" t="str">
        <x:v>외부공사</x:v>
      </x:c>
      <x:c r="E496" s="146" t="str"/>
      <x:c r="F496" s="146" t="str">
        <x:v>DAMP PROOF COURSES</x:v>
      </x:c>
      <x:c r="G496" s="146" t="str">
        <x:v>X</x:v>
      </x:c>
      <x:c r="H496" s="49" t="str">
        <x:v>1000 Gauge polythene sheeting laid on blinded hardcore</x:v>
      </x:c>
      <x:c r="I496" s="146" t="str">
        <x:v>m²</x:v>
      </x:c>
      <x:c r="J496" s="149" t="n">
        <x:v>18</x:v>
      </x:c>
      <x:c r="K496" s="146" t="str">
        <x:v>=D44</x:v>
      </x:c>
      <x:c r="L496" s="149" t="n">
        <x:v>1</x:v>
      </x:c>
      <x:c r="M496" s="149" t="n">
        <x:v>1</x:v>
      </x:c>
      <x:c r="N496" s="149" t="n">
        <x:v>18</x:v>
      </x:c>
      <x:c r="O496" s="149" t="n">
        <x:v>18</x:v>
      </x:c>
      <x:c r="P496" s="149" t="n">
        <x:f>IF('입력·근거'!$B$12="HIGH",O496,N496)</x:f>
        <x:v>18</x:v>
      </x:c>
      <x:c r="Q496" s="158" t="str"/>
      <x:c r="R496" s="161" t="str">
        <x:f>IF(Q496="","",P496*Q496)</x:f>
      </x:c>
      <x:c r="S496" s="146" t="str">
        <x:v>formula_quantity;unpriced_source</x:v>
      </x:c>
    </x:row>
    <x:row r="497">
      <x:c r="A497" s="146" t="str">
        <x:v>EXTERNAL WORKS</x:v>
      </x:c>
      <x:c r="B497" s="146" t="n">
        <x:v>51</x:v>
      </x:c>
      <x:c r="C497" s="146" t="str">
        <x:v>외부공사</x:v>
      </x:c>
      <x:c r="D497" s="146" t="str">
        <x:v>외부공사</x:v>
      </x:c>
      <x:c r="E497" s="146" t="str"/>
      <x:c r="F497" s="146" t="str">
        <x:v>Solid concrete blockwork jointed and pointed in cement sand (1:3) mortar : with and including hoop iron wall ties every alternative course : in</x:v>
      </x:c>
      <x:c r="G497" s="146" t="str">
        <x:v>Y</x:v>
      </x:c>
      <x:c r="H497" s="49" t="str">
        <x:v>200mm Thick walls</x:v>
      </x:c>
      <x:c r="I497" s="146" t="str">
        <x:v>m²</x:v>
      </x:c>
      <x:c r="J497" s="149" t="n">
        <x:v>11.7</x:v>
      </x:c>
      <x:c r="K497" s="146" t="str"/>
      <x:c r="L497" s="149" t="n">
        <x:v>1</x:v>
      </x:c>
      <x:c r="M497" s="149" t="n">
        <x:v>1</x:v>
      </x:c>
      <x:c r="N497" s="149" t="n">
        <x:v>11.7</x:v>
      </x:c>
      <x:c r="O497" s="149" t="n">
        <x:v>11.7</x:v>
      </x:c>
      <x:c r="P497" s="149" t="n">
        <x:f>IF('입력·근거'!$B$12="HIGH",O497,N497)</x:f>
        <x:v>11.7</x:v>
      </x:c>
      <x:c r="Q497" s="158" t="str"/>
      <x:c r="R497" s="161" t="str">
        <x:f>IF(Q497="","",P497*Q497)</x:f>
      </x:c>
      <x:c r="S497" s="146" t="str">
        <x:v>unpriced_source</x:v>
      </x:c>
    </x:row>
    <x:row r="498">
      <x:c r="A498" s="146" t="str">
        <x:v>EXTERNAL WORKS</x:v>
      </x:c>
      <x:c r="B498" s="146" t="n">
        <x:v>55</x:v>
      </x:c>
      <x:c r="C498" s="146" t="str">
        <x:v>외부공사</x:v>
      </x:c>
      <x:c r="D498" s="146" t="str">
        <x:v>외부공사</x:v>
      </x:c>
      <x:c r="E498" s="146" t="str"/>
      <x:c r="F498" s="146" t="str">
        <x:v>Brickwork in burnt clay bricks in cement and sand mortar (1:3) mix; with and including 25 x 3mm hoop iron strips laid horizontally every alternate course.</x:v>
      </x:c>
      <x:c r="G498" s="146" t="str">
        <x:v>Z</x:v>
      </x:c>
      <x:c r="H498" s="49" t="str">
        <x:v>200mm Thick walls</x:v>
      </x:c>
      <x:c r="I498" s="146" t="str">
        <x:v>m²</x:v>
      </x:c>
      <x:c r="J498" s="149" t="n">
        <x:v>27</x:v>
      </x:c>
      <x:c r="K498" s="146" t="str"/>
      <x:c r="L498" s="149" t="n">
        <x:v>1</x:v>
      </x:c>
      <x:c r="M498" s="149" t="n">
        <x:v>1</x:v>
      </x:c>
      <x:c r="N498" s="149" t="n">
        <x:v>27</x:v>
      </x:c>
      <x:c r="O498" s="149" t="n">
        <x:v>27</x:v>
      </x:c>
      <x:c r="P498" s="149" t="n">
        <x:f>IF('입력·근거'!$B$12="HIGH",O498,N498)</x:f>
        <x:v>27</x:v>
      </x:c>
      <x:c r="Q498" s="158" t="str"/>
      <x:c r="R498" s="161" t="str">
        <x:f>IF(Q498="","",P498*Q498)</x:f>
      </x:c>
      <x:c r="S498" s="146" t="str">
        <x:v>unpriced_source</x:v>
      </x:c>
    </x:row>
    <x:row r="499">
      <x:c r="A499" s="146" t="str">
        <x:v>EXTERNAL WORKS</x:v>
      </x:c>
      <x:c r="B499" s="146" t="n">
        <x:v>57</x:v>
      </x:c>
      <x:c r="C499" s="146" t="str">
        <x:v>외부공사</x:v>
      </x:c>
      <x:c r="D499" s="146" t="str">
        <x:v>외부공사</x:v>
      </x:c>
      <x:c r="E499" s="146" t="str"/>
      <x:c r="F499" s="146" t="str">
        <x:v>DAMP PROOF COURSE OF BITUMEN FELT TO B.S 743 Type A with 150mm laps including cement and sand (1:3) levelling bed</x:v>
      </x:c>
      <x:c r="G499" s="146" t="str">
        <x:v>AA</x:v>
      </x:c>
      <x:c r="H499" s="49" t="str">
        <x:v>200mm Wide</x:v>
      </x:c>
      <x:c r="I499" s="146" t="str">
        <x:v>m</x:v>
      </x:c>
      <x:c r="J499" s="149" t="n">
        <x:v>26</x:v>
      </x:c>
      <x:c r="K499" s="146" t="str"/>
      <x:c r="L499" s="149" t="n">
        <x:v>1</x:v>
      </x:c>
      <x:c r="M499" s="149" t="n">
        <x:v>1</x:v>
      </x:c>
      <x:c r="N499" s="149" t="n">
        <x:v>26</x:v>
      </x:c>
      <x:c r="O499" s="149" t="n">
        <x:v>26</x:v>
      </x:c>
      <x:c r="P499" s="149" t="n">
        <x:f>IF('입력·근거'!$B$12="HIGH",O499,N499)</x:f>
        <x:v>26</x:v>
      </x:c>
      <x:c r="Q499" s="158" t="str"/>
      <x:c r="R499" s="161" t="str">
        <x:f>IF(Q499="","",P499*Q499)</x:f>
      </x:c>
      <x:c r="S499" s="146" t="str">
        <x:v>unpriced_source</x:v>
      </x:c>
    </x:row>
    <x:row r="500">
      <x:c r="A500" s="146" t="str">
        <x:v>EXTERNAL WORKS</x:v>
      </x:c>
      <x:c r="B500" s="146" t="n">
        <x:v>59</x:v>
      </x:c>
      <x:c r="C500" s="146" t="str">
        <x:v>외부공사</x:v>
      </x:c>
      <x:c r="D500" s="146" t="str">
        <x:v>외부공사</x:v>
      </x:c>
      <x:c r="E500" s="146" t="str"/>
      <x:c r="F500" s="146" t="str">
        <x:v>CEMENT AND WASHED SAND (1:3) RENDER trowelled smooth</x:v>
      </x:c>
      <x:c r="G500" s="146" t="str">
        <x:v>AB</x:v>
      </x:c>
      <x:c r="H500" s="49" t="str">
        <x:v>12mm Thick to walls.</x:v>
      </x:c>
      <x:c r="I500" s="146" t="str">
        <x:v>m²</x:v>
      </x:c>
      <x:c r="J500" s="149" t="n">
        <x:v>54</x:v>
      </x:c>
      <x:c r="K500" s="146" t="str"/>
      <x:c r="L500" s="149" t="n">
        <x:v>1</x:v>
      </x:c>
      <x:c r="M500" s="149" t="n">
        <x:v>1</x:v>
      </x:c>
      <x:c r="N500" s="149" t="n">
        <x:v>54</x:v>
      </x:c>
      <x:c r="O500" s="149" t="n">
        <x:v>54</x:v>
      </x:c>
      <x:c r="P500" s="149" t="n">
        <x:f>IF('입력·근거'!$B$12="HIGH",O500,N500)</x:f>
        <x:v>54</x:v>
      </x:c>
      <x:c r="Q500" s="158" t="str"/>
      <x:c r="R500" s="161" t="str">
        <x:f>IF(Q500="","",P500*Q500)</x:f>
      </x:c>
      <x:c r="S500" s="146" t="str">
        <x:v>unpriced_source</x:v>
      </x:c>
    </x:row>
    <x:row r="501">
      <x:c r="A501" s="146" t="str">
        <x:v>EXTERNAL WORKS</x:v>
      </x:c>
      <x:c r="B501" s="146" t="n">
        <x:v>62</x:v>
      </x:c>
      <x:c r="C501" s="146" t="str">
        <x:v>외부공사</x:v>
      </x:c>
      <x:c r="D501" s="146" t="str">
        <x:v>외부공사</x:v>
      </x:c>
      <x:c r="E501" s="146" t="str"/>
      <x:c r="F501" s="146" t="str">
        <x:v>Prepare and apply three coats of weather guard paint to rendered walls</x:v>
      </x:c>
      <x:c r="G501" s="146" t="str">
        <x:v>AC</x:v>
      </x:c>
      <x:c r="H501" s="49" t="str">
        <x:v>Rendered surfaces</x:v>
      </x:c>
      <x:c r="I501" s="146" t="str">
        <x:v>m²</x:v>
      </x:c>
      <x:c r="J501" s="149" t="n">
        <x:v>54</x:v>
      </x:c>
      <x:c r="K501" s="146" t="str">
        <x:v>=D59</x:v>
      </x:c>
      <x:c r="L501" s="149" t="n">
        <x:v>1</x:v>
      </x:c>
      <x:c r="M501" s="149" t="n">
        <x:v>1</x:v>
      </x:c>
      <x:c r="N501" s="149" t="n">
        <x:v>54</x:v>
      </x:c>
      <x:c r="O501" s="149" t="n">
        <x:v>54</x:v>
      </x:c>
      <x:c r="P501" s="149" t="n">
        <x:f>IF('입력·근거'!$B$12="HIGH",O501,N501)</x:f>
        <x:v>54</x:v>
      </x:c>
      <x:c r="Q501" s="158" t="str"/>
      <x:c r="R501" s="161" t="str">
        <x:f>IF(Q501="","",P501*Q501)</x:f>
      </x:c>
      <x:c r="S501" s="146" t="str">
        <x:v>formula_quantity;unpriced_source</x:v>
      </x:c>
    </x:row>
    <x:row r="502">
      <x:c r="A502" s="146" t="str">
        <x:v>EXTERNAL WORKS</x:v>
      </x:c>
      <x:c r="B502" s="146" t="n">
        <x:v>64</x:v>
      </x:c>
      <x:c r="C502" s="146" t="str">
        <x:v>외부공사</x:v>
      </x:c>
      <x:c r="D502" s="146" t="str">
        <x:v>외부공사</x:v>
      </x:c>
      <x:c r="E502" s="146" t="str"/>
      <x:c r="F502" s="146" t="str">
        <x:v>Solar Street Lighting System</x:v>
      </x:c>
      <x:c r="G502" s="146" t="str"/>
      <x:c r="H502" s="49" t="str">
        <x:v>60W LED Solar Street light, V1,V2, with lithium ferro phosphate battery, solar panel , charger and PIR sensor built into luminare, alluminium pressure die-cast housing with anti-corrosive coating, UV stabilized polycarbonate cover, battery type-lithium ferro phosphate, Life P04 IP 384Wh, efficiency 175lm/W rating IP65, housing aluminium pressure diecast with anti-corrossive coating, UV stabilized anti corrosive colour, &gt;90% efficiency. With 6m high,150mm Dia galvanised steel pole complete with 1.5m long &amp;75 one arm, held by 400x400x10mm Galvanised steel plate &amp; 16mm Dia J bolts cast in 800mm high 400x400 C25 Concrete block for type PSL above.</x:v>
      </x:c>
      <x:c r="I502" s="146" t="str">
        <x:v>no.</x:v>
      </x:c>
      <x:c r="J502" s="149" t="n">
        <x:v>3</x:v>
      </x:c>
      <x:c r="K502" s="146" t="str"/>
      <x:c r="L502" s="149" t="n">
        <x:v>1</x:v>
      </x:c>
      <x:c r="M502" s="149" t="n">
        <x:v>1</x:v>
      </x:c>
      <x:c r="N502" s="149" t="n">
        <x:v>3</x:v>
      </x:c>
      <x:c r="O502" s="149" t="n">
        <x:v>3</x:v>
      </x:c>
      <x:c r="P502" s="149" t="n">
        <x:f>IF('입력·근거'!$B$12="HIGH",O502,N502)</x:f>
        <x:v>3</x:v>
      </x:c>
      <x:c r="Q502" s="158" t="str"/>
      <x:c r="R502" s="161" t="str">
        <x:f>IF(Q502="","",P502*Q502)</x:f>
      </x:c>
      <x:c r="S502" s="146" t="str">
        <x:v>unpriced_source</x:v>
      </x:c>
    </x:row>
    <x:row r="503">
      <x:c r="A503" s="146" t="str">
        <x:v>EXTERNAL WORKS</x:v>
      </x:c>
      <x:c r="B503" s="146" t="n">
        <x:v>65</x:v>
      </x:c>
      <x:c r="C503" s="146" t="str">
        <x:v>외부공사</x:v>
      </x:c>
      <x:c r="D503" s="146" t="str">
        <x:v>외부공사</x:v>
      </x:c>
      <x:c r="E503" s="146" t="str"/>
      <x:c r="F503" s="146" t="str">
        <x:v>Solar Street Lighting System</x:v>
      </x:c>
      <x:c r="G503" s="146" t="str">
        <x:v>8</x:v>
      </x:c>
      <x:c r="H503" s="49" t="str">
        <x:v>Underground CU Cable 4core to connect transmit power to Market shed and Toilet, then from Maize Mill to Latrine</x:v>
      </x:c>
      <x:c r="I503" s="146" t="str">
        <x:v>m</x:v>
      </x:c>
      <x:c r="J503" s="149" t="n">
        <x:v>45</x:v>
      </x:c>
      <x:c r="K503" s="146" t="str"/>
      <x:c r="L503" s="149" t="n">
        <x:v>1</x:v>
      </x:c>
      <x:c r="M503" s="149" t="n">
        <x:v>1</x:v>
      </x:c>
      <x:c r="N503" s="149" t="n">
        <x:v>45</x:v>
      </x:c>
      <x:c r="O503" s="149" t="n">
        <x:v>45</x:v>
      </x:c>
      <x:c r="P503" s="149" t="n">
        <x:f>IF('입력·근거'!$B$12="HIGH",O503,N503)</x:f>
        <x:v>45</x:v>
      </x:c>
      <x:c r="Q503" s="158" t="str"/>
      <x:c r="R503" s="161" t="str">
        <x:f>IF(Q503="","",P503*Q503)</x:f>
      </x:c>
      <x:c r="S503" s="146" t="str">
        <x:v>unpriced_source</x:v>
      </x:c>
    </x:row>
    <x:row r="504">
      <x:c r="A504" s="146" t="str">
        <x:v>SUPPLY OF 33KV LINE</x:v>
      </x:c>
      <x:c r="B504" s="146" t="n">
        <x:v>6</x:v>
      </x:c>
      <x:c r="C504" s="146" t="str">
        <x:v>33kV 전력인입</x:v>
      </x:c>
      <x:c r="D504" s="146" t="str">
        <x:v>전기·전력인입</x:v>
      </x:c>
      <x:c r="E504" s="146" t="str"/>
      <x:c r="F504" s="146" t="str"/>
      <x:c r="G504" s="146" t="str">
        <x:v>1</x:v>
      </x:c>
      <x:c r="H504" s="49" t="str">
        <x:v>MV POLE 14m</x:v>
      </x:c>
      <x:c r="I504" s="146" t="str">
        <x:v>no.</x:v>
      </x:c>
      <x:c r="J504" s="149" t="n">
        <x:v>1</x:v>
      </x:c>
      <x:c r="K504" s="146" t="str"/>
      <x:c r="L504" s="149" t="n">
        <x:v>1</x:v>
      </x:c>
      <x:c r="M504" s="149" t="n">
        <x:v>1</x:v>
      </x:c>
      <x:c r="N504" s="149" t="n">
        <x:v>1</x:v>
      </x:c>
      <x:c r="O504" s="149" t="n">
        <x:v>1</x:v>
      </x:c>
      <x:c r="P504" s="149" t="n">
        <x:f>IF('입력·근거'!$B$12="HIGH",O504,N504)</x:f>
        <x:v>1</x:v>
      </x:c>
      <x:c r="Q504" s="158" t="str"/>
      <x:c r="R504" s="161" t="str">
        <x:f>IF(Q504="","",P504*Q504)</x:f>
      </x:c>
      <x:c r="S504" s="146" t="str">
        <x:v>unpriced_source</x:v>
      </x:c>
    </x:row>
    <x:row r="505">
      <x:c r="A505" s="146" t="str">
        <x:v>SUPPLY OF 33KV LINE</x:v>
      </x:c>
      <x:c r="B505" s="146" t="n">
        <x:v>7</x:v>
      </x:c>
      <x:c r="C505" s="146" t="str">
        <x:v>33kV 전력인입</x:v>
      </x:c>
      <x:c r="D505" s="146" t="str">
        <x:v>전기·전력인입</x:v>
      </x:c>
      <x:c r="E505" s="146" t="str"/>
      <x:c r="F505" s="146" t="str"/>
      <x:c r="G505" s="146" t="str">
        <x:v>2</x:v>
      </x:c>
      <x:c r="H505" s="49" t="str">
        <x:v>MV POLE 12m</x:v>
      </x:c>
      <x:c r="I505" s="146" t="str">
        <x:v>no.</x:v>
      </x:c>
      <x:c r="J505" s="149" t="n">
        <x:v>3</x:v>
      </x:c>
      <x:c r="K505" s="146" t="str"/>
      <x:c r="L505" s="149" t="n">
        <x:v>1</x:v>
      </x:c>
      <x:c r="M505" s="149" t="n">
        <x:v>1</x:v>
      </x:c>
      <x:c r="N505" s="149" t="n">
        <x:v>3</x:v>
      </x:c>
      <x:c r="O505" s="149" t="n">
        <x:v>3</x:v>
      </x:c>
      <x:c r="P505" s="149" t="n">
        <x:f>IF('입력·근거'!$B$12="HIGH",O505,N505)</x:f>
        <x:v>3</x:v>
      </x:c>
      <x:c r="Q505" s="158" t="str"/>
      <x:c r="R505" s="161" t="str">
        <x:f>IF(Q505="","",P505*Q505)</x:f>
      </x:c>
      <x:c r="S505" s="146" t="str">
        <x:v>unpriced_source</x:v>
      </x:c>
    </x:row>
    <x:row r="506">
      <x:c r="A506" s="146" t="str">
        <x:v>SUPPLY OF 33KV LINE</x:v>
      </x:c>
      <x:c r="B506" s="146" t="n">
        <x:v>8</x:v>
      </x:c>
      <x:c r="C506" s="146" t="str">
        <x:v>33kV 전력인입</x:v>
      </x:c>
      <x:c r="D506" s="146" t="str">
        <x:v>전기·전력인입</x:v>
      </x:c>
      <x:c r="E506" s="146" t="str"/>
      <x:c r="F506" s="146" t="str"/>
      <x:c r="G506" s="146" t="str">
        <x:v>3</x:v>
      </x:c>
      <x:c r="H506" s="49" t="str">
        <x:v>MV POLE 10m</x:v>
      </x:c>
      <x:c r="I506" s="146" t="str">
        <x:v>no.</x:v>
      </x:c>
      <x:c r="J506" s="149" t="n">
        <x:v>1</x:v>
      </x:c>
      <x:c r="K506" s="146" t="str"/>
      <x:c r="L506" s="149" t="n">
        <x:v>1</x:v>
      </x:c>
      <x:c r="M506" s="149" t="n">
        <x:v>1</x:v>
      </x:c>
      <x:c r="N506" s="149" t="n">
        <x:v>1</x:v>
      </x:c>
      <x:c r="O506" s="149" t="n">
        <x:v>1</x:v>
      </x:c>
      <x:c r="P506" s="149" t="n">
        <x:f>IF('입력·근거'!$B$12="HIGH",O506,N506)</x:f>
        <x:v>1</x:v>
      </x:c>
      <x:c r="Q506" s="158" t="str"/>
      <x:c r="R506" s="161" t="str">
        <x:f>IF(Q506="","",P506*Q506)</x:f>
      </x:c>
      <x:c r="S506" s="146" t="str">
        <x:v>unpriced_source</x:v>
      </x:c>
    </x:row>
    <x:row r="507">
      <x:c r="A507" s="146" t="str">
        <x:v>SUPPLY OF 33KV LINE</x:v>
      </x:c>
      <x:c r="B507" s="146" t="n">
        <x:v>9</x:v>
      </x:c>
      <x:c r="C507" s="146" t="str">
        <x:v>33kV 전력인입</x:v>
      </x:c>
      <x:c r="D507" s="146" t="str">
        <x:v>전기·전력인입</x:v>
      </x:c>
      <x:c r="E507" s="146" t="str"/>
      <x:c r="F507" s="146" t="str"/>
      <x:c r="G507" s="146" t="str">
        <x:v>4</x:v>
      </x:c>
      <x:c r="H507" s="49" t="str">
        <x:v>POLE SAVER</x:v>
      </x:c>
      <x:c r="I507" s="146" t="str">
        <x:v>no.</x:v>
      </x:c>
      <x:c r="J507" s="149" t="n">
        <x:v>5</x:v>
      </x:c>
      <x:c r="K507" s="146" t="str">
        <x:v>=E8+E7+E6</x:v>
      </x:c>
      <x:c r="L507" s="149" t="n">
        <x:v>1</x:v>
      </x:c>
      <x:c r="M507" s="149" t="n">
        <x:v>1</x:v>
      </x:c>
      <x:c r="N507" s="149" t="n">
        <x:v>5</x:v>
      </x:c>
      <x:c r="O507" s="149" t="n">
        <x:v>5</x:v>
      </x:c>
      <x:c r="P507" s="149" t="n">
        <x:f>IF('입력·근거'!$B$12="HIGH",O507,N507)</x:f>
        <x:v>5</x:v>
      </x:c>
      <x:c r="Q507" s="158" t="str"/>
      <x:c r="R507" s="161" t="str">
        <x:f>IF(Q507="","",P507*Q507)</x:f>
      </x:c>
      <x:c r="S507" s="146" t="str">
        <x:v>formula_quantity;unpriced_source</x:v>
      </x:c>
    </x:row>
    <x:row r="508">
      <x:c r="A508" s="146" t="str">
        <x:v>SUPPLY OF 33KV LINE</x:v>
      </x:c>
      <x:c r="B508" s="146" t="n">
        <x:v>10</x:v>
      </x:c>
      <x:c r="C508" s="146" t="str">
        <x:v>33kV 전력인입</x:v>
      </x:c>
      <x:c r="D508" s="146" t="str">
        <x:v>전기·전력인입</x:v>
      </x:c>
      <x:c r="E508" s="146" t="str"/>
      <x:c r="F508" s="146" t="str"/>
      <x:c r="G508" s="146" t="str">
        <x:v>5</x:v>
      </x:c>
      <x:c r="H508" s="49" t="str">
        <x:v>T-OFF CROSS ARMS 33kV</x:v>
      </x:c>
      <x:c r="I508" s="146" t="str">
        <x:v>no.</x:v>
      </x:c>
      <x:c r="J508" s="149" t="n">
        <x:v>1</x:v>
      </x:c>
      <x:c r="K508" s="146" t="str"/>
      <x:c r="L508" s="149" t="n">
        <x:v>1</x:v>
      </x:c>
      <x:c r="M508" s="149" t="n">
        <x:v>1</x:v>
      </x:c>
      <x:c r="N508" s="149" t="n">
        <x:v>1</x:v>
      </x:c>
      <x:c r="O508" s="149" t="n">
        <x:v>1</x:v>
      </x:c>
      <x:c r="P508" s="149" t="n">
        <x:f>IF('입력·근거'!$B$12="HIGH",O508,N508)</x:f>
        <x:v>1</x:v>
      </x:c>
      <x:c r="Q508" s="158" t="str"/>
      <x:c r="R508" s="161" t="str">
        <x:f>IF(Q508="","",P508*Q508)</x:f>
      </x:c>
      <x:c r="S508" s="146" t="str">
        <x:v>unpriced_source</x:v>
      </x:c>
    </x:row>
    <x:row r="509">
      <x:c r="A509" s="146" t="str">
        <x:v>SUPPLY OF 33KV LINE</x:v>
      </x:c>
      <x:c r="B509" s="146" t="n">
        <x:v>11</x:v>
      </x:c>
      <x:c r="C509" s="146" t="str">
        <x:v>33kV 전력인입</x:v>
      </x:c>
      <x:c r="D509" s="146" t="str">
        <x:v>전기·전력인입</x:v>
      </x:c>
      <x:c r="E509" s="146" t="str"/>
      <x:c r="F509" s="146" t="str"/>
      <x:c r="G509" s="146" t="str">
        <x:v>6</x:v>
      </x:c>
      <x:c r="H509" s="49" t="str">
        <x:v>TERMINAL CROSSARM 33kV</x:v>
      </x:c>
      <x:c r="I509" s="146" t="str">
        <x:v>no.</x:v>
      </x:c>
      <x:c r="J509" s="149" t="n">
        <x:v>1</x:v>
      </x:c>
      <x:c r="K509" s="146" t="str"/>
      <x:c r="L509" s="149" t="n">
        <x:v>1</x:v>
      </x:c>
      <x:c r="M509" s="149" t="n">
        <x:v>1</x:v>
      </x:c>
      <x:c r="N509" s="149" t="n">
        <x:v>1</x:v>
      </x:c>
      <x:c r="O509" s="149" t="n">
        <x:v>1</x:v>
      </x:c>
      <x:c r="P509" s="149" t="n">
        <x:f>IF('입력·근거'!$B$12="HIGH",O509,N509)</x:f>
        <x:v>1</x:v>
      </x:c>
      <x:c r="Q509" s="158" t="str"/>
      <x:c r="R509" s="161" t="str">
        <x:f>IF(Q509="","",P509*Q509)</x:f>
      </x:c>
      <x:c r="S509" s="146" t="str">
        <x:v>unpriced_source</x:v>
      </x:c>
    </x:row>
    <x:row r="510">
      <x:c r="A510" s="146" t="str">
        <x:v>SUPPLY OF 33KV LINE</x:v>
      </x:c>
      <x:c r="B510" s="146" t="n">
        <x:v>12</x:v>
      </x:c>
      <x:c r="C510" s="146" t="str">
        <x:v>33kV 전력인입</x:v>
      </x:c>
      <x:c r="D510" s="146" t="str">
        <x:v>전기·전력인입</x:v>
      </x:c>
      <x:c r="E510" s="146" t="str"/>
      <x:c r="F510" s="146" t="str"/>
      <x:c r="G510" s="146" t="str">
        <x:v>7</x:v>
      </x:c>
      <x:c r="H510" s="49" t="str">
        <x:v>INTERMEDIATE CROSSARM 33kV</x:v>
      </x:c>
      <x:c r="I510" s="146" t="str">
        <x:v>no.</x:v>
      </x:c>
      <x:c r="J510" s="149" t="n">
        <x:v>1</x:v>
      </x:c>
      <x:c r="K510" s="146" t="str"/>
      <x:c r="L510" s="149" t="n">
        <x:v>1</x:v>
      </x:c>
      <x:c r="M510" s="149" t="n">
        <x:v>1</x:v>
      </x:c>
      <x:c r="N510" s="149" t="n">
        <x:v>1</x:v>
      </x:c>
      <x:c r="O510" s="149" t="n">
        <x:v>1</x:v>
      </x:c>
      <x:c r="P510" s="149" t="n">
        <x:f>IF('입력·근거'!$B$12="HIGH",O510,N510)</x:f>
        <x:v>1</x:v>
      </x:c>
      <x:c r="Q510" s="158" t="str"/>
      <x:c r="R510" s="161" t="str">
        <x:f>IF(Q510="","",P510*Q510)</x:f>
      </x:c>
      <x:c r="S510" s="146" t="str">
        <x:v>unpriced_source</x:v>
      </x:c>
    </x:row>
    <x:row r="511">
      <x:c r="A511" s="146" t="str">
        <x:v>SUPPLY OF 33KV LINE</x:v>
      </x:c>
      <x:c r="B511" s="146" t="n">
        <x:v>13</x:v>
      </x:c>
      <x:c r="C511" s="146" t="str">
        <x:v>33kV 전력인입</x:v>
      </x:c>
      <x:c r="D511" s="146" t="str">
        <x:v>전기·전력인입</x:v>
      </x:c>
      <x:c r="E511" s="146" t="str"/>
      <x:c r="F511" s="146" t="str"/>
      <x:c r="G511" s="146" t="str">
        <x:v>8</x:v>
      </x:c>
      <x:c r="H511" s="49" t="str">
        <x:v>DROP OUT FUSED ISOLATOR SUPPORT 33kV</x:v>
      </x:c>
      <x:c r="I511" s="146" t="str">
        <x:v>no.</x:v>
      </x:c>
      <x:c r="J511" s="149" t="n">
        <x:v>1</x:v>
      </x:c>
      <x:c r="K511" s="146" t="str"/>
      <x:c r="L511" s="149" t="n">
        <x:v>1</x:v>
      </x:c>
      <x:c r="M511" s="149" t="n">
        <x:v>1</x:v>
      </x:c>
      <x:c r="N511" s="149" t="n">
        <x:v>1</x:v>
      </x:c>
      <x:c r="O511" s="149" t="n">
        <x:v>1</x:v>
      </x:c>
      <x:c r="P511" s="149" t="n">
        <x:f>IF('입력·근거'!$B$12="HIGH",O511,N511)</x:f>
        <x:v>1</x:v>
      </x:c>
      <x:c r="Q511" s="158" t="str"/>
      <x:c r="R511" s="161" t="str">
        <x:f>IF(Q511="","",P511*Q511)</x:f>
      </x:c>
      <x:c r="S511" s="146" t="str">
        <x:v>unpriced_source</x:v>
      </x:c>
    </x:row>
    <x:row r="512">
      <x:c r="A512" s="146" t="str">
        <x:v>SUPPLY OF 33KV LINE</x:v>
      </x:c>
      <x:c r="B512" s="146" t="n">
        <x:v>14</x:v>
      </x:c>
      <x:c r="C512" s="146" t="str">
        <x:v>33kV 전력인입</x:v>
      </x:c>
      <x:c r="D512" s="146" t="str">
        <x:v>전기·전력인입</x:v>
      </x:c>
      <x:c r="E512" s="146" t="str"/>
      <x:c r="F512" s="146" t="str"/>
      <x:c r="G512" s="146" t="str">
        <x:v>9</x:v>
      </x:c>
      <x:c r="H512" s="49" t="str">
        <x:v>PIN INSULATORS R90 COMPLETE WITH SPINDLE</x:v>
      </x:c>
      <x:c r="I512" s="146" t="str">
        <x:v>no.</x:v>
      </x:c>
      <x:c r="J512" s="149" t="n">
        <x:v>6</x:v>
      </x:c>
      <x:c r="K512" s="146" t="str"/>
      <x:c r="L512" s="149" t="n">
        <x:v>1</x:v>
      </x:c>
      <x:c r="M512" s="149" t="n">
        <x:v>1</x:v>
      </x:c>
      <x:c r="N512" s="149" t="n">
        <x:v>6</x:v>
      </x:c>
      <x:c r="O512" s="149" t="n">
        <x:v>6</x:v>
      </x:c>
      <x:c r="P512" s="149" t="n">
        <x:f>IF('입력·근거'!$B$12="HIGH",O512,N512)</x:f>
        <x:v>6</x:v>
      </x:c>
      <x:c r="Q512" s="158" t="str"/>
      <x:c r="R512" s="161" t="str">
        <x:f>IF(Q512="","",P512*Q512)</x:f>
      </x:c>
      <x:c r="S512" s="146" t="str">
        <x:v>unpriced_source</x:v>
      </x:c>
    </x:row>
    <x:row r="513">
      <x:c r="A513" s="146" t="str">
        <x:v>SUPPLY OF 33KV LINE</x:v>
      </x:c>
      <x:c r="B513" s="146" t="n">
        <x:v>15</x:v>
      </x:c>
      <x:c r="C513" s="146" t="str">
        <x:v>33kV 전력인입</x:v>
      </x:c>
      <x:c r="D513" s="146" t="str">
        <x:v>전기·전력인입</x:v>
      </x:c>
      <x:c r="E513" s="146" t="str"/>
      <x:c r="F513" s="146" t="str"/>
      <x:c r="G513" s="146" t="str">
        <x:v>10</x:v>
      </x:c>
      <x:c r="H513" s="49" t="str">
        <x:v>BOLTS &amp; NUTS 3/4X12''</x:v>
      </x:c>
      <x:c r="I513" s="146" t="str">
        <x:v>no.</x:v>
      </x:c>
      <x:c r="J513" s="149" t="n">
        <x:v>18</x:v>
      </x:c>
      <x:c r="K513" s="146" t="str">
        <x:v>=10+4+4</x:v>
      </x:c>
      <x:c r="L513" s="149" t="n">
        <x:v>1</x:v>
      </x:c>
      <x:c r="M513" s="149" t="n">
        <x:v>1</x:v>
      </x:c>
      <x:c r="N513" s="149" t="n">
        <x:v>18</x:v>
      </x:c>
      <x:c r="O513" s="149" t="n">
        <x:v>18</x:v>
      </x:c>
      <x:c r="P513" s="149" t="n">
        <x:f>IF('입력·근거'!$B$12="HIGH",O513,N513)</x:f>
        <x:v>18</x:v>
      </x:c>
      <x:c r="Q513" s="158" t="str"/>
      <x:c r="R513" s="161" t="str">
        <x:f>IF(Q513="","",P513*Q513)</x:f>
      </x:c>
      <x:c r="S513" s="146" t="str">
        <x:v>formula_quantity;unpriced_source</x:v>
      </x:c>
    </x:row>
    <x:row r="514">
      <x:c r="A514" s="146" t="str">
        <x:v>SUPPLY OF 33KV LINE</x:v>
      </x:c>
      <x:c r="B514" s="146" t="n">
        <x:v>16</x:v>
      </x:c>
      <x:c r="C514" s="146" t="str">
        <x:v>33kV 전력인입</x:v>
      </x:c>
      <x:c r="D514" s="146" t="str">
        <x:v>전기·전력인입</x:v>
      </x:c>
      <x:c r="E514" s="146" t="str"/>
      <x:c r="F514" s="146" t="str"/>
      <x:c r="G514" s="146" t="str">
        <x:v>11</x:v>
      </x:c>
      <x:c r="H514" s="49" t="str">
        <x:v>BOLTS &amp; NUTS 3/4X2''</x:v>
      </x:c>
      <x:c r="I514" s="146" t="str">
        <x:v>no.</x:v>
      </x:c>
      <x:c r="J514" s="149" t="n">
        <x:v>12</x:v>
      </x:c>
      <x:c r="K514" s="146" t="str"/>
      <x:c r="L514" s="149" t="n">
        <x:v>1</x:v>
      </x:c>
      <x:c r="M514" s="149" t="n">
        <x:v>1</x:v>
      </x:c>
      <x:c r="N514" s="149" t="n">
        <x:v>12</x:v>
      </x:c>
      <x:c r="O514" s="149" t="n">
        <x:v>12</x:v>
      </x:c>
      <x:c r="P514" s="149" t="n">
        <x:f>IF('입력·근거'!$B$12="HIGH",O514,N514)</x:f>
        <x:v>12</x:v>
      </x:c>
      <x:c r="Q514" s="158" t="str"/>
      <x:c r="R514" s="161" t="str">
        <x:f>IF(Q514="","",P514*Q514)</x:f>
      </x:c>
      <x:c r="S514" s="146" t="str">
        <x:v>unpriced_source</x:v>
      </x:c>
    </x:row>
    <x:row r="515">
      <x:c r="A515" s="146" t="str">
        <x:v>SUPPLY OF 33KV LINE</x:v>
      </x:c>
      <x:c r="B515" s="146" t="n">
        <x:v>17</x:v>
      </x:c>
      <x:c r="C515" s="146" t="str">
        <x:v>33kV 전력인입</x:v>
      </x:c>
      <x:c r="D515" s="146" t="str">
        <x:v>전기·전력인입</x:v>
      </x:c>
      <x:c r="E515" s="146" t="str"/>
      <x:c r="F515" s="146" t="str"/>
      <x:c r="G515" s="146" t="str">
        <x:v>12</x:v>
      </x:c>
      <x:c r="H515" s="49" t="str">
        <x:v>POLYMERIC INSULATORS 33kV COMPLETE SET</x:v>
      </x:c>
      <x:c r="I515" s="146" t="str">
        <x:v>set</x:v>
      </x:c>
      <x:c r="J515" s="149" t="n">
        <x:v>6</x:v>
      </x:c>
      <x:c r="K515" s="146" t="str"/>
      <x:c r="L515" s="149" t="n">
        <x:v>1</x:v>
      </x:c>
      <x:c r="M515" s="149" t="n">
        <x:v>1</x:v>
      </x:c>
      <x:c r="N515" s="149" t="n">
        <x:v>6</x:v>
      </x:c>
      <x:c r="O515" s="149" t="n">
        <x:v>6</x:v>
      </x:c>
      <x:c r="P515" s="149" t="n">
        <x:f>IF('입력·근거'!$B$12="HIGH",O515,N515)</x:f>
        <x:v>6</x:v>
      </x:c>
      <x:c r="Q515" s="158" t="str"/>
      <x:c r="R515" s="161" t="str">
        <x:f>IF(Q515="","",P515*Q515)</x:f>
      </x:c>
      <x:c r="S515" s="146" t="str">
        <x:v>unpriced_source</x:v>
      </x:c>
    </x:row>
    <x:row r="516">
      <x:c r="A516" s="146" t="str">
        <x:v>SUPPLY OF 33KV LINE</x:v>
      </x:c>
      <x:c r="B516" s="146" t="n">
        <x:v>18</x:v>
      </x:c>
      <x:c r="C516" s="146" t="str">
        <x:v>33kV 전력인입</x:v>
      </x:c>
      <x:c r="D516" s="146" t="str">
        <x:v>전기·전력인입</x:v>
      </x:c>
      <x:c r="E516" s="146" t="str"/>
      <x:c r="F516" s="146" t="str"/>
      <x:c r="G516" s="146" t="str">
        <x:v>13</x:v>
      </x:c>
      <x:c r="H516" s="49" t="str">
        <x:v>PREFORMED DEAD ENDS 100sqmm</x:v>
      </x:c>
      <x:c r="I516" s="146" t="str">
        <x:v>no.</x:v>
      </x:c>
      <x:c r="J516" s="149" t="n">
        <x:v>6</x:v>
      </x:c>
      <x:c r="K516" s="146" t="str"/>
      <x:c r="L516" s="149" t="n">
        <x:v>1</x:v>
      </x:c>
      <x:c r="M516" s="149" t="n">
        <x:v>1</x:v>
      </x:c>
      <x:c r="N516" s="149" t="n">
        <x:v>6</x:v>
      </x:c>
      <x:c r="O516" s="149" t="n">
        <x:v>6</x:v>
      </x:c>
      <x:c r="P516" s="149" t="n">
        <x:f>IF('입력·근거'!$B$12="HIGH",O516,N516)</x:f>
        <x:v>6</x:v>
      </x:c>
      <x:c r="Q516" s="158" t="str"/>
      <x:c r="R516" s="161" t="str">
        <x:f>IF(Q516="","",P516*Q516)</x:f>
      </x:c>
      <x:c r="S516" s="146" t="str">
        <x:v>unpriced_source</x:v>
      </x:c>
    </x:row>
    <x:row r="517">
      <x:c r="A517" s="146" t="str">
        <x:v>SUPPLY OF 33KV LINE</x:v>
      </x:c>
      <x:c r="B517" s="146" t="n">
        <x:v>19</x:v>
      </x:c>
      <x:c r="C517" s="146" t="str">
        <x:v>33kV 전력인입</x:v>
      </x:c>
      <x:c r="D517" s="146" t="str">
        <x:v>전기·전력인입</x:v>
      </x:c>
      <x:c r="E517" s="146" t="str"/>
      <x:c r="F517" s="146" t="str"/>
      <x:c r="G517" s="146" t="str">
        <x:v>14</x:v>
      </x:c>
      <x:c r="H517" s="49" t="str">
        <x:v>MV EARTHWIRE</x:v>
      </x:c>
      <x:c r="I517" s="146" t="str">
        <x:v>m</x:v>
      </x:c>
      <x:c r="J517" s="149" t="n">
        <x:v>1500</x:v>
      </x:c>
      <x:c r="K517" s="146" t="str"/>
      <x:c r="L517" s="149" t="n">
        <x:v>1</x:v>
      </x:c>
      <x:c r="M517" s="149" t="n">
        <x:v>1</x:v>
      </x:c>
      <x:c r="N517" s="149" t="n">
        <x:v>1500</x:v>
      </x:c>
      <x:c r="O517" s="149" t="n">
        <x:v>1500</x:v>
      </x:c>
      <x:c r="P517" s="149" t="n">
        <x:f>IF('입력·근거'!$B$12="HIGH",O517,N517)</x:f>
        <x:v>1500</x:v>
      </x:c>
      <x:c r="Q517" s="158" t="str"/>
      <x:c r="R517" s="161" t="str">
        <x:f>IF(Q517="","",P517*Q517)</x:f>
      </x:c>
      <x:c r="S517" s="146" t="str">
        <x:v>unpriced_source</x:v>
      </x:c>
    </x:row>
    <x:row r="518">
      <x:c r="A518" s="146" t="str">
        <x:v>SUPPLY OF 33KV LINE</x:v>
      </x:c>
      <x:c r="B518" s="146" t="n">
        <x:v>20</x:v>
      </x:c>
      <x:c r="C518" s="146" t="str">
        <x:v>33kV 전력인입</x:v>
      </x:c>
      <x:c r="D518" s="146" t="str">
        <x:v>전기·전력인입</x:v>
      </x:c>
      <x:c r="E518" s="146" t="str"/>
      <x:c r="F518" s="146" t="str"/>
      <x:c r="G518" s="146" t="str">
        <x:v>15</x:v>
      </x:c>
      <x:c r="H518" s="49" t="str">
        <x:v>MV STAY ASSEMBLY</x:v>
      </x:c>
      <x:c r="I518" s="146" t="str">
        <x:v>set</x:v>
      </x:c>
      <x:c r="J518" s="149" t="n">
        <x:v>4</x:v>
      </x:c>
      <x:c r="K518" s="146" t="str"/>
      <x:c r="L518" s="149" t="n">
        <x:v>1</x:v>
      </x:c>
      <x:c r="M518" s="149" t="n">
        <x:v>1</x:v>
      </x:c>
      <x:c r="N518" s="149" t="n">
        <x:v>4</x:v>
      </x:c>
      <x:c r="O518" s="149" t="n">
        <x:v>4</x:v>
      </x:c>
      <x:c r="P518" s="149" t="n">
        <x:f>IF('입력·근거'!$B$12="HIGH",O518,N518)</x:f>
        <x:v>4</x:v>
      </x:c>
      <x:c r="Q518" s="158" t="str"/>
      <x:c r="R518" s="161" t="str">
        <x:f>IF(Q518="","",P518*Q518)</x:f>
      </x:c>
      <x:c r="S518" s="146" t="str">
        <x:v>unpriced_source</x:v>
      </x:c>
    </x:row>
    <x:row r="519">
      <x:c r="A519" s="146" t="str">
        <x:v>SUPPLY OF 33KV LINE</x:v>
      </x:c>
      <x:c r="B519" s="146" t="n">
        <x:v>21</x:v>
      </x:c>
      <x:c r="C519" s="146" t="str">
        <x:v>33kV 전력인입</x:v>
      </x:c>
      <x:c r="D519" s="146" t="str">
        <x:v>전기·전력인입</x:v>
      </x:c>
      <x:c r="E519" s="146" t="str"/>
      <x:c r="F519" s="146" t="str"/>
      <x:c r="G519" s="146" t="str">
        <x:v>16</x:v>
      </x:c>
      <x:c r="H519" s="49" t="str">
        <x:v>DROP OUT FUSED ISOLATOR-33KV</x:v>
      </x:c>
      <x:c r="I519" s="146" t="str">
        <x:v>set</x:v>
      </x:c>
      <x:c r="J519" s="149" t="n">
        <x:v>1</x:v>
      </x:c>
      <x:c r="K519" s="146" t="str"/>
      <x:c r="L519" s="149" t="n">
        <x:v>1</x:v>
      </x:c>
      <x:c r="M519" s="149" t="n">
        <x:v>1</x:v>
      </x:c>
      <x:c r="N519" s="149" t="n">
        <x:v>1</x:v>
      </x:c>
      <x:c r="O519" s="149" t="n">
        <x:v>1</x:v>
      </x:c>
      <x:c r="P519" s="149" t="n">
        <x:f>IF('입력·근거'!$B$12="HIGH",O519,N519)</x:f>
        <x:v>1</x:v>
      </x:c>
      <x:c r="Q519" s="158" t="str"/>
      <x:c r="R519" s="161" t="str">
        <x:f>IF(Q519="","",P519*Q519)</x:f>
      </x:c>
      <x:c r="S519" s="146" t="str">
        <x:v>unpriced_source</x:v>
      </x:c>
    </x:row>
    <x:row r="520">
      <x:c r="A520" s="146" t="str">
        <x:v>SUPPLY OF 33KV LINE</x:v>
      </x:c>
      <x:c r="B520" s="146" t="n">
        <x:v>22</x:v>
      </x:c>
      <x:c r="C520" s="146" t="str">
        <x:v>33kV 전력인입</x:v>
      </x:c>
      <x:c r="D520" s="146" t="str">
        <x:v>전기·전력인입</x:v>
      </x:c>
      <x:c r="E520" s="146" t="str"/>
      <x:c r="F520" s="146" t="str"/>
      <x:c r="G520" s="146" t="str">
        <x:v>17</x:v>
      </x:c>
      <x:c r="H520" s="49" t="str">
        <x:v>PARALLEL MV GROOVE CLAMP -100MMSQ</x:v>
      </x:c>
      <x:c r="I520" s="146" t="str">
        <x:v>no.</x:v>
      </x:c>
      <x:c r="J520" s="149" t="n">
        <x:v>18</x:v>
      </x:c>
      <x:c r="K520" s="146" t="str"/>
      <x:c r="L520" s="149" t="n">
        <x:v>1</x:v>
      </x:c>
      <x:c r="M520" s="149" t="n">
        <x:v>1</x:v>
      </x:c>
      <x:c r="N520" s="149" t="n">
        <x:v>18</x:v>
      </x:c>
      <x:c r="O520" s="149" t="n">
        <x:v>18</x:v>
      </x:c>
      <x:c r="P520" s="149" t="n">
        <x:f>IF('입력·근거'!$B$12="HIGH",O520,N520)</x:f>
        <x:v>18</x:v>
      </x:c>
      <x:c r="Q520" s="158" t="str"/>
      <x:c r="R520" s="161" t="str">
        <x:f>IF(Q520="","",P520*Q520)</x:f>
      </x:c>
      <x:c r="S520" s="146" t="str">
        <x:v>unpriced_source</x:v>
      </x:c>
    </x:row>
    <x:row r="521">
      <x:c r="A521" s="146" t="str">
        <x:v>SUPPLY OF 33KV LINE</x:v>
      </x:c>
      <x:c r="B521" s="146" t="n">
        <x:v>23</x:v>
      </x:c>
      <x:c r="C521" s="146" t="str">
        <x:v>33kV 전력인입</x:v>
      </x:c>
      <x:c r="D521" s="146" t="str">
        <x:v>전기·전력인입</x:v>
      </x:c>
      <x:c r="E521" s="146" t="str"/>
      <x:c r="F521" s="146" t="str"/>
      <x:c r="G521" s="146" t="str">
        <x:v>18</x:v>
      </x:c>
      <x:c r="H521" s="49" t="str">
        <x:v>MV AAAC 100sqmm - CONDUCTOR</x:v>
      </x:c>
      <x:c r="I521" s="146" t="str">
        <x:v>m</x:v>
      </x:c>
      <x:c r="J521" s="149" t="n">
        <x:v>198.75</x:v>
      </x:c>
      <x:c r="K521" s="146" t="str">
        <x:v>=53*3*1.25</x:v>
      </x:c>
      <x:c r="L521" s="149" t="n">
        <x:v>1</x:v>
      </x:c>
      <x:c r="M521" s="149" t="n">
        <x:v>1</x:v>
      </x:c>
      <x:c r="N521" s="149" t="n">
        <x:v>198.75</x:v>
      </x:c>
      <x:c r="O521" s="149" t="n">
        <x:v>198.75</x:v>
      </x:c>
      <x:c r="P521" s="149" t="n">
        <x:f>IF('입력·근거'!$B$12="HIGH",O521,N521)</x:f>
        <x:v>198.75</x:v>
      </x:c>
      <x:c r="Q521" s="158" t="str"/>
      <x:c r="R521" s="161" t="str">
        <x:f>IF(Q521="","",P521*Q521)</x:f>
      </x:c>
      <x:c r="S521" s="146" t="str">
        <x:v>formula_quantity;unpriced_source</x:v>
      </x:c>
    </x:row>
    <x:row r="522">
      <x:c r="A522" s="146" t="str">
        <x:v>SUPPLY OF 33KV LINE</x:v>
      </x:c>
      <x:c r="B522" s="146" t="n">
        <x:v>24</x:v>
      </x:c>
      <x:c r="C522" s="146" t="str">
        <x:v>33kV 전력인입</x:v>
      </x:c>
      <x:c r="D522" s="146" t="str">
        <x:v>전기·전력인입</x:v>
      </x:c>
      <x:c r="E522" s="146" t="str"/>
      <x:c r="F522" s="146" t="str"/>
      <x:c r="G522" s="146" t="str">
        <x:v>19</x:v>
      </x:c>
      <x:c r="H522" s="49" t="str">
        <x:v>THREE-PHASE ABC 50sqmm</x:v>
      </x:c>
      <x:c r="I522" s="146" t="str">
        <x:v>m</x:v>
      </x:c>
      <x:c r="J522" s="149" t="n">
        <x:v>43.199999999999996</x:v>
      </x:c>
      <x:c r="K522" s="146" t="str">
        <x:v>=36*1.2</x:v>
      </x:c>
      <x:c r="L522" s="149" t="n">
        <x:v>1</x:v>
      </x:c>
      <x:c r="M522" s="149" t="n">
        <x:v>1</x:v>
      </x:c>
      <x:c r="N522" s="149" t="n">
        <x:v>43.199999999999996</x:v>
      </x:c>
      <x:c r="O522" s="149" t="n">
        <x:v>43.199999999999996</x:v>
      </x:c>
      <x:c r="P522" s="149" t="n">
        <x:f>IF('입력·근거'!$B$12="HIGH",O522,N522)</x:f>
        <x:v>43.199999999999996</x:v>
      </x:c>
      <x:c r="Q522" s="158" t="str"/>
      <x:c r="R522" s="161" t="str">
        <x:f>IF(Q522="","",P522*Q522)</x:f>
      </x:c>
      <x:c r="S522" s="146" t="str">
        <x:v>formula_quantity;unpriced_source</x:v>
      </x:c>
    </x:row>
    <x:row r="523">
      <x:c r="A523" s="146" t="str">
        <x:v>SUPPLY OF 33KV LINE</x:v>
      </x:c>
      <x:c r="B523" s="146" t="n">
        <x:v>25</x:v>
      </x:c>
      <x:c r="C523" s="146" t="str">
        <x:v>33kV 전력인입</x:v>
      </x:c>
      <x:c r="D523" s="146" t="str">
        <x:v>전기·전력인입</x:v>
      </x:c>
      <x:c r="E523" s="146" t="str"/>
      <x:c r="F523" s="146" t="str"/>
      <x:c r="G523" s="146" t="str">
        <x:v>20</x:v>
      </x:c>
      <x:c r="H523" s="49" t="str">
        <x:v>LV ABC CABLE ACCESSORIES</x:v>
      </x:c>
      <x:c r="I523" s="146" t="str">
        <x:v>no.</x:v>
      </x:c>
      <x:c r="J523" s="149" t="n">
        <x:v>1</x:v>
      </x:c>
      <x:c r="K523" s="146" t="str"/>
      <x:c r="L523" s="149" t="n">
        <x:v>1</x:v>
      </x:c>
      <x:c r="M523" s="149" t="n">
        <x:v>1</x:v>
      </x:c>
      <x:c r="N523" s="149" t="n">
        <x:v>1</x:v>
      </x:c>
      <x:c r="O523" s="149" t="n">
        <x:v>1</x:v>
      </x:c>
      <x:c r="P523" s="149" t="n">
        <x:f>IF('입력·근거'!$B$12="HIGH",O523,N523)</x:f>
        <x:v>1</x:v>
      </x:c>
      <x:c r="Q523" s="158" t="str"/>
      <x:c r="R523" s="161" t="str">
        <x:f>IF(Q523="","",P523*Q523)</x:f>
      </x:c>
      <x:c r="S523" s="146" t="str">
        <x:v>unpriced_source</x:v>
      </x:c>
    </x:row>
    <x:row r="524">
      <x:c r="A524" s="146" t="str">
        <x:v>SUPPLY OF 33KV LINE</x:v>
      </x:c>
      <x:c r="B524" s="146" t="n">
        <x:v>26</x:v>
      </x:c>
      <x:c r="C524" s="146" t="str">
        <x:v>33kV 전력인입</x:v>
      </x:c>
      <x:c r="D524" s="146" t="str">
        <x:v>전기·전력인입</x:v>
      </x:c>
      <x:c r="E524" s="146" t="str"/>
      <x:c r="F524" s="146" t="str"/>
      <x:c r="G524" s="146" t="str">
        <x:v>21</x:v>
      </x:c>
      <x:c r="H524" s="49" t="str">
        <x:v>LV STAY ASSEMBLY - COMPLETE</x:v>
      </x:c>
      <x:c r="I524" s="146" t="str">
        <x:v>no.</x:v>
      </x:c>
      <x:c r="J524" s="149" t="n">
        <x:v>1</x:v>
      </x:c>
      <x:c r="K524" s="146" t="str"/>
      <x:c r="L524" s="149" t="n">
        <x:v>1</x:v>
      </x:c>
      <x:c r="M524" s="149" t="n">
        <x:v>1</x:v>
      </x:c>
      <x:c r="N524" s="149" t="n">
        <x:v>1</x:v>
      </x:c>
      <x:c r="O524" s="149" t="n">
        <x:v>1</x:v>
      </x:c>
      <x:c r="P524" s="149" t="n">
        <x:f>IF('입력·근거'!$B$12="HIGH",O524,N524)</x:f>
        <x:v>1</x:v>
      </x:c>
      <x:c r="Q524" s="158" t="str"/>
      <x:c r="R524" s="161" t="str">
        <x:f>IF(Q524="","",P524*Q524)</x:f>
      </x:c>
      <x:c r="S524" s="146" t="str">
        <x:v>unpriced_source</x:v>
      </x:c>
    </x:row>
    <x:row r="525">
      <x:c r="A525" s="146" t="str">
        <x:v>SUPPLY OF 33KV LINE</x:v>
      </x:c>
      <x:c r="B525" s="146" t="n">
        <x:v>27</x:v>
      </x:c>
      <x:c r="C525" s="146" t="str">
        <x:v>33kV 전력인입</x:v>
      </x:c>
      <x:c r="D525" s="146" t="str">
        <x:v>전기·전력인입</x:v>
      </x:c>
      <x:c r="E525" s="146" t="str"/>
      <x:c r="F525" s="146" t="str"/>
      <x:c r="G525" s="146" t="str">
        <x:v>22</x:v>
      </x:c>
      <x:c r="H525" s="49" t="str">
        <x:v>UMEME 3 PHASE METER BOX</x:v>
      </x:c>
      <x:c r="I525" s="146" t="str">
        <x:v>no.</x:v>
      </x:c>
      <x:c r="J525" s="149" t="n">
        <x:v>1</x:v>
      </x:c>
      <x:c r="K525" s="146" t="str"/>
      <x:c r="L525" s="149" t="n">
        <x:v>1</x:v>
      </x:c>
      <x:c r="M525" s="149" t="n">
        <x:v>1</x:v>
      </x:c>
      <x:c r="N525" s="149" t="n">
        <x:v>1</x:v>
      </x:c>
      <x:c r="O525" s="149" t="n">
        <x:v>1</x:v>
      </x:c>
      <x:c r="P525" s="149" t="n">
        <x:f>IF('입력·근거'!$B$12="HIGH",O525,N525)</x:f>
        <x:v>1</x:v>
      </x:c>
      <x:c r="Q525" s="158" t="str"/>
      <x:c r="R525" s="161" t="str">
        <x:f>IF(Q525="","",P525*Q525)</x:f>
      </x:c>
      <x:c r="S525" s="146" t="str">
        <x:v>unpriced_source</x:v>
      </x:c>
    </x:row>
    <x:row r="526">
      <x:c r="A526" s="146" t="str">
        <x:v>SUPPLY OF 33KV LINE</x:v>
      </x:c>
      <x:c r="B526" s="146" t="n">
        <x:v>28</x:v>
      </x:c>
      <x:c r="C526" s="146" t="str">
        <x:v>33kV 전력인입</x:v>
      </x:c>
      <x:c r="D526" s="146" t="str">
        <x:v>전기·전력인입</x:v>
      </x:c>
      <x:c r="E526" s="146" t="str"/>
      <x:c r="F526" s="146" t="str"/>
      <x:c r="G526" s="146" t="str">
        <x:v>23</x:v>
      </x:c>
      <x:c r="H526" s="49" t="str">
        <x:v>33KV SURGE ARRESTORS</x:v>
      </x:c>
      <x:c r="I526" s="146" t="str">
        <x:v>set</x:v>
      </x:c>
      <x:c r="J526" s="149" t="n">
        <x:v>2</x:v>
      </x:c>
      <x:c r="K526" s="146" t="str"/>
      <x:c r="L526" s="149" t="n">
        <x:v>1</x:v>
      </x:c>
      <x:c r="M526" s="149" t="n">
        <x:v>1</x:v>
      </x:c>
      <x:c r="N526" s="149" t="n">
        <x:v>2</x:v>
      </x:c>
      <x:c r="O526" s="149" t="n">
        <x:v>2</x:v>
      </x:c>
      <x:c r="P526" s="149" t="n">
        <x:f>IF('입력·근거'!$B$12="HIGH",O526,N526)</x:f>
        <x:v>2</x:v>
      </x:c>
      <x:c r="Q526" s="158" t="str"/>
      <x:c r="R526" s="161" t="str">
        <x:f>IF(Q526="","",P526*Q526)</x:f>
      </x:c>
      <x:c r="S526" s="146" t="str">
        <x:v>unpriced_source</x:v>
      </x:c>
    </x:row>
    <x:row r="527">
      <x:c r="A527" s="146" t="str">
        <x:v>SUPPLY OF 33KV LINE</x:v>
      </x:c>
      <x:c r="B527" s="146" t="n">
        <x:v>29</x:v>
      </x:c>
      <x:c r="C527" s="146" t="str">
        <x:v>33kV 전력인입</x:v>
      </x:c>
      <x:c r="D527" s="146" t="str">
        <x:v>전기·전력인입</x:v>
      </x:c>
      <x:c r="E527" s="146" t="str"/>
      <x:c r="F527" s="146" t="str"/>
      <x:c r="G527" s="146" t="str">
        <x:v>24</x:v>
      </x:c>
      <x:c r="H527" s="49" t="str">
        <x:v>250A 3PHASE CIRCUIT BREAKER</x:v>
      </x:c>
      <x:c r="I527" s="146" t="str">
        <x:v>no.</x:v>
      </x:c>
      <x:c r="J527" s="149" t="n">
        <x:v>1</x:v>
      </x:c>
      <x:c r="K527" s="146" t="str"/>
      <x:c r="L527" s="149" t="n">
        <x:v>1</x:v>
      </x:c>
      <x:c r="M527" s="149" t="n">
        <x:v>1</x:v>
      </x:c>
      <x:c r="N527" s="149" t="n">
        <x:v>1</x:v>
      </x:c>
      <x:c r="O527" s="149" t="n">
        <x:v>1</x:v>
      </x:c>
      <x:c r="P527" s="149" t="n">
        <x:f>IF('입력·근거'!$B$12="HIGH",O527,N527)</x:f>
        <x:v>1</x:v>
      </x:c>
      <x:c r="Q527" s="158" t="str"/>
      <x:c r="R527" s="161" t="str">
        <x:f>IF(Q527="","",P527*Q527)</x:f>
      </x:c>
      <x:c r="S527" s="146" t="str">
        <x:v>unpriced_source</x:v>
      </x:c>
    </x:row>
    <x:row r="528">
      <x:c r="A528" s="146" t="str">
        <x:v>SUPPLY OF 33KV LINE</x:v>
      </x:c>
      <x:c r="B528" s="146" t="n">
        <x:v>30</x:v>
      </x:c>
      <x:c r="C528" s="146" t="str">
        <x:v>33kV 전력인입</x:v>
      </x:c>
      <x:c r="D528" s="146" t="str">
        <x:v>전기·전력인입</x:v>
      </x:c>
      <x:c r="E528" s="146" t="str"/>
      <x:c r="F528" s="146" t="str"/>
      <x:c r="G528" s="146" t="str">
        <x:v>25</x:v>
      </x:c>
      <x:c r="H528" s="49" t="str">
        <x:v>80A Single Pole CIRCUIT BREAKER</x:v>
      </x:c>
      <x:c r="I528" s="146" t="str">
        <x:v>no.</x:v>
      </x:c>
      <x:c r="J528" s="149" t="n">
        <x:v>3</x:v>
      </x:c>
      <x:c r="K528" s="146" t="str"/>
      <x:c r="L528" s="149" t="n">
        <x:v>1</x:v>
      </x:c>
      <x:c r="M528" s="149" t="n">
        <x:v>1</x:v>
      </x:c>
      <x:c r="N528" s="149" t="n">
        <x:v>3</x:v>
      </x:c>
      <x:c r="O528" s="149" t="n">
        <x:v>3</x:v>
      </x:c>
      <x:c r="P528" s="149" t="n">
        <x:f>IF('입력·근거'!$B$12="HIGH",O528,N528)</x:f>
        <x:v>3</x:v>
      </x:c>
      <x:c r="Q528" s="158" t="str"/>
      <x:c r="R528" s="161" t="str">
        <x:f>IF(Q528="","",P528*Q528)</x:f>
      </x:c>
      <x:c r="S528" s="146" t="str">
        <x:v>unpriced_source</x:v>
      </x:c>
    </x:row>
    <x:row r="529">
      <x:c r="A529" s="146" t="str">
        <x:v>SUPPLY OF 33KV LINE</x:v>
      </x:c>
      <x:c r="B529" s="146" t="n">
        <x:v>31</x:v>
      </x:c>
      <x:c r="C529" s="146" t="str">
        <x:v>33kV 전력인입</x:v>
      </x:c>
      <x:c r="D529" s="146" t="str">
        <x:v>전기·전력인입</x:v>
      </x:c>
      <x:c r="E529" s="146" t="str"/>
      <x:c r="F529" s="146" t="str"/>
      <x:c r="G529" s="146" t="str">
        <x:v>26</x:v>
      </x:c>
      <x:c r="H529" s="49" t="str">
        <x:v>315KVA, 33KV/LV TRANSFORMER 3PHASE</x:v>
      </x:c>
      <x:c r="I529" s="146" t="str">
        <x:v>no.</x:v>
      </x:c>
      <x:c r="J529" s="149" t="n">
        <x:v>1</x:v>
      </x:c>
      <x:c r="K529" s="146" t="str"/>
      <x:c r="L529" s="149" t="n">
        <x:v>1</x:v>
      </x:c>
      <x:c r="M529" s="149" t="n">
        <x:v>1</x:v>
      </x:c>
      <x:c r="N529" s="149" t="n">
        <x:v>1</x:v>
      </x:c>
      <x:c r="O529" s="149" t="n">
        <x:v>1</x:v>
      </x:c>
      <x:c r="P529" s="149" t="n">
        <x:f>IF('입력·근거'!$B$12="HIGH",O529,N529)</x:f>
        <x:v>1</x:v>
      </x:c>
      <x:c r="Q529" s="158" t="str"/>
      <x:c r="R529" s="161" t="str">
        <x:f>IF(Q529="","",P529*Q529)</x:f>
      </x:c>
      <x:c r="S529" s="146" t="str">
        <x:v>unpriced_source</x:v>
      </x:c>
    </x:row>
    <x:row r="530">
      <x:c r="A530" s="146" t="str">
        <x:v>SUPPLY OF 33KV LINE</x:v>
      </x:c>
      <x:c r="B530" s="146" t="n">
        <x:v>32</x:v>
      </x:c>
      <x:c r="C530" s="146" t="str">
        <x:v>33kV 전력인입</x:v>
      </x:c>
      <x:c r="D530" s="146" t="str">
        <x:v>전기·전력인입</x:v>
      </x:c>
      <x:c r="E530" s="146" t="str"/>
      <x:c r="F530" s="146" t="str"/>
      <x:c r="G530" s="146" t="str">
        <x:v>27</x:v>
      </x:c>
      <x:c r="H530" s="49" t="str">
        <x:v>TRANSFORMER TESTING AND LABELLING</x:v>
      </x:c>
      <x:c r="I530" s="146" t="str">
        <x:v>item</x:v>
      </x:c>
      <x:c r="J530" s="149" t="n">
        <x:v>1</x:v>
      </x:c>
      <x:c r="K530" s="146" t="str"/>
      <x:c r="L530" s="149" t="n">
        <x:v>1</x:v>
      </x:c>
      <x:c r="M530" s="149" t="n">
        <x:v>1</x:v>
      </x:c>
      <x:c r="N530" s="149" t="n">
        <x:v>1</x:v>
      </x:c>
      <x:c r="O530" s="149" t="n">
        <x:v>1</x:v>
      </x:c>
      <x:c r="P530" s="149" t="n">
        <x:f>IF('입력·근거'!$B$12="HIGH",O530,N530)</x:f>
        <x:v>1</x:v>
      </x:c>
      <x:c r="Q530" s="158" t="str"/>
      <x:c r="R530" s="161" t="str">
        <x:f>IF(Q530="","",P530*Q530)</x:f>
      </x:c>
      <x:c r="S530" s="146" t="str">
        <x:v>unpriced_source</x:v>
      </x:c>
    </x:row>
    <x:row r="531">
      <x:c r="A531" s="146" t="str">
        <x:v>SUPPLY OF 33KV LINE</x:v>
      </x:c>
      <x:c r="B531" s="146" t="n">
        <x:v>33</x:v>
      </x:c>
      <x:c r="C531" s="146" t="str">
        <x:v>33kV 전력인입</x:v>
      </x:c>
      <x:c r="D531" s="146" t="str">
        <x:v>전기·전력인입</x:v>
      </x:c>
      <x:c r="E531" s="146" t="str"/>
      <x:c r="F531" s="146" t="str"/>
      <x:c r="G531" s="146" t="str">
        <x:v>28</x:v>
      </x:c>
      <x:c r="H531" s="49" t="str">
        <x:v>TRANSFORMER PLATFORM - COMPLETE</x:v>
      </x:c>
      <x:c r="I531" s="146" t="str">
        <x:v>set</x:v>
      </x:c>
      <x:c r="J531" s="149" t="n">
        <x:v>1</x:v>
      </x:c>
      <x:c r="K531" s="146" t="str"/>
      <x:c r="L531" s="149" t="n">
        <x:v>1</x:v>
      </x:c>
      <x:c r="M531" s="149" t="n">
        <x:v>1</x:v>
      </x:c>
      <x:c r="N531" s="149" t="n">
        <x:v>1</x:v>
      </x:c>
      <x:c r="O531" s="149" t="n">
        <x:v>1</x:v>
      </x:c>
      <x:c r="P531" s="149" t="n">
        <x:f>IF('입력·근거'!$B$12="HIGH",O531,N531)</x:f>
        <x:v>1</x:v>
      </x:c>
      <x:c r="Q531" s="158" t="str"/>
      <x:c r="R531" s="161" t="str">
        <x:f>IF(Q531="","",P531*Q531)</x:f>
      </x:c>
      <x:c r="S531" s="146" t="str">
        <x:v>unpriced_source</x:v>
      </x:c>
    </x:row>
    <x:row r="532">
      <x:c r="A532" s="146" t="str">
        <x:v>SUPPLY OF 33KV LINE</x:v>
      </x:c>
      <x:c r="B532" s="146" t="n">
        <x:v>34</x:v>
      </x:c>
      <x:c r="C532" s="146" t="str">
        <x:v>33kV 전력인입</x:v>
      </x:c>
      <x:c r="D532" s="146" t="str">
        <x:v>전기·전력인입</x:v>
      </x:c>
      <x:c r="E532" s="146" t="str"/>
      <x:c r="F532" s="146" t="str"/>
      <x:c r="G532" s="146" t="str">
        <x:v>29</x:v>
      </x:c>
      <x:c r="H532" s="49" t="str">
        <x:v>KVA Umeme Meter - 400/5A</x:v>
      </x:c>
      <x:c r="I532" s="146" t="str">
        <x:v>item</x:v>
      </x:c>
      <x:c r="J532" s="149" t="n">
        <x:v>1</x:v>
      </x:c>
      <x:c r="K532" s="146" t="str"/>
      <x:c r="L532" s="149" t="n">
        <x:v>1</x:v>
      </x:c>
      <x:c r="M532" s="149" t="n">
        <x:v>1</x:v>
      </x:c>
      <x:c r="N532" s="149" t="n">
        <x:v>1</x:v>
      </x:c>
      <x:c r="O532" s="149" t="n">
        <x:v>1</x:v>
      </x:c>
      <x:c r="P532" s="149" t="n">
        <x:f>IF('입력·근거'!$B$12="HIGH",O532,N532)</x:f>
        <x:v>1</x:v>
      </x:c>
      <x:c r="Q532" s="158" t="str"/>
      <x:c r="R532" s="161" t="str">
        <x:f>IF(Q532="","",P532*Q532)</x:f>
      </x:c>
      <x:c r="S532" s="146" t="str">
        <x:v>unpriced_source</x:v>
      </x:c>
    </x:row>
    <x:row r="533">
      <x:c r="A533" s="146" t="str">
        <x:v>SUPPLY OF 33KV LINE</x:v>
      </x:c>
      <x:c r="B533" s="146" t="n">
        <x:v>35</x:v>
      </x:c>
      <x:c r="C533" s="146" t="str">
        <x:v>33kV 전력인입</x:v>
      </x:c>
      <x:c r="D533" s="146" t="str">
        <x:v>전기·전력인입</x:v>
      </x:c>
      <x:c r="E533" s="146" t="str"/>
      <x:c r="F533" s="146" t="str"/>
      <x:c r="G533" s="146" t="str">
        <x:v>30</x:v>
      </x:c>
      <x:c r="H533" s="49" t="str">
        <x:v>120mmsq LV 4 Core UG Cable</x:v>
      </x:c>
      <x:c r="I533" s="146" t="str">
        <x:v>m</x:v>
      </x:c>
      <x:c r="J533" s="149" t="n">
        <x:v>28</x:v>
      </x:c>
      <x:c r="K533" s="146" t="str"/>
      <x:c r="L533" s="149" t="n">
        <x:v>1</x:v>
      </x:c>
      <x:c r="M533" s="149" t="n">
        <x:v>1</x:v>
      </x:c>
      <x:c r="N533" s="149" t="n">
        <x:v>28</x:v>
      </x:c>
      <x:c r="O533" s="149" t="n">
        <x:v>28</x:v>
      </x:c>
      <x:c r="P533" s="149" t="n">
        <x:f>IF('입력·근거'!$B$12="HIGH",O533,N533)</x:f>
        <x:v>28</x:v>
      </x:c>
      <x:c r="Q533" s="158" t="str"/>
      <x:c r="R533" s="161" t="str">
        <x:f>IF(Q533="","",P533*Q533)</x:f>
      </x:c>
      <x:c r="S533" s="146" t="str">
        <x:v>unpriced_source</x:v>
      </x:c>
    </x:row>
    <x:row r="534">
      <x:c r="A534" s="146" t="str">
        <x:v>SUPPLY OF 33KV LINE</x:v>
      </x:c>
      <x:c r="B534" s="146" t="n">
        <x:v>36</x:v>
      </x:c>
      <x:c r="C534" s="146" t="str">
        <x:v>33kV 전력인입</x:v>
      </x:c>
      <x:c r="D534" s="146" t="str">
        <x:v>전기·전력인입</x:v>
      </x:c>
      <x:c r="E534" s="146" t="str"/>
      <x:c r="F534" s="146" t="str"/>
      <x:c r="G534" s="146" t="str">
        <x:v>31</x:v>
      </x:c>
      <x:c r="H534" s="49" t="str">
        <x:v>TRANSFORMER WIRING - 120sqmm PVC Insulated Cable</x:v>
      </x:c>
      <x:c r="I534" s="146" t="str">
        <x:v>m</x:v>
      </x:c>
      <x:c r="J534" s="149" t="n">
        <x:v>30</x:v>
      </x:c>
      <x:c r="K534" s="146" t="str"/>
      <x:c r="L534" s="149" t="n">
        <x:v>1</x:v>
      </x:c>
      <x:c r="M534" s="149" t="n">
        <x:v>1</x:v>
      </x:c>
      <x:c r="N534" s="149" t="n">
        <x:v>30</x:v>
      </x:c>
      <x:c r="O534" s="149" t="n">
        <x:v>30</x:v>
      </x:c>
      <x:c r="P534" s="149" t="n">
        <x:f>IF('입력·근거'!$B$12="HIGH",O534,N534)</x:f>
        <x:v>30</x:v>
      </x:c>
      <x:c r="Q534" s="158" t="str"/>
      <x:c r="R534" s="161" t="str">
        <x:f>IF(Q534="","",P534*Q534)</x:f>
      </x:c>
      <x:c r="S534" s="146" t="str">
        <x:v>unpriced_source</x:v>
      </x:c>
    </x:row>
    <x:row r="535">
      <x:c r="A535" s="146" t="str">
        <x:v>SUPPLY OF 33KV LINE</x:v>
      </x:c>
      <x:c r="B535" s="146" t="n">
        <x:v>37</x:v>
      </x:c>
      <x:c r="C535" s="146" t="str">
        <x:v>33kV 전력인입</x:v>
      </x:c>
      <x:c r="D535" s="146" t="str">
        <x:v>전기·전력인입</x:v>
      </x:c>
      <x:c r="E535" s="146" t="str"/>
      <x:c r="F535" s="146" t="str"/>
      <x:c r="G535" s="146" t="str">
        <x:v>32</x:v>
      </x:c>
      <x:c r="H535" s="49" t="str">
        <x:v>Cable Terminations - 95sqmm</x:v>
      </x:c>
      <x:c r="I535" s="146" t="str">
        <x:v>set</x:v>
      </x:c>
      <x:c r="J535" s="149" t="n">
        <x:v>2</x:v>
      </x:c>
      <x:c r="K535" s="146" t="str"/>
      <x:c r="L535" s="149" t="n">
        <x:v>1</x:v>
      </x:c>
      <x:c r="M535" s="149" t="n">
        <x:v>1</x:v>
      </x:c>
      <x:c r="N535" s="149" t="n">
        <x:v>2</x:v>
      </x:c>
      <x:c r="O535" s="149" t="n">
        <x:v>2</x:v>
      </x:c>
      <x:c r="P535" s="149" t="n">
        <x:f>IF('입력·근거'!$B$12="HIGH",O535,N535)</x:f>
        <x:v>2</x:v>
      </x:c>
      <x:c r="Q535" s="158" t="str"/>
      <x:c r="R535" s="161" t="str">
        <x:f>IF(Q535="","",P535*Q535)</x:f>
      </x:c>
      <x:c r="S535" s="146" t="str">
        <x:v>unpriced_source</x:v>
      </x:c>
    </x:row>
    <x:row r="536">
      <x:c r="A536" s="146" t="str">
        <x:v>SUPPLY OF 33KV LINE</x:v>
      </x:c>
      <x:c r="B536" s="146" t="n">
        <x:v>38</x:v>
      </x:c>
      <x:c r="C536" s="146" t="str">
        <x:v>33kV 전력인입</x:v>
      </x:c>
      <x:c r="D536" s="146" t="str">
        <x:v>전기·전력인입</x:v>
      </x:c>
      <x:c r="E536" s="146" t="str"/>
      <x:c r="F536" s="146" t="str"/>
      <x:c r="G536" s="146" t="str">
        <x:v>33</x:v>
      </x:c>
      <x:c r="H536" s="49" t="str">
        <x:v>Cable Bracket</x:v>
      </x:c>
      <x:c r="I536" s="146" t="str">
        <x:v>no.</x:v>
      </x:c>
      <x:c r="J536" s="149" t="n">
        <x:v>1</x:v>
      </x:c>
      <x:c r="K536" s="146" t="str"/>
      <x:c r="L536" s="149" t="n">
        <x:v>1</x:v>
      </x:c>
      <x:c r="M536" s="149" t="n">
        <x:v>1</x:v>
      </x:c>
      <x:c r="N536" s="149" t="n">
        <x:v>1</x:v>
      </x:c>
      <x:c r="O536" s="149" t="n">
        <x:v>1</x:v>
      </x:c>
      <x:c r="P536" s="149" t="n">
        <x:f>IF('입력·근거'!$B$12="HIGH",O536,N536)</x:f>
        <x:v>1</x:v>
      </x:c>
      <x:c r="Q536" s="158" t="str"/>
      <x:c r="R536" s="161" t="str">
        <x:f>IF(Q536="","",P536*Q536)</x:f>
      </x:c>
      <x:c r="S536" s="146" t="str">
        <x:v>unpriced_source</x:v>
      </x:c>
    </x:row>
    <x:row r="537">
      <x:c r="A537" s="146" t="str">
        <x:v>SUPPLY OF 33KV LINE</x:v>
      </x:c>
      <x:c r="B537" s="146" t="n">
        <x:v>39</x:v>
      </x:c>
      <x:c r="C537" s="146" t="str">
        <x:v>33kV 전력인입</x:v>
      </x:c>
      <x:c r="D537" s="146" t="str">
        <x:v>전기·전력인입</x:v>
      </x:c>
      <x:c r="E537" s="146" t="str"/>
      <x:c r="F537" s="146" t="str"/>
      <x:c r="G537" s="146" t="str">
        <x:v>34</x:v>
      </x:c>
      <x:c r="H537" s="49" t="str">
        <x:v>CABLE LUGS 120sqmm BIMETAL</x:v>
      </x:c>
      <x:c r="I537" s="146" t="str">
        <x:v>no.</x:v>
      </x:c>
      <x:c r="J537" s="149" t="n">
        <x:v>12</x:v>
      </x:c>
      <x:c r="K537" s="146" t="str"/>
      <x:c r="L537" s="149" t="n">
        <x:v>1</x:v>
      </x:c>
      <x:c r="M537" s="149" t="n">
        <x:v>1</x:v>
      </x:c>
      <x:c r="N537" s="149" t="n">
        <x:v>12</x:v>
      </x:c>
      <x:c r="O537" s="149" t="n">
        <x:v>12</x:v>
      </x:c>
      <x:c r="P537" s="149" t="n">
        <x:f>IF('입력·근거'!$B$12="HIGH",O537,N537)</x:f>
        <x:v>12</x:v>
      </x:c>
      <x:c r="Q537" s="158" t="str"/>
      <x:c r="R537" s="161" t="str">
        <x:f>IF(Q537="","",P537*Q537)</x:f>
      </x:c>
      <x:c r="S537" s="146" t="str">
        <x:v>unpriced_source</x:v>
      </x:c>
    </x:row>
    <x:row r="538">
      <x:c r="A538" s="146" t="str">
        <x:v>SUPPLY OF 33KV LINE</x:v>
      </x:c>
      <x:c r="B538" s="146" t="n">
        <x:v>40</x:v>
      </x:c>
      <x:c r="C538" s="146" t="str">
        <x:v>33kV 전력인입</x:v>
      </x:c>
      <x:c r="D538" s="146" t="str">
        <x:v>전기·전력인입</x:v>
      </x:c>
      <x:c r="E538" s="146" t="str"/>
      <x:c r="F538" s="146" t="str"/>
      <x:c r="G538" s="146" t="str">
        <x:v>35</x:v>
      </x:c>
      <x:c r="H538" s="49" t="str">
        <x:v>CABLE LUGS 100sqmm BIMETAL</x:v>
      </x:c>
      <x:c r="I538" s="146" t="str">
        <x:v>no.</x:v>
      </x:c>
      <x:c r="J538" s="149" t="n">
        <x:v>3</x:v>
      </x:c>
      <x:c r="K538" s="146" t="str"/>
      <x:c r="L538" s="149" t="n">
        <x:v>1</x:v>
      </x:c>
      <x:c r="M538" s="149" t="n">
        <x:v>1</x:v>
      </x:c>
      <x:c r="N538" s="149" t="n">
        <x:v>3</x:v>
      </x:c>
      <x:c r="O538" s="149" t="n">
        <x:v>3</x:v>
      </x:c>
      <x:c r="P538" s="149" t="n">
        <x:f>IF('입력·근거'!$B$12="HIGH",O538,N538)</x:f>
        <x:v>3</x:v>
      </x:c>
      <x:c r="Q538" s="158" t="str"/>
      <x:c r="R538" s="161" t="str">
        <x:f>IF(Q538="","",P538*Q538)</x:f>
      </x:c>
      <x:c r="S538" s="146" t="str">
        <x:v>unpriced_source</x:v>
      </x:c>
    </x:row>
    <x:row r="539">
      <x:c r="A539" s="146" t="str">
        <x:v>SUPPLY OF 33KV LINE</x:v>
      </x:c>
      <x:c r="B539" s="146" t="n">
        <x:v>41</x:v>
      </x:c>
      <x:c r="C539" s="146" t="str">
        <x:v>33kV 전력인입</x:v>
      </x:c>
      <x:c r="D539" s="146" t="str">
        <x:v>전기·전력인입</x:v>
      </x:c>
      <x:c r="E539" s="146" t="str"/>
      <x:c r="F539" s="146" t="str"/>
      <x:c r="G539" s="146" t="str">
        <x:v>36</x:v>
      </x:c>
      <x:c r="H539" s="49" t="str">
        <x:v>CABLE LUGS 95sqmm CU</x:v>
      </x:c>
      <x:c r="I539" s="146" t="str">
        <x:v>no.</x:v>
      </x:c>
      <x:c r="J539" s="149" t="n">
        <x:v>6</x:v>
      </x:c>
      <x:c r="K539" s="146" t="str"/>
      <x:c r="L539" s="149" t="n">
        <x:v>1</x:v>
      </x:c>
      <x:c r="M539" s="149" t="n">
        <x:v>1</x:v>
      </x:c>
      <x:c r="N539" s="149" t="n">
        <x:v>6</x:v>
      </x:c>
      <x:c r="O539" s="149" t="n">
        <x:v>6</x:v>
      </x:c>
      <x:c r="P539" s="149" t="n">
        <x:f>IF('입력·근거'!$B$12="HIGH",O539,N539)</x:f>
        <x:v>6</x:v>
      </x:c>
      <x:c r="Q539" s="158" t="str"/>
      <x:c r="R539" s="161" t="str">
        <x:f>IF(Q539="","",P539*Q539)</x:f>
      </x:c>
      <x:c r="S539" s="146" t="str">
        <x:v>unpriced_source</x:v>
      </x:c>
    </x:row>
    <x:row r="540">
      <x:c r="A540" s="146" t="str">
        <x:v>SUPPLY OF 33KV LINE</x:v>
      </x:c>
      <x:c r="B540" s="146" t="n">
        <x:v>42</x:v>
      </x:c>
      <x:c r="C540" s="146" t="str">
        <x:v>33kV 전력인입</x:v>
      </x:c>
      <x:c r="D540" s="146" t="str">
        <x:v>전기·전력인입</x:v>
      </x:c>
      <x:c r="E540" s="146" t="str"/>
      <x:c r="F540" s="146" t="str"/>
      <x:c r="G540" s="146" t="str">
        <x:v>37</x:v>
      </x:c>
      <x:c r="H540" s="49" t="str">
        <x:v>INSULATED LUG for ABC 70sqmm</x:v>
      </x:c>
      <x:c r="I540" s="146" t="str">
        <x:v>no.</x:v>
      </x:c>
      <x:c r="J540" s="149" t="n">
        <x:v>4</x:v>
      </x:c>
      <x:c r="K540" s="146" t="str"/>
      <x:c r="L540" s="149" t="n">
        <x:v>1</x:v>
      </x:c>
      <x:c r="M540" s="149" t="n">
        <x:v>1</x:v>
      </x:c>
      <x:c r="N540" s="149" t="n">
        <x:v>4</x:v>
      </x:c>
      <x:c r="O540" s="149" t="n">
        <x:v>4</x:v>
      </x:c>
      <x:c r="P540" s="149" t="n">
        <x:f>IF('입력·근거'!$B$12="HIGH",O540,N540)</x:f>
        <x:v>4</x:v>
      </x:c>
      <x:c r="Q540" s="158" t="str"/>
      <x:c r="R540" s="161" t="str">
        <x:f>IF(Q540="","",P540*Q540)</x:f>
      </x:c>
      <x:c r="S540" s="146" t="str">
        <x:v>unpriced_source</x:v>
      </x:c>
    </x:row>
    <x:row r="541">
      <x:c r="A541" s="146" t="str">
        <x:v>SUPPLY OF 33KV LINE</x:v>
      </x:c>
      <x:c r="B541" s="146" t="n">
        <x:v>43</x:v>
      </x:c>
      <x:c r="C541" s="146" t="str">
        <x:v>33kV 전력인입</x:v>
      </x:c>
      <x:c r="D541" s="146" t="str">
        <x:v>전기·전력인입</x:v>
      </x:c>
      <x:c r="E541" s="146" t="str"/>
      <x:c r="F541" s="146" t="str"/>
      <x:c r="G541" s="146" t="str">
        <x:v>38</x:v>
      </x:c>
      <x:c r="H541" s="49" t="str">
        <x:v>EARTHING DETAILS-EARTH RODS, EARTHWIRE AND CARBONATE</x:v>
      </x:c>
      <x:c r="I541" s="146" t="str">
        <x:v>item</x:v>
      </x:c>
      <x:c r="J541" s="149" t="n">
        <x:v>2</x:v>
      </x:c>
      <x:c r="K541" s="146" t="str"/>
      <x:c r="L541" s="149" t="n">
        <x:v>1</x:v>
      </x:c>
      <x:c r="M541" s="149" t="n">
        <x:v>1</x:v>
      </x:c>
      <x:c r="N541" s="149" t="n">
        <x:v>2</x:v>
      </x:c>
      <x:c r="O541" s="149" t="n">
        <x:v>2</x:v>
      </x:c>
      <x:c r="P541" s="149" t="n">
        <x:f>IF('입력·근거'!$B$12="HIGH",O541,N541)</x:f>
        <x:v>2</x:v>
      </x:c>
      <x:c r="Q541" s="158" t="str"/>
      <x:c r="R541" s="161" t="str">
        <x:f>IF(Q541="","",P541*Q541)</x:f>
      </x:c>
      <x:c r="S541" s="146" t="str">
        <x:v>unpriced_source</x:v>
      </x:c>
    </x:row>
    <x:row r="542">
      <x:c r="A542" s="146" t="str">
        <x:v>SUPPLY OF 33KV LINE</x:v>
      </x:c>
      <x:c r="B542" s="146" t="n">
        <x:v>44</x:v>
      </x:c>
      <x:c r="C542" s="146" t="str">
        <x:v>33kV 전력인입</x:v>
      </x:c>
      <x:c r="D542" s="146" t="str">
        <x:v>전기·전력인입</x:v>
      </x:c>
      <x:c r="E542" s="146" t="str"/>
      <x:c r="F542" s="146" t="str"/>
      <x:c r="G542" s="146" t="str">
        <x:v>39</x:v>
      </x:c>
      <x:c r="H542" s="49" t="str">
        <x:v>DANGER SIGN PLATE</x:v>
      </x:c>
      <x:c r="I542" s="146" t="str">
        <x:v>no.</x:v>
      </x:c>
      <x:c r="J542" s="149" t="n">
        <x:v>5</x:v>
      </x:c>
      <x:c r="K542" s="146" t="str">
        <x:v>=E6+E7+E8</x:v>
      </x:c>
      <x:c r="L542" s="149" t="n">
        <x:v>1</x:v>
      </x:c>
      <x:c r="M542" s="149" t="n">
        <x:v>1</x:v>
      </x:c>
      <x:c r="N542" s="149" t="n">
        <x:v>5</x:v>
      </x:c>
      <x:c r="O542" s="149" t="n">
        <x:v>5</x:v>
      </x:c>
      <x:c r="P542" s="149" t="n">
        <x:f>IF('입력·근거'!$B$12="HIGH",O542,N542)</x:f>
        <x:v>5</x:v>
      </x:c>
      <x:c r="Q542" s="158" t="str"/>
      <x:c r="R542" s="161" t="str">
        <x:f>IF(Q542="","",P542*Q542)</x:f>
      </x:c>
      <x:c r="S542" s="146" t="str">
        <x:v>formula_quantity;unpriced_source</x:v>
      </x:c>
    </x:row>
    <x:row r="543">
      <x:c r="A543" s="146" t="str">
        <x:v>SUPPLY OF 33KV LINE</x:v>
      </x:c>
      <x:c r="B543" s="146" t="n">
        <x:v>45</x:v>
      </x:c>
      <x:c r="C543" s="146" t="str">
        <x:v>33kV 전력인입</x:v>
      </x:c>
      <x:c r="D543" s="146" t="str">
        <x:v>전기·전력인입</x:v>
      </x:c>
      <x:c r="E543" s="146" t="str"/>
      <x:c r="F543" s="146" t="str"/>
      <x:c r="G543" s="146" t="str">
        <x:v>40</x:v>
      </x:c>
      <x:c r="H543" s="49" t="str">
        <x:v>POLE CAP</x:v>
      </x:c>
      <x:c r="I543" s="146" t="str">
        <x:v>no.</x:v>
      </x:c>
      <x:c r="J543" s="149" t="n">
        <x:v>5</x:v>
      </x:c>
      <x:c r="K543" s="146" t="str">
        <x:v>=E6+E7+E8</x:v>
      </x:c>
      <x:c r="L543" s="149" t="n">
        <x:v>1</x:v>
      </x:c>
      <x:c r="M543" s="149" t="n">
        <x:v>1</x:v>
      </x:c>
      <x:c r="N543" s="149" t="n">
        <x:v>5</x:v>
      </x:c>
      <x:c r="O543" s="149" t="n">
        <x:v>5</x:v>
      </x:c>
      <x:c r="P543" s="149" t="n">
        <x:f>IF('입력·근거'!$B$12="HIGH",O543,N543)</x:f>
        <x:v>5</x:v>
      </x:c>
      <x:c r="Q543" s="158" t="str"/>
      <x:c r="R543" s="161" t="str">
        <x:f>IF(Q543="","",P543*Q543)</x:f>
      </x:c>
      <x:c r="S543" s="146" t="str">
        <x:v>formula_quantity;unpriced_source</x:v>
      </x:c>
    </x:row>
    <x:row r="544">
      <x:c r="A544" s="147" t="str">
        <x:v>SUPPLY OF 33KV LINE</x:v>
      </x:c>
      <x:c r="B544" s="147" t="n">
        <x:v>46</x:v>
      </x:c>
      <x:c r="C544" s="147" t="str">
        <x:v>33kV 전력인입</x:v>
      </x:c>
      <x:c r="D544" s="147" t="str">
        <x:v>전기·전력인입</x:v>
      </x:c>
      <x:c r="E544" s="147" t="str"/>
      <x:c r="F544" s="147" t="str"/>
      <x:c r="G544" s="147" t="str">
        <x:v>41</x:v>
      </x:c>
      <x:c r="H544" s="50" t="str">
        <x:v>INSPECTION AND COMMISSIONNG,SURVEY WORKS &amp; UMEME DOCUMENTATION</x:v>
      </x:c>
      <x:c r="I544" s="147" t="str">
        <x:v>item</x:v>
      </x:c>
      <x:c r="J544" s="150" t="n">
        <x:v>1</x:v>
      </x:c>
      <x:c r="K544" s="147" t="str"/>
      <x:c r="L544" s="150" t="n">
        <x:v>1</x:v>
      </x:c>
      <x:c r="M544" s="150" t="n">
        <x:v>1</x:v>
      </x:c>
      <x:c r="N544" s="150" t="n">
        <x:v>1</x:v>
      </x:c>
      <x:c r="O544" s="150" t="n">
        <x:v>1</x:v>
      </x:c>
      <x:c r="P544" s="150" t="n">
        <x:f>IF('입력·근거'!$B$12="HIGH",O544,N544)</x:f>
        <x:v>1</x:v>
      </x:c>
      <x:c r="Q544" s="159" t="str"/>
      <x:c r="R544" s="162" t="str">
        <x:f>IF(Q544="","",P544*Q544)</x:f>
      </x:c>
      <x:c r="S544" s="147" t="str">
        <x:v>unpriced_source</x:v>
      </x:c>
    </x:row>
  </x:sheetData>
  <x:mergeCells>
    <x:mergeCell ref="A1:S1"/>
    <x:mergeCell ref="A2:S2"/>
  </x:mergeCells>
  <x:conditionalFormatting sqref="P5:P544">
    <x:cfRule type="cellIs" dxfId="1" priority="1" operator="equal">
      <x:formula>0</x:formula>
    </x:cfRule>
  </x:conditionalFormatting>
  <x:conditionalFormatting sqref="S5:S544">
    <x:cfRule type="containsText" dxfId="2" priority="2" operator="containsText" text="scope_multiplier_conflict"/>
  </x:conditionalFormatting>
  <x:pageMargins left="0.7" right="0.7" top="0.75" bottom="0.75" header="0.3" footer="0.3"/>
  <x:tableParts count="1">
    <x:tablePart xmlns:r="http://schemas.openxmlformats.org/officeDocument/2006/relationships" r:id="Red42453364b0483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44" hidden="0" customWidth="1"/>
    <x:col min="4" max="4" width="56" hidden="0" customWidth="1"/>
    <x:col min="5" max="5" width="17" hidden="0" customWidth="1"/>
    <x:col min="6" max="6" width="14" hidden="0" customWidth="1"/>
    <x:col min="7" max="7" width="17" hidden="0" customWidth="1"/>
    <x:col min="8" max="8" width="18" hidden="0" customWidth="1"/>
    <x:col min="9" max="9" width="31" hidden="0" customWidth="1"/>
    <x:col min="10" max="10" width="31" hidden="0" customWidth="1"/>
    <x:col min="11" max="11" width="42" hidden="0" customWidth="1"/>
  </x:cols>
  <x:sheetData>
    <x:row r="1" ht="34" customHeight="1">
      <x:c r="A1" s="3" t="str">
        <x:v>KOICA 공식 공개데이터 추가후보</x:v>
      </x:c>
    </x:row>
    <x:row r="2" ht="36" customHeight="1">
      <x:c r="A2" s="7" t="str">
        <x:v>연간발주계획·원조조달계약·국별사업보고서만 사용했습니다. 계획 한도액을 계약가나 준공가로 해석하지 않습니다.</x:v>
      </x:c>
    </x:row>
    <x:row r="4" ht="30" customHeight="1">
      <x:c r="A4" s="13" t="str">
        <x:v>사업번호</x:v>
      </x:c>
      <x:c r="B4" s="13" t="str">
        <x:v>국가</x:v>
      </x:c>
      <x:c r="C4" s="13" t="str">
        <x:v>사업·발주명</x:v>
      </x:c>
      <x:c r="D4" s="13" t="str">
        <x:v>공사범위</x:v>
      </x:c>
      <x:c r="E4" s="13" t="str">
        <x:v>한도액 KRW</x:v>
      </x:c>
      <x:c r="F4" s="13" t="str">
        <x:v>연면적 ㎡</x:v>
      </x:c>
      <x:c r="G4" s="13" t="str">
        <x:v>원시 한도/㎡</x:v>
      </x:c>
      <x:c r="H4" s="13" t="str">
        <x:v>현재 66사례</x:v>
      </x:c>
      <x:c r="I4" s="13" t="str">
        <x:v>기존 공고</x:v>
      </x:c>
      <x:c r="J4" s="13" t="str">
        <x:v>금액단계</x:v>
      </x:c>
      <x:c r="K4" s="13" t="str">
        <x:v>공식 URL</x:v>
      </x:c>
    </x:row>
    <x:row r="5">
      <x:c r="A5" s="48" t="str">
        <x:v>2021-00016</x:v>
      </x:c>
      <x:c r="B5" s="48" t="str">
        <x:v>가나</x:v>
      </x:c>
      <x:c r="C5" s="48" t="str">
        <x:v>가나대학교 연구 및 ICT 혁신센터 건립 사업('21·'26/900만불)</x:v>
      </x:c>
      <x:c r="D5" s="48" t="str">
        <x:v>가나대학교 한·가나 연구 및 ICT 혁신센터(G·K Impact 센터) 신축, 연면적 약 2,600 ㎡</x:v>
      </x:c>
      <x:c r="E5" s="163" t="n">
        <x:v>5382000000</x:v>
      </x:c>
      <x:c r="F5" s="166" t="n">
        <x:v>2600</x:v>
      </x:c>
      <x:c r="G5" s="163" t="n">
        <x:f>IFERROR(E5/F5,"")</x:f>
        <x:v>2070000</x:v>
      </x:c>
      <x:c r="H5" s="48" t="str">
        <x:v>있음</x:v>
      </x:c>
      <x:c r="I5" s="48" t="str">
        <x:v>L2025-00018-1;L2025-00048-1;L2025-00063-1</x:v>
      </x:c>
      <x:c r="J5" s="48" t="str">
        <x:v>발주계획 입찰한도액; 계획 변경 가능</x:v>
      </x:c>
      <x:c r="K5" s="48" t="str">
        <x:v>https://www.data.go.kr/data/15085055/fileData.do</x:v>
      </x:c>
    </x:row>
    <x:row r="6">
      <x:c r="A6" s="49" t="str">
        <x:v>2020-00119</x:v>
      </x:c>
      <x:c r="B6" s="49" t="str">
        <x:v>이라크</x:v>
      </x:c>
      <x:c r="C6" s="49" t="str">
        <x:v>이라크 한·이라크 심장병 어린이 전문 병원 건립사업('20·'30/2,793만불)</x:v>
      </x:c>
      <x:c r="D6" s="49" t="str">
        <x:v>심장병 어린이 전문병원 건립 4층, 5,486㎡</x:v>
      </x:c>
      <x:c r="E6" s="164" t="n">
        <x:v>17940000000</x:v>
      </x:c>
      <x:c r="F6" s="167" t="n">
        <x:v>5486</x:v>
      </x:c>
      <x:c r="G6" s="164" t="n">
        <x:f>IFERROR(E6/F6,"")</x:f>
        <x:v>3270142.180094787</x:v>
      </x:c>
      <x:c r="H6" s="49" t="str">
        <x:v>있음</x:v>
      </x:c>
      <x:c r="I6" s="49" t="str">
        <x:v>L2025-00070-1;L2025-00071-1;L2025-00085-1</x:v>
      </x:c>
      <x:c r="J6" s="49" t="str">
        <x:v>발주계획 입찰한도액; 계획 변경 가능</x:v>
      </x:c>
      <x:c r="K6" s="49" t="str">
        <x:v>https://www.data.go.kr/data/15085055/fileData.do</x:v>
      </x:c>
    </x:row>
    <x:row r="7">
      <x:c r="A7" s="49" t="str">
        <x:v>2021-00009</x:v>
      </x:c>
      <x:c r="B7" s="49" t="str">
        <x:v>인도네시아</x:v>
      </x:c>
      <x:c r="C7" s="49" t="str">
        <x:v>인도네시아 국립대학교 ICT기반 통합지식교육센터 구축 사업(21·26/985만불) 시공 용역</x:v>
      </x:c>
      <x:c r="D7" s="49" t="str">
        <x:v>· 용도 : 교육시설· 대지면적 : 4,517m2· 건축면적 : 1,003m2· 연면적 : 7,687m2· 규모 : 지하1층, 지상8층, 1개동· 구조 : RC구조· 공사기간 : 착공일로부터 15개월</x:v>
      </x:c>
      <x:c r="E7" s="164" t="n">
        <x:v>6776000000</x:v>
      </x:c>
      <x:c r="F7" s="167" t="n">
        <x:v>7687</x:v>
      </x:c>
      <x:c r="G7" s="164" t="n">
        <x:f>IFERROR(E7/F7,"")</x:f>
        <x:v>881488.2268765448</x:v>
      </x:c>
      <x:c r="H7" s="49" t="str">
        <x:v>없음·우선검토</x:v>
      </x:c>
      <x:c r="I7" s="49" t="str">
        <x:v>L2024-00063-1;L2025-00004-1</x:v>
      </x:c>
      <x:c r="J7" s="49" t="str">
        <x:v>발주계획 입찰한도액; 계획 변경 가능</x:v>
      </x:c>
      <x:c r="K7" s="49" t="str">
        <x:v>https://www.data.go.kr/data/15085055/fileData.do</x:v>
      </x:c>
    </x:row>
    <x:row r="8">
      <x:c r="A8" s="49" t="str">
        <x:v>2021-00156</x:v>
      </x:c>
      <x:c r="B8" s="49" t="str">
        <x:v>인도네시아</x:v>
      </x:c>
      <x:c r="C8" s="49" t="str">
        <x:v>인도네시아 보고르대학교 농업생명과학연구센터 역량강화 사업(21·28/1,100만불)</x:v>
      </x:c>
      <x:c r="D8" s="49" t="str">
        <x:v>· 용도 : 연구시설· 연면적 : 2,281.2m2· 규모 : 지상3층 본건물 1개동, 지상1층 부속동 2개동 · 공사내용 :   1) 구조물, 건축,인테리어, 전기, 설비, 소방, 통신, 조경공사  2) 상수도, 하수도, 전기, 전화, 인터넷 연결공사 등 부대공사  3) 정화조 등 기타 설계 도서에 포함된 공사 일체  4) 공사 중 Shop Drawing 및 준공 후 As·Built Drawing</x:v>
      </x:c>
      <x:c r="E8" s="164" t="n">
        <x:v>3135564900</x:v>
      </x:c>
      <x:c r="F8" s="167" t="n">
        <x:v>2281.2</x:v>
      </x:c>
      <x:c r="G8" s="164" t="n">
        <x:f>IFERROR(E8/F8,"")</x:f>
        <x:v>1374524.3293003684</x:v>
      </x:c>
      <x:c r="H8" s="49" t="str">
        <x:v>없음·우선검토</x:v>
      </x:c>
      <x:c r="I8" s="49" t="str">
        <x:v>L2024-00052-1;L2025-00079-1</x:v>
      </x:c>
      <x:c r="J8" s="49" t="str">
        <x:v>발주계획 입찰한도액; 계획 변경 가능</x:v>
      </x:c>
      <x:c r="K8" s="49" t="str">
        <x:v>https://www.data.go.kr/data/15085055/fileData.do</x:v>
      </x:c>
    </x:row>
    <x:row r="9">
      <x:c r="A9" s="49" t="str">
        <x:v>2022-00027</x:v>
      </x:c>
      <x:c r="B9" s="49" t="str">
        <x:v>캄보디아</x:v>
      </x:c>
      <x:c r="C9" s="49" t="str">
        <x:v>캄보디아 국립소아병원 내과계 병동건립 및 의료인력 역량강화사업(22·27/1,600만불) 시공입찰</x:v>
      </x:c>
      <x:c r="D9" s="49" t="str">
        <x:v>지상 5층,  연면적 약 8,880m2 병원건물 신축</x:v>
      </x:c>
      <x:c r="E9" s="164" t="n">
        <x:v>10800000000</x:v>
      </x:c>
      <x:c r="F9" s="167" t="n">
        <x:v>8880</x:v>
      </x:c>
      <x:c r="G9" s="164" t="n">
        <x:f>IFERROR(E9/F9,"")</x:f>
        <x:v>1216216.2162162163</x:v>
      </x:c>
      <x:c r="H9" s="49" t="str">
        <x:v>있음</x:v>
      </x:c>
      <x:c r="I9" s="49" t="str">
        <x:v>L2025-00073-1</x:v>
      </x:c>
      <x:c r="J9" s="49" t="str">
        <x:v>발주계획 입찰한도액; 계획 변경 가능</x:v>
      </x:c>
      <x:c r="K9" s="49" t="str">
        <x:v>https://www.data.go.kr/data/15085055/fileData.do</x:v>
      </x:c>
    </x:row>
    <x:row r="10">
      <x:c r="A10" s="50" t="str">
        <x:v>2023-00030</x:v>
      </x:c>
      <x:c r="B10" s="50" t="str">
        <x:v>키르기스스탄</x:v>
      </x:c>
      <x:c r="C10" s="50" t="str">
        <x:v>키르기스스탄 가축 품종개량 및 인공수정인력 역량강화사업 연수센터 신축 현지입찰</x:v>
      </x:c>
      <x:c r="D10" s="50" t="str">
        <x:v>표세사업 연수센터(연면적 1,825m2) 신축 시공</x:v>
      </x:c>
      <x:c r="E10" s="165" t="n">
        <x:v>3200772000</x:v>
      </x:c>
      <x:c r="F10" s="168" t="n">
        <x:v>1825</x:v>
      </x:c>
      <x:c r="G10" s="165" t="n">
        <x:f>IFERROR(E10/F10,"")</x:f>
        <x:v>1753847.6712328766</x:v>
      </x:c>
      <x:c r="H10" s="50" t="str">
        <x:v>없음·우선검토</x:v>
      </x:c>
      <x:c r="I10" s="50" t="str">
        <x:v>L2024-00041-1</x:v>
      </x:c>
      <x:c r="J10" s="50" t="str">
        <x:v>발주계획 입찰한도액; 계획 변경 가능</x:v>
      </x:c>
      <x:c r="K10" s="50" t="str">
        <x:v>https://www.data.go.kr/data/15085055/fileData.do</x:v>
      </x:c>
    </x:row>
    <x:row r="13" ht="25" customHeight="1">
      <x:c r="A13" s="170" t="str">
        <x:v>우간다 공식자료 추가 추적대상</x:v>
      </x:c>
      <x:c r="B13" s="170"/>
      <x:c r="C13" s="170"/>
      <x:c r="D13" s="170"/>
      <x:c r="E13" s="170"/>
      <x:c r="F13" s="170"/>
      <x:c r="G13" s="170"/>
      <x:c r="H13" s="170"/>
      <x:c r="I13" s="170"/>
      <x:c r="J13" s="170"/>
      <x:c r="K13" s="170"/>
    </x:row>
    <x:row r="14" ht="30" customHeight="1">
      <x:c r="A14" s="40" t="str">
        <x:v>사업번호</x:v>
      </x:c>
      <x:c r="B14" s="40" t="str">
        <x:v>자료종류</x:v>
      </x:c>
      <x:c r="C14" s="40" t="str">
        <x:v>사업·발주명</x:v>
      </x:c>
      <x:c r="D14" s="40" t="str">
        <x:v>공사범위</x:v>
      </x:c>
      <x:c r="E14" s="40" t="str">
        <x:v>금액</x:v>
      </x:c>
      <x:c r="F14" s="40" t="str">
        <x:v>통화</x:v>
      </x:c>
      <x:c r="G14" s="40" t="str">
        <x:v>금액경계</x:v>
      </x:c>
      <x:c r="H14" s="40" t="str">
        <x:v>기존 공고</x:v>
      </x:c>
      <x:c r="I14" s="40" t="str">
        <x:v>다음 조사</x:v>
      </x:c>
    </x:row>
    <x:row r="15">
      <x:c r="A15" s="48" t="str">
        <x:v>2021-00042</x:v>
      </x:c>
      <x:c r="B15" s="48" t="str">
        <x:v>annual_procurement_plan</x:v>
      </x:c>
      <x:c r="C15" s="48" t="str">
        <x:v>우간다 농업지도자 연수원 자립적 운영체계 구축 및 연수역량 강화사업('21·'28/1,200만불)</x:v>
      </x:c>
      <x:c r="D15" s="48" t="str">
        <x:v>우간다 농업지도자 연수원 자립적 운영체계구축 및 연수역량 강화사업 시범농장 신축 공사</x:v>
      </x:c>
      <x:c r="E15" s="163" t="n">
        <x:v>1573634700</x:v>
      </x:c>
      <x:c r="F15" s="48" t="str">
        <x:v>KRW</x:v>
      </x:c>
      <x:c r="G15" s="48" t="str">
        <x:v>발주계획 입찰한도액; 계획 변경 가능</x:v>
      </x:c>
      <x:c r="H15" s="48" t="str">
        <x:v>L2023-00028-1;L2024-00050-1;L2025-00062-1</x:v>
      </x:c>
      <x:c r="I15" s="48" t="str">
        <x:v>설계자료에서 연면적·BOQ 추적</x:v>
      </x:c>
    </x:row>
    <x:row r="16">
      <x:c r="A16" s="49" t="str">
        <x:v>2022-00064</x:v>
      </x:c>
      <x:c r="B16" s="49" t="str">
        <x:v>annual_procurement_plan</x:v>
      </x:c>
      <x:c r="C16" s="49" t="str">
        <x:v>우간다 마케레레대학교 ICT 교육환경 조성사업('23·'28/1,220만불)</x:v>
      </x:c>
      <x:c r="D16" s="49" t="str">
        <x:v>· 토공사, 건축공사, 구조공사, 전기공사, 기계공사, 부대토목공사 등</x:v>
      </x:c>
      <x:c r="E16" s="164" t="n">
        <x:v>6113400000</x:v>
      </x:c>
      <x:c r="F16" s="49" t="str">
        <x:v>KRW</x:v>
      </x:c>
      <x:c r="G16" s="49" t="str">
        <x:v>발주계획 입찰한도액; 계획 변경 가능</x:v>
      </x:c>
      <x:c r="H16" s="49" t="str">
        <x:v>L2024-00072-1;L2025-00084-1</x:v>
      </x:c>
      <x:c r="I16" s="49" t="str">
        <x:v>설계자료에서 연면적·BOQ 추적</x:v>
      </x:c>
    </x:row>
    <x:row r="17">
      <x:c r="A17" s="49" t="str">
        <x:v>2011-00051</x:v>
      </x:c>
      <x:c r="B17" s="49" t="str">
        <x:v>country_project_reports</x:v>
      </x:c>
      <x:c r="C17" s="49" t="str">
        <x:v>우간다 과일가공공장 건립사업('11-'19/800만불)...</x:v>
      </x:c>
      <x:c r="D17" s="49" t="str"/>
      <x:c r="E17" s="164" t="n">
        <x:v>8000000</x:v>
      </x:c>
      <x:c r="F17" s="49" t="str">
        <x:v>USD</x:v>
      </x:c>
      <x:c r="G17" s="49" t="str">
        <x:v>사업명에 표시된 KOICA 전체 사업예산; 건축공사비 아님</x:v>
      </x:c>
      <x:c r="H17" s="49" t="str"/>
      <x:c r="I17" s="49" t="str">
        <x:v>사업보고서에서 면적·준공범위 추출</x:v>
      </x:c>
    </x:row>
    <x:row r="18">
      <x:c r="A18" s="49" t="str">
        <x:v>2011-00052</x:v>
      </x:c>
      <x:c r="B18" s="49" t="str">
        <x:v>country_project_reports</x:v>
      </x:c>
      <x:c r="C18" s="49" t="str">
        <x:v>우간다 농업지도자연수원 건립사업('11-'17/440만불)...</x:v>
      </x:c>
      <x:c r="D18" s="49" t="str"/>
      <x:c r="E18" s="164" t="n">
        <x:v>4400000</x:v>
      </x:c>
      <x:c r="F18" s="49" t="str">
        <x:v>USD</x:v>
      </x:c>
      <x:c r="G18" s="49" t="str">
        <x:v>사업명에 표시된 KOICA 전체 사업예산; 건축공사비 아님</x:v>
      </x:c>
      <x:c r="H18" s="49" t="str"/>
      <x:c r="I18" s="49" t="str">
        <x:v>사업보고서에서 면적·준공범위 추출</x:v>
      </x:c>
    </x:row>
    <x:row r="19">
      <x:c r="A19" s="49" t="str">
        <x:v>2015-00034</x:v>
      </x:c>
      <x:c r="B19" s="49" t="str">
        <x:v>country_project_reports</x:v>
      </x:c>
      <x:c r="C19" s="49" t="str">
        <x:v>우간다 새마을운동 시범마을 건립사업('15-'18/295만불)...</x:v>
      </x:c>
      <x:c r="D19" s="49" t="str"/>
      <x:c r="E19" s="164" t="n">
        <x:v>2950000</x:v>
      </x:c>
      <x:c r="F19" s="49" t="str">
        <x:v>USD</x:v>
      </x:c>
      <x:c r="G19" s="49" t="str">
        <x:v>사업명에 표시된 KOICA 전체 사업예산; 건축공사비 아님</x:v>
      </x:c>
      <x:c r="H19" s="49" t="str"/>
      <x:c r="I19" s="49" t="str">
        <x:v>사업보고서에서 면적·준공범위 추출</x:v>
      </x:c>
    </x:row>
    <x:row r="20">
      <x:c r="A20" s="50" t="str">
        <x:v>2011-00024</x:v>
      </x:c>
      <x:c r="B20" s="50" t="str">
        <x:v>country_project_reports</x:v>
      </x:c>
      <x:c r="C20" s="50" t="str">
        <x:v>우간다 직업훈련원 건립사업('11-'18/579만불)...</x:v>
      </x:c>
      <x:c r="D20" s="50" t="str"/>
      <x:c r="E20" s="165" t="n">
        <x:v>5790000</x:v>
      </x:c>
      <x:c r="F20" s="50" t="str">
        <x:v>USD</x:v>
      </x:c>
      <x:c r="G20" s="50" t="str">
        <x:v>사업명에 표시된 KOICA 전체 사업예산; 건축공사비 아님</x:v>
      </x:c>
      <x:c r="H20" s="50" t="str"/>
      <x:c r="I20" s="50" t="str">
        <x:v>사업보고서에서 면적·준공범위 추출</x:v>
      </x:c>
    </x:row>
  </x:sheetData>
  <x:mergeCells>
    <x:mergeCell ref="A1:K1"/>
    <x:mergeCell ref="A2:K2"/>
    <x:mergeCell ref="A13:K13"/>
  </x:mergeCells>
  <x:conditionalFormatting sqref="H5:H10">
    <x:cfRule type="containsText" dxfId="3" priority="1" operator="containsText" text="우선검토"/>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36" hidden="0" customWidth="1"/>
    <x:col min="4" max="4" width="32" hidden="0" customWidth="1"/>
    <x:col min="5" max="5" width="31" hidden="0" customWidth="1"/>
    <x:col min="6" max="6" width="31" hidden="0" customWidth="1"/>
    <x:col min="7" max="7" width="13" hidden="0" customWidth="1"/>
  </x:cols>
  <x:sheetData>
    <x:row r="1" ht="34" customHeight="1">
      <x:c r="A1" s="3" t="str">
        <x:v>미래 KOICA 사업 건축조사 체크리스트</x:v>
      </x:c>
    </x:row>
    <x:row r="2" ht="36" customHeight="1">
      <x:c r="A2" s="7" t="str">
        <x:v>이번 KOICA-only 시연에서 실제 발견된 불일치·누락을 다음 기획조사와 현지조사의 질문으로 전환했습니다.</x:v>
      </x:c>
    </x:row>
    <x:row r="4" ht="30" customHeight="1">
      <x:c r="A4" s="13" t="str">
        <x:v>우선순위</x:v>
      </x:c>
      <x:c r="B4" s="13" t="str">
        <x:v>조사질문</x:v>
      </x:c>
      <x:c r="C4" s="13" t="str">
        <x:v>이번 근거</x:v>
      </x:c>
      <x:c r="D4" s="13" t="str">
        <x:v>필요자료</x:v>
      </x:c>
      <x:c r="E4" s="13" t="str">
        <x:v>확인방법</x:v>
      </x:c>
      <x:c r="F4" s="13" t="str">
        <x:v>의사결정 영향</x:v>
      </x:c>
      <x:c r="G4" s="13" t="str">
        <x:v>상태</x:v>
      </x:c>
    </x:row>
    <x:row r="5">
      <x:c r="A5" s="174" t="str">
        <x:v>P0</x:v>
      </x:c>
      <x:c r="B5" s="21" t="str">
        <x:v>공식 연면적은 827.40㎡인가 835.67㎡인가?</x:v>
      </x:c>
      <x:c r="C5" s="21" t="str">
        <x:v>영문 BDS와 국문 입찰계획 불일치</x:v>
      </x:c>
      <x:c r="D5" s="21" t="str">
        <x:v>서명 설계도서 면적표·허가도면</x:v>
      </x:c>
      <x:c r="E5" s="21" t="str">
        <x:v>공간별 면적 재합산</x:v>
      </x:c>
      <x:c r="F5" s="21" t="str">
        <x:v>㎡당 단가 분모 확정</x:v>
      </x:c>
      <x:c r="G5" s="182" t="str">
        <x:v>미착수</x:v>
      </x:c>
    </x:row>
    <x:row r="6">
      <x:c r="A6" s="175" t="str">
        <x:v>P0</x:v>
      </x:c>
      <x:c r="B6" s="22" t="str">
        <x:v>시장쉼터는 5동인가 6동인가?</x:v>
      </x:c>
      <x:c r="C6" s="22" t="str">
        <x:v>General Summary 5동, 재공고 전기공종 6동</x:v>
      </x:c>
      <x:c r="D6" s="22" t="str">
        <x:v>최종 배치도·RFI 답변·계약 BOQ</x:v>
      </x:c>
      <x:c r="E6" s="22" t="str">
        <x:v>도면 모듈수와 BOQ 배수 대조</x:v>
      </x:c>
      <x:c r="F6" s="22" t="str">
        <x:v>수량·전기공사비 과소/과대 방지</x:v>
      </x:c>
      <x:c r="G6" s="183" t="str">
        <x:v>미착수</x:v>
      </x:c>
    </x:row>
    <x:row r="7">
      <x:c r="A7" s="175" t="str">
        <x:v>P0</x:v>
      </x:c>
      <x:c r="B7" s="22" t="str">
        <x:v>BOQ 501개 수량에 적용할 현지 단가는?</x:v>
      </x:c>
      <x:c r="C7" s="22" t="str">
        <x:v>미가격 BOQ, 가격항목 0개</x:v>
      </x:c>
      <x:c r="D7" s="22" t="str">
        <x:v>노무·재료·장비 현지견적</x:v>
      </x:c>
      <x:c r="E7" s="22" t="str">
        <x:v>3개 견적 중앙값과 출처 기록</x:v>
      </x:c>
      <x:c r="F7" s="22" t="str">
        <x:v>공종별 직접공사비 산정</x:v>
      </x:c>
      <x:c r="G7" s="183" t="str">
        <x:v>미착수</x:v>
      </x:c>
    </x:row>
    <x:row r="8">
      <x:c r="A8" s="175" t="str">
        <x:v>P1</x:v>
      </x:c>
      <x:c r="B8" s="22" t="str">
        <x:v>0으로 남은 수량 39개는 실제 0인가?</x:v>
      </x:c>
      <x:c r="C8" s="22" t="str">
        <x:v>수식·설계입력값 0 혼재</x:v>
      </x:c>
      <x:c r="D8" s="22" t="str">
        <x:v>최종 계산서·설계수량산출서</x:v>
      </x:c>
      <x:c r="E8" s="22" t="str">
        <x:v>수식 선행셀·도면 치수 역산</x:v>
      </x:c>
      <x:c r="F8" s="22" t="str">
        <x:v>누락수량 방지</x:v>
      </x:c>
      <x:c r="G8" s="183" t="str">
        <x:v>미착수</x:v>
      </x:c>
    </x:row>
    <x:row r="9">
      <x:c r="A9" s="175" t="str">
        <x:v>P1</x:v>
      </x:c>
      <x:c r="B9" s="22" t="str">
        <x:v>가설·일반조건 39개는 어떻게 가격화할 것인가?</x:v>
      </x:c>
      <x:c r="C9" s="22" t="str">
        <x:v>수량 없는 allowance 항목</x:v>
      </x:c>
      <x:c r="D9" s="22" t="str">
        <x:v>현지 시공사 견적·유사계약</x:v>
      </x:c>
      <x:c r="E9" s="22" t="str">
        <x:v>정액/공사비율 항목 분리</x:v>
      </x:c>
      <x:c r="F9" s="22" t="str">
        <x:v>간접비·현장경비 반영</x:v>
      </x:c>
      <x:c r="G9" s="183" t="str">
        <x:v>미착수</x:v>
      </x:c>
    </x:row>
    <x:row r="10">
      <x:c r="A10" s="175" t="str">
        <x:v>P1</x:v>
      </x:c>
      <x:c r="B10" s="22" t="str">
        <x:v>입찰한도 이후 계약·변경·준공금액은?</x:v>
      </x:c>
      <x:c r="C10" s="22" t="str">
        <x:v>현재 USD 272,603은 집행한도</x:v>
      </x:c>
      <x:c r="D10" s="22" t="str">
        <x:v>계약서·변경계약·지급증명</x:v>
      </x:c>
      <x:c r="E10" s="22" t="str">
        <x:v>금액단계별 원장 구축</x:v>
      </x:c>
      <x:c r="F10" s="22" t="str">
        <x:v>예산오차·변경위험 추정</x:v>
      </x:c>
      <x:c r="G10" s="183" t="str">
        <x:v>미착수</x:v>
      </x:c>
    </x:row>
    <x:row r="11">
      <x:c r="A11" s="175" t="str">
        <x:v>P1</x:v>
      </x:c>
      <x:c r="B11" s="22" t="str">
        <x:v>마케레레 ICT·연수원 신축의 연면적은?</x:v>
      </x:c>
      <x:c r="C11" s="22" t="str">
        <x:v>공식 발주계획 금액은 있으나 면적 없음</x:v>
      </x:c>
      <x:c r="D11" s="22" t="str">
        <x:v>기획조사·설계·입찰 첨부</x:v>
      </x:c>
      <x:c r="E11" s="22" t="str">
        <x:v>사업번호로 문서 추적</x:v>
      </x:c>
      <x:c r="F11" s="22" t="str">
        <x:v>우간다 미래 표본 2건 확대</x:v>
      </x:c>
      <x:c r="G11" s="183" t="str">
        <x:v>미착수</x:v>
      </x:c>
    </x:row>
    <x:row r="12">
      <x:c r="A12" s="176" t="str">
        <x:v>P2</x:v>
      </x:c>
      <x:c r="B12" s="23" t="str">
        <x:v>KOICA 공식 비용후보 6건의 범위가 비교 가능한가?</x:v>
      </x:c>
      <x:c r="C12" s="23" t="str">
        <x:v>시설유형·외부공사·세금 경계 상이</x:v>
      </x:c>
      <x:c r="D12" s="23" t="str">
        <x:v>BOQ·공사범위·가격시점</x:v>
      </x:c>
      <x:c r="E12" s="23" t="str">
        <x:v>A/B 등급 증거심사 후 정규화</x:v>
      </x:c>
      <x:c r="F12" s="23" t="str">
        <x:v>KOICA-only 비교군 구축</x:v>
      </x:c>
      <x:c r="G12" s="184" t="str">
        <x:v>미착수</x:v>
      </x:c>
    </x:row>
  </x:sheetData>
  <x:mergeCells>
    <x:mergeCell ref="A1:G1"/>
    <x:mergeCell ref="A2:G2"/>
  </x:mergeCells>
  <x:conditionalFormatting sqref="A5:A12">
    <x:cfRule type="containsText" dxfId="4" priority="1" operator="containsText" text="P0"/>
  </x:conditionalFormatting>
  <x:dataValidations count="1">
    <x:dataValidation type="list" sqref="G5:G12">
      <x:formula1>"미착수,확인중,완료"</x:formula1>
    </x:dataValidation>
  </x:dataValidations>
  <x:pageMargins left="0.7" right="0.7" top="0.75" bottom="0.75" header="0.3" footer="0.3"/>
</x:worksheet>
</file>